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ate1904="1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2120" windowWidth="13815" xWindow="4635" yWindow="-90"/>
  </bookViews>
  <sheets>
    <sheet name="Summary" r:id="rId1" sheetId="16"/>
    <sheet name="calibration" r:id="rId2" sheetId="24"/>
    <sheet name="DayPatternCoefficients" r:id="rId3" sheetId="23"/>
    <sheet name="WorkbasedSubtourGenerationCoeff" r:id="rId4" sheetId="25"/>
    <sheet name="CoeffDef" r:id="rId5" sheetId="22"/>
    <sheet name="NumberOfTours" r:id="rId6" sheetId="1"/>
    <sheet name="TourStopCombos" r:id="rId7" sheetId="3"/>
    <sheet name="Tours&amp;StopsByPurpose" r:id="rId8" sheetId="2"/>
    <sheet name="ExactToursByPurpose (if&gt;0)" r:id="rId9" sheetId="6"/>
    <sheet name="ExactToursByPurpose" r:id="rId10" sheetId="15"/>
    <sheet name="ExactSubtours" r:id="rId11" sheetId="13"/>
    <sheet name="StopsByTourPurpose" r:id="rId12" sheetId="9"/>
    <sheet name="ToursByTourPurpose" r:id="rId13" sheetId="10"/>
    <sheet name="StopsByStopPurpose" r:id="rId14" sheetId="11"/>
    <sheet name="TripsByDestinationPurpose" r:id="rId15" sheetId="12"/>
    <sheet name="output" r:id="rId16" sheetId="20"/>
    <sheet name="output_NHTS" r:id="rId17" sheetId="21"/>
    <sheet name="County Codes" r:id="rId18" sheetId="29"/>
  </sheets>
  <definedNames>
    <definedName hidden="1" localSheetId="1" name="_xlnm._FilterDatabase">calibration!$AI$2:$AM$108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output_NHTS!$O$344:$O$345</definedName>
    <definedName name="out_99">output_NHTS!$O$345:$O$346</definedName>
    <definedName name="out_101">output_NHTS!$O$346:$O$347</definedName>
    <definedName name="out_103">output_NHTS!$O$347:$O$348</definedName>
    <definedName name="out_105">output_NHTS!$O$348:$O$349</definedName>
    <definedName name="out_107">output_NHTS!$O$349:$O$350</definedName>
    <definedName name="out_109">output_NHTS!$O$350:$O$351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output!$O$344:$O$345</definedName>
    <definedName name="out_100">output!$O$345:$O$346</definedName>
    <definedName name="out_102">output!$O$346:$O$347</definedName>
    <definedName name="out_104">output!$O$347:$O$348</definedName>
    <definedName name="out_106">output!$O$348:$O$349</definedName>
    <definedName name="out_108">output!$O$349:$O$350</definedName>
    <definedName name="out_110">output!$O$350:$O$351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J117"/>
  <c i="24" r="J118"/>
  <c i="24" r="J119"/>
  <c i="24" r="J120"/>
  <c i="24" r="J121"/>
  <c i="24" r="J122"/>
  <c i="24" r="J116"/>
  <c i="23" r="B489"/>
  <c i="23" r="B818"/>
  <c i="23" r="B859"/>
  <c i="23" r="B935"/>
  <c i="23" r="B971"/>
  <c i="23" r="B1152"/>
  <c i="23" r="B1863"/>
  <c i="23" r="B1930"/>
  <c i="23" r="B2022"/>
  <c i="23" r="B2023"/>
  <c i="23" r="B2354"/>
  <c i="23" r="B2543"/>
  <c i="23" r="B2994"/>
  <c i="23" r="B3776"/>
  <c i="23" r="B4652"/>
  <c i="23" r="B4711"/>
  <c i="23" r="B4725"/>
  <c i="23" r="B4803"/>
  <c i="23" r="B4881"/>
  <c i="23" r="B4896"/>
  <c i="23" r="B5015"/>
  <c i="23" r="B5255"/>
  <c i="23" r="B5388"/>
  <c i="23" r="B5416"/>
  <c i="23" r="B5442"/>
  <c i="23" r="B5532"/>
  <c i="23" r="B5579"/>
  <c i="23" r="B5691"/>
  <c i="23" r="B6002"/>
  <c i="23" r="B6081"/>
  <c i="23" r="B6087"/>
  <c i="23" r="B6174"/>
  <c i="23" r="B6208"/>
  <c i="23" r="B6319"/>
  <c i="23" r="D6395"/>
  <c i="23" r="B6550"/>
  <c i="23" r="D6569"/>
  <c i="23" r="D6570"/>
  <c i="23" r="B6585"/>
  <c i="23" r="B6612"/>
  <c i="23" r="B6678"/>
  <c i="23" r="B6794"/>
  <c i="23" r="B6873"/>
  <c i="23" r="D6961"/>
  <c i="23" r="B6976"/>
  <c i="23" r="B7162"/>
  <c i="23" r="B7209"/>
  <c i="23" r="D7294"/>
  <c i="23" r="D7329"/>
  <c i="23" r="D7403"/>
  <c i="23" r="B7481"/>
  <c i="23" r="D7482"/>
  <c i="23" r="B7520"/>
  <c i="23" r="D7595"/>
  <c i="23" r="D7631"/>
  <c i="24" l="1" r="E114"/>
  <c i="24" r="F114"/>
  <c i="24" r="G114"/>
  <c i="24" r="H114"/>
  <c i="24" r="I114"/>
  <c i="24" r="C114"/>
  <c i="23" l="1" r="E676"/>
  <c i="23" r="E1025"/>
  <c i="23" r="E1082"/>
  <c i="23" r="E1183"/>
  <c i="23" r="E1354"/>
  <c i="23" r="E1392"/>
  <c i="23" r="E1438"/>
  <c i="23" r="E1823"/>
  <c i="23" r="E1849"/>
  <c i="23" r="E2474"/>
  <c i="23" r="E2577"/>
  <c i="23" r="E3158"/>
  <c i="23" r="E3629"/>
  <c i="23" r="E3657"/>
  <c i="23" r="E4667"/>
  <c i="23" r="E4814"/>
  <c i="23" r="E4931"/>
  <c i="23" r="E5024"/>
  <c i="23" r="E5052"/>
  <c i="23" r="E5113"/>
  <c i="23" r="E5146"/>
  <c i="23" r="E5177"/>
  <c i="23" r="E5270"/>
  <c i="23" r="E5301"/>
  <c i="23" r="E5330"/>
  <c i="23" r="E5393"/>
  <c i="23" r="E5417"/>
  <c i="23" r="E5427"/>
  <c i="23" r="E5488"/>
  <c i="23" r="E5552"/>
  <c i="23" r="E5584"/>
  <c i="23" r="E5625"/>
  <c i="23" r="E5693"/>
  <c i="23" r="E5804"/>
  <c i="23" r="E5986"/>
  <c i="23" r="E5987"/>
  <c i="23" r="E5993"/>
  <c i="23" r="E6021"/>
  <c i="23" r="E6053"/>
  <c i="23" r="E6350"/>
  <c i="23" r="E6395"/>
  <c i="23" r="E6429"/>
  <c i="23" r="E6430"/>
  <c i="23" r="E6462"/>
  <c i="23" r="E6534"/>
  <c i="23" r="E6541"/>
  <c i="23" r="E6569"/>
  <c i="23" r="E6570"/>
  <c i="23" r="E6586"/>
  <c i="23" r="E6604"/>
  <c i="23" r="E6605"/>
  <c i="23" r="E6664"/>
  <c i="23" r="E6735"/>
  <c i="23" r="E6851"/>
  <c i="23" r="E6878"/>
  <c i="23" r="E6914"/>
  <c i="23" r="E6961"/>
  <c i="23" r="E7048"/>
  <c i="23" r="E7068"/>
  <c i="23" r="E7069"/>
  <c i="23" r="E7070"/>
  <c i="23" r="E7177"/>
  <c i="23" r="E7178"/>
  <c i="23" r="E7182"/>
  <c i="23" r="E7198"/>
  <c i="23" r="E7218"/>
  <c i="23" r="E7294"/>
  <c i="23" r="E7304"/>
  <c i="23" r="E7329"/>
  <c i="23" r="E7395"/>
  <c i="23" r="E7470"/>
  <c i="23" r="E7479"/>
  <c i="23" r="E7480"/>
  <c i="23" r="E7482"/>
  <c i="23" r="E7516"/>
  <c i="23" r="E7593"/>
  <c i="23" r="E7595"/>
  <c i="23" r="E7630"/>
  <c i="24" r="O149"/>
  <c i="24" r="O150"/>
  <c i="24" r="O151"/>
  <c i="24" r="O152"/>
  <c i="24" r="O153"/>
  <c i="24" r="O154"/>
  <c i="24" r="O148"/>
  <c i="21" l="1" r="B350"/>
  <c i="24" r="C39" s="1"/>
  <c i="21" r="B349"/>
  <c i="24" r="C38" s="1"/>
  <c i="21" r="B348"/>
  <c i="24" r="C37" s="1"/>
  <c i="21" r="B347"/>
  <c i="24" r="C36" s="1"/>
  <c i="21" r="B346"/>
  <c i="24" r="C35" s="1"/>
  <c i="21" r="B345"/>
  <c i="24" r="C34" s="1"/>
  <c i="21" r="B344"/>
  <c i="24" r="C33" s="1"/>
  <c i="20" r="B345"/>
  <c i="24" r="E34" s="1"/>
  <c i="20" r="B346"/>
  <c i="24" r="E35" s="1"/>
  <c i="20" r="B347"/>
  <c i="24" r="E36" s="1"/>
  <c i="20" r="B348"/>
  <c i="24" r="E37" s="1"/>
  <c i="20" r="B349"/>
  <c i="24" r="E38" s="1"/>
  <c i="20" r="B350"/>
  <c i="24" r="E39" s="1"/>
  <c i="20" r="B344"/>
  <c i="24" r="E33" s="1"/>
  <c i="24" l="1" r="B203"/>
  <c i="24" r="B204"/>
  <c i="24" r="B205"/>
  <c i="24" r="B206"/>
  <c i="24" r="B207"/>
  <c i="24" r="B208"/>
  <c i="24" r="B209"/>
  <c i="24" r="B210"/>
  <c i="24" r="B201"/>
  <c i="24" r="B202"/>
  <c i="24" r="J179"/>
  <c i="24" r="J180"/>
  <c i="24" r="J63" s="1"/>
  <c i="24" r="J181"/>
  <c i="24" r="J64" s="1"/>
  <c i="24" r="J182"/>
  <c i="24" r="J65" s="1"/>
  <c i="24" r="J183"/>
  <c i="24" r="J184"/>
  <c i="24" r="J67" s="1"/>
  <c i="24" r="J185"/>
  <c i="24" r="J68" s="1"/>
  <c i="24" r="J178"/>
  <c i="24" r="J61" s="1"/>
  <c i="24" r="J163"/>
  <c i="24" r="J177" s="1"/>
  <c i="24" r="J60" s="1"/>
  <c i="24" r="T163"/>
  <c i="24" r="T177" s="1"/>
  <c i="24" l="1" r="J186"/>
  <c i="24" r="J69" s="1"/>
  <c i="24" r="J62"/>
  <c i="24" r="J66"/>
  <c i="24" l="1" r="D209"/>
  <c i="16" r="P75"/>
  <c i="16" r="O75"/>
  <c i="16" r="H15"/>
  <c i="16" r="G15"/>
  <c i="21" r="B338"/>
  <c i="21" r="B339"/>
  <c i="21" r="B340"/>
  <c i="21" r="B332"/>
  <c i="21" r="B333"/>
  <c i="21" r="B334"/>
  <c i="21" r="B335"/>
  <c i="21" r="B336"/>
  <c i="21" r="B337"/>
  <c i="21" r="B331"/>
  <c i="20" r="B332"/>
  <c i="20" r="B333"/>
  <c i="20" r="B334"/>
  <c i="20" r="B335"/>
  <c i="20" r="B336"/>
  <c i="20" r="B337"/>
  <c i="20" r="B338"/>
  <c i="20" r="B339"/>
  <c i="20" r="B340"/>
  <c i="20" r="B331"/>
  <c i="20" l="1" r="B211"/>
  <c i="20" r="C211"/>
  <c i="20" r="D211"/>
  <c i="20" r="E211"/>
  <c i="20" r="F211"/>
  <c i="20" r="G211"/>
  <c i="20" r="H211"/>
  <c i="20" r="B212"/>
  <c i="20" r="C212"/>
  <c i="20" r="D212"/>
  <c i="20" r="E212"/>
  <c i="20" r="F212"/>
  <c i="20" r="G212"/>
  <c i="20" r="H212"/>
  <c i="20" r="B213"/>
  <c i="20" r="C213"/>
  <c i="20" r="D213"/>
  <c i="20" r="E213"/>
  <c i="20" r="F213"/>
  <c i="20" r="G213"/>
  <c i="20" r="H213"/>
  <c i="20" r="B214"/>
  <c i="20" r="C214"/>
  <c i="20" r="D214"/>
  <c i="20" r="E214"/>
  <c i="20" r="F214"/>
  <c i="20" r="G214"/>
  <c i="20" r="H214"/>
  <c i="20" r="B215"/>
  <c i="20" r="C215"/>
  <c i="20" r="D215"/>
  <c i="20" r="E215"/>
  <c i="20" r="F215"/>
  <c i="20" r="G215"/>
  <c i="20" r="H215"/>
  <c i="20" r="B216"/>
  <c i="20" r="C216"/>
  <c i="20" r="D216"/>
  <c i="20" r="E216"/>
  <c i="20" r="F216"/>
  <c i="20" r="G216"/>
  <c i="20" r="H216"/>
  <c i="20" r="B217"/>
  <c i="20" r="C217"/>
  <c i="20" r="D217"/>
  <c i="20" r="E217"/>
  <c i="20" r="F217"/>
  <c i="20" r="G217"/>
  <c i="20" r="H217"/>
  <c i="20" r="B218"/>
  <c i="20" r="C218"/>
  <c i="20" r="D218"/>
  <c i="20" r="E218"/>
  <c i="20" r="F218"/>
  <c i="20" r="G218"/>
  <c i="20" r="H218"/>
  <c i="21" l="1" r="Y212"/>
  <c i="21" r="Y213"/>
  <c i="21" r="Y214"/>
  <c i="21" r="Y215"/>
  <c i="21" r="Y216"/>
  <c i="21" r="Y217"/>
  <c i="21" r="Y218"/>
  <c i="21" r="Y211"/>
  <c i="20" r="Y212"/>
  <c i="20" r="Y213"/>
  <c i="20" r="Y214"/>
  <c i="20" r="Y215"/>
  <c i="20" r="Y216"/>
  <c i="20" r="Y217"/>
  <c i="20" r="Y218"/>
  <c i="20" r="Y211"/>
  <c i="20" r="Y253"/>
  <c i="20" r="Y254"/>
  <c i="20" r="Y255"/>
  <c i="20" r="Y256"/>
  <c i="20" r="Y257"/>
  <c i="20" r="Y258"/>
  <c i="20" r="Y252"/>
  <c i="21" r="Y253"/>
  <c i="21" r="Y254"/>
  <c i="21" r="Y255"/>
  <c i="21" r="Y256"/>
  <c i="21" r="Y257"/>
  <c i="21" r="Y258"/>
  <c i="21" r="Y252"/>
  <c i="21" r="Y296"/>
  <c i="21" r="Y297"/>
  <c i="21" r="Y298"/>
  <c i="21" r="Y299"/>
  <c i="21" r="Y300"/>
  <c i="21" r="Y301"/>
  <c i="21" r="Y302"/>
  <c i="20" r="Y296"/>
  <c i="20" r="Y297"/>
  <c i="20" r="Y298"/>
  <c i="20" r="Y299"/>
  <c i="20" r="Y300"/>
  <c i="20" r="Y301"/>
  <c i="20" r="Y302"/>
  <c i="20" r="Y295"/>
  <c i="20" r="I295"/>
  <c i="20" r="J295"/>
  <c i="20" r="K295"/>
  <c i="20" r="I296"/>
  <c i="20" r="J296"/>
  <c i="20" r="K296"/>
  <c i="20" r="I297"/>
  <c i="20" r="J297"/>
  <c i="20" r="K297"/>
  <c i="20" r="I298"/>
  <c i="20" r="J298"/>
  <c i="20" r="K298"/>
  <c i="20" r="I299"/>
  <c i="20" r="J299"/>
  <c i="20" r="K299"/>
  <c i="20" r="I300"/>
  <c i="20" r="J300"/>
  <c i="20" r="K300"/>
  <c i="20" r="I301"/>
  <c i="20" r="J301"/>
  <c i="20" r="K301"/>
  <c i="20" r="I302"/>
  <c i="20" r="J302"/>
  <c i="20" r="K302"/>
  <c i="12" l="1" r="AG106"/>
  <c i="12" r="AH106"/>
  <c i="12" r="AI106"/>
  <c i="12" r="AG123"/>
  <c i="12" r="AH123"/>
  <c i="12" r="AI123"/>
  <c i="12" r="U106"/>
  <c i="12" r="V106"/>
  <c i="12" r="W106"/>
  <c i="12" r="U107"/>
  <c i="12" r="V107"/>
  <c i="12" r="W107"/>
  <c i="12" r="U108"/>
  <c i="12" r="V108"/>
  <c i="12" r="W108"/>
  <c i="12" r="U109"/>
  <c i="12" r="V109"/>
  <c i="12" r="W109"/>
  <c i="12" r="U110"/>
  <c i="12" r="V110"/>
  <c i="12" r="W110"/>
  <c i="12" r="U111"/>
  <c i="12" r="V111"/>
  <c i="12" r="W111"/>
  <c i="12" r="U112"/>
  <c i="12" r="V112"/>
  <c i="12" r="W112"/>
  <c i="12" r="U113"/>
  <c i="12" r="V113"/>
  <c i="12" r="W113"/>
  <c i="12" r="U114"/>
  <c i="12" r="V114"/>
  <c i="12" r="W114"/>
  <c i="12" r="U123"/>
  <c i="12" r="V123"/>
  <c i="12" r="W123"/>
  <c i="12" r="I123"/>
  <c i="12" r="J123"/>
  <c i="12" r="K123"/>
  <c i="11" r="AG116"/>
  <c i="11" r="AH116"/>
  <c i="11" r="AI116"/>
  <c i="11" r="AG100"/>
  <c i="11" r="AH100"/>
  <c i="11" r="AI100"/>
  <c i="11" r="U100"/>
  <c i="11" r="V100"/>
  <c i="11" r="W100"/>
  <c i="10" r="I124"/>
  <c i="10" r="J124"/>
  <c i="10" r="K124"/>
  <c i="10" r="U124"/>
  <c i="10" r="V124"/>
  <c i="10" r="W124"/>
  <c i="10" r="AG124"/>
  <c i="10" r="AH124"/>
  <c i="10" r="AI124"/>
  <c i="10" r="AG107"/>
  <c i="10" r="AH107"/>
  <c i="10" r="AI107"/>
  <c i="10" r="U107"/>
  <c i="10" r="V107"/>
  <c i="10" r="W107"/>
  <c i="10" r="I118"/>
  <c i="10" r="J118"/>
  <c i="10" r="K118"/>
  <c i="21" r="I295"/>
  <c i="12" r="I107" s="1"/>
  <c i="21" r="J295"/>
  <c i="12" r="J107" s="1"/>
  <c i="21" r="K295"/>
  <c i="12" r="K107" s="1"/>
  <c i="21" r="I296"/>
  <c i="12" r="I108" s="1"/>
  <c i="21" r="J296"/>
  <c i="12" r="J108" s="1"/>
  <c i="21" r="K296"/>
  <c i="12" r="K108" s="1"/>
  <c i="21" r="I297"/>
  <c i="12" r="I109" s="1"/>
  <c i="21" r="J297"/>
  <c i="12" r="J109" s="1"/>
  <c i="21" r="K297"/>
  <c i="12" r="K109" s="1"/>
  <c i="21" r="I298"/>
  <c i="12" r="I110" s="1"/>
  <c i="21" r="J298"/>
  <c i="12" r="J110" s="1"/>
  <c i="21" r="K298"/>
  <c i="12" r="K110" s="1"/>
  <c i="21" r="I299"/>
  <c i="12" r="I111" s="1"/>
  <c i="21" r="J299"/>
  <c i="12" r="J111" s="1"/>
  <c i="21" r="K299"/>
  <c i="12" r="K111" s="1"/>
  <c i="21" r="I300"/>
  <c i="12" r="I112" s="1"/>
  <c i="21" r="J300"/>
  <c i="12" r="J112" s="1"/>
  <c i="21" r="K300"/>
  <c i="12" r="K112" s="1"/>
  <c i="21" r="I301"/>
  <c i="12" r="I113" s="1"/>
  <c i="21" r="J301"/>
  <c i="12" r="J113" s="1"/>
  <c i="21" r="K301"/>
  <c i="12" r="K113" s="1"/>
  <c i="21" r="I302"/>
  <c i="12" r="I114" s="1"/>
  <c i="21" r="J302"/>
  <c i="12" r="J114" s="1"/>
  <c i="21" r="K302"/>
  <c i="12" r="K114" s="1"/>
  <c i="21" r="Y295"/>
  <c i="21" r="I252"/>
  <c i="11" r="I101" s="1"/>
  <c i="21" r="J252"/>
  <c i="11" r="J101" s="1"/>
  <c i="21" r="K252"/>
  <c i="11" r="K101" s="1"/>
  <c i="21" r="I253"/>
  <c i="11" r="I102" s="1"/>
  <c i="21" r="J253"/>
  <c i="11" r="J102" s="1"/>
  <c i="21" r="K253"/>
  <c i="11" r="K102" s="1"/>
  <c i="21" r="I254"/>
  <c i="11" r="I103" s="1"/>
  <c i="21" r="J254"/>
  <c i="11" r="J103" s="1"/>
  <c i="21" r="K254"/>
  <c i="11" r="K103" s="1"/>
  <c i="21" r="I255"/>
  <c i="11" r="I104" s="1"/>
  <c i="21" r="J255"/>
  <c i="11" r="J104" s="1"/>
  <c i="21" r="K255"/>
  <c i="11" r="K104" s="1"/>
  <c i="21" r="I256"/>
  <c i="11" r="I105" s="1"/>
  <c i="21" r="J256"/>
  <c i="11" r="J105" s="1"/>
  <c i="21" r="K256"/>
  <c i="11" r="K105" s="1"/>
  <c i="21" r="I257"/>
  <c i="11" r="I106" s="1"/>
  <c i="21" r="J257"/>
  <c i="11" r="J106" s="1"/>
  <c i="21" r="K257"/>
  <c i="11" r="K106" s="1"/>
  <c i="21" r="I258"/>
  <c i="11" r="I107" s="1"/>
  <c i="21" r="J258"/>
  <c i="11" r="J107" s="1"/>
  <c i="21" r="K258"/>
  <c i="11" r="K107" s="1"/>
  <c i="21" r="I211"/>
  <c i="10" r="I108" s="1"/>
  <c i="21" r="J211"/>
  <c i="10" r="J108" s="1"/>
  <c i="21" r="K211"/>
  <c i="10" r="K108" s="1"/>
  <c i="21" r="I212"/>
  <c i="10" r="I109" s="1"/>
  <c i="21" r="J212"/>
  <c i="10" r="J109" s="1"/>
  <c i="21" r="K212"/>
  <c i="10" r="K109" s="1"/>
  <c i="21" r="I213"/>
  <c i="10" r="I110" s="1"/>
  <c i="21" r="J213"/>
  <c i="10" r="J110" s="1"/>
  <c i="21" r="K213"/>
  <c i="10" r="K110" s="1"/>
  <c i="21" r="I214"/>
  <c i="10" r="I111" s="1"/>
  <c i="21" r="J214"/>
  <c i="10" r="J111" s="1"/>
  <c i="21" r="K214"/>
  <c i="10" r="K111" s="1"/>
  <c i="21" r="I215"/>
  <c i="10" r="I112" s="1"/>
  <c i="21" r="J215"/>
  <c i="10" r="J112" s="1"/>
  <c i="21" r="K215"/>
  <c i="10" r="K112" s="1"/>
  <c i="21" r="I216"/>
  <c i="10" r="I113" s="1"/>
  <c i="21" r="J216"/>
  <c i="10" r="J113" s="1"/>
  <c i="21" r="K216"/>
  <c i="10" r="K113" s="1"/>
  <c i="21" r="I217"/>
  <c i="10" r="I114" s="1"/>
  <c i="21" r="J217"/>
  <c i="10" r="J114" s="1"/>
  <c i="21" r="K217"/>
  <c i="10" r="K114" s="1"/>
  <c i="21" r="I218"/>
  <c i="10" r="I115" s="1"/>
  <c i="21" r="J218"/>
  <c i="10" r="J115" s="1"/>
  <c i="21" r="K218"/>
  <c i="10" r="K115" s="1"/>
  <c i="10" r="U118"/>
  <c i="10" r="V118"/>
  <c i="10" r="W118"/>
  <c i="20" r="I252"/>
  <c i="11" r="U101" s="1"/>
  <c i="20" r="J252"/>
  <c i="11" r="V101" s="1"/>
  <c i="20" r="K252"/>
  <c i="11" r="W101" s="1"/>
  <c i="20" r="I253"/>
  <c i="11" r="U102" s="1"/>
  <c i="20" r="J253"/>
  <c i="11" r="V102" s="1"/>
  <c i="20" r="K253"/>
  <c i="11" r="W102" s="1"/>
  <c i="20" r="I254"/>
  <c i="11" r="U103" s="1"/>
  <c i="11" r="AG103" s="1"/>
  <c i="20" r="J254"/>
  <c i="11" r="V103" s="1"/>
  <c i="20" r="K254"/>
  <c i="11" r="W103" s="1"/>
  <c i="20" r="I255"/>
  <c i="11" r="U104" s="1"/>
  <c i="11" r="AG104" s="1"/>
  <c i="20" r="J255"/>
  <c i="11" r="V104" s="1"/>
  <c i="20" r="K255"/>
  <c i="11" r="W104" s="1"/>
  <c i="20" r="I256"/>
  <c i="11" r="U105" s="1"/>
  <c i="20" r="J256"/>
  <c i="11" r="V105" s="1"/>
  <c i="11" r="AH105" s="1"/>
  <c i="20" r="K256"/>
  <c i="11" r="W105" s="1"/>
  <c i="11" r="AI105" s="1"/>
  <c i="20" r="I257"/>
  <c i="11" r="U106" s="1"/>
  <c i="20" r="J257"/>
  <c i="11" r="V106" s="1"/>
  <c i="20" r="K257"/>
  <c i="11" r="W106" s="1"/>
  <c i="20" r="I258"/>
  <c i="11" r="U107" s="1"/>
  <c i="20" r="J258"/>
  <c i="11" r="V107" s="1"/>
  <c i="20" r="K258"/>
  <c i="11" r="W107" s="1"/>
  <c i="20" r="I211"/>
  <c i="10" r="U108" s="1"/>
  <c i="20" r="J211"/>
  <c i="10" r="V108" s="1"/>
  <c i="20" r="K211"/>
  <c i="10" r="W108" s="1"/>
  <c i="20" r="I212"/>
  <c i="10" r="U109" s="1"/>
  <c i="20" r="J212"/>
  <c i="10" r="V109" s="1"/>
  <c i="20" r="K212"/>
  <c i="10" r="W109" s="1"/>
  <c i="20" r="I213"/>
  <c i="10" r="U110" s="1"/>
  <c i="20" r="J213"/>
  <c i="10" r="V110" s="1"/>
  <c i="20" r="K213"/>
  <c i="10" r="W110" s="1"/>
  <c i="20" r="I214"/>
  <c i="10" r="U111" s="1"/>
  <c i="20" r="J214"/>
  <c i="10" r="V111" s="1"/>
  <c i="20" r="K214"/>
  <c i="10" r="W111" s="1"/>
  <c i="20" r="I215"/>
  <c i="10" r="U112" s="1"/>
  <c i="20" r="J215"/>
  <c i="10" r="V112" s="1"/>
  <c i="20" r="K215"/>
  <c i="10" r="W112" s="1"/>
  <c i="20" r="I216"/>
  <c i="10" r="U113" s="1"/>
  <c i="20" r="J216"/>
  <c i="10" r="V113" s="1"/>
  <c i="20" r="K216"/>
  <c i="10" r="W113" s="1"/>
  <c i="20" r="I217"/>
  <c i="10" r="U114" s="1"/>
  <c i="10" r="AG114" s="1"/>
  <c i="20" r="J217"/>
  <c i="10" r="V114" s="1"/>
  <c i="20" r="K217"/>
  <c i="10" r="W114" s="1"/>
  <c i="20" r="I218"/>
  <c i="10" r="U115" s="1"/>
  <c i="20" r="J218"/>
  <c i="10" r="V115" s="1"/>
  <c i="20" r="K218"/>
  <c i="10" r="W115" s="1"/>
  <c i="11" l="1" r="AH102"/>
  <c i="12" r="AI113"/>
  <c i="11" r="AG102"/>
  <c i="12" r="AI110"/>
  <c i="12" r="AH110"/>
  <c i="12" r="AH109"/>
  <c i="11" r="AH103"/>
  <c i="11" r="AG107"/>
  <c i="11" r="AI103"/>
  <c i="11" r="AI102"/>
  <c i="11" r="AH104"/>
  <c i="12" r="AI108"/>
  <c i="11" r="AI104"/>
  <c i="12" r="AI107"/>
  <c i="12" r="AH107"/>
  <c i="10" r="AH111"/>
  <c i="12" r="AI114"/>
  <c i="12" r="AH114"/>
  <c i="12" r="AH113"/>
  <c i="11" r="AG105"/>
  <c i="12" r="AG111"/>
  <c i="12" r="AG110"/>
  <c i="12" r="AI109"/>
  <c i="12" r="AG109"/>
  <c i="12" r="AG108"/>
  <c i="12" r="AG107"/>
  <c i="12" r="AG114"/>
  <c i="12" r="AG113"/>
  <c i="10" r="AI112"/>
  <c i="12" r="J115"/>
  <c i="12" r="J130" s="1"/>
  <c i="10" r="AG111"/>
  <c i="10" r="AH113"/>
  <c i="10" r="AG113"/>
  <c i="11" r="W108"/>
  <c i="11" r="W124" s="1"/>
  <c i="11" r="AI101"/>
  <c i="10" r="AG112"/>
  <c i="10" r="K116"/>
  <c i="10" r="K131" s="1"/>
  <c i="11" r="W110"/>
  <c i="12" r="W117"/>
  <c i="10" r="AI118"/>
  <c i="11" r="V108"/>
  <c i="11" r="V123" s="1"/>
  <c i="11" r="AH101"/>
  <c i="11" r="V110"/>
  <c i="10" r="AH118"/>
  <c i="12" r="V117"/>
  <c i="12" r="K117"/>
  <c i="11" r="K110"/>
  <c i="10" r="J116"/>
  <c i="10" r="J126" s="1"/>
  <c i="10" r="U116"/>
  <c i="10" r="U126" s="1"/>
  <c i="10" r="AG109"/>
  <c i="11" r="U110"/>
  <c i="10" r="AG118"/>
  <c i="12" r="U117"/>
  <c i="12" r="J117"/>
  <c i="11" r="J110"/>
  <c i="11" r="AG106"/>
  <c i="10" r="AI113"/>
  <c i="10" r="U127"/>
  <c i="10" r="AG110"/>
  <c i="11" r="J108"/>
  <c i="11" r="J118" s="1"/>
  <c i="12" r="I117"/>
  <c i="11" r="I110"/>
  <c i="10" r="AI110"/>
  <c i="11" r="K108"/>
  <c i="11" r="K122" s="1"/>
  <c i="10" r="J132"/>
  <c i="10" r="I116"/>
  <c i="10" r="I131" s="1"/>
  <c i="10" r="V116"/>
  <c i="10" r="V131" s="1"/>
  <c i="10" r="AH109"/>
  <c i="11" r="I108"/>
  <c i="11" r="I119" s="1"/>
  <c i="10" r="AH108"/>
  <c i="10" r="AI115"/>
  <c i="10" r="AG115"/>
  <c i="10" r="J129"/>
  <c i="12" r="J128"/>
  <c i="12" r="AH111"/>
  <c i="10" r="J125"/>
  <c i="10" r="AH115"/>
  <c i="10" r="AI114"/>
  <c i="11" r="AI106"/>
  <c i="10" r="W116"/>
  <c i="10" r="W131" s="1"/>
  <c i="10" r="AI109"/>
  <c i="10" r="AI108"/>
  <c i="10" r="AG108"/>
  <c i="10" r="AH114"/>
  <c i="11" r="AH106"/>
  <c i="11" r="U108"/>
  <c i="11" r="U124" s="1"/>
  <c i="10" r="AH112"/>
  <c i="11" r="AG101"/>
  <c i="10" r="AI111"/>
  <c i="12" r="V115"/>
  <c i="12" r="V130" s="1"/>
  <c i="11" r="AI107"/>
  <c i="10" r="AH110"/>
  <c i="11" r="AH107"/>
  <c i="12" r="AH108"/>
  <c i="12" r="K115"/>
  <c i="12" r="K128" s="1"/>
  <c i="12" r="I115"/>
  <c i="12" r="I125" s="1"/>
  <c i="12" r="W115"/>
  <c i="12" r="U115"/>
  <c i="12" r="AI112"/>
  <c i="12" r="AH112"/>
  <c i="12" r="AG112"/>
  <c i="12" r="AI111"/>
  <c i="16" r="P60"/>
  <c i="16" r="O60"/>
  <c i="12" l="1" r="AG115"/>
  <c i="10" r="K129"/>
  <c i="12" r="K130"/>
  <c i="11" r="K119"/>
  <c i="12" r="J126"/>
  <c i="10" r="J128"/>
  <c i="12" r="J125"/>
  <c i="12" r="J132"/>
  <c i="12" r="J127"/>
  <c i="12" r="J124"/>
  <c i="10" r="U131"/>
  <c i="10" r="J131"/>
  <c i="12" r="J118"/>
  <c i="12" r="J129"/>
  <c i="12" r="J131"/>
  <c i="10" r="J130"/>
  <c i="12" r="I131"/>
  <c i="12" r="AI115"/>
  <c i="10" r="V125"/>
  <c i="10" r="AH125" s="1"/>
  <c i="12" r="K131"/>
  <c i="11" r="W119"/>
  <c i="11" r="AI119" s="1"/>
  <c i="10" r="I127"/>
  <c i="11" r="K118"/>
  <c i="10" r="K126"/>
  <c i="12" r="AG117"/>
  <c i="11" r="AG110"/>
  <c i="11" r="U123"/>
  <c i="12" r="AH130"/>
  <c i="12" r="W129"/>
  <c i="11" r="U122"/>
  <c i="11" r="U119"/>
  <c i="11" r="AG119" s="1"/>
  <c i="10" r="I126"/>
  <c i="11" r="U121"/>
  <c i="10" r="AH131"/>
  <c i="12" r="V132"/>
  <c i="12" r="AH132" s="1"/>
  <c i="11" r="V119"/>
  <c i="11" r="V118"/>
  <c i="11" r="AH118" s="1"/>
  <c i="10" r="I129"/>
  <c i="10" r="U130"/>
  <c i="11" r="V120"/>
  <c i="12" r="V127"/>
  <c i="11" r="V117"/>
  <c i="10" r="W125"/>
  <c i="11" r="I122"/>
  <c i="10" r="K130"/>
  <c i="12" r="V128"/>
  <c i="12" r="AH128" s="1"/>
  <c i="10" r="W126"/>
  <c i="10" r="U128"/>
  <c i="10" r="AI131"/>
  <c i="12" r="V125"/>
  <c i="12" r="AH125" s="1"/>
  <c i="12" r="V124"/>
  <c i="12" r="AH124" s="1"/>
  <c i="12" r="AH117"/>
  <c i="11" r="AH110"/>
  <c i="12" r="V126"/>
  <c i="12" r="AH126" s="1"/>
  <c i="12" r="V131"/>
  <c i="12" r="W130"/>
  <c i="11" r="W111"/>
  <c i="11" r="AI108"/>
  <c i="11" r="J117"/>
  <c i="10" r="V126"/>
  <c i="10" r="AH126" s="1"/>
  <c i="11" r="I120"/>
  <c i="12" r="AI130"/>
  <c i="12" r="U118"/>
  <c i="10" r="W130"/>
  <c i="11" r="W121"/>
  <c i="11" r="W120"/>
  <c i="12" r="U126"/>
  <c i="12" r="U127"/>
  <c i="11" r="W123"/>
  <c i="11" r="W122"/>
  <c i="11" r="AI122" s="1"/>
  <c i="10" r="I119"/>
  <c i="10" r="I133"/>
  <c i="10" r="V130"/>
  <c i="10" r="AH130" s="1"/>
  <c i="11" r="W117"/>
  <c i="12" r="K129"/>
  <c i="11" r="V111"/>
  <c i="11" r="AH108"/>
  <c i="12" r="W127"/>
  <c i="11" r="J111"/>
  <c i="11" r="J124"/>
  <c i="10" r="W119"/>
  <c i="10" r="AI116"/>
  <c i="10" r="W133"/>
  <c i="12" r="U128"/>
  <c i="10" r="V132"/>
  <c i="10" r="AH132" s="1"/>
  <c i="12" r="I129"/>
  <c i="10" r="I128"/>
  <c i="11" r="I111"/>
  <c i="11" r="I124"/>
  <c i="11" r="AG124" s="1"/>
  <c i="12" r="U125"/>
  <c i="12" r="AG125" s="1"/>
  <c i="11" r="I123"/>
  <c i="10" r="W128"/>
  <c i="11" r="U111"/>
  <c i="11" r="AG108"/>
  <c i="10" r="I125"/>
  <c i="11" r="J121"/>
  <c i="12" r="V118"/>
  <c i="12" r="AH118" s="1"/>
  <c i="11" r="I118"/>
  <c i="11" r="K111"/>
  <c i="11" r="K124"/>
  <c i="11" r="AI124" s="1"/>
  <c i="12" r="AI117"/>
  <c i="11" r="J122"/>
  <c i="12" r="I126"/>
  <c i="12" r="W132"/>
  <c i="11" r="K117"/>
  <c i="11" r="AI110"/>
  <c i="11" r="J120"/>
  <c i="11" r="I117"/>
  <c i="12" r="K127"/>
  <c i="12" r="K125"/>
  <c i="10" r="V127"/>
  <c i="12" r="U124"/>
  <c i="12" r="U131"/>
  <c i="12" r="AG131" s="1"/>
  <c i="12" r="W125"/>
  <c i="10" r="W127"/>
  <c i="10" r="I130"/>
  <c i="11" r="W118"/>
  <c i="12" r="K124"/>
  <c i="12" r="K118"/>
  <c i="10" r="K119"/>
  <c i="10" r="K128"/>
  <c i="10" r="K133"/>
  <c i="11" r="I121"/>
  <c i="12" r="K126"/>
  <c i="11" r="U118"/>
  <c i="12" r="W131"/>
  <c i="11" r="V122"/>
  <c i="11" r="U117"/>
  <c i="12" r="I127"/>
  <c i="12" r="W118"/>
  <c i="12" r="W128"/>
  <c i="12" r="AI128" s="1"/>
  <c i="10" r="I132"/>
  <c i="10" r="K127"/>
  <c i="11" r="K121"/>
  <c i="12" r="K132"/>
  <c i="12" r="I132"/>
  <c i="11" r="J123"/>
  <c i="11" r="AH123" s="1"/>
  <c i="12" r="I124"/>
  <c i="11" r="U120"/>
  <c i="12" r="I118"/>
  <c i="12" r="W126"/>
  <c i="10" r="U119"/>
  <c i="10" r="U133"/>
  <c i="10" r="AG116"/>
  <c i="12" r="I128"/>
  <c i="12" r="U130"/>
  <c i="12" r="U132"/>
  <c i="12" r="I130"/>
  <c i="12" r="U129"/>
  <c i="10" r="U132"/>
  <c i="11" r="K123"/>
  <c i="10" r="U129"/>
  <c i="10" r="V119"/>
  <c i="10" r="AH116"/>
  <c i="10" r="V128"/>
  <c i="10" r="AH128" s="1"/>
  <c i="10" r="V133"/>
  <c i="12" r="W124"/>
  <c i="12" r="AH115"/>
  <c i="10" r="U125"/>
  <c i="10" r="W132"/>
  <c i="10" r="K132"/>
  <c i="10" r="J119"/>
  <c i="10" r="J127"/>
  <c i="10" r="J133"/>
  <c i="11" r="J119"/>
  <c i="10" r="W129"/>
  <c i="11" r="V121"/>
  <c i="11" r="V124"/>
  <c i="12" r="V129"/>
  <c i="10" r="K125"/>
  <c i="10" r="V129"/>
  <c i="10" r="AH129" s="1"/>
  <c i="11" r="K120"/>
  <c i="16" r="M45"/>
  <c i="16" r="L45"/>
  <c i="16" r="M30"/>
  <c i="16" r="L30"/>
  <c i="24" r="V384"/>
  <c i="24" r="W384"/>
  <c i="24" r="X384"/>
  <c i="24" r="V385"/>
  <c i="24" r="W385"/>
  <c i="24" r="V381"/>
  <c i="24" r="W381"/>
  <c i="24" r="X381"/>
  <c i="24" r="V382"/>
  <c i="24" r="W382"/>
  <c i="24" r="X382"/>
  <c i="24" r="V383"/>
  <c i="24" r="W383"/>
  <c i="24" r="X383"/>
  <c i="24" r="V378"/>
  <c i="24" r="W378"/>
  <c i="24" r="X378"/>
  <c i="24" r="V379"/>
  <c i="24" r="W379"/>
  <c i="24" r="X379"/>
  <c i="24" r="V380"/>
  <c i="24" r="W380"/>
  <c i="24" r="X380"/>
  <c i="24" r="V376"/>
  <c i="24" r="Y376" s="1"/>
  <c i="24" r="W376"/>
  <c i="24" r="X376"/>
  <c i="24" r="V377"/>
  <c i="24" r="Y377" s="1"/>
  <c i="24" r="W377"/>
  <c i="24" r="X377"/>
  <c i="24" r="V357"/>
  <c i="24" r="W357"/>
  <c i="24" r="X357"/>
  <c i="24" r="V358"/>
  <c i="24" r="Y358" s="1"/>
  <c i="24" r="W358"/>
  <c i="24" r="X358"/>
  <c i="24" r="V359"/>
  <c i="24" r="W359"/>
  <c i="24" r="X359"/>
  <c i="24" r="V360"/>
  <c i="24" r="W360"/>
  <c i="24" r="X360"/>
  <c i="24" r="V361"/>
  <c i="24" r="W361"/>
  <c i="24" r="X361"/>
  <c i="24" r="V362"/>
  <c i="24" r="W362"/>
  <c i="24" r="X362"/>
  <c i="24" r="V363"/>
  <c i="24" r="W363"/>
  <c i="24" r="X363"/>
  <c i="24" r="V364"/>
  <c i="24" r="W364"/>
  <c i="24" r="X364"/>
  <c i="24" r="V365"/>
  <c i="24" r="W365"/>
  <c i="24" r="X365"/>
  <c i="24" r="V366"/>
  <c i="24" r="W366"/>
  <c i="24" r="X366"/>
  <c i="24" r="V367"/>
  <c i="24" r="W367"/>
  <c i="24" r="X367"/>
  <c i="24" r="V368"/>
  <c i="24" r="Y368" s="1"/>
  <c i="24" r="W368"/>
  <c i="24" r="X368"/>
  <c i="24" r="V369"/>
  <c i="24" r="W369"/>
  <c i="24" r="X369"/>
  <c i="24" r="V370"/>
  <c i="24" r="W370"/>
  <c i="24" r="X370"/>
  <c i="24" r="V371"/>
  <c i="24" r="Y371" s="1"/>
  <c i="24" r="W371"/>
  <c i="24" r="X371"/>
  <c i="24" r="V372"/>
  <c i="24" r="W372"/>
  <c i="24" r="X372"/>
  <c i="24" r="V373"/>
  <c i="24" r="W373"/>
  <c i="24" r="X373"/>
  <c i="24" r="V374"/>
  <c i="24" r="W374"/>
  <c i="24" r="X374"/>
  <c i="24" r="V375"/>
  <c i="24" r="W375"/>
  <c i="24" r="X375"/>
  <c i="24" r="V353"/>
  <c i="24" r="W353"/>
  <c i="24" r="X353"/>
  <c i="24" r="V354"/>
  <c i="24" r="W354"/>
  <c i="24" r="X354"/>
  <c i="24" r="V355"/>
  <c i="24" r="W355"/>
  <c i="24" r="X355"/>
  <c i="24" r="V356"/>
  <c i="24" r="W356"/>
  <c i="24" r="X356"/>
  <c i="24" l="1" r="Y367"/>
  <c i="24" r="Z367" s="1"/>
  <c i="24" r="Y378"/>
  <c i="24" r="Z378" s="1"/>
  <c i="24" r="Y380"/>
  <c i="24" r="Y355"/>
  <c i="24" r="Z355" s="1"/>
  <c i="24" r="Y356"/>
  <c i="24" r="Z356" s="1"/>
  <c i="24" r="Y384"/>
  <c i="24" r="Z384" s="1"/>
  <c i="24" r="Y362"/>
  <c i="24" r="Z362" s="1"/>
  <c i="24" r="Y373"/>
  <c i="24" r="Z373" s="1"/>
  <c i="24" r="Y374"/>
  <c i="24" r="Z374" s="1"/>
  <c i="24" r="Y379"/>
  <c i="24" r="Z379" s="1"/>
  <c i="24" r="Y383"/>
  <c i="24" r="Z383" s="1"/>
  <c i="24" r="Y361"/>
  <c i="24" r="Z361" s="1"/>
  <c i="24" r="Y365"/>
  <c i="24" r="Z365" s="1"/>
  <c i="24" r="Y353"/>
  <c i="24" r="Z353" s="1"/>
  <c i="24" r="Y375"/>
  <c i="24" r="Z375" s="1"/>
  <c i="24" r="Y366"/>
  <c i="24" r="Z366" s="1"/>
  <c i="24" r="Y364"/>
  <c i="24" r="Z364" s="1"/>
  <c i="24" r="Y382"/>
  <c i="24" r="Z382" s="1"/>
  <c i="24" r="Y360"/>
  <c i="24" r="Z360" s="1"/>
  <c i="12" r="AH131"/>
  <c i="24" r="Y359"/>
  <c i="24" r="Z359" s="1"/>
  <c i="24" r="Y372"/>
  <c i="24" r="Z372" s="1"/>
  <c i="24" r="Y354"/>
  <c i="24" r="Z354" s="1"/>
  <c i="12" r="AH129"/>
  <c i="24" r="Y363"/>
  <c i="24" r="Z363" s="1"/>
  <c i="24" r="Y370"/>
  <c i="24" r="Z370" s="1"/>
  <c i="24" r="Y381"/>
  <c i="24" r="Z381" s="1"/>
  <c i="24" r="Y357"/>
  <c i="24" r="Z357" s="1"/>
  <c i="10" r="AI129"/>
  <c i="24" r="Y369"/>
  <c i="24" r="Z369" s="1"/>
  <c i="12" r="AH127"/>
  <c i="11" r="AG118"/>
  <c i="10" r="AI126"/>
  <c i="12" r="AI131"/>
  <c i="10" r="AH133"/>
  <c i="11" r="AG121"/>
  <c i="11" r="AI118"/>
  <c i="10" r="AH127"/>
  <c i="11" r="AH122"/>
  <c i="11" r="AH124"/>
  <c i="12" r="AG126"/>
  <c i="10" r="AI125"/>
  <c i="11" r="AH120"/>
  <c i="12" r="AI129"/>
  <c i="12" r="AG129"/>
  <c i="11" r="AG122"/>
  <c i="11" r="AH119"/>
  <c i="12" r="AG118"/>
  <c i="11" r="AI117"/>
  <c i="11" r="AG120"/>
  <c i="10" r="AI127"/>
  <c i="11" r="AG111"/>
  <c i="12" r="AI125"/>
  <c i="11" r="AG123"/>
  <c i="12" r="AI124"/>
  <c i="12" r="AG124"/>
  <c i="24" r="Z371"/>
  <c i="10" r="AH119"/>
  <c i="10" r="AI130"/>
  <c i="11" r="AG117"/>
  <c i="10" r="AI133"/>
  <c i="11" r="AH117"/>
  <c i="11" r="AH121"/>
  <c i="11" r="AI123"/>
  <c i="12" r="AG127"/>
  <c i="11" r="AI120"/>
  <c i="11" r="AI121"/>
  <c i="12" r="AG132"/>
  <c i="12" r="AG128"/>
  <c i="12" r="AG130"/>
  <c i="12" r="AI132"/>
  <c i="10" r="AI128"/>
  <c i="10" r="AI119"/>
  <c i="10" r="AG119"/>
  <c i="12" r="AI126"/>
  <c i="10" r="AI132"/>
  <c i="12" r="AI118"/>
  <c i="12" r="AI127"/>
  <c i="11" r="AI111"/>
  <c i="11" r="AH111"/>
  <c i="24" r="Z377"/>
  <c i="24" r="Z368"/>
  <c i="24" r="Z376"/>
  <c i="24" r="Z358"/>
  <c i="24" r="Z380"/>
  <c i="12" l="1" r="T123"/>
  <c i="12" r="H123"/>
  <c i="12" r="T106"/>
  <c i="11" r="T116"/>
  <c i="11" r="H116"/>
  <c i="11" r="T100"/>
  <c i="10" r="T107"/>
  <c i="20" r="L296"/>
  <c i="20" r="L297"/>
  <c i="20" r="L298"/>
  <c i="20" r="L299"/>
  <c i="20" r="L300"/>
  <c i="20" r="L301"/>
  <c i="20" r="L302"/>
  <c i="20" r="L295"/>
  <c i="20" r="L253"/>
  <c i="20" r="L254"/>
  <c i="20" r="L255"/>
  <c i="20" r="L256"/>
  <c i="20" r="L257"/>
  <c i="20" r="L258"/>
  <c i="20" r="L252"/>
  <c i="20" r="L212"/>
  <c i="20" r="L213"/>
  <c i="20" r="L214"/>
  <c i="20" r="L215"/>
  <c i="20" r="L216"/>
  <c i="20" r="L217"/>
  <c i="20" r="L218"/>
  <c i="20" r="L211"/>
  <c i="10" r="T118"/>
  <c i="16" r="C10" s="1"/>
  <c i="10" r="H118"/>
  <c i="21" r="L296"/>
  <c i="21" r="L297"/>
  <c i="21" r="L298"/>
  <c i="21" r="L299"/>
  <c i="21" r="L300"/>
  <c i="21" r="L301"/>
  <c i="21" r="L302"/>
  <c i="21" r="L295"/>
  <c i="21" r="L253"/>
  <c i="21" r="L254"/>
  <c i="21" r="L255"/>
  <c i="21" r="L256"/>
  <c i="21" r="L257"/>
  <c i="21" r="L258"/>
  <c i="21" r="L252"/>
  <c i="21" r="L212"/>
  <c i="21" r="L213"/>
  <c i="21" r="L214"/>
  <c i="21" r="L215"/>
  <c i="21" r="L216"/>
  <c i="21" r="L217"/>
  <c i="21" r="L218"/>
  <c i="21" r="L211"/>
  <c i="11" l="1" r="H110"/>
  <c i="16" r="B10"/>
  <c i="11" r="T110"/>
  <c i="11" r="AF110" s="1"/>
  <c i="12" r="H117"/>
  <c i="12" r="T117"/>
  <c i="24" r="V13"/>
  <c i="24" r="W13"/>
  <c i="24" r="X13"/>
  <c i="24" r="V14"/>
  <c i="24" r="W14"/>
  <c i="24" r="X14"/>
  <c i="24" r="V15"/>
  <c i="24" r="W15"/>
  <c i="24" r="X15"/>
  <c i="24" r="V16"/>
  <c i="24" r="W16"/>
  <c i="24" r="X16"/>
  <c i="24" r="X4"/>
  <c i="24" r="X5"/>
  <c i="24" r="X6"/>
  <c i="24" r="X7"/>
  <c i="24" r="X8"/>
  <c i="24" r="X9"/>
  <c i="24" r="X10"/>
  <c i="24" r="X11"/>
  <c i="24" r="X12"/>
  <c i="24" r="X17"/>
  <c i="24" r="X18"/>
  <c i="24" r="X19"/>
  <c i="24" r="X20"/>
  <c i="24" r="X2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V3"/>
  <c i="24" r="V4"/>
  <c i="24" r="V5"/>
  <c i="24" r="V6"/>
  <c i="24" r="V7"/>
  <c i="24" r="V8"/>
  <c i="24" r="V9"/>
  <c i="24" r="V10"/>
  <c i="24" r="V11"/>
  <c i="24" r="V12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Y31" s="1"/>
  <c i="24" r="V32"/>
  <c i="24" r="V33"/>
  <c i="24" r="V34"/>
  <c i="24" r="V35"/>
  <c i="24" r="V36"/>
  <c i="24" r="V37"/>
  <c i="24" r="V38"/>
  <c i="24" r="Y38" s="1"/>
  <c i="24" r="V39"/>
  <c i="24" r="Y39" s="1"/>
  <c i="24" r="V40"/>
  <c i="24" r="Y40" s="1"/>
  <c i="24" r="V41"/>
  <c i="24" r="Y41" s="1"/>
  <c i="24" r="V42"/>
  <c i="24" r="Y42" s="1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63"/>
  <c i="24" r="V64"/>
  <c i="24" r="V65"/>
  <c i="24" r="V66"/>
  <c i="24" r="V67"/>
  <c i="24" r="V68"/>
  <c i="24" r="V69"/>
  <c i="24" r="V70"/>
  <c i="24" r="V7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Y79" s="1"/>
  <c i="24" r="V80"/>
  <c i="24" r="Y80" s="1"/>
  <c i="24" r="V81"/>
  <c i="24" r="Y81" s="1"/>
  <c i="24" r="V82"/>
  <c i="24" r="Y82" s="1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97"/>
  <c i="24" r="V98"/>
  <c i="24" r="V99"/>
  <c i="24" r="V100"/>
  <c i="24" r="V101"/>
  <c i="24" r="V102"/>
  <c i="24" r="V103"/>
  <c i="24" r="V104"/>
  <c i="24" r="V105"/>
  <c i="24" r="V106"/>
  <c i="24" r="V107"/>
  <c i="24" r="V108"/>
  <c i="24" r="V109"/>
  <c i="24" r="V110"/>
  <c i="24" r="V111"/>
  <c i="24" r="Y111" s="1"/>
  <c i="24" r="V112"/>
  <c i="24" r="Y112" s="1"/>
  <c i="24" r="V113"/>
  <c i="24" r="Y113" s="1"/>
  <c i="24" r="V114"/>
  <c i="24" r="Y114" s="1"/>
  <c i="24" r="V115"/>
  <c i="24" r="Y115" s="1"/>
  <c i="24" r="V116"/>
  <c i="24" r="Y116" s="1"/>
  <c i="24" r="V117"/>
  <c i="24" r="Y117" s="1"/>
  <c i="24" r="V118"/>
  <c i="24" r="Y118" s="1"/>
  <c i="24" r="V119"/>
  <c i="24" r="Y119" s="1"/>
  <c i="24" r="V120"/>
  <c i="24" r="Y120" s="1"/>
  <c i="24" r="V121"/>
  <c i="24" r="Y121" s="1"/>
  <c i="24" r="V122"/>
  <c i="24" r="Y122" s="1"/>
  <c i="24" r="V123"/>
  <c i="24" r="V124"/>
  <c i="24" r="V125"/>
  <c i="24" r="V126"/>
  <c i="24" r="V127"/>
  <c i="24" r="V128"/>
  <c i="24" r="V129"/>
  <c i="24" r="V130"/>
  <c i="24" r="V131"/>
  <c i="24" r="V132"/>
  <c i="24" r="V133"/>
  <c i="24" r="V134"/>
  <c i="24" r="V135"/>
  <c i="24" r="V136"/>
  <c i="24" r="V137"/>
  <c i="24" r="V138"/>
  <c i="24" r="V139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Y151" s="1"/>
  <c i="24" r="V152"/>
  <c i="24" r="Y152" s="1"/>
  <c i="24" r="V153"/>
  <c i="24" r="Y153" s="1"/>
  <c i="24" r="V154"/>
  <c i="24" r="Y154" s="1"/>
  <c i="24" r="V155"/>
  <c i="24" r="Y155" s="1"/>
  <c i="24" r="V156"/>
  <c i="24" r="Y156" s="1"/>
  <c i="24" r="V157"/>
  <c i="24" r="Y157" s="1"/>
  <c i="24" r="V158"/>
  <c i="24" r="Y158" s="1"/>
  <c i="24" r="V159"/>
  <c i="24" r="Y159" s="1"/>
  <c i="24" r="V160"/>
  <c i="24" r="Y160" s="1"/>
  <c i="24" r="V161"/>
  <c i="24" r="Y161" s="1"/>
  <c i="24" r="V162"/>
  <c i="24" r="Y162" s="1"/>
  <c i="24" r="V163"/>
  <c i="24" r="V164"/>
  <c i="24" r="V165"/>
  <c i="24" r="V166"/>
  <c i="24" r="V167"/>
  <c i="24" r="V168"/>
  <c i="24" r="V169"/>
  <c i="24" r="V170"/>
  <c i="24" r="V171"/>
  <c i="24" r="V172"/>
  <c i="24" r="V173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Y191" s="1"/>
  <c i="24" r="V192"/>
  <c i="24" r="Y192" s="1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V201"/>
  <c i="24" r="V202"/>
  <c i="24" r="V203"/>
  <c i="24" r="V204"/>
  <c i="24" r="V205"/>
  <c i="24" r="V206"/>
  <c i="24" r="V207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Y231" s="1"/>
  <c i="24" r="V232"/>
  <c i="24" r="Y232" s="1"/>
  <c i="24" r="V233"/>
  <c i="24" r="V234"/>
  <c i="24" r="Y234" s="1"/>
  <c i="24" r="V235"/>
  <c i="24" r="Y235" s="1"/>
  <c i="24" r="V236"/>
  <c i="24" r="Y236" s="1"/>
  <c i="24" r="V237"/>
  <c i="24" r="Y237" s="1"/>
  <c i="24" r="V238"/>
  <c i="24" r="Y238" s="1"/>
  <c i="24" r="V239"/>
  <c i="24" r="Y239" s="1"/>
  <c i="24" r="V240"/>
  <c i="24" r="Y240" s="1"/>
  <c i="24" r="V241"/>
  <c i="24" r="Y241" s="1"/>
  <c i="24" r="V242"/>
  <c i="24" r="Y242" s="1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Y271" s="1"/>
  <c i="24" r="V272"/>
  <c i="24" r="Y272" s="1"/>
  <c i="24" r="V273"/>
  <c i="24" r="Y273" s="1"/>
  <c i="24" r="V274"/>
  <c i="24" r="Y274" s="1"/>
  <c i="24" r="V275"/>
  <c i="24" r="Y275" s="1"/>
  <c i="24" r="V276"/>
  <c i="24" r="Y276" s="1"/>
  <c i="24" r="V277"/>
  <c i="24" r="Y277" s="1"/>
  <c i="24" r="V278"/>
  <c i="24" r="Y278" s="1"/>
  <c i="24" r="V279"/>
  <c i="24" r="Y279" s="1"/>
  <c i="24" r="V280"/>
  <c i="24" r="Y280" s="1"/>
  <c i="24" r="V281"/>
  <c i="24" r="Y281" s="1"/>
  <c i="24" r="V282"/>
  <c i="24" r="Y282" s="1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Y319" s="1"/>
  <c i="24" r="V320"/>
  <c i="24" r="Y320" s="1"/>
  <c i="24" r="V321"/>
  <c i="24" r="Y321" s="1"/>
  <c i="24" r="V322"/>
  <c i="24" r="Y322" s="1"/>
  <c i="24" r="V323"/>
  <c i="24" r="V324"/>
  <c i="24" r="Y324" s="1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Y351" s="1"/>
  <c i="24" r="V352"/>
  <c i="24" r="Y352" s="1"/>
  <c i="24" l="1" r="Y16"/>
  <c i="24" r="Y244"/>
  <c i="24" r="Y284"/>
  <c i="24" r="Y14"/>
  <c i="24" r="Y15"/>
  <c i="24" r="Y327"/>
  <c i="24" r="Y325"/>
  <c i="24" r="Y164"/>
  <c i="24" r="Y84"/>
  <c i="24" r="Y44"/>
  <c i="24" r="Y124"/>
  <c i="24" r="Y224"/>
  <c i="24" r="Y24"/>
  <c i="24" r="Y184"/>
  <c i="24" r="Y295"/>
  <c i="24" r="Y95"/>
  <c i="24" r="Y55"/>
  <c i="24" r="Y11"/>
  <c i="24" r="Y304"/>
  <c i="24" r="Y175"/>
  <c i="24" r="Y333"/>
  <c i="24" r="Y93"/>
  <c i="24" r="Y53"/>
  <c i="24" r="Y9"/>
  <c i="24" r="Y264"/>
  <c i="24" r="Y292"/>
  <c i="24" r="Y92"/>
  <c i="24" r="Y52"/>
  <c i="24" r="Y8"/>
  <c i="24" r="Y212"/>
  <c i="24" r="Y252"/>
  <c i="24" r="Y215"/>
  <c i="24" r="Y249"/>
  <c i="24" r="Y89"/>
  <c i="24" r="Y49"/>
  <c i="24" r="Y144"/>
  <c i="24" r="Y293"/>
  <c i="24" r="Y129"/>
  <c i="24" r="Y344"/>
  <c i="24" r="Y253"/>
  <c i="24" r="Y329"/>
  <c i="24" r="Y332"/>
  <c i="24" r="Y209"/>
  <c i="24" r="Y213"/>
  <c i="24" r="Y289"/>
  <c i="24" r="Y335"/>
  <c i="24" r="Y255"/>
  <c i="24" r="Y190"/>
  <c i="24" r="Y28"/>
  <c i="24" r="Y347"/>
  <c i="24" r="Y307"/>
  <c i="24" r="Y267"/>
  <c i="24" r="Y227"/>
  <c i="24" r="Y187"/>
  <c i="24" r="Y147"/>
  <c i="24" r="Y107"/>
  <c i="24" r="Y27"/>
  <c i="24" r="Y189"/>
  <c i="24" r="Y146"/>
  <c i="24" r="Y305"/>
  <c i="24" r="Y265"/>
  <c i="24" r="Y225"/>
  <c i="24" r="Y185"/>
  <c i="24" r="Y145"/>
  <c i="24" r="Y25"/>
  <c i="24" r="Y110"/>
  <c i="24" r="Y149"/>
  <c i="24" r="Y306"/>
  <c i="24" r="Y345"/>
  <c i="24" r="Y349"/>
  <c i="24" r="Y186"/>
  <c i="24" r="Y263"/>
  <c i="24" r="Y223"/>
  <c i="24" r="Y183"/>
  <c i="24" r="Y143"/>
  <c i="24" r="Y23"/>
  <c i="24" r="Y309"/>
  <c i="24" r="Y341"/>
  <c i="24" r="Y301"/>
  <c i="24" r="Y261"/>
  <c i="24" r="Y221"/>
  <c i="24" r="Y181"/>
  <c i="24" r="Y141"/>
  <c i="24" r="Y61"/>
  <c i="24" r="Y21"/>
  <c i="24" r="Y229"/>
  <c i="24" r="Y342"/>
  <c i="24" r="Y300"/>
  <c i="24" r="Y260"/>
  <c i="24" r="Y220"/>
  <c i="24" r="Y180"/>
  <c i="24" r="Y140"/>
  <c i="24" r="Y60"/>
  <c i="24" r="Y20"/>
  <c i="24" r="Y302"/>
  <c i="24" r="Y340"/>
  <c i="24" r="Y339"/>
  <c i="24" r="Y299"/>
  <c i="24" r="Y259"/>
  <c i="24" r="Y219"/>
  <c i="24" r="Y179"/>
  <c i="24" r="Y59"/>
  <c i="24" r="Y19"/>
  <c i="24" r="Y150"/>
  <c i="24" r="Y338"/>
  <c i="24" r="Y297"/>
  <c i="24" r="Y257"/>
  <c i="24" r="Y217"/>
  <c i="24" r="Y177"/>
  <c i="24" r="Y57"/>
  <c i="24" r="Y17"/>
  <c i="24" r="Y226"/>
  <c i="24" r="Y303"/>
  <c i="24" r="Y58"/>
  <c i="24" r="Y296"/>
  <c i="24" r="Y256"/>
  <c i="24" r="Y216"/>
  <c i="24" r="Y176"/>
  <c i="24" r="Y96"/>
  <c i="24" r="Y56"/>
  <c i="24" r="Y12"/>
  <c i="24" r="Y268"/>
  <c i="24" r="Y142"/>
  <c i="24" r="Y258"/>
  <c i="24" r="Y336"/>
  <c i="24" r="Y254"/>
  <c i="24" r="Y94"/>
  <c i="24" r="Y54"/>
  <c i="24" r="Y10"/>
  <c i="24" r="Y188"/>
  <c i="24" r="Y62"/>
  <c i="24" r="Y218"/>
  <c i="24" r="Y228"/>
  <c i="24" r="Y91"/>
  <c i="24" r="Y51"/>
  <c i="24" r="Y109"/>
  <c i="24" r="Y222"/>
  <c i="24" r="Y50"/>
  <c i="24" r="Y269"/>
  <c i="24" r="Y148"/>
  <c i="24" r="Y262"/>
  <c i="24" r="Y174"/>
  <c i="24" r="Y331"/>
  <c i="24" r="Y330"/>
  <c i="24" r="Y230"/>
  <c i="24" r="Y29"/>
  <c i="24" r="Y308"/>
  <c i="24" r="Y298"/>
  <c i="24" r="Y214"/>
  <c i="24" r="Y251"/>
  <c i="24" r="Y210"/>
  <c i="24" r="Y328"/>
  <c i="24" r="Y288"/>
  <c i="24" r="Y248"/>
  <c i="24" r="Y208"/>
  <c i="24" r="Y128"/>
  <c i="24" r="Y88"/>
  <c i="24" r="Y48"/>
  <c i="24" r="Y13"/>
  <c i="24" r="Z13" s="1"/>
  <c i="24" r="Y350"/>
  <c i="24" r="Y266"/>
  <c i="24" r="Y182"/>
  <c i="24" r="Y287"/>
  <c i="24" r="Y247"/>
  <c i="24" r="Y127"/>
  <c i="24" r="Y87"/>
  <c i="24" r="Y47"/>
  <c i="24" r="Y30"/>
  <c i="24" r="Y106"/>
  <c i="24" r="Y343"/>
  <c i="24" r="Y18"/>
  <c i="24" r="Y294"/>
  <c i="24" r="Y130"/>
  <c i="24" r="Y326"/>
  <c i="24" r="Y286"/>
  <c i="24" r="Y246"/>
  <c i="24" r="Y126"/>
  <c i="24" r="Y86"/>
  <c i="24" r="Y46"/>
  <c i="24" r="Y108"/>
  <c i="24" r="Y90"/>
  <c i="24" r="Y285"/>
  <c i="24" r="Y245"/>
  <c i="24" r="Y125"/>
  <c i="24" r="Y85"/>
  <c i="24" r="Y45"/>
  <c i="24" r="Y270"/>
  <c i="24" r="Y26"/>
  <c i="24" r="Y337"/>
  <c i="24" r="Y291"/>
  <c i="24" r="Y250"/>
  <c i="24" r="Y310"/>
  <c i="24" r="Y348"/>
  <c i="24" r="Y346"/>
  <c i="24" r="Y22"/>
  <c i="24" r="Y178"/>
  <c i="24" r="Y334"/>
  <c i="24" r="Y211"/>
  <c i="24" r="Y290"/>
  <c i="24" r="Y323"/>
  <c i="24" r="Y283"/>
  <c i="24" r="Y243"/>
  <c i="24" r="Y163"/>
  <c i="24" r="Y123"/>
  <c i="24" r="Y83"/>
  <c i="24" r="Y43"/>
  <c i="24" r="Z14"/>
  <c i="24" r="L39"/>
  <c i="24" r="L33"/>
  <c i="24" r="L36"/>
  <c i="24" r="L34"/>
  <c i="24" r="L37"/>
  <c i="24" r="L35"/>
  <c i="24" r="L38"/>
  <c i="24" r="Z15"/>
  <c i="24" r="Z16"/>
  <c i="24" r="J24"/>
  <c i="24" r="J22"/>
  <c i="24" r="J20"/>
  <c i="24" r="J23"/>
  <c i="24" r="J21"/>
  <c i="24" r="J5"/>
  <c i="24" r="J11"/>
  <c i="24" r="J10"/>
  <c i="24" r="J9"/>
  <c i="24" r="J8"/>
  <c i="24" r="J7"/>
  <c i="24" r="J6"/>
  <c i="24" r="J19"/>
  <c i="24" r="J25"/>
  <c i="24" l="1" r="Z8"/>
  <c i="24" r="Z9"/>
  <c i="24" r="Z10"/>
  <c i="24" r="Z11"/>
  <c i="24" r="Z12"/>
  <c i="24" r="Z17"/>
  <c i="24" r="Z18"/>
  <c i="24" r="Z19"/>
  <c i="24" r="Z20"/>
  <c i="24" r="Z21"/>
  <c i="24" r="Z22"/>
  <c i="24" r="Z23"/>
  <c i="24" r="Z24"/>
  <c i="24" r="Z25"/>
  <c i="24" r="Z26"/>
  <c i="24" r="Z27"/>
  <c i="24" r="Z38"/>
  <c i="24" r="Z39"/>
  <c i="24" r="Z40"/>
  <c i="24" r="Z41"/>
  <c i="24" r="Z42"/>
  <c i="24" r="Z43"/>
  <c i="24" r="Z44"/>
  <c i="24" r="Z45"/>
  <c i="24" r="Z46"/>
  <c i="24" r="Z47"/>
  <c i="24" r="Z48"/>
  <c i="24" r="Z49"/>
  <c i="24" r="Z50"/>
  <c i="24" r="Z51"/>
  <c i="24" r="Z52"/>
  <c i="24" r="Z53"/>
  <c i="24" r="Z54"/>
  <c i="24" r="Z72"/>
  <c i="24" r="Z73"/>
  <c i="24" r="Z74"/>
  <c i="24" r="Z75"/>
  <c i="24" r="Z76"/>
  <c i="24" r="Z77"/>
  <c i="24" r="Z78"/>
  <c i="24" r="Z79"/>
  <c i="24" r="Z80"/>
  <c i="24" r="Z81"/>
  <c i="24" r="Z82"/>
  <c i="24" r="Z83"/>
  <c i="24" r="Z84"/>
  <c i="24" r="Z94"/>
  <c i="24" r="Z95"/>
  <c i="24" r="Z96"/>
  <c i="24" r="Z106"/>
  <c i="24" r="Z107"/>
  <c i="24" r="Z108"/>
  <c i="24" r="Z109"/>
  <c i="24" r="Z110"/>
  <c i="24" r="Z111"/>
  <c i="24" r="Z112"/>
  <c i="24" r="Z113"/>
  <c i="24" r="Z114"/>
  <c i="24" r="Z124"/>
  <c i="24" r="Z125"/>
  <c i="24" r="Z126"/>
  <c i="24" r="Z127"/>
  <c i="24" r="Z128"/>
  <c i="24" r="Z129"/>
  <c i="24" r="Z130"/>
  <c i="24" r="Z140"/>
  <c i="24" r="Z141"/>
  <c i="24" r="Z142"/>
  <c i="24" r="Z143"/>
  <c i="24" r="Z144"/>
  <c i="24" r="Z154"/>
  <c i="24" r="Z155"/>
  <c i="24" r="Z156"/>
  <c i="24" r="Z157"/>
  <c i="24" r="Z158"/>
  <c i="24" r="Z159"/>
  <c i="24" r="Z160"/>
  <c i="24" r="Z161"/>
  <c i="24" r="Z162"/>
  <c i="24" r="Z163"/>
  <c i="24" r="Z164"/>
  <c i="24" r="Z174"/>
  <c i="24" r="Z184"/>
  <c i="24" r="Z185"/>
  <c i="24" r="Z186"/>
  <c i="24" r="Z187"/>
  <c i="24" r="Z188"/>
  <c i="24" r="Z189"/>
  <c i="24" r="Z190"/>
  <c i="24" r="Z191"/>
  <c i="24" r="Z192"/>
  <c i="24" r="Z193"/>
  <c i="24" r="Z194"/>
  <c i="24" r="Z195"/>
  <c i="24" r="Z196"/>
  <c i="24" r="Z197"/>
  <c i="24" r="Z198"/>
  <c i="24" r="Z208"/>
  <c i="24" r="Z209"/>
  <c i="24" r="Z210"/>
  <c i="24" r="Z211"/>
  <c i="24" r="Z212"/>
  <c i="24" r="Z213"/>
  <c i="24" r="Z214"/>
  <c i="24" r="Z215"/>
  <c i="24" r="Z216"/>
  <c i="24" r="Z217"/>
  <c i="24" r="Z218"/>
  <c i="24" r="Z219"/>
  <c i="24" r="Z220"/>
  <c i="24" r="Z221"/>
  <c i="24" r="Z222"/>
  <c i="24" r="Z223"/>
  <c i="24" r="Z224"/>
  <c i="24" r="Z225"/>
  <c i="24" r="Z226"/>
  <c i="24" r="Z227"/>
  <c i="24" r="Z228"/>
  <c i="24" r="Z229"/>
  <c i="24" r="Z230"/>
  <c i="24" r="Z231"/>
  <c i="24" r="Z232"/>
  <c i="24" r="Z234"/>
  <c i="24" r="Z235"/>
  <c i="24" r="Z236"/>
  <c i="24" r="Z237"/>
  <c i="24" r="Z238"/>
  <c i="24" r="Z239"/>
  <c i="24" r="Z240"/>
  <c i="24" r="Z241"/>
  <c i="24" r="Z242"/>
  <c i="24" r="Z243"/>
  <c i="24" r="Z244"/>
  <c i="24" r="Z245"/>
  <c i="24" r="Z246"/>
  <c i="24" r="Z247"/>
  <c i="24" r="Z248"/>
  <c i="24" r="Z249"/>
  <c i="24" r="Z250"/>
  <c i="24" r="Z251"/>
  <c i="24" r="Z252"/>
  <c i="24" r="Z253"/>
  <c i="24" r="Z254"/>
  <c i="24" r="Z255"/>
  <c i="24" r="Z256"/>
  <c i="24" r="Z257"/>
  <c i="24" r="Z258"/>
  <c i="24" r="Z259"/>
  <c i="24" r="Z260"/>
  <c i="24" r="Z261"/>
  <c i="24" r="Z262"/>
  <c i="24" r="Z263"/>
  <c i="24" r="Z264"/>
  <c i="24" r="Z265"/>
  <c i="24" r="Z266"/>
  <c i="24" r="Z267"/>
  <c i="24" r="Z268"/>
  <c i="24" r="Z269"/>
  <c i="24" r="Z270"/>
  <c i="24" r="Z271"/>
  <c i="24" r="Z272"/>
  <c i="24" r="Z273"/>
  <c i="24" r="Z274"/>
  <c i="24" r="Z275"/>
  <c i="24" r="Z276"/>
  <c i="24" r="Z277"/>
  <c i="24" r="Z278"/>
  <c i="24" r="Z279"/>
  <c i="24" r="Z280"/>
  <c i="24" r="Z281"/>
  <c i="24" r="Z282"/>
  <c i="24" r="Z283"/>
  <c i="24" r="Z284"/>
  <c i="24" r="Z285"/>
  <c i="24" r="Z286"/>
  <c i="24" r="Z287"/>
  <c i="24" r="Z288"/>
  <c i="24" r="Z289"/>
  <c i="24" r="Z290"/>
  <c i="24" r="Z291"/>
  <c i="24" r="Z292"/>
  <c i="24" r="Z293"/>
  <c i="24" r="Z294"/>
  <c i="24" r="Z295"/>
  <c i="24" r="Z296"/>
  <c i="24" r="Z297"/>
  <c i="24" r="Z298"/>
  <c i="24" r="Z299"/>
  <c i="24" r="Z300"/>
  <c i="24" r="Z301"/>
  <c i="24" r="Z302"/>
  <c i="24" r="Z303"/>
  <c i="24" r="Z304"/>
  <c i="24" r="Z305"/>
  <c i="24" r="Z306"/>
  <c i="24" r="Z307"/>
  <c i="24" r="Z308"/>
  <c i="24" r="Z309"/>
  <c i="24" r="Z310"/>
  <c i="24" r="Z311"/>
  <c i="24" r="Z312"/>
  <c i="24" r="Z313"/>
  <c i="24" r="Z314"/>
  <c i="24" r="Z315"/>
  <c i="24" r="Z316"/>
  <c i="24" r="Z317"/>
  <c i="24" r="Z318"/>
  <c i="24" r="Z319"/>
  <c i="24" r="Z320"/>
  <c i="24" r="Z321"/>
  <c i="24" r="Z322"/>
  <c i="24" r="Z323"/>
  <c i="24" r="Z324"/>
  <c i="24" r="Z325"/>
  <c i="24" r="Z326"/>
  <c i="24" r="Z327"/>
  <c i="24" r="Z328"/>
  <c i="24" r="Z329"/>
  <c i="24" r="Z330"/>
  <c i="24" r="Z331"/>
  <c i="24" r="Z332"/>
  <c i="24" r="Z333"/>
  <c i="24" r="Z334"/>
  <c i="24" r="Z335"/>
  <c i="24" r="Z336"/>
  <c i="24" r="Z337"/>
  <c i="24" r="Z338"/>
  <c i="24" r="Z339"/>
  <c i="24" r="Z340"/>
  <c i="24" r="Z341"/>
  <c i="24" r="Z342"/>
  <c i="24" r="Z343"/>
  <c i="24" r="Z344"/>
  <c i="24" r="Z345"/>
  <c i="24" r="Z346"/>
  <c i="24" r="Z347"/>
  <c i="24" r="Z348"/>
  <c i="24" r="Z349"/>
  <c i="24" r="Z350"/>
  <c i="24" r="Z351"/>
  <c i="24" r="Z352"/>
  <c i="24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W29"/>
  <c i="24" r="W30"/>
  <c i="24" r="W31"/>
  <c i="24" r="W32"/>
  <c i="24" r="W33"/>
  <c i="24" r="W34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W56"/>
  <c i="24" r="W57"/>
  <c i="24" r="W58"/>
  <c i="24" r="W59"/>
  <c i="24" r="W60"/>
  <c i="24" r="W61"/>
  <c i="24" r="W62"/>
  <c i="24" r="W63"/>
  <c i="24" r="W64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W86"/>
  <c i="24" r="W87"/>
  <c i="24" r="W88"/>
  <c i="24" r="W89"/>
  <c i="24" r="W90"/>
  <c i="24" r="W91"/>
  <c i="24" r="W92"/>
  <c i="24" r="W93"/>
  <c i="24" r="W94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W116"/>
  <c i="24" r="W117"/>
  <c i="24" r="W118"/>
  <c i="24" r="M73" s="1"/>
  <c i="24" r="W119"/>
  <c i="24" r="W120"/>
  <c i="24" r="W121"/>
  <c i="24" r="W122"/>
  <c i="24" r="W123"/>
  <c i="24" r="W124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W146"/>
  <c i="24" r="W147"/>
  <c i="24" r="W148"/>
  <c i="24" r="W149"/>
  <c i="24" r="W150"/>
  <c i="24" r="W151"/>
  <c i="24" r="W152"/>
  <c i="24" r="W153"/>
  <c i="24" r="W154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W176"/>
  <c i="24" r="W177"/>
  <c i="24" r="W178"/>
  <c i="24" r="W179"/>
  <c i="24" r="W180"/>
  <c i="24" r="W181"/>
  <c i="24" r="W182"/>
  <c i="24" r="W183"/>
  <c i="24" r="W184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4" l="1" r="M63"/>
  <c i="24" r="M102"/>
  <c i="24" r="M96"/>
  <c i="24" r="M66"/>
  <c i="24" r="M78"/>
  <c i="24" r="M74"/>
  <c i="24" r="M103"/>
  <c i="24" r="M97"/>
  <c i="24" r="M79"/>
  <c i="24" r="M90"/>
  <c i="24" r="M89"/>
  <c i="24" r="M69"/>
  <c i="24" r="M75"/>
  <c i="24" r="M101"/>
  <c i="24" r="M100"/>
  <c i="24" r="M84"/>
  <c i="24" r="M67"/>
  <c i="24" r="M83"/>
  <c i="24" r="M82"/>
  <c i="24" r="M77"/>
  <c i="24" r="M72"/>
  <c i="24" r="M105"/>
  <c i="24" r="M99"/>
  <c i="24" r="M95"/>
  <c i="24" r="M92"/>
  <c i="24" r="M65"/>
  <c i="24" r="M88"/>
  <c i="24" r="M85"/>
  <c i="24" r="M81"/>
  <c i="24" r="M76"/>
  <c i="24" r="M71"/>
  <c i="24" r="M80"/>
  <c i="24" r="M104"/>
  <c i="24" r="M98"/>
  <c i="24" r="M94"/>
  <c i="24" r="M68"/>
  <c i="24" r="M91"/>
  <c i="24" r="M64"/>
  <c i="24" r="M87"/>
  <c i="20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J185" s="1"/>
  <c i="21" r="W184"/>
  <c i="21" r="J184" s="1"/>
  <c i="21" r="W183"/>
  <c i="21" r="J183" s="1"/>
  <c i="21" r="W182"/>
  <c i="21" r="J182" s="1"/>
  <c i="21" r="W181"/>
  <c i="21" r="J181" s="1"/>
  <c i="21" r="W180"/>
  <c i="21" r="J180" s="1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D4"/>
  <c i="24" r="AD5"/>
  <c i="24" r="AD6"/>
  <c i="24" r="AD7"/>
  <c i="24" r="AD8"/>
  <c i="24" r="AD9"/>
  <c i="24" r="AD10"/>
  <c i="24" r="AD11"/>
  <c i="24" r="AD12"/>
  <c i="24" r="AD13"/>
  <c i="24" r="AD14"/>
  <c i="24" r="AD15"/>
  <c i="24" r="AD16"/>
  <c i="24" r="AD17"/>
  <c i="24" r="AD3"/>
  <c i="24" l="1" r="J148"/>
  <c i="24" r="J154"/>
  <c i="24" r="J150"/>
  <c i="24" r="J153"/>
  <c i="24" r="J152"/>
  <c i="24" r="J151"/>
  <c i="24" r="J149"/>
  <c i="24" r="AE17"/>
  <c i="24" r="AF17" s="1"/>
  <c i="24" r="AE16"/>
  <c i="24" r="AF16" s="1"/>
  <c i="24" r="AE15"/>
  <c i="24" r="AF15" s="1"/>
  <c i="24" r="AE14"/>
  <c i="24" r="AF14" s="1"/>
  <c i="24" r="AE13"/>
  <c i="24" r="AF13" s="1"/>
  <c i="24" r="AE12"/>
  <c i="24" r="AF12" s="1"/>
  <c i="24" r="AE11"/>
  <c i="24" r="AF11" s="1"/>
  <c i="24" r="AE10"/>
  <c i="24" r="AF10" s="1"/>
  <c i="24" l="1" r="I95"/>
  <c i="24" r="H95"/>
  <c i="24" r="G95"/>
  <c i="24" r="F95"/>
  <c i="24" r="E95"/>
  <c i="24" r="D95"/>
  <c i="24" r="C95"/>
  <c i="24" r="I94"/>
  <c i="24" r="H94"/>
  <c i="24" r="G94"/>
  <c i="24" r="F94"/>
  <c i="24" r="E94"/>
  <c i="24" r="D94"/>
  <c i="24" r="C94"/>
  <c i="24" r="I93"/>
  <c i="24" r="H93"/>
  <c i="24" r="G93"/>
  <c i="24" r="F93"/>
  <c i="24" r="E93"/>
  <c i="24" r="D93"/>
  <c i="24" r="C93"/>
  <c i="24" r="I92"/>
  <c i="24" r="H92"/>
  <c i="24" r="G92"/>
  <c i="24" r="F92"/>
  <c i="24" r="E92"/>
  <c i="24" r="D92"/>
  <c i="24" r="C92"/>
  <c i="24" r="I91"/>
  <c i="24" r="H91"/>
  <c i="24" r="G91"/>
  <c i="24" r="F91"/>
  <c i="24" r="E91"/>
  <c i="24" r="D91"/>
  <c i="24" r="C91"/>
  <c i="24" r="I90"/>
  <c i="24" r="H90"/>
  <c i="24" r="G90"/>
  <c i="24" r="C90"/>
  <c i="24" r="H89"/>
  <c i="24" r="G89"/>
  <c i="24" r="D89"/>
  <c i="24" r="C89"/>
  <c i="24" r="L56"/>
  <c i="24" r="L172" s="1"/>
  <c i="24" r="L186" s="1"/>
  <c i="24" r="L55"/>
  <c i="24" r="L171" s="1"/>
  <c i="24" r="L185" s="1"/>
  <c i="24" r="L54"/>
  <c i="24" r="L170" s="1"/>
  <c i="24" r="L184" s="1"/>
  <c i="24" r="L53"/>
  <c i="24" r="L169" s="1"/>
  <c i="24" r="L183" s="1"/>
  <c i="24" r="L52"/>
  <c i="24" r="L168" s="1"/>
  <c i="24" r="L182" s="1"/>
  <c i="24" r="L51"/>
  <c i="24" r="L167" s="1"/>
  <c i="24" r="L181" s="1"/>
  <c i="24" r="L50"/>
  <c i="24" r="L166" s="1"/>
  <c i="24" r="L180" s="1"/>
  <c i="24" r="L49"/>
  <c i="24" r="L165" s="1"/>
  <c i="24" r="L179" s="1"/>
  <c i="24" r="L48"/>
  <c i="24" r="L164" s="1"/>
  <c i="24" r="L178" s="1"/>
  <c i="24" r="S47"/>
  <c i="24" r="S163" s="1"/>
  <c i="24" r="S177" s="1"/>
  <c i="24" r="R47"/>
  <c i="24" r="R163" s="1"/>
  <c i="24" r="R177" s="1"/>
  <c i="24" r="Q47"/>
  <c i="24" r="Q163" s="1"/>
  <c i="24" r="Q177" s="1"/>
  <c i="24" r="P47"/>
  <c i="24" r="P163" s="1"/>
  <c i="24" r="P177" s="1"/>
  <c i="24" r="O47"/>
  <c i="24" r="O163" s="1"/>
  <c i="24" r="O177" s="1"/>
  <c i="24" r="N47"/>
  <c i="24" r="N163" s="1"/>
  <c i="24" r="N177" s="1"/>
  <c i="24" r="M47"/>
  <c i="24" r="M163" s="1"/>
  <c i="24" r="M177" s="1"/>
  <c i="24" r="L47"/>
  <c i="24" r="L163" s="1"/>
  <c i="24" r="L177" s="1"/>
  <c i="24" r="L45"/>
  <c i="24" r="L44"/>
  <c i="24" r="B56"/>
  <c i="24" r="B172" s="1"/>
  <c i="24" r="B55"/>
  <c i="24" r="B171" s="1"/>
  <c i="24" r="B54"/>
  <c i="24" r="B170" s="1"/>
  <c i="24" r="B53"/>
  <c i="24" r="B169" s="1"/>
  <c i="24" r="B52"/>
  <c i="24" r="B168" s="1"/>
  <c i="24" r="B51"/>
  <c i="24" r="B167" s="1"/>
  <c i="24" r="B50"/>
  <c i="24" r="B166" s="1"/>
  <c i="24" r="B49"/>
  <c i="24" r="B165" s="1"/>
  <c i="24" r="B48"/>
  <c i="24" r="B164" s="1"/>
  <c i="24" r="I47"/>
  <c i="24" r="I163" s="1"/>
  <c i="24" r="I177" s="1"/>
  <c i="24" r="I60" s="1"/>
  <c i="24" r="H47"/>
  <c i="24" r="H163" s="1"/>
  <c i="24" r="H177" s="1"/>
  <c i="24" r="H60" s="1"/>
  <c i="24" r="G47"/>
  <c i="24" r="G163" s="1"/>
  <c i="24" r="G177" s="1"/>
  <c i="24" r="G60" s="1"/>
  <c i="24" r="F47"/>
  <c i="24" r="F163" s="1"/>
  <c i="24" r="F177" s="1"/>
  <c i="24" r="F60" s="1"/>
  <c i="24" r="E47"/>
  <c i="24" r="E163" s="1"/>
  <c i="24" r="E177" s="1"/>
  <c i="24" r="E60" s="1"/>
  <c i="24" r="D47"/>
  <c i="24" r="D163" s="1"/>
  <c i="24" r="D177" s="1"/>
  <c i="24" r="D60" s="1"/>
  <c i="24" r="C47"/>
  <c i="24" r="C163" s="1"/>
  <c i="24" r="C177" s="1"/>
  <c i="24" r="C60" s="1"/>
  <c i="24" r="B47"/>
  <c i="24" r="B163" s="1"/>
  <c i="24" r="B45"/>
  <c i="24" r="B44"/>
  <c i="24" l="1" r="B191"/>
  <c i="24" r="B179"/>
  <c i="24" r="B62" s="1"/>
  <c i="24" r="B192"/>
  <c i="24" r="B180"/>
  <c i="24" r="B63" s="1"/>
  <c i="24" r="B190"/>
  <c i="24" r="B178"/>
  <c i="24" r="B61" s="1"/>
  <c i="24" r="B197"/>
  <c i="24" r="B185"/>
  <c i="24" r="B68" s="1"/>
  <c i="24" r="B193"/>
  <c i="24" r="B181"/>
  <c i="24" r="B64" s="1"/>
  <c i="24" r="B195"/>
  <c i="24" r="B183"/>
  <c i="24" r="B66" s="1"/>
  <c i="24" r="B186"/>
  <c i="24" r="B69" s="1"/>
  <c i="24" r="B198"/>
  <c i="24" r="B194"/>
  <c i="24" r="B182"/>
  <c i="24" r="B65" s="1"/>
  <c i="24" r="B196"/>
  <c i="24" r="B184"/>
  <c i="24" r="B67" s="1"/>
  <c i="24" r="B177"/>
  <c i="24" r="B60" s="1"/>
  <c i="24" r="B189"/>
  <c i="24" r="F18"/>
  <c i="24" r="H32" s="1"/>
  <c i="24" r="B4"/>
  <c i="24" r="B18" s="1"/>
  <c i="24" r="B32" s="1"/>
  <c i="24" r="C4"/>
  <c i="24" r="C18" s="1"/>
  <c i="24" r="C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10" r="F118"/>
  <c i="16" r="B8" s="1"/>
  <c i="10" r="G118"/>
  <c i="11" r="G110" s="1"/>
  <c i="10" r="R118"/>
  <c i="16" r="C8" s="1"/>
  <c i="10" r="S118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10" r="S115"/>
  <c i="10" r="R115"/>
  <c i="10" r="S114"/>
  <c i="10" r="R114"/>
  <c i="10" r="S113"/>
  <c i="10" r="R113"/>
  <c i="10" r="S112"/>
  <c i="10" r="R112"/>
  <c i="10" r="S111"/>
  <c i="10" r="R111"/>
  <c i="10" r="S110"/>
  <c i="10" r="R110"/>
  <c i="10" r="S109"/>
  <c i="10" r="R109"/>
  <c i="10" r="S108"/>
  <c i="10" r="R108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10" r="T112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68" s="1"/>
  <c i="21" r="F290"/>
  <c i="12" r="F79" s="1"/>
  <c i="16" r="B67" s="1"/>
  <c i="21" r="F289"/>
  <c i="12" r="F78" s="1"/>
  <c i="16" r="B66" s="1"/>
  <c i="21" r="F288"/>
  <c i="12" r="F77" s="1"/>
  <c i="16" r="B65" s="1"/>
  <c i="21" r="F287"/>
  <c i="12" r="F76" s="1"/>
  <c i="16" r="B64" s="1"/>
  <c i="21" r="F285"/>
  <c i="12" r="F74" s="1"/>
  <c i="16" r="B62" s="1"/>
  <c i="21" r="F284"/>
  <c i="12" r="F73" s="1"/>
  <c i="16" r="B61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10" r="K12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9" s="1"/>
  <c i="21" r="D138"/>
  <c i="24" r="C150" s="1"/>
  <c i="21" r="D139"/>
  <c i="24" r="C151" s="1"/>
  <c i="21" r="D140"/>
  <c i="24" r="C152" s="1"/>
  <c i="21" r="D141"/>
  <c i="24" r="C153" s="1"/>
  <c i="21" r="D142"/>
  <c i="24" r="C154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2" s="1"/>
  <c i="20" r="J264"/>
  <c i="12" r="W7" s="1"/>
  <c i="20" r="J265"/>
  <c i="12" r="W8" s="1"/>
  <c i="20" r="J266"/>
  <c i="12" r="W9" s="1"/>
  <c i="20" r="J267"/>
  <c i="12" r="W10" s="1"/>
  <c i="16" r="C66" s="1"/>
  <c i="20" r="J268"/>
  <c i="12" r="W11" s="1"/>
  <c i="16" r="C67" s="1"/>
  <c i="20" r="J269"/>
  <c i="12" r="W12" s="1"/>
  <c i="16" r="C68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E12" s="1"/>
  <c i="20" r="F206"/>
  <c i="10" r="R80" s="1"/>
  <c i="24" r="E11" s="1"/>
  <c i="20" r="F205"/>
  <c i="10" r="R79" s="1"/>
  <c i="24" r="E10" s="1"/>
  <c i="20" r="F204"/>
  <c i="10" r="R78" s="1"/>
  <c i="24" r="E9" s="1"/>
  <c i="20" r="F203"/>
  <c i="10" r="R77" s="1"/>
  <c i="24" r="E8" s="1"/>
  <c i="20" r="F202"/>
  <c i="10" r="R76" s="1"/>
  <c i="24" r="E7" s="1"/>
  <c i="20" r="F201"/>
  <c i="10" r="R75" s="1"/>
  <c i="24" r="E6" s="1"/>
  <c i="20" r="F200"/>
  <c i="10" r="R74" s="1"/>
  <c i="24" r="E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2" s="1"/>
  <c i="20" r="J180"/>
  <c i="10" r="W7" s="1"/>
  <c i="16" r="C33" s="1"/>
  <c i="20" r="J181"/>
  <c i="10" r="W8" s="1"/>
  <c i="20" r="J182"/>
  <c i="10" r="W9" s="1"/>
  <c i="16" r="C35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8" s="1"/>
  <c i="10" r="E118"/>
  <c i="16" r="B7" s="1"/>
  <c i="10" r="D118"/>
  <c i="10" r="C118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3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4" r="J171" s="1"/>
  <c i="21" r="H185"/>
  <c i="10" r="I12" s="1"/>
  <c i="24" r="I55" s="1"/>
  <c i="24" r="I171" s="1"/>
  <c i="21" r="G185"/>
  <c i="10" r="G12" s="1"/>
  <c i="24" r="H55" s="1"/>
  <c i="24" r="H171" s="1"/>
  <c i="21" r="F185"/>
  <c i="10" r="F12" s="1"/>
  <c i="24" r="G55" s="1"/>
  <c i="24" r="G171" s="1"/>
  <c i="21" r="E185"/>
  <c i="10" r="E12" s="1"/>
  <c i="24" r="F55" s="1"/>
  <c i="24" r="F171" s="1"/>
  <c i="21" r="D185"/>
  <c i="10" r="D12" s="1"/>
  <c i="24" r="E55" s="1"/>
  <c i="24" r="E171" s="1"/>
  <c i="21" r="C185"/>
  <c i="10" r="C12" s="1"/>
  <c i="24" r="D55" s="1"/>
  <c i="24" r="D171" s="1"/>
  <c i="21" r="B185"/>
  <c i="10" r="B12" s="1"/>
  <c i="24" r="C55" s="1"/>
  <c i="24" r="C171" s="1"/>
  <c i="21" r="I184"/>
  <c i="10" r="J11" s="1"/>
  <c i="24" r="J54" s="1"/>
  <c i="24" r="J170" s="1"/>
  <c i="21" r="H184"/>
  <c i="10" r="I11" s="1"/>
  <c i="24" r="I54" s="1"/>
  <c i="24" r="I170" s="1"/>
  <c i="21" r="G184"/>
  <c i="10" r="G11" s="1"/>
  <c i="24" r="H54" s="1"/>
  <c i="24" r="H170" s="1"/>
  <c i="21" r="F184"/>
  <c i="10" r="F11" s="1"/>
  <c i="24" r="G54" s="1"/>
  <c i="24" r="G170" s="1"/>
  <c i="21" r="E184"/>
  <c i="10" r="E11" s="1"/>
  <c i="24" r="F54" s="1"/>
  <c i="24" r="F170" s="1"/>
  <c i="21" r="D184"/>
  <c i="10" r="D11" s="1"/>
  <c i="24" r="E54" s="1"/>
  <c i="24" r="E170" s="1"/>
  <c i="21" r="C184"/>
  <c i="10" r="C11" s="1"/>
  <c i="24" r="D54" s="1"/>
  <c i="24" r="D170" s="1"/>
  <c i="21" r="B184"/>
  <c i="10" r="B11" s="1"/>
  <c i="24" r="C54" s="1"/>
  <c i="24" r="C170" s="1"/>
  <c i="21" r="I183"/>
  <c i="10" r="J10" s="1"/>
  <c i="24" r="J53" s="1"/>
  <c i="24" r="J169" s="1"/>
  <c i="21" r="H183"/>
  <c i="10" r="I10" s="1"/>
  <c i="24" r="I53" s="1"/>
  <c i="24" r="I169" s="1"/>
  <c i="21" r="G183"/>
  <c i="10" r="G10" s="1"/>
  <c i="24" r="H53" s="1"/>
  <c i="24" r="H169" s="1"/>
  <c i="21" r="F183"/>
  <c i="10" r="F10" s="1"/>
  <c i="24" r="G53" s="1"/>
  <c i="24" r="G169" s="1"/>
  <c i="21" r="E183"/>
  <c i="10" r="E10" s="1"/>
  <c i="24" r="F53" s="1"/>
  <c i="24" r="F169" s="1"/>
  <c i="21" r="D183"/>
  <c i="10" r="D10" s="1"/>
  <c i="24" r="E53" s="1"/>
  <c i="24" r="E169" s="1"/>
  <c i="21" r="C183"/>
  <c i="10" r="C10" s="1"/>
  <c i="24" r="D53" s="1"/>
  <c i="24" r="D169" s="1"/>
  <c i="21" r="B183"/>
  <c i="10" r="B10" s="1"/>
  <c i="24" r="C53" s="1"/>
  <c i="24" r="C169" s="1"/>
  <c i="21" r="I182"/>
  <c i="10" r="J9" s="1"/>
  <c i="24" r="J52" s="1"/>
  <c i="24" r="J168" s="1"/>
  <c i="21" r="H182"/>
  <c i="10" r="I9" s="1"/>
  <c i="24" r="I52" s="1"/>
  <c i="24" r="I168" s="1"/>
  <c i="21" r="G182"/>
  <c i="10" r="G9" s="1"/>
  <c i="24" r="H52" s="1"/>
  <c i="24" r="H168" s="1"/>
  <c i="21" r="F182"/>
  <c i="10" r="F9" s="1"/>
  <c i="24" r="G52" s="1"/>
  <c i="24" r="G168" s="1"/>
  <c i="21" r="E182"/>
  <c i="10" r="E9" s="1"/>
  <c i="24" r="F52" s="1"/>
  <c i="24" r="F168" s="1"/>
  <c i="21" r="D182"/>
  <c i="10" r="D9" s="1"/>
  <c i="24" r="E52" s="1"/>
  <c i="24" r="E168" s="1"/>
  <c i="21" r="C182"/>
  <c i="10" r="C9" s="1"/>
  <c i="24" r="D52" s="1"/>
  <c i="24" r="D168" s="1"/>
  <c i="21" r="B182"/>
  <c i="10" r="B9" s="1"/>
  <c i="24" r="C52" s="1"/>
  <c i="24" r="C168" s="1"/>
  <c i="21" r="I181"/>
  <c i="10" r="J8" s="1"/>
  <c i="24" r="J51" s="1"/>
  <c i="24" r="J167" s="1"/>
  <c i="21" r="H181"/>
  <c i="10" r="I8" s="1"/>
  <c i="24" r="I51" s="1"/>
  <c i="24" r="I167" s="1"/>
  <c i="21" r="G181"/>
  <c i="10" r="G8" s="1"/>
  <c i="24" r="H51" s="1"/>
  <c i="24" r="H167" s="1"/>
  <c i="21" r="F181"/>
  <c i="10" r="F8" s="1"/>
  <c i="24" r="G51" s="1"/>
  <c i="24" r="G167" s="1"/>
  <c i="21" r="E181"/>
  <c i="10" r="E8" s="1"/>
  <c i="24" r="F51" s="1"/>
  <c i="24" r="F167" s="1"/>
  <c i="21" r="D181"/>
  <c i="10" r="D8" s="1"/>
  <c i="24" r="E51" s="1"/>
  <c i="24" r="E167" s="1"/>
  <c i="21" r="C181"/>
  <c i="10" r="C8" s="1"/>
  <c i="24" r="D51" s="1"/>
  <c i="24" r="D167" s="1"/>
  <c i="21" r="B181"/>
  <c i="10" r="B8" s="1"/>
  <c i="24" r="C51" s="1"/>
  <c i="24" r="C167" s="1"/>
  <c i="21" r="I180"/>
  <c i="10" r="J7" s="1"/>
  <c i="24" r="J50" s="1"/>
  <c i="24" r="J166" s="1"/>
  <c i="21" r="H180"/>
  <c i="10" r="I7" s="1"/>
  <c i="24" r="I50" s="1"/>
  <c i="24" r="I166" s="1"/>
  <c i="21" r="G180"/>
  <c i="10" r="G7" s="1"/>
  <c i="24" r="H50" s="1"/>
  <c i="24" r="H166" s="1"/>
  <c i="21" r="F180"/>
  <c i="10" r="F7" s="1"/>
  <c i="24" r="G50" s="1"/>
  <c i="24" r="G166" s="1"/>
  <c i="21" r="E180"/>
  <c i="10" r="E7" s="1"/>
  <c i="24" r="F50" s="1"/>
  <c i="24" r="F166" s="1"/>
  <c i="21" r="D180"/>
  <c i="10" r="D7" s="1"/>
  <c i="24" r="E50" s="1"/>
  <c i="24" r="E166" s="1"/>
  <c i="21" r="C180"/>
  <c i="10" r="C7" s="1"/>
  <c i="24" r="D50" s="1"/>
  <c i="24" r="D166" s="1"/>
  <c i="21" r="B180"/>
  <c i="10" r="B7" s="1"/>
  <c i="24" r="C50" s="1"/>
  <c i="24" r="C166" s="1"/>
  <c i="21" r="I179"/>
  <c i="10" r="J6" s="1"/>
  <c i="24" r="J49" s="1"/>
  <c i="24" r="J165" s="1"/>
  <c i="21" r="H179"/>
  <c i="10" r="I6" s="1"/>
  <c i="24" r="I49" s="1"/>
  <c i="24" r="I165" s="1"/>
  <c i="21" r="G179"/>
  <c i="10" r="G6" s="1"/>
  <c i="24" r="H49" s="1"/>
  <c i="24" r="H165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4" r="J164" s="1"/>
  <c i="21" r="H178"/>
  <c i="10" r="I5" s="1"/>
  <c i="24" r="I48" s="1"/>
  <c i="24" r="I164" s="1"/>
  <c i="21" r="G178"/>
  <c i="10" r="G5" s="1"/>
  <c i="24" r="H48" s="1"/>
  <c i="24" r="H164" s="1"/>
  <c i="21" r="F178"/>
  <c i="10" r="F5" s="1"/>
  <c i="24" r="G48" s="1"/>
  <c i="24" r="G164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E149" s="1"/>
  <c i="20" r="D138"/>
  <c i="24" r="E150" s="1"/>
  <c i="20" r="D139"/>
  <c i="24" r="E151" s="1"/>
  <c i="20" r="D140"/>
  <c i="24" r="E152" s="1"/>
  <c i="20" r="D141"/>
  <c i="24" r="E153" s="1"/>
  <c i="20" r="D142"/>
  <c i="24" r="E154" s="1"/>
  <c i="20" r="D136"/>
  <c i="24" r="E148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4" r="E102" s="1"/>
  <c i="20" r="E178"/>
  <c i="10" r="Q5" s="1"/>
  <c i="24" r="P48" s="1"/>
  <c i="24" r="F102" s="1"/>
  <c i="20" r="F178"/>
  <c i="10" r="R5" s="1"/>
  <c i="24" r="Q48" s="1"/>
  <c i="20" r="G178"/>
  <c i="10" r="S5" s="1"/>
  <c i="24" r="R48" s="1"/>
  <c i="20" r="H178"/>
  <c i="10" r="U5" s="1"/>
  <c i="24" r="S48" s="1"/>
  <c i="24" r="I102" s="1"/>
  <c i="20" r="I178"/>
  <c i="10" r="V5" s="1"/>
  <c i="24" r="T48" s="1"/>
  <c i="24" r="T164" s="1"/>
  <c i="24" r="T178" s="1"/>
  <c i="20" r="B179"/>
  <c i="10" r="N6" s="1"/>
  <c i="24" r="M49" s="1"/>
  <c i="20" r="C179"/>
  <c i="10" r="O6" s="1"/>
  <c i="24" r="N49" s="1"/>
  <c i="24" r="D103" s="1"/>
  <c i="20" r="D179"/>
  <c i="10" r="P6" s="1"/>
  <c i="24" r="O49" s="1"/>
  <c i="24" r="E103" s="1"/>
  <c i="20" r="E179"/>
  <c i="10" r="Q6" s="1"/>
  <c i="24" r="P49" s="1"/>
  <c i="24" r="F103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4" r="T165" s="1"/>
  <c i="24" r="T17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4" r="T166" s="1"/>
  <c i="24" r="T18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4" r="T167" s="1"/>
  <c i="24" r="T18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4" r="T168" s="1"/>
  <c i="24" r="T18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4" r="T169" s="1"/>
  <c i="24" r="T18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4" r="T170" s="1"/>
  <c i="24" r="T184" s="1"/>
  <c i="20" r="B185"/>
  <c i="10" r="N12" s="1"/>
  <c i="24" r="M55" s="1"/>
  <c i="24" r="M171" s="1"/>
  <c i="24" r="M185" s="1"/>
  <c i="20" r="C185"/>
  <c i="10" r="O12" s="1"/>
  <c i="24" r="N55" s="1"/>
  <c i="24" r="N171" s="1"/>
  <c i="24" r="N185" s="1"/>
  <c i="20" r="D185"/>
  <c i="10" r="P12" s="1"/>
  <c i="24" r="O55" s="1"/>
  <c i="24" r="O171" s="1"/>
  <c i="24" r="O185" s="1"/>
  <c i="20" r="E185"/>
  <c i="10" r="Q12" s="1"/>
  <c i="24" r="P55" s="1"/>
  <c i="24" r="P171" s="1"/>
  <c i="24" r="P185" s="1"/>
  <c i="20" r="F185"/>
  <c i="10" r="R12" s="1"/>
  <c i="24" r="Q55" s="1"/>
  <c i="24" r="Q171" s="1"/>
  <c i="24" r="Q185" s="1"/>
  <c i="20" r="G185"/>
  <c i="10" r="S12" s="1"/>
  <c i="24" r="R55" s="1"/>
  <c i="24" r="R171" s="1"/>
  <c i="24" r="R185" s="1"/>
  <c i="20" r="H185"/>
  <c i="10" r="U12" s="1"/>
  <c i="24" r="S55" s="1"/>
  <c i="24" r="S171" s="1"/>
  <c i="24" r="S185" s="1"/>
  <c i="20" r="I185"/>
  <c i="10" r="V12" s="1"/>
  <c i="24" r="T55" s="1"/>
  <c i="24" r="T171" s="1"/>
  <c i="24" r="T18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10" r="N108"/>
  <c i="10" r="O108"/>
  <c i="10" r="P108"/>
  <c i="10" r="Q108"/>
  <c i="10" r="N109"/>
  <c i="10" r="O109"/>
  <c i="10" r="P109"/>
  <c i="10" r="Q109"/>
  <c i="10" r="N110"/>
  <c i="10" r="O110"/>
  <c i="10" r="P110"/>
  <c i="10" r="Q110"/>
  <c i="10" r="N111"/>
  <c i="10" r="O111"/>
  <c i="10" r="P111"/>
  <c i="10" r="Q111"/>
  <c i="10" r="N112"/>
  <c i="10" r="O112"/>
  <c i="10" r="P112"/>
  <c i="10" r="Q112"/>
  <c i="10" r="N113"/>
  <c i="10" r="O113"/>
  <c i="10" r="P113"/>
  <c i="10" r="Q113"/>
  <c i="10" r="N114"/>
  <c i="10" r="O114"/>
  <c i="10" r="P114"/>
  <c i="10" r="Q114"/>
  <c i="10" r="N115"/>
  <c i="10" r="O115"/>
  <c i="10" r="P115"/>
  <c i="10" r="Q115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10" r="N118"/>
  <c i="10" r="O118"/>
  <c i="11" r="O110" s="1"/>
  <c i="10" r="P118"/>
  <c i="16" r="C6" s="1"/>
  <c i="10" r="Q118"/>
  <c i="16" r="C7" s="1"/>
  <c i="24" l="1" r="P166"/>
  <c i="24" r="P180" s="1"/>
  <c i="24" r="G165"/>
  <c i="24" r="S168"/>
  <c i="24" r="S182" s="1"/>
  <c i="24" r="R168"/>
  <c i="24" r="R182" s="1"/>
  <c i="24" r="Q168"/>
  <c i="24" r="Q182" s="1"/>
  <c i="24" r="P168"/>
  <c i="24" r="P182" s="1"/>
  <c i="24" r="O168"/>
  <c i="24" r="O182" s="1"/>
  <c i="24" r="N168"/>
  <c i="24" r="N182" s="1"/>
  <c i="24" r="K167"/>
  <c i="24" r="C193" s="1"/>
  <c i="24" r="M168"/>
  <c i="24" r="M182" s="1"/>
  <c i="24" r="U167" s="1"/>
  <c i="24" r="E194" s="1"/>
  <c i="24" r="S167"/>
  <c i="24" r="S181" s="1"/>
  <c i="24" r="R167"/>
  <c i="24" r="R181" s="1"/>
  <c i="24" r="Q167"/>
  <c i="24" r="Q181" s="1"/>
  <c i="24" r="P167"/>
  <c i="24" r="P181" s="1"/>
  <c i="24" r="O167"/>
  <c i="24" r="O181" s="1"/>
  <c i="24" r="N167"/>
  <c i="24" r="N181" s="1"/>
  <c i="24" r="K168"/>
  <c i="24" r="C194" s="1"/>
  <c i="24" r="M167"/>
  <c i="24" r="M181" s="1"/>
  <c i="24" r="M169"/>
  <c i="24" r="M183" s="1"/>
  <c i="24" r="M164"/>
  <c i="24" r="M178" s="1"/>
  <c i="24" r="O166"/>
  <c i="24" r="O180" s="1"/>
  <c i="24" r="N166"/>
  <c i="24" r="N180" s="1"/>
  <c i="24" r="C164"/>
  <c i="24" r="K169"/>
  <c i="24" r="C195" s="1"/>
  <c i="24" r="R166"/>
  <c i="24" r="R180" s="1"/>
  <c i="24" r="U170"/>
  <c i="24" r="E197" s="1"/>
  <c i="24" r="M166"/>
  <c i="24" r="M180" s="1"/>
  <c i="24" r="D164"/>
  <c i="24" r="S170"/>
  <c i="24" r="S184" s="1"/>
  <c i="24" r="S165"/>
  <c i="24" r="S179" s="1"/>
  <c i="24" r="Q166"/>
  <c i="24" r="Q180" s="1"/>
  <c i="24" r="R170"/>
  <c i="24" r="R184" s="1"/>
  <c i="24" r="R165"/>
  <c i="24" r="R179" s="1"/>
  <c i="24" r="Q170"/>
  <c i="24" r="Q184" s="1"/>
  <c i="24" r="Q165"/>
  <c i="24" r="Q179" s="1"/>
  <c i="24" r="K166"/>
  <c i="24" r="C192" s="1"/>
  <c i="24" r="S166"/>
  <c i="24" r="S180" s="1"/>
  <c i="24" r="P170"/>
  <c i="24" r="P184" s="1"/>
  <c i="24" r="P165"/>
  <c i="24" r="P179" s="1"/>
  <c i="24" r="N169"/>
  <c i="24" r="N183" s="1"/>
  <c i="24" r="K171"/>
  <c i="24" r="C197" s="1"/>
  <c i="24" r="O170"/>
  <c i="24" r="O184" s="1"/>
  <c i="24" r="O165"/>
  <c i="24" r="O179" s="1"/>
  <c i="24" r="N170"/>
  <c i="24" r="N184" s="1"/>
  <c i="24" r="N165"/>
  <c i="24" r="N179" s="1"/>
  <c i="24" r="C165"/>
  <c i="24" r="K170"/>
  <c i="24" r="C196" s="1"/>
  <c i="24" r="M170"/>
  <c i="24" r="M184" s="1"/>
  <c i="24" r="M165"/>
  <c i="24" r="M179" s="1"/>
  <c i="24" r="S169"/>
  <c i="24" r="S183" s="1"/>
  <c i="24" r="S164"/>
  <c i="24" r="S178" s="1"/>
  <c i="24" r="R169"/>
  <c i="24" r="R183" s="1"/>
  <c i="24" r="R164"/>
  <c i="24" r="R178" s="1"/>
  <c i="24" r="N164"/>
  <c i="24" r="N178" s="1"/>
  <c i="24" r="Q169"/>
  <c i="24" r="Q183" s="1"/>
  <c i="24" r="Q164"/>
  <c i="24" r="Q178" s="1"/>
  <c i="24" r="P169"/>
  <c i="24" r="P183" s="1"/>
  <c i="24" r="P164"/>
  <c i="24" r="P178" s="1"/>
  <c i="24" r="O169"/>
  <c i="24" r="O183" s="1"/>
  <c i="24" r="O164"/>
  <c i="24" r="O178" s="1"/>
  <c i="24" r="C155"/>
  <c i="24" r="E155"/>
  <c i="10" r="X109"/>
  <c i="10" r="X112"/>
  <c i="12" r="X108"/>
  <c i="10" r="L118"/>
  <c i="11" r="L110" s="1"/>
  <c i="10" r="X118"/>
  <c i="16" r="M62"/>
  <c i="21" r="H254"/>
  <c i="11" r="H102"/>
  <c i="11" r="L102" s="1"/>
  <c i="21" r="H213"/>
  <c i="10" r="H109"/>
  <c i="10" r="L109" s="1"/>
  <c i="21" r="J222"/>
  <c i="11" r="K5" s="1"/>
  <c i="24" r="C19" s="1"/>
  <c i="21" r="J228"/>
  <c i="11" r="K11" s="1"/>
  <c i="24" r="C25" s="1"/>
  <c i="21" r="J227"/>
  <c i="11" r="K10" s="1"/>
  <c i="24" r="C24" s="1"/>
  <c i="21" r="J226"/>
  <c i="11" r="K9" s="1"/>
  <c i="24" r="C23" s="1"/>
  <c i="21" r="J225"/>
  <c i="11" r="K8" s="1"/>
  <c i="24" r="C22" s="1"/>
  <c i="21" r="J224"/>
  <c i="11" r="K7" s="1"/>
  <c i="24" r="C21" s="1"/>
  <c i="21" r="J223"/>
  <c i="11" r="K6" s="1"/>
  <c i="24" r="C20" s="1"/>
  <c i="20" r="J222"/>
  <c i="11" r="W5" s="1"/>
  <c i="20" r="J228"/>
  <c i="11" r="W11" s="1"/>
  <c i="20" r="J227"/>
  <c i="11" r="W10" s="1"/>
  <c i="24" r="E24" s="1"/>
  <c i="20" r="J226"/>
  <c i="11" r="W9" s="1"/>
  <c i="20" r="J225"/>
  <c i="11" r="W8" s="1"/>
  <c i="20" r="J224"/>
  <c i="11" r="W7" s="1"/>
  <c i="20" r="J223"/>
  <c i="11" r="W6" s="1"/>
  <c i="24" r="E20" s="1"/>
  <c i="16" r="B31"/>
  <c i="16" r="B32"/>
  <c i="16" r="B33"/>
  <c i="16" r="B34"/>
  <c i="16" r="B35"/>
  <c i="16" r="B36"/>
  <c i="16" r="B37"/>
  <c i="16" r="B38"/>
  <c i="16" r="B69"/>
  <c i="16" r="O69" s="1"/>
  <c i="9" r="C74"/>
  <c i="9" r="D74"/>
  <c i="9" r="E74"/>
  <c i="9" r="F74"/>
  <c i="9" r="B74"/>
  <c i="9" r="G74"/>
  <c i="9" r="H74"/>
  <c i="20" r="H254"/>
  <c i="11" r="T103" s="1"/>
  <c i="9" r="Y6"/>
  <c i="20" r="H297"/>
  <c i="12" r="T109" s="1"/>
  <c i="12" r="X109" s="1"/>
  <c i="10" r="T110"/>
  <c i="10" r="X110" s="1"/>
  <c i="10" r="AE113"/>
  <c i="10" r="AD114"/>
  <c i="20" r="H252"/>
  <c i="11" r="T101" s="1"/>
  <c i="10" r="K11"/>
  <c i="10" r="K10"/>
  <c i="10" r="K9"/>
  <c i="10" r="K8"/>
  <c i="10" r="K7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X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12" r="L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2" r="X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7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3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5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4"/>
  <c i="3" r="M11"/>
  <c i="6" r="N51"/>
  <c i="15" r="R68"/>
  <c i="6" r="R50"/>
  <c i="11" r="N14"/>
  <c i="11" r="N78"/>
  <c i="16" r="C16"/>
  <c i="24" r="M174" s="1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0"/>
  <c i="24" r="Q174" s="1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1"/>
  <c i="24" r="R174" s="1"/>
  <c i="11" r="O14"/>
  <c i="11" r="AA14" s="1"/>
  <c i="12" r="O15"/>
  <c i="16" r="C17"/>
  <c i="24" r="N174" s="1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6"/>
  <c i="9" r="AC70"/>
  <c i="12" r="AI5"/>
  <c i="16" r="C61"/>
  <c i="12" r="R81"/>
  <c i="12" r="R97" s="1"/>
  <c i="12" r="AD73"/>
  <c i="16" r="D68"/>
  <c i="16" r="E68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6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18"/>
  <c i="24" r="O174" s="1"/>
  <c i="16" r="C19"/>
  <c i="24" r="P174" s="1"/>
  <c i="12" r="V15"/>
  <c i="10" r="AB15"/>
  <c i="16" r="C22"/>
  <c i="24" r="S174" s="1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1"/>
  <c i="10" r="W13"/>
  <c i="10" r="W26" s="1"/>
  <c i="10" r="AM8"/>
  <c i="16" r="C34"/>
  <c i="10" r="AM12"/>
  <c i="16" r="C38"/>
  <c i="16" r="M68" s="1"/>
  <c i="10" r="AI12"/>
  <c i="10" r="Z10"/>
  <c i="10" r="N13"/>
  <c i="10" r="P13"/>
  <c i="24" r="O56" s="1"/>
  <c i="24" r="O172" s="1"/>
  <c i="24" r="O186" s="1"/>
  <c i="24" r="E204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7"/>
  <c i="24" r="D174" s="1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19"/>
  <c i="24" r="F174" s="1"/>
  <c i="11" r="E14"/>
  <c i="11" r="AC14" s="1"/>
  <c i="10" r="AC15"/>
  <c i="1" r="U7"/>
  <c i="1" r="U8"/>
  <c i="1" r="U6"/>
  <c i="1" r="U5"/>
  <c i="12" r="G15"/>
  <c i="16" r="B21"/>
  <c i="24" r="H174" s="1"/>
  <c i="10" r="AE15"/>
  <c i="11" r="G14"/>
  <c i="9" r="F12"/>
  <c i="9" r="F85" s="1"/>
  <c i="9" r="Z7"/>
  <c i="11" r="B14"/>
  <c i="12" r="B15"/>
  <c i="12" r="Z15" s="1"/>
  <c i="10" r="Z15"/>
  <c i="16" r="B16"/>
  <c i="24" r="C174" s="1"/>
  <c i="24" r="C175" s="1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0"/>
  <c i="24" r="G174" s="1"/>
  <c i="12" r="F15"/>
  <c i="12" r="AD15" s="1"/>
  <c i="11" r="F14"/>
  <c i="12" r="J15"/>
  <c i="16" r="B23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79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48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3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18"/>
  <c i="24" r="E174" s="1"/>
  <c i="11" r="D14"/>
  <c i="12" r="D49"/>
  <c i="11" r="D46"/>
  <c i="11" r="D110"/>
  <c i="12" r="D117"/>
  <c i="16" r="B6"/>
  <c i="10" r="C13"/>
  <c i="16" r="B47" s="1"/>
  <c i="10" r="F82"/>
  <c i="16" r="B39" s="1"/>
  <c i="10" r="C48"/>
  <c i="10" r="G41"/>
  <c i="10" r="G43"/>
  <c i="11" r="I14"/>
  <c i="12" r="I15"/>
  <c i="16" r="B22"/>
  <c i="24" r="I174" s="1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1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24" r="J172" s="1"/>
  <c i="24" r="C209" s="1"/>
  <c i="10" r="I13"/>
  <c i="24" r="I56" s="1"/>
  <c i="24" r="I172" s="1"/>
  <c i="24" r="C208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24" l="1" r="H180"/>
  <c i="24" r="H63" s="1"/>
  <c i="24" r="H104" s="1"/>
  <c i="24" r="F182"/>
  <c i="24" r="F65" s="1"/>
  <c i="24" r="F106" s="1"/>
  <c i="16" r="L39"/>
  <c i="24" r="U166"/>
  <c i="24" r="E193" s="1"/>
  <c i="24" r="I179"/>
  <c i="24" r="I62" s="1"/>
  <c i="24" r="I103" s="1"/>
  <c i="24" r="D175"/>
  <c i="24" r="D183"/>
  <c i="24" r="D66" s="1"/>
  <c i="24" r="D107" s="1"/>
  <c i="24" r="E182"/>
  <c i="24" r="E65" s="1"/>
  <c i="24" r="E106" s="1"/>
  <c i="24" r="G180"/>
  <c i="24" r="G63" s="1"/>
  <c i="24" r="G104" s="1"/>
  <c i="24" r="H175"/>
  <c i="24" r="C180"/>
  <c i="24" r="F175"/>
  <c i="24" r="H184"/>
  <c i="24" r="H67" s="1"/>
  <c i="24" r="H108" s="1"/>
  <c i="24" r="I175"/>
  <c i="24" r="H179"/>
  <c i="24" r="H62" s="1"/>
  <c i="24" r="H103" s="1"/>
  <c i="24" r="G179"/>
  <c i="24" r="G62" s="1"/>
  <c i="24" r="G103" s="1"/>
  <c i="24" r="D178"/>
  <c i="24" r="E185"/>
  <c i="24" r="E68" s="1"/>
  <c i="24" r="F184"/>
  <c i="24" r="F67" s="1"/>
  <c i="24" r="F108" s="1"/>
  <c i="24" r="G184"/>
  <c i="24" r="G67" s="1"/>
  <c i="24" r="G108" s="1"/>
  <c i="24" r="E184"/>
  <c i="24" r="E67" s="1"/>
  <c i="24" r="E108" s="1"/>
  <c i="24" r="D184"/>
  <c i="24" r="D67" s="1"/>
  <c i="24" r="D108" s="1"/>
  <c i="24" r="D180"/>
  <c i="24" r="D63" s="1"/>
  <c i="24" r="D104" s="1"/>
  <c i="24" r="C183"/>
  <c i="24" r="C66" s="1"/>
  <c i="24" r="C107" s="1"/>
  <c i="24" r="I183"/>
  <c i="24" r="I66" s="1"/>
  <c i="24" r="I107" s="1"/>
  <c i="24" r="I178"/>
  <c i="24" r="G185"/>
  <c i="24" r="G68" s="1"/>
  <c i="24" r="H183"/>
  <c i="24" r="H66" s="1"/>
  <c i="24" r="H107" s="1"/>
  <c i="24" r="C184"/>
  <c i="24" r="U163"/>
  <c i="24" r="E190" s="1"/>
  <c i="24" r="H178"/>
  <c i="24" r="G183"/>
  <c i="24" r="G66" s="1"/>
  <c i="24" r="G107" s="1"/>
  <c i="24" r="G178"/>
  <c i="24" r="F180"/>
  <c i="24" r="F63" s="1"/>
  <c i="24" r="F104" s="1"/>
  <c i="24" r="C182"/>
  <c i="24" r="D185"/>
  <c i="24" r="D68" s="1"/>
  <c i="24" r="F183"/>
  <c i="24" r="F66" s="1"/>
  <c i="24" r="F107" s="1"/>
  <c i="24" r="E183"/>
  <c i="24" r="E66" s="1"/>
  <c i="24" r="E107" s="1"/>
  <c i="24" r="E180"/>
  <c i="24" r="E63" s="1"/>
  <c i="24" r="E104" s="1"/>
  <c i="24" r="I182"/>
  <c i="24" r="I65" s="1"/>
  <c i="24" r="I106" s="1"/>
  <c i="24" r="C185"/>
  <c i="24" r="H182"/>
  <c i="24" r="H65" s="1"/>
  <c i="24" r="H106" s="1"/>
  <c i="24" r="G182"/>
  <c i="24" r="G65" s="1"/>
  <c i="24" r="G106" s="1"/>
  <c i="24" r="D179"/>
  <c i="24" r="D62" s="1"/>
  <c i="24" r="C181"/>
  <c i="24" r="G175"/>
  <c i="24" r="F179"/>
  <c i="24" r="F62" s="1"/>
  <c i="24" r="F178"/>
  <c i="24" r="D182"/>
  <c i="24" r="D65" s="1"/>
  <c i="24" r="D106" s="1"/>
  <c i="24" r="E179"/>
  <c i="24" r="E62" s="1"/>
  <c i="24" r="I181"/>
  <c i="24" r="I64" s="1"/>
  <c i="24" r="I105" s="1"/>
  <c i="24" r="H181"/>
  <c i="24" r="H64" s="1"/>
  <c i="24" r="H105" s="1"/>
  <c i="24" r="G181"/>
  <c i="24" r="G64" s="1"/>
  <c i="24" r="G105" s="1"/>
  <c i="24" r="F181"/>
  <c i="24" r="F64" s="1"/>
  <c i="24" r="F105" s="1"/>
  <c i="24" r="E178"/>
  <c i="24" r="E175"/>
  <c i="24" r="E181"/>
  <c i="24" r="E64" s="1"/>
  <c i="24" r="E105" s="1"/>
  <c i="24" r="D181"/>
  <c i="24" r="D64" s="1"/>
  <c i="24" r="D105" s="1"/>
  <c i="24" r="I185"/>
  <c i="24" r="I68" s="1"/>
  <c i="24" r="I180"/>
  <c i="24" r="I63" s="1"/>
  <c i="24" r="I104" s="1"/>
  <c i="24" r="H185"/>
  <c i="24" r="H68" s="1"/>
  <c i="24" r="I184"/>
  <c i="24" r="I67" s="1"/>
  <c i="24" r="I108" s="1"/>
  <c i="24" r="F185"/>
  <c i="24" r="F68" s="1"/>
  <c i="24" r="U168"/>
  <c i="24" r="E195" s="1"/>
  <c i="24" r="C63"/>
  <c i="24" r="C104" s="1"/>
  <c i="24" r="U164"/>
  <c i="24" r="E191" s="1"/>
  <c i="24" r="U169"/>
  <c i="24" r="E196" s="1"/>
  <c i="24" r="K165"/>
  <c i="24" r="C191" s="1"/>
  <c i="24" r="C179"/>
  <c i="24" r="D61"/>
  <c i="24" r="D102" s="1"/>
  <c i="24" r="U165"/>
  <c i="24" r="E192" s="1"/>
  <c i="24" r="K164"/>
  <c i="24" r="C190" s="1"/>
  <c i="24" r="C178"/>
  <c i="16" r="E23"/>
  <c i="16" r="G51"/>
  <c i="16" r="G48"/>
  <c i="16" r="G47"/>
  <c i="16" r="G46"/>
  <c i="16" r="L68"/>
  <c i="2" r="AD6"/>
  <c i="2" r="Z6"/>
  <c i="13" r="L17"/>
  <c i="2" r="Y6"/>
  <c i="13" r="M17"/>
  <c i="2" r="AF6"/>
  <c i="16" r="C11"/>
  <c i="16" r="E9" s="1"/>
  <c i="2" r="AC6"/>
  <c i="2" r="AB6"/>
  <c i="13" r="N17"/>
  <c i="2" r="AA6"/>
  <c i="2" r="X6"/>
  <c i="2" r="AE6"/>
  <c i="16" r="B11"/>
  <c i="2" r="AC7"/>
  <c i="10" r="B17"/>
  <c i="10" r="N17"/>
  <c i="11" r="X103"/>
  <c i="2" r="AA80"/>
  <c i="11" r="AL8"/>
  <c i="24" r="E22"/>
  <c i="11" r="AL9"/>
  <c i="24" r="E23"/>
  <c i="11" r="AL11"/>
  <c i="24" r="E25"/>
  <c i="11" r="AL5"/>
  <c i="24" r="E19"/>
  <c i="11" r="AL7"/>
  <c i="24" r="E21"/>
  <c i="16" r="O62"/>
  <c i="16" r="L63"/>
  <c i="16" r="L33"/>
  <c i="16" r="O68"/>
  <c i="16" r="L62"/>
  <c i="16" r="L32"/>
  <c i="16" r="O65"/>
  <c i="16" r="M67"/>
  <c i="16" r="L61"/>
  <c i="16" r="L31"/>
  <c i="16" r="O63"/>
  <c i="16" r="M65"/>
  <c i="16" r="O67"/>
  <c i="16" r="M66"/>
  <c i="16" r="L38"/>
  <c i="16" r="O64"/>
  <c i="16" r="L67"/>
  <c i="16" r="L37"/>
  <c i="16" r="O66"/>
  <c i="16" r="L66"/>
  <c i="16" r="L36"/>
  <c i="16" r="O61"/>
  <c i="16" r="L65"/>
  <c i="16" r="L35"/>
  <c i="16" r="M63"/>
  <c i="16" r="L64"/>
  <c i="16" r="L34"/>
  <c i="10" r="V29"/>
  <c i="24" r="T56"/>
  <c i="24" r="T172" s="1"/>
  <c i="24" r="T186" s="1"/>
  <c i="24" r="E209" s="1"/>
  <c i="2" r="AD32"/>
  <c i="13" r="L21"/>
  <c i="16" r="H79"/>
  <c i="11" r="K12"/>
  <c i="11" r="K22" s="1"/>
  <c i="16" r="M64"/>
  <c i="16" r="M61"/>
  <c i="6" r="Y39"/>
  <c i="6" r="T63"/>
  <c i="16" r="L69"/>
  <c i="16" r="C24"/>
  <c i="16" r="B24"/>
  <c i="21" r="H214"/>
  <c i="10" r="H110"/>
  <c i="10" r="L110" s="1"/>
  <c i="11" r="AI10"/>
  <c i="6" r="T74"/>
  <c i="21" r="H255"/>
  <c i="11" r="H103"/>
  <c i="11" r="L103" s="1"/>
  <c i="12" r="H113"/>
  <c i="6" r="T52"/>
  <c i="6" r="I30"/>
  <c i="6" r="I19"/>
  <c i="6" r="I63"/>
  <c i="2" r="I21"/>
  <c i="11" r="AI5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24" r="F172" s="1"/>
  <c i="24" r="C205" s="1"/>
  <c i="16" r="B49"/>
  <c i="12" r="B25"/>
  <c i="16" r="B76"/>
  <c i="24" r="G56"/>
  <c i="24" r="G172" s="1"/>
  <c i="24" r="C206" s="1"/>
  <c i="16" r="B50"/>
  <c i="10" r="B27"/>
  <c i="24" r="C56"/>
  <c i="10" r="S23"/>
  <c i="24" r="R56"/>
  <c i="24" r="R172" s="1"/>
  <c i="24" r="R186" s="1"/>
  <c i="24" r="E207" s="1"/>
  <c i="16" r="D61"/>
  <c i="16" r="E61" s="1"/>
  <c i="10" r="N28"/>
  <c i="24" r="M56"/>
  <c i="10" r="R24"/>
  <c i="24" r="Q56"/>
  <c i="24" r="Q172" s="1"/>
  <c i="24" r="Q186" s="1"/>
  <c i="24" r="E206" s="1"/>
  <c i="10" r="D30"/>
  <c i="24" r="E56"/>
  <c i="24" r="E172" s="1"/>
  <c i="24" r="C204" s="1"/>
  <c i="10" r="C30"/>
  <c i="24" r="D56"/>
  <c i="24" r="D172" s="1"/>
  <c i="24" r="C203" s="1"/>
  <c i="10" r="U26"/>
  <c i="24" r="S56"/>
  <c i="24" r="S172" s="1"/>
  <c i="24" r="S186" s="1"/>
  <c i="24" r="E208" s="1"/>
  <c i="10" r="G23"/>
  <c i="24" r="H56"/>
  <c i="24" r="H172" s="1"/>
  <c i="24" r="C207" s="1"/>
  <c i="10" r="O23"/>
  <c i="24" r="N56"/>
  <c i="24" r="N172" s="1"/>
  <c i="24" r="N186" s="1"/>
  <c i="24" r="E203" s="1"/>
  <c i="10" r="Q30"/>
  <c i="24" r="P56"/>
  <c i="24" r="P172" s="1"/>
  <c i="24" r="P186" s="1"/>
  <c i="24" r="E205" s="1"/>
  <c i="16" r="D38"/>
  <c i="16" r="E38" s="1"/>
  <c i="16" r="D31"/>
  <c i="16" r="E31" s="1"/>
  <c i="15" r="Y42"/>
  <c i="2" r="Y78"/>
  <c i="6" r="N30"/>
  <c i="6" r="AA39"/>
  <c i="15" r="AA67"/>
  <c i="6" r="AC71"/>
  <c i="16" r="D32"/>
  <c i="16" r="E32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J109"/>
  <c i="10" r="AJ118"/>
  <c i="11" r="AJ102"/>
  <c i="2" r="AE7"/>
  <c i="6" r="Y7"/>
  <c i="6" r="B63"/>
  <c i="6" r="Y61"/>
  <c i="15" r="AA55"/>
  <c i="6" r="AC7"/>
  <c i="2" r="AD77"/>
  <c i="6" r="U41"/>
  <c i="11" r="P59"/>
  <c i="15" r="X77"/>
  <c i="3" r="X11"/>
  <c i="6" r="Q41"/>
  <c i="11" r="AF102"/>
  <c i="6" r="AC49"/>
  <c i="6" r="Y51"/>
  <c i="15" r="P81"/>
  <c i="15" r="M21"/>
  <c i="2" r="N69"/>
  <c i="10" r="AF109"/>
  <c i="6" r="R63"/>
  <c i="6" r="M19"/>
  <c i="10" r="T111"/>
  <c i="10" r="X111" s="1"/>
  <c i="12" r="X117"/>
  <c i="15" r="Q9"/>
  <c i="6" r="AB16"/>
  <c i="6" r="M8"/>
  <c i="2" r="S81"/>
  <c i="15" r="M69"/>
  <c i="6" r="S74"/>
  <c i="20" r="H298"/>
  <c i="12" r="T110" s="1"/>
  <c i="12" r="X110" s="1"/>
  <c i="2" r="AB80"/>
  <c i="6" r="Q63"/>
  <c i="10" r="S127"/>
  <c i="10" r="S132"/>
  <c i="10" r="S131"/>
  <c i="10" r="S130"/>
  <c i="10" r="S129"/>
  <c i="10" r="S128"/>
  <c i="10" r="S126"/>
  <c i="15" r="Q21"/>
  <c i="6" r="Q30"/>
  <c i="11" r="S122"/>
  <c i="2" r="X80"/>
  <c i="12" r="L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X110"/>
  <c i="11" r="AJ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7"/>
  <c i="16" r="E17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3"/>
  <c i="16" r="H83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49"/>
  <c i="16" r="H49" s="1"/>
  <c i="12" r="N91"/>
  <c i="10" r="N31"/>
  <c i="10" r="Q29"/>
  <c i="16" r="C46"/>
  <c i="16" r="H46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19"/>
  <c i="16" r="E19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0"/>
  <c i="16" r="E20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3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6"/>
  <c i="16" r="E16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1"/>
  <c i="16" r="E21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2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7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78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48"/>
  <c i="16" r="H48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4"/>
  <c i="10" r="W31"/>
  <c i="16" r="C39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0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3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1"/>
  <c i="12" r="G30"/>
  <c i="16" r="B82"/>
  <c i="12" r="I26"/>
  <c i="12" r="I22"/>
  <c i="12" r="I30"/>
  <c i="12" r="I27"/>
  <c i="12" r="AG13"/>
  <c i="12" r="I24"/>
  <c i="12" r="AG24" s="1"/>
  <c i="12" r="I23"/>
  <c i="12" r="I25"/>
  <c i="16" r="B77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6"/>
  <c i="12" r="N26"/>
  <c i="12" r="N16"/>
  <c i="12" r="N27"/>
  <c i="12" r="N25"/>
  <c i="12" r="Z13"/>
  <c i="12" r="N30"/>
  <c i="2" r="AB54"/>
  <c i="2" r="Q57"/>
  <c i="3" r="AD10"/>
  <c i="3" r="S18"/>
  <c i="12" r="D27"/>
  <c i="16" r="B78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69"/>
  <c i="12" r="W25"/>
  <c i="12" r="W22"/>
  <c i="12" r="W24"/>
  <c i="12" r="W30"/>
  <c i="12" r="W26"/>
  <c i="12" r="W29"/>
  <c i="16" r="B79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0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1"/>
  <c i="16" r="H51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7"/>
  <c i="16" r="H47" s="1"/>
  <c i="10" r="O26"/>
  <c i="10" r="O30"/>
  <c i="16" r="C53"/>
  <c i="16" r="H53" s="1"/>
  <c i="10" r="V26"/>
  <c i="10" r="V30"/>
  <c i="10" r="V23"/>
  <c i="10" r="V25"/>
  <c i="10" r="V31"/>
  <c i="10" r="V24"/>
  <c i="10" r="V28"/>
  <c i="10" r="V27"/>
  <c i="10" r="V16"/>
  <c i="10" r="R30"/>
  <c i="10" r="R25"/>
  <c i="16" r="C50"/>
  <c i="16" r="H50" s="1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2"/>
  <c i="16" r="H52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3"/>
  <c i="10" r="J28"/>
  <c i="10" r="J23"/>
  <c i="10" r="J31"/>
  <c i="10" r="J30"/>
  <c i="10" r="AH13"/>
  <c i="16" r="D62"/>
  <c i="16" r="E62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2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5" r="J69"/>
  <c i="15" r="AF65"/>
  <c i="16" r="D22"/>
  <c i="16" r="E22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18"/>
  <c i="16" r="E18" s="1"/>
  <c i="12" r="AA49"/>
  <c i="16" l="1" r="G24"/>
  <c i="24" r="C41"/>
  <c i="16" r="H16"/>
  <c i="24" r="E41"/>
  <c i="24" r="K185"/>
  <c i="24" r="D197" s="1"/>
  <c i="24" r="I197" s="1"/>
  <c i="24" r="K184"/>
  <c i="24" r="D196" s="1"/>
  <c i="24" r="C11" s="1"/>
  <c i="24" r="F11" s="1"/>
  <c i="10" r="N18"/>
  <c i="24" r="C67"/>
  <c i="24" r="C108" s="1"/>
  <c i="24" r="K181"/>
  <c i="24" r="D193" s="1"/>
  <c i="24" r="C8" s="1"/>
  <c i="24" r="F8" s="1"/>
  <c i="24" r="C68"/>
  <c i="24" r="K183"/>
  <c i="24" r="D195" s="1"/>
  <c i="24" r="I195" s="1"/>
  <c i="24" r="K182"/>
  <c i="24" r="D194" s="1"/>
  <c i="24" r="I194" s="1"/>
  <c i="24" r="F61"/>
  <c i="24" r="F186"/>
  <c i="24" r="D186"/>
  <c i="24" r="D203" s="1"/>
  <c i="24" r="I203" s="1"/>
  <c i="24" r="C64"/>
  <c i="24" r="C105" s="1"/>
  <c i="24" r="G61"/>
  <c i="24" r="G102" s="1"/>
  <c i="24" r="G186"/>
  <c i="24" r="H61"/>
  <c i="24" r="H102" s="1"/>
  <c i="24" r="H186"/>
  <c i="24" r="E61"/>
  <c i="24" r="E186"/>
  <c i="24" r="C65"/>
  <c i="24" r="C106" s="1"/>
  <c i="24" r="K180"/>
  <c i="24" r="D192" s="1"/>
  <c i="24" r="C7" s="1"/>
  <c i="24" r="F7" s="1"/>
  <c i="24" r="I61"/>
  <c i="24" r="I186"/>
  <c i="24" r="K178"/>
  <c i="24" r="D190" s="1"/>
  <c i="24" r="I190" s="1"/>
  <c i="24" r="C61"/>
  <c i="24" r="C102" s="1"/>
  <c i="24" r="C186"/>
  <c i="24" r="J57"/>
  <c i="24" r="J173" s="1"/>
  <c i="24" r="C172"/>
  <c i="24" r="C10"/>
  <c i="24" r="F10" s="1"/>
  <c i="24" r="D69"/>
  <c i="24" r="C62"/>
  <c i="24" r="C103" s="1"/>
  <c i="24" r="K179"/>
  <c i="24" r="D191" s="1"/>
  <c i="24" r="I191" s="1"/>
  <c i="24" r="M172"/>
  <c i="24" r="M186" s="1"/>
  <c i="24" r="T57"/>
  <c i="24" r="T173" s="1"/>
  <c i="11" r="K27"/>
  <c i="16" r="E5"/>
  <c i="11" r="K28"/>
  <c i="11" r="K21"/>
  <c i="11" r="K15"/>
  <c i="11" r="K24"/>
  <c i="11" r="K26"/>
  <c i="11" r="AI26" s="1"/>
  <c i="11" r="K23"/>
  <c i="11" r="K25"/>
  <c i="16" r="H37"/>
  <c i="16" r="H24"/>
  <c i="16" r="G21"/>
  <c i="16" r="G50"/>
  <c i="16" r="G22"/>
  <c i="16" r="G49"/>
  <c i="16" r="H23"/>
  <c i="16" r="H20"/>
  <c i="16" r="G16"/>
  <c i="16" r="H21"/>
  <c i="16" r="H18"/>
  <c i="16" r="E11"/>
  <c i="16" r="E10"/>
  <c i="16" r="E6"/>
  <c i="16" r="E7"/>
  <c i="16" r="E8"/>
  <c i="16" r="H19"/>
  <c i="16" r="E53"/>
  <c i="16" r="G53"/>
  <c i="16" r="J53" s="1"/>
  <c i="16" r="G17"/>
  <c i="16" r="G52"/>
  <c i="16" r="G20"/>
  <c i="16" r="H17"/>
  <c i="16" r="H22"/>
  <c i="16" r="G19"/>
  <c i="16" r="E83"/>
  <c i="16" r="G83"/>
  <c i="16" r="J83" s="1"/>
  <c i="16" r="G18"/>
  <c i="16" r="E4"/>
  <c i="16" r="G23"/>
  <c i="16" r="D9"/>
  <c i="16" r="D11"/>
  <c i="16" r="D8"/>
  <c i="16" r="D6"/>
  <c i="16" r="D5"/>
  <c i="16" r="D10"/>
  <c i="16" r="D7"/>
  <c i="16" r="D4"/>
  <c i="10" r="O18"/>
  <c i="16" r="M50"/>
  <c i="12" r="AF113"/>
  <c i="12" r="L113"/>
  <c i="12" r="AJ113" s="1"/>
  <c i="16" r="G79"/>
  <c i="16" r="I79" s="1"/>
  <c i="16" r="J79" s="1"/>
  <c i="16" r="H78"/>
  <c i="16" r="H77"/>
  <c i="16" r="G80"/>
  <c i="16" r="H76"/>
  <c i="16" r="P69"/>
  <c i="16" r="P67"/>
  <c i="16" r="P62"/>
  <c i="16" r="P68"/>
  <c i="16" r="P66"/>
  <c i="16" r="H39"/>
  <c i="16" r="M39"/>
  <c i="16" r="M32"/>
  <c i="16" r="M33"/>
  <c i="16" r="M35"/>
  <c i="16" r="G76"/>
  <c i="16" r="P63"/>
  <c i="16" r="M38"/>
  <c i="16" r="P61"/>
  <c i="16" r="M51"/>
  <c i="16" r="P65"/>
  <c i="16" r="G77"/>
  <c i="16" r="H54"/>
  <c i="16" r="M54"/>
  <c i="16" r="M37"/>
  <c i="16" r="M52"/>
  <c i="16" r="M53"/>
  <c i="16" r="H80"/>
  <c i="16" r="M47"/>
  <c i="16" r="P64"/>
  <c i="16" r="H81"/>
  <c i="16" r="I46"/>
  <c i="16" r="J46" s="1"/>
  <c i="16" r="M46"/>
  <c i="16" r="M34"/>
  <c i="16" r="M36"/>
  <c i="16" r="G78"/>
  <c i="16" r="G82"/>
  <c i="16" r="H82"/>
  <c i="16" r="M31"/>
  <c i="16" r="G81"/>
  <c i="16" r="M49"/>
  <c i="16" r="I48"/>
  <c i="16" r="J48" s="1"/>
  <c i="16" r="M48"/>
  <c i="10" r="AH29"/>
  <c i="6" r="AE63"/>
  <c i="6" r="AE74"/>
  <c i="15" r="X81"/>
  <c i="6" r="AE52"/>
  <c i="16" r="H61"/>
  <c i="16" r="H64"/>
  <c i="6" r="AE30"/>
  <c i="6" r="AF41"/>
  <c i="2" r="AE21"/>
  <c i="16" r="H69"/>
  <c i="16" r="M69"/>
  <c i="16" r="G61"/>
  <c i="16" r="G62"/>
  <c i="16" r="G64"/>
  <c i="16" r="G65"/>
  <c i="16" r="G66"/>
  <c i="16" r="G67"/>
  <c i="16" r="G68"/>
  <c i="16" r="G63"/>
  <c i="16" r="G31"/>
  <c i="16" r="G32"/>
  <c i="16" r="H35"/>
  <c i="16" r="H33"/>
  <c i="16" r="H32"/>
  <c i="16" r="H68"/>
  <c i="16" r="H67"/>
  <c i="16" r="H66"/>
  <c i="16" r="H62"/>
  <c i="16" r="G33"/>
  <c i="16" r="H65"/>
  <c i="16" r="G39"/>
  <c i="16" r="G34"/>
  <c i="16" r="H63"/>
  <c i="16" r="G35"/>
  <c i="16" r="H31"/>
  <c i="16" r="G36"/>
  <c i="6" r="AE19"/>
  <c i="16" r="G37"/>
  <c i="16" r="H34"/>
  <c i="16" r="G38"/>
  <c i="16" r="H38"/>
  <c i="16" r="G69"/>
  <c i="16" r="H36"/>
  <c i="21" r="H256"/>
  <c i="11" r="H104"/>
  <c i="11" r="L104" s="1"/>
  <c i="21" r="H215"/>
  <c i="10" r="H111"/>
  <c i="10" r="L111" s="1"/>
  <c i="11" r="W15"/>
  <c i="11" r="AI12"/>
  <c i="11" r="W24"/>
  <c i="11" r="W22"/>
  <c i="11" r="AI22" s="1"/>
  <c i="2" r="AE81"/>
  <c i="11" r="W27"/>
  <c i="11" r="AL12"/>
  <c i="11" r="W23"/>
  <c i="11" r="W28"/>
  <c i="10" r="Z27"/>
  <c i="6" r="Y30"/>
  <c i="11" r="W21"/>
  <c i="2" r="AE33"/>
  <c i="9" r="AA86"/>
  <c i="11" r="W25"/>
  <c i="12" r="Z25"/>
  <c i="9" r="AA21"/>
  <c i="12" r="Z97"/>
  <c i="15" r="AA21"/>
  <c i="2" r="AE9"/>
  <c i="2" r="AF81"/>
  <c i="6" r="AF52"/>
  <c i="6" r="Y52"/>
  <c i="15" r="AE69"/>
  <c i="10" r="AD24"/>
  <c i="15" r="AE21"/>
  <c i="9" r="AA55"/>
  <c i="3" r="AE18"/>
  <c i="16" r="C84"/>
  <c i="16" r="P78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4"/>
  <c i="16" r="L50" s="1"/>
  <c i="2" r="AE57"/>
  <c i="24" r="E27"/>
  <c i="15" r="AD81"/>
  <c i="10" r="AA23"/>
  <c i="15" r="Y57"/>
  <c i="16" r="B84"/>
  <c i="16" r="O77" s="1"/>
  <c i="2" r="AE69"/>
  <c i="16" r="D63"/>
  <c i="16" r="E63" s="1"/>
  <c i="2" r="AE45"/>
  <c i="9" r="AA56"/>
  <c i="16" r="D67"/>
  <c i="16" r="E67" s="1"/>
  <c i="15" r="AE45"/>
  <c i="16" r="D66"/>
  <c i="16" r="E66" s="1"/>
  <c i="1" r="AE9"/>
  <c i="16" r="D64"/>
  <c i="16" r="E64" s="1"/>
  <c i="16" r="D65"/>
  <c i="16" r="E65" s="1"/>
  <c i="15" r="AB9"/>
  <c i="6" r="X30"/>
  <c i="12" r="AA127"/>
  <c i="16" r="D37"/>
  <c i="16" r="E37" s="1"/>
  <c i="11" r="AE27"/>
  <c i="16" r="D36"/>
  <c i="16" r="E36" s="1"/>
  <c i="16" r="D35"/>
  <c i="16" r="E35" s="1"/>
  <c i="15" r="AE33"/>
  <c i="16" r="D34"/>
  <c i="16" r="E34" s="1"/>
  <c i="16" r="D33"/>
  <c i="16" r="E33" s="1"/>
  <c i="6" r="X19"/>
  <c i="9" r="AA82"/>
  <c i="24" r="E13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1" r="AC120"/>
  <c i="12" r="AC84"/>
  <c i="9" r="AC55"/>
  <c i="6" r="AC74"/>
  <c i="11" r="AE122"/>
  <c i="10" r="AD131"/>
  <c i="11" r="AF103"/>
  <c i="11" r="R104"/>
  <c i="11" r="X104" s="1"/>
  <c i="11" r="AJ103"/>
  <c i="15" r="AB21"/>
  <c i="12" r="AH22"/>
  <c i="20" r="H299"/>
  <c i="12" r="T111" s="1"/>
  <c i="12" r="X111" s="1"/>
  <c i="11" r="AA124"/>
  <c i="11" r="AE22"/>
  <c i="12" r="AD29"/>
  <c i="12" r="AE29"/>
  <c i="11" r="AE119"/>
  <c i="12" r="AC96"/>
  <c i="12" r="AC125"/>
  <c i="9" r="W19"/>
  <c i="10" r="AF110"/>
  <c i="10" r="AJ110"/>
  <c i="15" r="AF33"/>
  <c i="6" r="AC41"/>
  <c i="6" r="AA52"/>
  <c i="10" r="T113"/>
  <c i="10" r="X113" s="1"/>
  <c i="2" r="Y69"/>
  <c i="12" r="AJ117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3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4"/>
  <c i="16" r="E24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1" r="AB124"/>
  <c i="9" r="AA52"/>
  <c i="10" r="Z30"/>
  <c i="6" r="AD63"/>
  <c i="10" r="AB129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6"/>
  <c i="16" r="E46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2"/>
  <c i="16" r="E82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1"/>
  <c i="16" r="E81" s="1"/>
  <c i="12" r="AA27"/>
  <c i="10" r="AB25"/>
  <c i="11" r="AE23"/>
  <c i="12" r="AA50"/>
  <c i="12" r="AD26"/>
  <c i="9" r="V54"/>
  <c i="12" r="AC27"/>
  <c i="11" r="Z55"/>
  <c i="9" r="Z86"/>
  <c i="2" r="Y45"/>
  <c i="9" r="AC50"/>
  <c i="10" r="AD16"/>
  <c i="10" r="AD97"/>
  <c i="10" r="AB60"/>
  <c i="11" r="AH22"/>
  <c i="10" r="AB99"/>
  <c i="11" r="Z22"/>
  <c i="12" r="AA59"/>
  <c i="9" r="AC19"/>
  <c i="16" r="D78"/>
  <c i="16" r="E78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48"/>
  <c i="16" r="E48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79"/>
  <c i="16" r="E79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7"/>
  <c i="16" r="E77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69"/>
  <c i="16" r="E69" s="1"/>
  <c i="16" r="D76"/>
  <c i="16" r="E76" s="1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D80"/>
  <c i="16" r="E80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0"/>
  <c i="16" r="E50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D52"/>
  <c i="16" r="E52" s="1"/>
  <c i="16" r="D53"/>
  <c i="12" r="G61"/>
  <c i="11" r="F79"/>
  <c i="11" r="AD79" s="1"/>
  <c i="11" r="AD78"/>
  <c i="10" r="G51"/>
  <c i="10" r="AE48"/>
  <c i="16" r="D51"/>
  <c i="16" r="E51" s="1"/>
  <c i="16" r="D49"/>
  <c i="16" r="E49" s="1"/>
  <c i="12" r="G64"/>
  <c i="12" r="G50"/>
  <c i="12" r="G60"/>
  <c i="12" r="G63"/>
  <c i="12" r="AE63" s="1"/>
  <c i="12" r="G62"/>
  <c i="12" r="G58"/>
  <c i="12" r="G56"/>
  <c i="12" r="G59"/>
  <c i="12" r="AE47"/>
  <c i="11" r="G55"/>
  <c i="16" r="D47"/>
  <c i="16" r="E47" s="1"/>
  <c i="24" l="1" r="F39"/>
  <c i="24" r="F38"/>
  <c i="24" r="F33"/>
  <c i="24" r="F37"/>
  <c i="24" r="F35"/>
  <c i="24" r="F34"/>
  <c i="24" r="F36"/>
  <c i="24" r="D33"/>
  <c i="24" r="D35"/>
  <c i="24" r="D34"/>
  <c i="24" r="D36"/>
  <c i="24" r="D37"/>
  <c i="24" r="D39"/>
  <c i="24" r="D38"/>
  <c i="24" r="I193"/>
  <c i="24" r="I192"/>
  <c i="24" r="C12"/>
  <c i="24" r="F12" s="1"/>
  <c i="24" r="C9"/>
  <c i="24" r="F9" s="1"/>
  <c i="24" r="I196"/>
  <c i="16" r="I37"/>
  <c i="16" r="J37" s="1"/>
  <c i="11" r="AI25"/>
  <c i="11" r="AI21"/>
  <c i="11" r="AI28"/>
  <c i="11" r="AI23"/>
  <c i="11" r="AI27"/>
  <c i="24" r="D208"/>
  <c i="24" r="I208" s="1"/>
  <c i="24" r="I69"/>
  <c i="11" r="AI24"/>
  <c i="11" r="AI15"/>
  <c i="24" r="E69"/>
  <c i="24" r="D204"/>
  <c i="24" r="I204" s="1"/>
  <c i="24" r="H69"/>
  <c i="24" r="D207"/>
  <c i="24" r="I207" s="1"/>
  <c i="24" r="D206"/>
  <c i="24" r="I206" s="1"/>
  <c i="24" r="G69"/>
  <c i="24" r="D205"/>
  <c i="24" r="I205" s="1"/>
  <c i="24" r="F69"/>
  <c i="24" r="C6"/>
  <c i="24" r="F6" s="1"/>
  <c i="24" r="C202"/>
  <c i="24" r="K172"/>
  <c i="24" r="C198" s="1"/>
  <c i="24" r="T187"/>
  <c i="24" r="E202"/>
  <c i="24" r="U171"/>
  <c i="24" r="E198" s="1"/>
  <c i="24" r="C69"/>
  <c i="24" r="D202"/>
  <c i="24" r="J187"/>
  <c i="24" r="K186"/>
  <c i="24" r="C5"/>
  <c i="24" r="F5" s="1"/>
  <c i="24" r="D198"/>
  <c i="16" r="I51"/>
  <c i="16" r="J51" s="1"/>
  <c i="16" r="I81"/>
  <c i="16" r="J81" s="1"/>
  <c i="16" r="I77"/>
  <c i="16" r="J77" s="1"/>
  <c i="16" r="I80"/>
  <c i="16" r="J80" s="1"/>
  <c i="16" r="I50"/>
  <c i="16" r="J50" s="1"/>
  <c i="16" r="I52"/>
  <c i="16" r="J52" s="1"/>
  <c i="16" r="I78"/>
  <c i="16" r="J78" s="1"/>
  <c i="16" r="I47"/>
  <c i="16" r="J47" s="1"/>
  <c i="16" r="I82"/>
  <c i="16" r="J82" s="1"/>
  <c i="16" r="I61"/>
  <c i="16" r="J61" s="1"/>
  <c i="16" r="I39"/>
  <c i="16" r="J39" s="1"/>
  <c i="16" r="I49"/>
  <c i="16" r="J49" s="1"/>
  <c i="16" r="I53"/>
  <c i="16" r="I83"/>
  <c i="16" r="I76"/>
  <c i="16" r="J76" s="1"/>
  <c i="16" r="O83"/>
  <c i="16" r="L52"/>
  <c i="16" r="P82"/>
  <c i="16" r="O79"/>
  <c i="16" r="L49"/>
  <c i="16" r="P81"/>
  <c i="16" r="P83"/>
  <c i="16" r="P77"/>
  <c i="16" r="G84"/>
  <c i="16" r="O84"/>
  <c i="16" r="O82"/>
  <c i="16" r="P80"/>
  <c i="16" r="L53"/>
  <c i="16" r="P76"/>
  <c i="16" r="O78"/>
  <c i="16" r="H84"/>
  <c i="16" r="P84"/>
  <c i="16" r="P79"/>
  <c i="16" r="I64"/>
  <c i="16" r="J64" s="1"/>
  <c i="16" r="O81"/>
  <c i="16" r="O76"/>
  <c i="16" r="L54"/>
  <c i="16" r="L47"/>
  <c i="16" r="L51"/>
  <c i="16" r="L46"/>
  <c i="16" r="L48"/>
  <c i="16" r="O80"/>
  <c i="24" r="Z30"/>
  <c i="16" r="I31"/>
  <c i="16" r="J31" s="1"/>
  <c i="16" r="I63"/>
  <c i="16" r="J63" s="1"/>
  <c i="16" r="I36"/>
  <c i="16" r="J36" s="1"/>
  <c i="16" r="I38"/>
  <c i="16" r="J38" s="1"/>
  <c i="24" r="E28"/>
  <c i="16" r="I32"/>
  <c i="16" r="J32" s="1"/>
  <c i="16" r="I68"/>
  <c i="16" r="J68" s="1"/>
  <c i="16" r="I67"/>
  <c i="16" r="J67" s="1"/>
  <c i="16" r="I62"/>
  <c i="16" r="J62" s="1"/>
  <c i="16" r="I66"/>
  <c i="16" r="J66" s="1"/>
  <c i="16" r="I65"/>
  <c i="16" r="J65" s="1"/>
  <c i="16" r="I33"/>
  <c i="16" r="J33" s="1"/>
  <c i="16" r="I34"/>
  <c i="16" r="J34" s="1"/>
  <c i="16" r="I35"/>
  <c i="16" r="J35" s="1"/>
  <c i="21" r="H216"/>
  <c i="10" r="H112"/>
  <c i="10" r="L112" s="1"/>
  <c i="11" r="AJ104"/>
  <c i="11" r="AF104"/>
  <c i="21" r="H257"/>
  <c i="11" r="H105"/>
  <c i="11" r="L105" s="1"/>
  <c i="16" r="D84"/>
  <c i="16" r="E84" s="1"/>
  <c i="24" r="C27"/>
  <c i="16" r="D39"/>
  <c i="16" r="E39" s="1"/>
  <c i="20" r="H300"/>
  <c i="12" r="T112" s="1"/>
  <c i="12" r="X112" s="1"/>
  <c i="11" r="R105"/>
  <c i="11" r="X105" s="1"/>
  <c i="11" r="AD104"/>
  <c i="10" r="T114"/>
  <c i="10" r="X114" s="1"/>
  <c i="10" r="AF111"/>
  <c i="11" r="AE59"/>
  <c i="11" r="AE57"/>
  <c i="16" r="I69"/>
  <c i="16" r="J69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H36"/>
  <c i="24" r="M36" s="1"/>
  <c i="24" r="N36" s="1"/>
  <c i="24" r="Y99" s="1"/>
  <c i="24" r="H34"/>
  <c i="24" r="M34" s="1"/>
  <c i="24" r="N34" s="1"/>
  <c i="24" r="Y34" s="1"/>
  <c i="24" r="H35"/>
  <c i="24" r="M35" s="1"/>
  <c i="24" r="N35" s="1"/>
  <c i="24" r="Y65" s="1"/>
  <c i="24" r="H37"/>
  <c i="24" r="M37" s="1"/>
  <c i="24" r="N37" s="1"/>
  <c i="24" r="Y133" s="1"/>
  <c i="24" r="H33"/>
  <c i="24" r="M33" s="1"/>
  <c i="24" r="N33" s="1"/>
  <c i="24" r="Y4" s="1"/>
  <c i="24" r="H38"/>
  <c i="24" r="M38" s="1"/>
  <c i="24" r="N38" s="1"/>
  <c i="24" r="Y167" s="1"/>
  <c i="24" r="H39"/>
  <c i="24" r="M39" s="1"/>
  <c i="24" r="N39" s="1"/>
  <c i="24" r="Y201" s="1"/>
  <c i="24" r="G36"/>
  <c i="24" r="G34"/>
  <c i="24" r="G35"/>
  <c i="24" r="G37"/>
  <c i="24" r="G33"/>
  <c i="24" r="G38"/>
  <c i="24" r="G39"/>
  <c i="24" r="I198"/>
  <c i="24" r="I202"/>
  <c i="24" r="D20"/>
  <c i="24" r="F20" s="1"/>
  <c i="24" r="K20" s="1"/>
  <c i="24" r="L20" s="1"/>
  <c i="24" r="C28"/>
  <c i="24" r="J70"/>
  <c i="24" r="D210"/>
  <c i="24" r="G210" s="1"/>
  <c i="24" r="H198"/>
  <c i="24" r="H190"/>
  <c i="24" r="H193"/>
  <c i="24" r="H194"/>
  <c i="24" r="H204"/>
  <c i="24" r="H197"/>
  <c i="24" r="H207"/>
  <c i="24" r="H191"/>
  <c i="24" r="H205"/>
  <c i="24" r="H203"/>
  <c i="24" r="H208"/>
  <c i="24" r="H209"/>
  <c i="24" r="H192"/>
  <c i="24" r="H196"/>
  <c i="24" r="H206"/>
  <c i="24" r="H195"/>
  <c i="24" r="G202"/>
  <c i="24" r="G198"/>
  <c i="24" r="G209"/>
  <c i="24" r="G193"/>
  <c i="24" r="G197"/>
  <c i="24" r="G195"/>
  <c i="24" r="G206"/>
  <c i="24" r="G207"/>
  <c i="24" r="G194"/>
  <c i="24" r="G208"/>
  <c i="24" r="G192"/>
  <c i="24" r="G205"/>
  <c i="24" r="G204"/>
  <c i="24" r="G196"/>
  <c i="24" r="G190"/>
  <c i="24" r="E210"/>
  <c i="24" r="H202"/>
  <c i="24" r="F198"/>
  <c i="24" r="F194"/>
  <c i="24" r="F192"/>
  <c i="24" r="F193"/>
  <c i="24" r="F196"/>
  <c i="24" r="F195"/>
  <c i="24" r="F208"/>
  <c i="24" r="F209"/>
  <c i="24" r="F197"/>
  <c i="24" r="F190"/>
  <c i="24" r="F206"/>
  <c i="24" r="F207"/>
  <c i="24" r="F205"/>
  <c i="24" r="F203"/>
  <c i="24" r="F191"/>
  <c i="24" r="F204"/>
  <c i="24" r="C210"/>
  <c i="24" r="F210" s="1"/>
  <c i="24" r="F202"/>
  <c i="24" r="G203"/>
  <c i="24" r="G191"/>
  <c i="24" r="C13"/>
  <c i="24" r="F13" s="1"/>
  <c i="24" r="D19"/>
  <c i="24" r="D25"/>
  <c i="24" r="F25" s="1"/>
  <c i="24" r="K25" s="1"/>
  <c i="24" r="L25" s="1"/>
  <c i="24" r="D24"/>
  <c i="24" r="F24" s="1"/>
  <c i="24" r="K24" s="1"/>
  <c i="24" r="L24" s="1"/>
  <c i="24" r="D23"/>
  <c i="24" r="F23" s="1"/>
  <c i="24" r="K23" s="1"/>
  <c i="24" r="L23" s="1"/>
  <c i="24" r="D22"/>
  <c i="24" r="F22" s="1"/>
  <c i="24" r="K22" s="1"/>
  <c i="24" r="L22" s="1"/>
  <c i="24" r="D21"/>
  <c i="24" r="F21" s="1"/>
  <c i="24" r="K21" s="1"/>
  <c i="24" r="L21" s="1"/>
  <c i="24" r="F27"/>
  <c i="16" r="I84"/>
  <c i="16" r="J84" s="1"/>
  <c i="24" r="K11"/>
  <c i="24" r="K10"/>
  <c i="24" r="K9"/>
  <c i="24" r="K8"/>
  <c i="24" r="K7"/>
  <c i="24" r="K6"/>
  <c i="24" r="Z119"/>
  <c i="24" r="Z122"/>
  <c i="24" r="Z85"/>
  <c i="24" r="Z58"/>
  <c i="24" r="Z123"/>
  <c i="24" r="Z177"/>
  <c i="24" r="Z147"/>
  <c i="24" r="Z121"/>
  <c i="24" r="Z31"/>
  <c i="24" r="Z183"/>
  <c i="24" r="Z180"/>
  <c i="24" r="Z92"/>
  <c i="24" r="Z87"/>
  <c i="24" r="Z91"/>
  <c i="24" r="Z117"/>
  <c i="24" r="Z175"/>
  <c i="24" r="Z62"/>
  <c i="24" r="Z179"/>
  <c i="24" r="Z90"/>
  <c i="24" r="Z153"/>
  <c i="24" r="Z89"/>
  <c i="24" r="Z59"/>
  <c i="24" r="Z88"/>
  <c i="24" r="Z151"/>
  <c i="24" r="Z115"/>
  <c i="24" r="Z118"/>
  <c i="24" r="Z150"/>
  <c i="24" r="Z93"/>
  <c i="24" r="Z182"/>
  <c i="24" r="Z178"/>
  <c i="24" r="Z149"/>
  <c i="24" r="Z61"/>
  <c i="24" r="Z120"/>
  <c i="24" r="Z145"/>
  <c i="24" r="Z148"/>
  <c i="24" r="Z60"/>
  <c i="11" r="AJ105"/>
  <c i="11" r="AF105"/>
  <c i="21" r="H258"/>
  <c i="11" r="H106"/>
  <c i="11" r="L106" s="1"/>
  <c i="10" r="AF112"/>
  <c i="21" r="H217"/>
  <c i="10" r="H113"/>
  <c i="24" r="Z56"/>
  <c i="24" r="Z116"/>
  <c i="24" r="Z29"/>
  <c i="24" r="Z176"/>
  <c i="24" r="Z146"/>
  <c i="24" r="Z86"/>
  <c i="24" r="Z152"/>
  <c i="10" r="AJ111"/>
  <c i="11" r="R106"/>
  <c i="11" r="X106" s="1"/>
  <c i="11" r="AD105"/>
  <c i="10" r="T115"/>
  <c i="10" r="X115" s="1"/>
  <c i="20" r="H302"/>
  <c i="12" r="T114" s="1"/>
  <c i="12" r="X114" s="1"/>
  <c i="24" l="1" r="G117"/>
  <c i="24" r="H117"/>
  <c i="24" r="I117"/>
  <c i="24" r="C117"/>
  <c i="24" r="D119"/>
  <c i="24" r="E119"/>
  <c i="24" r="F119"/>
  <c i="24" r="F132" s="1"/>
  <c i="24" r="N82" s="1"/>
  <c i="24" r="Y102" s="1"/>
  <c i="24" r="G119"/>
  <c i="24" r="G132" s="1"/>
  <c i="24" r="N89" s="1"/>
  <c i="24" r="Y103" s="1"/>
  <c i="24" r="H119"/>
  <c i="24" r="H132" s="1"/>
  <c i="24" r="N96" s="1"/>
  <c i="24" r="Y104" s="1"/>
  <c i="24" r="I119"/>
  <c i="24" r="I132" s="1"/>
  <c i="24" r="N102" s="1"/>
  <c i="24" r="Y105" s="1"/>
  <c i="24" r="C119"/>
  <c i="24" r="C132" s="1"/>
  <c i="24" r="N66" s="1"/>
  <c i="24" r="Y131" s="1"/>
  <c i="24" r="I120"/>
  <c i="24" r="I133" s="1"/>
  <c i="24" r="N103" s="1"/>
  <c i="24" r="Y139" s="1"/>
  <c i="24" r="D120"/>
  <c i="24" r="D133" s="1"/>
  <c i="24" r="N73" s="1"/>
  <c i="24" r="Y134" s="1"/>
  <c i="24" r="E120"/>
  <c i="24" r="E133" s="1"/>
  <c i="24" r="N78" s="1"/>
  <c i="24" r="Y135" s="1"/>
  <c i="24" r="G120"/>
  <c i="24" r="G133" s="1"/>
  <c i="24" r="N90" s="1"/>
  <c i="24" r="Y137" s="1"/>
  <c i="24" r="H120"/>
  <c i="24" r="H133" s="1"/>
  <c i="24" r="N97" s="1"/>
  <c i="24" r="Y138" s="1"/>
  <c i="24" r="F120"/>
  <c i="24" r="F133" s="1"/>
  <c i="24" r="N83" s="1"/>
  <c i="24" r="Y136" s="1"/>
  <c i="24" r="C120"/>
  <c i="24" r="C133" s="1"/>
  <c i="24" r="N67" s="1"/>
  <c i="24" r="Y165" s="1"/>
  <c i="24" r="F121"/>
  <c i="24" r="F134" s="1"/>
  <c i="24" r="N84" s="1"/>
  <c i="24" r="Y170" s="1"/>
  <c i="24" r="E121"/>
  <c i="24" r="E134" s="1"/>
  <c i="24" r="N79" s="1"/>
  <c i="24" r="Y169" s="1"/>
  <c i="24" r="G121"/>
  <c i="24" r="G134" s="1"/>
  <c i="24" r="N91" s="1"/>
  <c i="24" r="Y171" s="1"/>
  <c i="24" r="H121"/>
  <c i="24" r="H134" s="1"/>
  <c i="24" r="N98" s="1"/>
  <c i="24" r="Y172" s="1"/>
  <c i="24" r="I121"/>
  <c i="24" r="I134" s="1"/>
  <c i="24" r="N104" s="1"/>
  <c i="24" r="Y173" s="1"/>
  <c i="24" r="C121"/>
  <c i="24" r="C134" s="1"/>
  <c i="24" r="N68" s="1"/>
  <c i="24" r="Y199" s="1"/>
  <c i="24" r="D121"/>
  <c i="24" r="D134" s="1"/>
  <c i="24" r="N74" s="1"/>
  <c i="24" r="Y168" s="1"/>
  <c i="24" r="I122"/>
  <c i="24" r="I135" s="1"/>
  <c i="24" r="N105" s="1"/>
  <c i="24" r="Y207" s="1"/>
  <c i="24" r="D122"/>
  <c i="24" r="D135" s="1"/>
  <c i="24" r="N75" s="1"/>
  <c i="24" r="Y202" s="1"/>
  <c i="24" r="E122"/>
  <c i="24" r="E135" s="1"/>
  <c i="24" r="N80" s="1"/>
  <c i="24" r="Y203" s="1"/>
  <c i="24" r="G122"/>
  <c i="24" r="G135" s="1"/>
  <c i="24" r="N92" s="1"/>
  <c i="24" r="Y205" s="1"/>
  <c i="24" r="F122"/>
  <c i="24" r="F135" s="1"/>
  <c i="24" r="N85" s="1"/>
  <c i="24" r="Y204" s="1"/>
  <c i="24" r="H122"/>
  <c i="24" r="H135" s="1"/>
  <c i="24" r="N99" s="1"/>
  <c i="24" r="Y206" s="1"/>
  <c i="24" r="C122"/>
  <c i="24" r="C135" s="1"/>
  <c i="24" r="N69" s="1"/>
  <c i="24" r="Y233" s="1"/>
  <c i="24" r="F118"/>
  <c i="24" r="F131" s="1"/>
  <c i="24" r="N81" s="1"/>
  <c i="24" r="Y68" s="1"/>
  <c i="24" r="C118"/>
  <c i="24" r="C131" s="1"/>
  <c i="24" r="N65" s="1"/>
  <c i="24" r="Y97" s="1"/>
  <c i="24" r="D118"/>
  <c i="24" r="D131" s="1"/>
  <c i="24" r="N71" s="1"/>
  <c i="24" r="Y66" s="1"/>
  <c i="24" r="I118"/>
  <c i="24" r="I131" s="1"/>
  <c i="24" r="N101" s="1"/>
  <c i="24" r="Y71" s="1"/>
  <c i="24" r="G118"/>
  <c i="24" r="G131" s="1"/>
  <c i="24" r="N88" s="1"/>
  <c i="24" r="Y69" s="1"/>
  <c i="24" r="E118"/>
  <c i="24" r="E131" s="1"/>
  <c i="24" r="N76" s="1"/>
  <c i="24" r="Y67" s="1"/>
  <c i="24" r="H118"/>
  <c i="24" r="H131" s="1"/>
  <c i="24" r="N95" s="1"/>
  <c i="24" r="Y70" s="1"/>
  <c i="24" r="D132"/>
  <c i="24" r="N72" s="1"/>
  <c i="24" r="Y100" s="1"/>
  <c i="24" r="D5"/>
  <c i="24" r="D11"/>
  <c i="24" r="D12"/>
  <c i="24" r="D10"/>
  <c i="24" r="D9"/>
  <c i="24" r="D8"/>
  <c i="24" r="D7"/>
  <c i="24" r="H210"/>
  <c i="24" r="I210"/>
  <c i="24" r="D6"/>
  <c i="24" r="M23"/>
  <c i="24" r="N23" s="1"/>
  <c i="24" r="Z133"/>
  <c i="24" r="M25"/>
  <c i="24" r="N25" s="1"/>
  <c i="24" r="Z201"/>
  <c i="24" r="M24"/>
  <c i="24" r="N24" s="1"/>
  <c i="24" r="Z167"/>
  <c i="24" r="M20"/>
  <c i="24" r="N20" s="1"/>
  <c i="24" r="Z34"/>
  <c i="24" r="M22"/>
  <c i="24" r="N22" s="1"/>
  <c i="24" r="Z99"/>
  <c i="24" r="F19"/>
  <c i="24" r="K19" s="1"/>
  <c i="24" r="L19" s="1"/>
  <c i="24" r="D27"/>
  <c i="24" r="O37"/>
  <c i="24" r="P37" s="1"/>
  <c i="24" r="G130"/>
  <c i="24" r="N87" s="1"/>
  <c i="24" r="Y35" s="1"/>
  <c i="24" r="H130"/>
  <c i="24" r="N94" s="1"/>
  <c i="24" r="Y36" s="1"/>
  <c i="24" r="C130"/>
  <c i="24" r="N64" s="1"/>
  <c i="24" r="Y63" s="1"/>
  <c i="24" r="I130"/>
  <c i="24" r="N100" s="1"/>
  <c i="24" r="Y37" s="1"/>
  <c i="24" r="E132"/>
  <c i="24" r="N77" s="1"/>
  <c i="24" r="Y101" s="1"/>
  <c i="10" r="AF113"/>
  <c i="10" r="L113"/>
  <c i="10" r="AJ113" s="1"/>
  <c i="24" r="O34"/>
  <c i="24" r="P34" s="1"/>
  <c i="24" r="M19"/>
  <c i="24" r="N19" s="1"/>
  <c i="24" r="O36"/>
  <c i="24" r="P36" s="1"/>
  <c i="24" r="L6"/>
  <c i="24" r="Y33" s="1"/>
  <c i="24" r="L7"/>
  <c i="24" r="Y64" s="1"/>
  <c i="24" r="L8"/>
  <c i="24" r="Y98" s="1"/>
  <c i="24" r="L9"/>
  <c i="24" r="Y132" s="1"/>
  <c i="24" r="L10"/>
  <c i="24" r="Y166" s="1"/>
  <c i="24" r="L11"/>
  <c i="24" r="Y200" s="1"/>
  <c i="24" r="O38"/>
  <c i="24" r="P38" s="1"/>
  <c i="24" r="O39"/>
  <c i="24" r="P39" s="1"/>
  <c i="24" r="Z57"/>
  <c i="21" r="H218"/>
  <c i="10" r="H114"/>
  <c i="10" r="AJ112"/>
  <c i="11" r="AJ106"/>
  <c i="11" r="AF106"/>
  <c i="21" r="H252"/>
  <c i="11" r="H107"/>
  <c i="11" r="L107" s="1"/>
  <c i="20" r="H295"/>
  <c i="12" r="T107" s="1"/>
  <c i="12" r="X107" s="1"/>
  <c i="12" r="AF112"/>
  <c i="10" r="T108"/>
  <c i="20" r="H258"/>
  <c i="11" r="T107" s="1"/>
  <c i="11" r="X107" s="1"/>
  <c i="11" r="AD106"/>
  <c i="24" l="1" r="D150"/>
  <c i="24" r="F150" s="1"/>
  <c i="24" r="K150" s="1"/>
  <c i="24" r="L150" s="1"/>
  <c i="24" r="AE5" s="1"/>
  <c i="24" r="D149"/>
  <c i="24" r="F149" s="1"/>
  <c i="24" r="K149" s="1"/>
  <c i="24" r="L149" s="1"/>
  <c i="24" r="AE4" s="1"/>
  <c i="24" r="D151"/>
  <c i="24" r="F151" s="1"/>
  <c i="24" r="K151" s="1"/>
  <c i="24" r="L151" s="1"/>
  <c i="24" r="AE6" s="1"/>
  <c i="24" r="D148"/>
  <c i="24" r="D154"/>
  <c i="24" r="F154" s="1"/>
  <c i="24" r="K154" s="1"/>
  <c i="24" r="L154" s="1"/>
  <c i="24" r="AE9" s="1"/>
  <c i="24" r="D153"/>
  <c i="24" r="F153" s="1"/>
  <c i="24" r="K153" s="1"/>
  <c i="24" r="L153" s="1"/>
  <c i="24" r="AE8" s="1"/>
  <c i="24" r="D152"/>
  <c i="24" r="F152" s="1"/>
  <c i="24" r="K152" s="1"/>
  <c i="24" r="L152" s="1"/>
  <c i="24" r="AE7" s="1"/>
  <c i="24" r="O87"/>
  <c i="24" r="P87" s="1"/>
  <c i="24" r="Z35"/>
  <c i="24" r="O100"/>
  <c i="24" r="P100" s="1"/>
  <c i="24" r="Z37"/>
  <c i="24" r="O101"/>
  <c i="24" r="P101" s="1"/>
  <c i="24" r="Z71"/>
  <c i="24" r="O98"/>
  <c i="24" r="P98" s="1"/>
  <c i="24" r="Z172"/>
  <c i="24" r="M11"/>
  <c i="24" r="N11" s="1"/>
  <c i="24" r="Z200"/>
  <c i="24" r="O74"/>
  <c i="24" r="P74" s="1"/>
  <c i="24" r="Z168"/>
  <c i="24" r="O75"/>
  <c i="24" r="P75" s="1"/>
  <c i="24" r="Z202"/>
  <c i="24" r="O104"/>
  <c i="24" r="P104" s="1"/>
  <c i="24" r="Z173"/>
  <c i="24" r="O81"/>
  <c i="24" r="P81" s="1"/>
  <c i="24" r="Z68"/>
  <c i="24" r="O69"/>
  <c i="24" r="P69" s="1"/>
  <c i="24" r="Z233"/>
  <c i="24" r="O90"/>
  <c i="24" r="P90" s="1"/>
  <c i="24" r="Z137"/>
  <c i="24" r="O65"/>
  <c i="24" r="P65" s="1"/>
  <c i="24" r="Z97"/>
  <c i="24" r="O97"/>
  <c i="24" r="P97" s="1"/>
  <c i="24" r="Z138"/>
  <c i="24" r="O80"/>
  <c i="24" r="P80" s="1"/>
  <c i="24" r="Z203"/>
  <c i="24" r="O79"/>
  <c i="24" r="P79" s="1"/>
  <c i="24" r="Z169"/>
  <c i="24" r="O83"/>
  <c i="24" r="P83" s="1"/>
  <c i="24" r="Z136"/>
  <c i="24" r="M8"/>
  <c i="24" r="N8" s="1"/>
  <c i="24" r="Z98"/>
  <c i="24" r="O73"/>
  <c i="24" r="P73" s="1"/>
  <c i="24" r="Z134"/>
  <c i="24" r="O94"/>
  <c i="24" r="P94" s="1"/>
  <c i="24" r="Z36"/>
  <c i="24" r="O78"/>
  <c i="24" r="P78" s="1"/>
  <c i="24" r="Z135"/>
  <c i="24" r="O103"/>
  <c i="24" r="P103" s="1"/>
  <c i="24" r="Z139"/>
  <c i="24" r="O77"/>
  <c i="24" r="P77" s="1"/>
  <c i="24" r="Z101"/>
  <c i="24" r="O71"/>
  <c i="24" r="P71" s="1"/>
  <c i="24" r="Z66"/>
  <c i="24" r="M6"/>
  <c i="24" r="N6" s="1"/>
  <c i="24" r="Z33"/>
  <c i="24" r="O91"/>
  <c i="24" r="P91" s="1"/>
  <c i="24" r="Z171"/>
  <c i="24" r="O66"/>
  <c i="24" r="P66" s="1"/>
  <c i="24" r="Z131"/>
  <c i="24" r="O76"/>
  <c i="24" r="P76" s="1"/>
  <c i="24" r="Z67"/>
  <c i="24" r="M9"/>
  <c i="24" r="N9" s="1"/>
  <c i="24" r="Z132"/>
  <c i="24" r="O67"/>
  <c i="24" r="P67" s="1"/>
  <c i="24" r="Z165"/>
  <c i="24" r="O82"/>
  <c i="24" r="P82" s="1"/>
  <c i="24" r="Z102"/>
  <c i="24" r="M10"/>
  <c i="24" r="N10" s="1"/>
  <c i="24" r="Z166"/>
  <c i="24" r="O68"/>
  <c i="24" r="P68" s="1"/>
  <c i="24" r="Z199"/>
  <c i="24" r="O89"/>
  <c i="24" r="P89" s="1"/>
  <c i="24" r="Z103"/>
  <c i="24" r="O84"/>
  <c i="24" r="P84" s="1"/>
  <c i="24" r="Z170"/>
  <c i="24" r="O102"/>
  <c i="24" r="P102" s="1"/>
  <c i="24" r="Z105"/>
  <c i="24" r="O96"/>
  <c i="24" r="P96" s="1"/>
  <c i="24" r="Z104"/>
  <c i="24" r="O85"/>
  <c i="24" r="P85" s="1"/>
  <c i="24" r="Z204"/>
  <c i="24" r="O33"/>
  <c i="24" r="P33" s="1"/>
  <c i="24" r="Z4"/>
  <c i="24" r="O105"/>
  <c i="24" r="P105" s="1"/>
  <c i="24" r="Z207"/>
  <c i="24" r="M7"/>
  <c i="24" r="N7" s="1"/>
  <c i="24" r="Z64"/>
  <c i="24" r="O72"/>
  <c i="24" r="P72" s="1"/>
  <c i="24" r="Z100"/>
  <c i="24" r="O88"/>
  <c i="24" r="P88" s="1"/>
  <c i="24" r="Z69"/>
  <c i="24" r="O99"/>
  <c i="24" r="P99" s="1"/>
  <c i="24" r="Z206"/>
  <c i="24" r="M21"/>
  <c i="24" r="N21" s="1"/>
  <c i="24" r="N26" s="1"/>
  <c i="24" r="Z65"/>
  <c i="24" r="O95"/>
  <c i="24" r="P95" s="1"/>
  <c i="24" r="Z70"/>
  <c i="10" r="AF114"/>
  <c i="10" r="L114"/>
  <c i="10" r="AJ114" s="1"/>
  <c i="10" r="T116"/>
  <c i="10" r="T119" s="1"/>
  <c i="10" r="X108"/>
  <c i="24" r="Z55"/>
  <c i="24" r="Z28"/>
  <c i="24" r="Z181"/>
  <c i="24" r="O35"/>
  <c i="24" r="P35" s="1"/>
  <c i="12" r="T115"/>
  <c i="12" r="T118" s="1"/>
  <c i="21" r="H296"/>
  <c i="11" r="H101"/>
  <c i="11" r="L101" s="1"/>
  <c i="21" r="H211"/>
  <c i="10" r="H108" s="1"/>
  <c i="10" r="H115"/>
  <c i="10" r="L115" s="1"/>
  <c i="11" r="T108"/>
  <c i="12" r="AJ112"/>
  <c i="24" l="1" r="M152"/>
  <c i="24" r="N152" s="1"/>
  <c i="24" r="AF7"/>
  <c i="24" r="M153"/>
  <c i="24" r="N153" s="1"/>
  <c i="24" r="AF8"/>
  <c i="24" r="M154"/>
  <c i="24" r="N154" s="1"/>
  <c i="24" r="AF9"/>
  <c i="24" r="D155"/>
  <c i="24" r="F155" s="1"/>
  <c i="24" r="F148"/>
  <c i="24" r="K148" s="1"/>
  <c i="24" r="L148" s="1"/>
  <c i="24" r="AE3" s="1"/>
  <c i="24" r="M151"/>
  <c i="24" r="N151" s="1"/>
  <c i="24" r="AF6"/>
  <c i="24" r="M149"/>
  <c i="24" r="N149" s="1"/>
  <c i="24" r="AF4"/>
  <c i="24" r="M150"/>
  <c i="24" r="N150" s="1"/>
  <c i="24" r="AF5"/>
  <c i="24" r="O92"/>
  <c i="24" r="P92" s="1"/>
  <c i="24" r="Z205"/>
  <c i="24" r="P40"/>
  <c i="24" r="O64"/>
  <c i="24" r="P64" s="1"/>
  <c i="24" r="Z63"/>
  <c i="10" r="T125"/>
  <c i="10" r="AF115"/>
  <c i="10" r="AF108"/>
  <c i="10" r="L108"/>
  <c i="10" r="AJ108" s="1"/>
  <c i="11" r="T111"/>
  <c i="11" r="T124"/>
  <c i="11" r="T118"/>
  <c i="11" r="T120"/>
  <c i="11" r="T117"/>
  <c i="11" r="T119"/>
  <c i="11" r="T122"/>
  <c i="11" r="T121"/>
  <c i="11" r="T123"/>
  <c i="10" r="AJ115"/>
  <c i="11" r="H108"/>
  <c i="11" r="AF101"/>
  <c i="12" r="T132"/>
  <c i="12" r="T125"/>
  <c i="12" r="T126"/>
  <c i="12" r="T130"/>
  <c i="12" r="T127"/>
  <c i="12" r="T128"/>
  <c i="12" r="T129"/>
  <c i="12" r="T131"/>
  <c i="10" r="H116"/>
  <c i="10" r="AF116" s="1"/>
  <c i="21" r="H297"/>
  <c i="12" r="H108"/>
  <c i="12" r="L108" s="1"/>
  <c i="12" r="T124"/>
  <c i="10" r="X116"/>
  <c i="10" r="X125" s="1"/>
  <c i="11" r="AF107"/>
  <c i="11" r="R101"/>
  <c i="11" r="X101" s="1"/>
  <c i="11" r="AJ107"/>
  <c i="10" r="T132"/>
  <c i="10" r="T133"/>
  <c i="10" r="T129"/>
  <c i="10" r="T126"/>
  <c i="10" r="T127"/>
  <c i="10" r="T128"/>
  <c i="10" r="T130"/>
  <c i="10" r="T131"/>
  <c i="12" r="X115"/>
  <c i="12" r="X124" s="1"/>
  <c i="24" l="1" r="M148"/>
  <c i="24" r="N148" s="1"/>
  <c i="24" r="N155" s="1"/>
  <c i="24" r="AF3"/>
  <c i="11" r="H111"/>
  <c i="11" r="H124"/>
  <c i="11" r="H118"/>
  <c i="11" r="H119"/>
  <c i="11" r="H120"/>
  <c i="11" r="H121"/>
  <c i="11" r="H122"/>
  <c i="11" r="AF122" s="1"/>
  <c i="11" r="H123"/>
  <c i="11" r="AJ101"/>
  <c i="11" r="AF111"/>
  <c i="11" r="H117"/>
  <c i="11" r="AF117" s="1"/>
  <c i="10" r="H125"/>
  <c i="10" r="AF125" s="1"/>
  <c i="11" r="X108"/>
  <c i="11" r="X123" s="1"/>
  <c i="21" r="H298"/>
  <c i="12" r="H109"/>
  <c i="12" r="L109" s="1"/>
  <c i="11" r="L108"/>
  <c i="11" r="L117" s="1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L116"/>
  <c i="10" r="L125" s="1"/>
  <c i="10" r="AJ125" s="1"/>
  <c i="10" r="X132"/>
  <c i="12" r="X131"/>
  <c i="11" r="AF108"/>
  <c i="11" r="AF124"/>
  <c i="11" r="AF118"/>
  <c i="11" r="AF120"/>
  <c i="11" r="AF119"/>
  <c i="11" r="AF121"/>
  <c i="11" r="AF123"/>
  <c i="12" r="X130"/>
  <c i="12" r="X118"/>
  <c i="12" r="X125"/>
  <c i="12" r="X132"/>
  <c i="12" r="X126"/>
  <c i="12" r="X127"/>
  <c i="12" r="X128"/>
  <c i="12" r="X129"/>
  <c i="11" r="AD101"/>
  <c i="11" r="R108"/>
  <c i="11" r="R117" s="1"/>
  <c i="11" r="AD117" s="1"/>
  <c i="10" r="X133"/>
  <c i="10" r="X129"/>
  <c i="10" r="X126"/>
  <c i="10" r="X119"/>
  <c i="10" r="X127"/>
  <c i="10" r="X128"/>
  <c i="10" r="X130"/>
  <c i="10" r="X131"/>
  <c i="11" l="1" r="X119"/>
  <c i="11" r="X120"/>
  <c i="11" r="X117"/>
  <c i="11" r="X122"/>
  <c i="11" r="X121"/>
  <c i="11" r="X111"/>
  <c i="11" r="X118"/>
  <c i="11" r="X124"/>
  <c i="10" r="AG125"/>
  <c i="11" r="L111"/>
  <c i="11" r="L118"/>
  <c i="11" r="AJ118" s="1"/>
  <c i="11" r="L119"/>
  <c i="11" r="AJ119" s="1"/>
  <c i="11" r="L124"/>
  <c i="11" r="AJ124" s="1"/>
  <c i="11" r="L120"/>
  <c i="11" r="AJ120" s="1"/>
  <c i="11" r="L121"/>
  <c i="11" r="AJ121" s="1"/>
  <c i="11" r="L123"/>
  <c i="11" r="AJ123" s="1"/>
  <c i="11" r="L122"/>
  <c i="11" r="AJ122" s="1"/>
  <c i="21" r="H299"/>
  <c i="12" r="H110"/>
  <c i="12" r="L110" s="1"/>
  <c i="10" r="L127"/>
  <c i="10" r="AJ127" s="1"/>
  <c i="10" r="L119"/>
  <c i="10" r="AJ119" s="1"/>
  <c i="10" r="L126"/>
  <c i="10" r="AJ126" s="1"/>
  <c i="10" r="L133"/>
  <c i="10" r="AJ133" s="1"/>
  <c i="10" r="L128"/>
  <c i="10" r="AJ128" s="1"/>
  <c i="10" r="L129"/>
  <c i="10" r="AJ129" s="1"/>
  <c i="10" r="L130"/>
  <c i="10" r="AJ130" s="1"/>
  <c i="10" r="L131"/>
  <c i="10" r="AJ131" s="1"/>
  <c i="10" r="L132"/>
  <c i="10" r="AJ132" s="1"/>
  <c i="11" r="AJ117"/>
  <c i="10" r="AJ116"/>
  <c i="11" r="AJ108"/>
  <c i="12" r="AJ108"/>
  <c i="12" r="AF109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1" l="1" r="AJ111"/>
  <c i="10" r="AG132"/>
  <c i="10" r="AG131"/>
  <c i="10" r="AG130"/>
  <c i="10" r="AG129"/>
  <c i="10" r="AG133"/>
  <c i="10" r="AG126"/>
  <c i="10" r="AG127"/>
  <c i="10" r="AG128"/>
  <c i="21" r="H302"/>
  <c i="12" r="H111"/>
  <c i="12" r="L111" s="1"/>
  <c i="12" r="AF110"/>
  <c i="12" r="AJ109"/>
  <c i="16" r="D54"/>
  <c i="16" r="E54" s="1"/>
  <c i="16" r="G54"/>
  <c i="16" r="I54" s="1"/>
  <c i="16" r="J54" s="1"/>
  <c i="12" l="1" r="AF111"/>
  <c i="12" r="AJ110"/>
  <c i="21" r="H295"/>
  <c i="12" r="H107" s="1"/>
  <c i="12" r="L107" s="1"/>
  <c i="12" r="H114"/>
  <c i="12" r="L114" s="1"/>
  <c i="12" l="1" r="H115"/>
  <c i="12" r="H118" s="1"/>
  <c i="12" r="AF118" s="1"/>
  <c i="12" r="AF107"/>
  <c i="12" r="AJ111"/>
  <c i="12" r="AF114"/>
  <c i="12" l="1" r="H131"/>
  <c i="12" r="AF131" s="1"/>
  <c i="12" r="H124"/>
  <c i="12" r="AF124" s="1"/>
  <c i="12" r="AJ114"/>
  <c i="12" r="L115"/>
  <c i="12" r="L124" s="1"/>
  <c i="12" r="AJ124" s="1"/>
  <c i="12" r="AJ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L132"/>
  <c i="12" r="AJ132" s="1"/>
  <c i="12" r="L130"/>
  <c i="12" r="AJ130" s="1"/>
  <c i="12" r="L118"/>
  <c i="12" r="AJ118" s="1"/>
  <c i="12" r="L129"/>
  <c i="12" r="AJ129" s="1"/>
  <c i="12" r="AJ115"/>
  <c i="12" r="L125"/>
  <c i="12" r="AJ125" s="1"/>
  <c i="12" r="L126"/>
  <c i="12" r="AJ126" s="1"/>
  <c i="12" r="L127"/>
  <c i="12" r="AJ127" s="1"/>
  <c i="12" r="L128"/>
  <c i="12" r="AJ128" s="1"/>
  <c i="12" r="L131"/>
  <c i="12" r="AJ131" s="1"/>
  <c i="24" l="1" r="D13"/>
  <c i="24" r="D28" s="1"/>
  <c i="24" r="K5"/>
  <c i="24" l="1" r="D116"/>
  <c i="24" r="C116"/>
  <c i="24" r="H116"/>
  <c i="24" r="H129" s="1"/>
  <c i="24" r="N93" s="1"/>
  <c i="24" r="Y7" s="1"/>
  <c i="24" r="G116"/>
  <c i="24" r="G129" s="1"/>
  <c i="24" r="N86" s="1"/>
  <c i="24" r="Y6" s="1"/>
  <c i="24" r="L5"/>
  <c i="24" r="Y3" s="1"/>
  <c i="24" r="C129"/>
  <c i="24" r="N63" s="1"/>
  <c i="24" r="Y32" s="1"/>
  <c i="24" r="D129"/>
  <c i="24" r="N70" s="1"/>
  <c i="24" r="Y5" s="1"/>
  <c i="24" l="1" r="O70"/>
  <c i="24" r="P70" s="1"/>
  <c i="24" r="Z5"/>
  <c i="24" r="M5"/>
  <c i="24" r="N5" s="1"/>
  <c i="24" r="N12" s="1"/>
  <c i="24" r="Z3"/>
  <c i="24" r="O63"/>
  <c i="24" r="P63" s="1"/>
  <c i="24" r="Z32"/>
  <c i="24" r="O93"/>
  <c i="24" r="P93" s="1"/>
  <c i="24" r="Z7"/>
  <c i="24" r="O86"/>
  <c i="24" r="P86" s="1"/>
  <c i="24" r="Z6"/>
  <c i="24" l="1" r="P106"/>
</calcChain>
</file>

<file path=xl/sharedStrings.xml><?xml version="1.0" encoding="utf-8"?>
<sst xmlns="http://schemas.openxmlformats.org/spreadsheetml/2006/main" count="30190" uniqueCount="13599">
  <si>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</si>
  <si>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</si>
  <si>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</si>
  <si>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</si>
  <si>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</si>
  <si>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</si>
  <si>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</si>
  <si>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</si>
  <si>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</si>
  <si>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</si>
  <si>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</si>
  <si>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</si>
  <si>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</si>
  <si>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</si>
  <si>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</si>
  <si>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</si>
  <si>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</si>
  <si>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</si>
  <si>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</si>
  <si>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</si>
  <si>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</si>
  <si>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</si>
  <si>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</si>
  <si>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</si>
  <si>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</si>
  <si>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</si>
  <si>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</si>
  <si>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</si>
  <si>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</si>
  <si>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</si>
  <si>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</si>
  <si>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</si>
  <si>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</si>
  <si>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</si>
  <si>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</si>
  <si>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</si>
  <si>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</si>
  <si>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</si>
  <si>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</si>
  <si>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</si>
  <si>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</si>
  <si>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</si>
  <si>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</si>
  <si>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</si>
  <si>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</si>
  <si>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</si>
  <si>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</si>
  <si>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</si>
  <si>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</si>
  <si>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</si>
  <si>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</si>
  <si>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</si>
  <si>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</si>
  <si>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</si>
  <si>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</si>
  <si>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</si>
  <si>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</si>
  <si>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</si>
  <si>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</si>
  <si>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</si>
  <si>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</si>
  <si>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</si>
  <si>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</si>
  <si>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</si>
  <si>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</si>
  <si>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</si>
  <si>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</si>
  <si>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</si>
  <si>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</si>
  <si>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</si>
  <si>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</si>
  <si>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</si>
  <si>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</si>
  <si>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</si>
  <si>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</si>
  <si>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</si>
  <si>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</si>
  <si>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</si>
  <si>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</si>
  <si>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</si>
  <si>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</si>
  <si>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</si>
  <si>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</si>
  <si>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</si>
  <si>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</si>
  <si>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</si>
  <si>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</si>
  <si>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</si>
  <si>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</si>
  <si>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</si>
  <si>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</si>
  <si>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</si>
  <si>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</si>
  <si>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</si>
  <si>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</si>
  <si>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</si>
  <si>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</si>
  <si>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</si>
  <si>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</si>
  <si>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</si>
  <si>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</si>
  <si>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</si>
  <si>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</si>
  <si>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</si>
  <si>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</si>
  <si>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</si>
  <si>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</si>
  <si>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</si>
  <si>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</si>
  <si>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</si>
  <si>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</si>
  <si>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</si>
  <si>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</si>
  <si>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</si>
  <si>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</si>
  <si>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</si>
  <si>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</si>
  <si>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</si>
  <si>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</si>
  <si>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</si>
  <si>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</si>
  <si>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</si>
  <si>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</si>
  <si>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</si>
  <si>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</si>
  <si>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</si>
  <si>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</si>
  <si>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</si>
  <si>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</si>
  <si>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</si>
  <si>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</si>
  <si>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</si>
  <si>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</si>
  <si>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</si>
  <si>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</si>
  <si>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</si>
  <si>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</si>
  <si>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</si>
  <si>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</si>
  <si>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</si>
  <si>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</si>
  <si>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</si>
  <si>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</si>
  <si>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</si>
  <si>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</si>
  <si>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</si>
  <si>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</si>
  <si>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</si>
  <si>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</si>
  <si>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</si>
  <si>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</si>
  <si>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</si>
  <si>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</si>
  <si>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</si>
  <si>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</si>
  <si>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</si>
  <si>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</si>
  <si>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</si>
  <si>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</si>
  <si>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</si>
  <si>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</si>
  <si>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</si>
  <si>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</si>
  <si>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</si>
  <si>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</si>
  <si>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</si>
  <si>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</si>
  <si>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</si>
  <si>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</si>
  <si>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</si>
  <si>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</si>
  <si>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</si>
  <si>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</si>
  <si>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</si>
  <si>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</si>
  <si>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</si>
  <si>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</si>
  <si>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</si>
  <si>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</si>
  <si>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</si>
  <si>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</si>
  <si>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</si>
  <si>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</si>
  <si>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</si>
  <si>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</si>
  <si>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</si>
  <si>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</si>
  <si>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</si>
  <si>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</si>
  <si>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</si>
  <si>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</si>
  <si>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</si>
  <si>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</si>
  <si>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</si>
  <si>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</si>
  <si>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</si>
  <si>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</si>
  <si>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</si>
  <si>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</si>
  <si>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</si>
  <si>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</si>
  <si>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</si>
  <si>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</si>
  <si>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</si>
  <si>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</si>
  <si>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</si>
  <si>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</si>
  <si>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</si>
  <si>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</si>
  <si>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</si>
  <si>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</si>
  <si>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</si>
  <si>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</si>
  <si>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</si>
  <si>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</si>
  <si>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</si>
  <si>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</si>
  <si>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</si>
  <si>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</si>
  <si>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</si>
  <si>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</si>
  <si>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</si>
  <si>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</si>
  <si>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</si>
  <si>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</si>
  <si>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</si>
  <si>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</si>
  <si>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</si>
  <si>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</si>
  <si>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</si>
  <si>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</si>
  <si>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</si>
  <si>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</si>
  <si>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</si>
  <si>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</si>
  <si>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</si>
  <si>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</si>
  <si>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</si>
  <si>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</si>
  <si>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</si>
  <si>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</si>
  <si>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</si>
  <si>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</si>
  <si>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</si>
  <si>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</si>
  <si>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</si>
  <si>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</si>
  <si>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</si>
  <si>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</si>
  <si>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</si>
  <si>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</si>
  <si>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</si>
  <si>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</si>
  <si>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</si>
  <si>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</si>
  <si>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</si>
  <si>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</si>
  <si>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</si>
  <si>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</si>
  <si>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</si>
  <si>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</si>
  <si>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</si>
  <si>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</si>
  <si>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</si>
  <si>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</si>
  <si>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</si>
  <si>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</si>
  <si>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</si>
  <si>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</si>
  <si>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</si>
  <si>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</si>
  <si>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</si>
  <si>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</si>
  <si>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</si>
  <si>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</si>
  <si>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</si>
  <si>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</si>
  <si>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</si>
  <si>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</si>
  <si>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</si>
  <si>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</si>
  <si>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</si>
  <si>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</si>
  <si>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</si>
  <si>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</si>
  <si>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</si>
  <si>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</si>
  <si>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</si>
  <si>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</si>
  <si>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</si>
  <si>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</si>
  <si>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</si>
  <si>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</si>
  <si>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</si>
  <si>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</si>
  <si>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</si>
  <si>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</si>
  <si>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</si>
  <si>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</si>
  <si>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</si>
  <si>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</si>
  <si>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</si>
  <si>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</si>
  <si>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</si>
  <si>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</si>
  <si>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</si>
  <si>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</si>
  <si>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</si>
  <si>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</si>
  <si>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</si>
  <si>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</si>
  <si>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</si>
  <si>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</si>
  <si>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</si>
  <si>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</si>
  <si>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</si>
  <si>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</si>
  <si>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</si>
  <si>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</si>
  <si>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</si>
  <si>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</si>
  <si>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</si>
  <si>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</si>
  <si>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</si>
  <si>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</si>
  <si>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</si>
  <si>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</si>
  <si>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</si>
  <si>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</si>
  <si>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</si>
  <si>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</si>
  <si>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</si>
  <si>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</si>
  <si>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</si>
  <si>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</si>
  <si>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</si>
  <si>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</si>
  <si>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</si>
  <si>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</si>
  <si>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</si>
  <si>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</si>
  <si>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</si>
  <si>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</si>
  <si>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</si>
  <si>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</si>
  <si>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</si>
  <si>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</si>
  <si>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</si>
  <si>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</si>
  <si>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</si>
  <si>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</si>
  <si>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</si>
  <si>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</si>
  <si>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</si>
  <si>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</si>
  <si>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</si>
  <si>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</si>
  <si>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</si>
  <si>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</si>
  <si>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</si>
  <si>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</si>
  <si>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</si>
  <si>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</si>
  <si>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</si>
  <si>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</si>
  <si>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</si>
  <si>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</si>
  <si>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</si>
  <si>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</si>
  <si>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</si>
  <si>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</si>
  <si>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</si>
  <si>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</si>
  <si>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</si>
  <si>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</si>
  <si>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</si>
  <si>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</si>
  <si>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</si>
  <si>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</si>
  <si>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</si>
  <si>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</si>
  <si>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</si>
  <si>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</si>
  <si>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</si>
  <si>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</si>
  <si>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</si>
  <si>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</si>
  <si>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</si>
  <si>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</si>
  <si>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</si>
  <si>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</si>
  <si>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</si>
  <si>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</si>
  <si>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</si>
  <si>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</si>
  <si>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</si>
  <si>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</si>
  <si>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</si>
  <si>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</si>
  <si>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</si>
  <si>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</si>
  <si>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</si>
  <si>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</si>
  <si>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</si>
  <si>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</si>
  <si>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</si>
  <si>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</si>
  <si>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</si>
  <si>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</si>
  <si>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</si>
  <si>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</si>
  <si>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</si>
  <si>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</si>
  <si>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</si>
  <si>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</si>
  <si>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</si>
  <si>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</si>
  <si>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</si>
  <si>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</si>
  <si>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</si>
  <si>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</si>
  <si>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</si>
  <si>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</si>
  <si>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</si>
  <si>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</si>
  <si>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</si>
  <si>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</si>
  <si>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</si>
  <si>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</si>
  <si>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</si>
  <si>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</si>
  <si>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</si>
  <si>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</si>
  <si>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</si>
  <si>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</si>
  <si>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</si>
  <si>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</si>
  <si>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</si>
  <si>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</si>
  <si>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</si>
  <si>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</si>
  <si>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</si>
  <si>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</si>
  <si>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</si>
  <si>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</si>
  <si>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</si>
  <si>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</si>
  <si>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</si>
  <si>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</si>
  <si>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</si>
  <si>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</si>
  <si>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</si>
  <si>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</si>
  <si>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</si>
  <si>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</si>
  <si>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</si>
  <si>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</si>
  <si>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</si>
  <si>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</si>
  <si>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</si>
  <si>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</si>
  <si>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</si>
  <si>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</si>
  <si>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</si>
  <si>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</si>
  <si>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</si>
  <si>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</si>
  <si>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</si>
  <si>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</si>
  <si>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</si>
  <si>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</si>
  <si>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</si>
  <si>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</si>
  <si>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</si>
  <si>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</si>
  <si>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</si>
  <si>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</si>
  <si>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</si>
  <si>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</si>
  <si>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</si>
  <si>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</si>
  <si>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</si>
  <si>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</si>
  <si>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</si>
  <si>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</si>
  <si>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</si>
  <si>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</si>
  <si>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</si>
  <si>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</si>
  <si>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</si>
  <si>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</si>
  <si>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</si>
  <si>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</si>
  <si>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</si>
  <si>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</si>
  <si>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</si>
  <si>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</si>
  <si>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</si>
  <si>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</si>
  <si>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</si>
  <si>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</si>
  <si>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</si>
  <si>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</si>
  <si>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</si>
  <si>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</si>
  <si>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</si>
  <si>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</si>
  <si>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</si>
  <si>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</si>
  <si>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</si>
  <si>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</si>
  <si>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</si>
  <si>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</si>
  <si>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</si>
  <si>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</si>
  <si>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</si>
  <si>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</si>
  <si>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</si>
  <si>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</si>
  <si>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</si>
  <si>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</si>
  <si>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</si>
  <si>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</si>
  <si>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</si>
  <si>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</si>
  <si>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</si>
  <si>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</si>
  <si>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</si>
  <si>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</si>
  <si>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</si>
  <si>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</si>
  <si>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</si>
  <si>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</si>
  <si>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</si>
  <si>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</si>
  <si>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</si>
  <si>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</si>
  <si>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</si>
  <si>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</si>
  <si>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</si>
  <si>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</si>
  <si>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</si>
  <si>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</si>
  <si>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</si>
  <si>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</si>
  <si>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</si>
  <si>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</si>
  <si>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</si>
  <si>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</si>
  <si>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</si>
  <si>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</si>
  <si>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</si>
  <si>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</si>
  <si>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</si>
  <si>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</si>
  <si>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</si>
  <si>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</si>
  <si>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</si>
  <si>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</si>
  <si>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</si>
  <si>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</si>
  <si>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</si>
  <si>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</si>
  <si>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</si>
  <si>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</si>
  <si>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</si>
  <si>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</si>
  <si>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</si>
  <si>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</si>
  <si>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</si>
  <si>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</si>
  <si>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</si>
  <si>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</si>
  <si>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</si>
  <si>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</si>
  <si>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</si>
  <si>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</si>
  <si>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</si>
  <si>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</si>
  <si>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</si>
  <si>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</si>
  <si>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</si>
  <si>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</si>
  <si>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</si>
  <si>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</si>
  <si>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</si>
  <si>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</si>
  <si>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</si>
  <si>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</si>
  <si>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</si>
  <si>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</si>
  <si>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</si>
  <si>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</si>
  <si>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</si>
  <si>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</si>
  <si>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</si>
  <si>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</si>
  <si>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</si>
  <si>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</si>
  <si>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</si>
  <si>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</si>
  <si>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</si>
  <si>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</si>
  <si>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</si>
  <si>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</si>
  <si>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</si>
  <si>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</si>
  <si>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</si>
  <si>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</si>
  <si>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</si>
  <si>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</si>
  <si>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</si>
  <si>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</si>
  <si>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</si>
  <si>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</si>
  <si>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</si>
  <si>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</si>
  <si>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</si>
  <si>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</si>
  <si>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</si>
  <si>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</si>
  <si>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</si>
  <si>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</si>
  <si>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</si>
  <si>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</si>
  <si>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</si>
  <si>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</si>
  <si>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</si>
  <si>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</si>
  <si>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</si>
  <si>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</si>
  <si>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</si>
  <si>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</si>
  <si>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</si>
  <si>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</si>
  <si>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</si>
  <si>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</si>
  <si>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</si>
  <si>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</si>
  <si>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</si>
  <si>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</si>
  <si>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</si>
  <si>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</si>
  <si>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</si>
  <si>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</si>
  <si>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</si>
  <si>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</si>
  <si>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</si>
  <si>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</si>
  <si>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</si>
  <si>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</si>
  <si>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</si>
  <si>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</si>
  <si>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</si>
  <si>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</si>
  <si>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</si>
  <si>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</si>
  <si>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</si>
  <si>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</si>
  <si>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</si>
  <si>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</si>
  <si>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</si>
  <si>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</si>
  <si>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</si>
  <si>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</si>
  <si>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</si>
  <si>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</si>
  <si>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</si>
  <si>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</si>
  <si>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</si>
  <si>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</si>
  <si>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</si>
  <si>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</si>
  <si>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</si>
  <si>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</si>
  <si>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</si>
  <si>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</si>
  <si>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</si>
  <si>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</si>
  <si>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</si>
  <si>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</si>
  <si>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</si>
  <si>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</si>
  <si>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</si>
  <si>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</si>
  <si>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</si>
  <si>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</si>
  <si>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</si>
  <si>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</si>
  <si>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</si>
  <si>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</si>
  <si>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</si>
  <si>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</si>
  <si>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</si>
  <si>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</si>
  <si>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</si>
  <si>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</si>
  <si>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</si>
  <si>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</si>
  <si>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</si>
  <si>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</si>
  <si>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</si>
  <si>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</si>
  <si>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</si>
  <si>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</si>
  <si>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</si>
  <si>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</si>
  <si>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</si>
  <si>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</si>
  <si>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</si>
  <si>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</si>
  <si>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</si>
  <si>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</si>
  <si>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</si>
  <si>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</si>
  <si>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</si>
  <si>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</si>
  <si>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</si>
  <si>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</si>
  <si>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</si>
  <si>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</si>
  <si>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</si>
  <si>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</si>
  <si>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</si>
  <si>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</si>
  <si>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</si>
  <si>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</si>
  <si>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</si>
  <si>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</si>
  <si>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</si>
  <si>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</si>
  <si>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</si>
  <si>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</si>
  <si>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</si>
  <si>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</si>
  <si>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</si>
  <si>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</si>
  <si>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</si>
  <si>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</si>
  <si>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</si>
  <si>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</si>
  <si>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</si>
  <si>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</si>
  <si>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</si>
  <si>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</si>
  <si>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</si>
  <si>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</si>
  <si>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</si>
  <si>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</si>
  <si>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</si>
  <si>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</si>
  <si>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</si>
  <si>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</si>
  <si>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</si>
  <si>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</si>
  <si>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</si>
  <si>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</si>
  <si>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</si>
  <si>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</si>
  <si>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</si>
  <si>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</si>
  <si>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</si>
  <si>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</si>
  <si>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</si>
  <si>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</si>
  <si>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</si>
  <si>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</si>
  <si>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</si>
  <si>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</si>
  <si>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</si>
  <si>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</si>
  <si>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</si>
  <si>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</si>
  <si>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</si>
  <si>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</si>
  <si>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</si>
  <si>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</si>
  <si>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</si>
  <si>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</si>
  <si>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</si>
  <si>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</si>
  <si>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</si>
  <si>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</si>
  <si>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</si>
  <si>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</si>
  <si>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</si>
  <si>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</si>
  <si>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</si>
  <si>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</si>
  <si>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</si>
  <si>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</si>
  <si>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</si>
  <si>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</si>
  <si>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</si>
  <si>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</si>
  <si>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</si>
  <si>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</si>
  <si>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</si>
  <si>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</si>
  <si>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</si>
  <si>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</si>
  <si>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</si>
  <si>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</si>
  <si>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</si>
  <si>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</si>
  <si>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</si>
  <si>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</si>
  <si>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</si>
  <si>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</si>
  <si>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</si>
  <si>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</si>
  <si>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</si>
  <si>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</si>
  <si>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</si>
  <si>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</si>
  <si>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</si>
  <si>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</si>
  <si>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</si>
  <si>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</si>
  <si>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</si>
  <si>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</si>
  <si>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</si>
  <si>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</si>
  <si>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</si>
  <si>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</si>
  <si>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</si>
  <si>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</si>
  <si>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</si>
  <si>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</si>
  <si>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</si>
  <si>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</si>
  <si>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</si>
  <si>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</si>
  <si>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</si>
  <si>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</si>
  <si>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</si>
  <si>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</si>
  <si>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</si>
  <si>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</si>
  <si>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</si>
  <si>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</si>
  <si>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</si>
  <si>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</si>
  <si>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</si>
  <si>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</si>
  <si>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</si>
  <si>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</si>
  <si>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</si>
  <si>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</si>
  <si>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</si>
  <si>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</si>
  <si>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</si>
  <si>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</si>
  <si>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</si>
  <si>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</si>
  <si>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</si>
  <si>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</si>
  <si>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</si>
  <si>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</si>
  <si>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</si>
  <si>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</si>
  <si>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</si>
  <si>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</si>
  <si>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</si>
  <si>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</si>
  <si>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</si>
  <si>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</si>
  <si>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</si>
  <si>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</si>
  <si>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</si>
  <si>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</si>
  <si>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</si>
  <si>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</si>
  <si>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</si>
  <si>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</si>
  <si>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</si>
  <si>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</si>
  <si>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</si>
  <si>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</si>
  <si>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</si>
  <si>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</si>
  <si>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</si>
  <si>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</si>
  <si>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</si>
  <si>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</si>
  <si>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</si>
  <si>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</si>
  <si>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</si>
  <si>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</si>
  <si>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</si>
  <si>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</si>
  <si>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</si>
  <si>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</si>
  <si>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</si>
  <si>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</si>
  <si>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</si>
  <si>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</si>
  <si>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</si>
  <si>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</si>
  <si>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</si>
  <si>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</si>
  <si>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</si>
  <si>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</si>
  <si>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</si>
  <si>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</si>
  <si>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</si>
  <si>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</si>
  <si>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</si>
  <si>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</si>
  <si>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</si>
  <si>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</si>
  <si>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</si>
  <si>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</si>
  <si>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</si>
  <si>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</si>
  <si>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</si>
  <si>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</si>
  <si>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</si>
  <si>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</si>
  <si>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</si>
  <si>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</si>
  <si>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</si>
  <si>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</si>
  <si>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</si>
  <si>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</si>
  <si>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</si>
  <si>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</si>
  <si>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</si>
  <si>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</si>
  <si>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</si>
  <si>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</si>
  <si>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</si>
  <si>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</si>
  <si>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</si>
  <si>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</si>
  <si>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</si>
  <si>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</si>
  <si>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</si>
  <si>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</si>
  <si>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</si>
  <si>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</si>
  <si>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</si>
  <si>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</si>
  <si>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</si>
  <si>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</si>
  <si>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</si>
  <si>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</si>
  <si>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</si>
  <si>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</si>
  <si>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</si>
  <si>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</si>
  <si>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</si>
  <si>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</si>
  <si>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</si>
  <si>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</si>
  <si>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</si>
  <si>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</si>
  <si>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</si>
  <si>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</si>
  <si>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</si>
  <si>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</si>
  <si>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</si>
  <si>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</si>
  <si>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</si>
  <si>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</si>
  <si>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</si>
  <si>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</si>
  <si>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</si>
  <si>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</si>
  <si>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</si>
  <si>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</si>
  <si>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</si>
  <si>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</si>
  <si>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</si>
  <si>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</si>
  <si>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</si>
  <si>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</si>
  <si>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</si>
  <si>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</si>
  <si>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</si>
  <si>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</si>
  <si>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</si>
  <si>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</si>
  <si>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</si>
  <si>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</si>
  <si>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</si>
  <si>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</si>
  <si>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</si>
  <si>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</si>
  <si>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</si>
  <si>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</si>
  <si>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</si>
  <si>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</si>
  <si>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</si>
  <si>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</si>
  <si>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</si>
  <si>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</si>
  <si>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</si>
  <si>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</si>
  <si>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</si>
  <si>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</si>
  <si>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</si>
  <si>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</si>
  <si>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</si>
  <si>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</si>
  <si>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</si>
  <si>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</si>
  <si>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</si>
  <si>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</si>
  <si>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</si>
  <si>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</si>
  <si>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</si>
  <si>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</si>
  <si>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</si>
  <si>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</si>
  <si>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</si>
  <si>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</si>
  <si>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</si>
  <si>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</si>
  <si>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</si>
  <si>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</si>
  <si>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</si>
  <si>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</si>
  <si>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</si>
  <si>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</si>
  <si>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</si>
  <si>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</si>
  <si>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</si>
  <si>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</si>
  <si>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</si>
  <si>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</si>
  <si>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</si>
  <si>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</si>
  <si>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</si>
  <si>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</si>
  <si>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</si>
  <si>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</si>
  <si>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</si>
  <si>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</si>
  <si>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</si>
  <si>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</si>
  <si>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</si>
  <si>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</si>
  <si>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</si>
  <si>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</si>
  <si>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</si>
  <si>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</si>
  <si>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</si>
  <si>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</si>
  <si>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</si>
  <si>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</si>
  <si>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</si>
  <si>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</si>
  <si>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</si>
  <si>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</si>
  <si>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</si>
  <si>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</si>
  <si>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</si>
  <si>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</si>
  <si>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</si>
  <si>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</si>
  <si>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</si>
  <si>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</si>
  <si>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</si>
  <si>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</si>
  <si>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</si>
  <si>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</si>
  <si>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</si>
  <si>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</si>
  <si>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</si>
  <si>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</si>
  <si>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</si>
  <si>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</si>
  <si>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</si>
  <si>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</si>
  <si>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</si>
  <si>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</si>
  <si>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</si>
  <si>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</si>
  <si>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</si>
  <si>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</si>
  <si>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</si>
  <si>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</si>
  <si>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</si>
  <si>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</si>
  <si>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</si>
  <si>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</si>
  <si>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</si>
  <si>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</si>
  <si>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</si>
  <si>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</si>
  <si>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</si>
  <si>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</si>
  <si>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</si>
  <si>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</si>
  <si>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</si>
  <si>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</si>
  <si>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</si>
  <si>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</si>
  <si>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</si>
  <si>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</si>
  <si>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</si>
  <si>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</si>
  <si>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</si>
  <si>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</si>
  <si>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</si>
  <si>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</si>
  <si>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</si>
  <si>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</si>
  <si>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</si>
  <si>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</si>
  <si>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</si>
  <si>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</si>
  <si>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</si>
  <si>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</si>
  <si>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</si>
  <si>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</si>
  <si>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</si>
  <si>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</si>
  <si>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</si>
  <si>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</si>
  <si>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</si>
  <si>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</si>
  <si>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</si>
  <si>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</si>
  <si>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</si>
  <si>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</si>
  <si>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</si>
  <si>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</si>
  <si>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</si>
  <si>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</si>
  <si>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</si>
  <si>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Go to "Data" --&gt;Text to Columns - Select "Delimited" ---&gt; Select "Space" --&gt; Finish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</si>
  <si>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</si>
  <si>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</si>
  <si>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</si>
  <si>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</si>
  <si>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</si>
  <si>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</si>
  <si>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</si>
  <si>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</si>
  <si>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</si>
  <si>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</si>
  <si>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</si>
  <si>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</si>
  <si>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</si>
  <si>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</si>
  <si>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</si>
  <si>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</si>
  <si>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</si>
  <si>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</si>
  <si>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</si>
  <si>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</si>
  <si>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</si>
  <si>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</si>
  <si>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Following instructions as above</t>
  </si>
  <si>
    <t>Paste in an empty document in Notepad++</t>
  </si>
  <si>
    <t>line selec tion: line 4 to line 18</t>
  </si>
  <si>
    <t>column selection: Col 21 to Col 31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</si>
  <si>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</si>
  <si>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</si>
  <si>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</si>
  <si>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</si>
  <si>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</si>
  <si>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 Purpose</t>
  </si>
  <si>
    <t>Stops by Purpose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</si>
  <si>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</si>
  <si>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</si>
  <si>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</si>
  <si>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</si>
  <si>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</si>
  <si>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</si>
  <si>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</si>
  <si>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</si>
  <si>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changemode</t>
  </si>
  <si>
    <t>total trips</t>
  </si>
  <si>
    <t>Under 5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</si>
  <si>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</si>
  <si>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</si>
  <si>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</si>
  <si>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</si>
  <si>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</si>
  <si>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</si>
  <si>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</si>
  <si>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</si>
  <si>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</si>
  <si>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</si>
  <si>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</si>
  <si>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</si>
  <si>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</si>
  <si>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</si>
  <si>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</si>
  <si>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</si>
  <si>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</si>
  <si>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</si>
  <si>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</si>
  <si>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</si>
  <si>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</si>
  <si>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</si>
  <si>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</si>
  <si>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</si>
  <si>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</si>
  <si>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</si>
  <si>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</si>
  <si>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</si>
  <si>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</si>
  <si>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</si>
  <si>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</si>
  <si>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</si>
  <si>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RATIO (SURVEY/ABM)</t>
  </si>
  <si>
    <t>District</t>
  </si>
  <si>
    <t>Scaled Survey</t>
  </si>
  <si>
    <t>Work Tours/Worker</t>
  </si>
  <si>
    <t>Jun</t>
  </si>
  <si>
    <t>WorkbasedSubtourGenerationCoefficients_model</t>
  </si>
  <si>
    <t>Here the coeff file will be "WorkbasedSubtourGenerationCoefficients_model"</t>
  </si>
  <si>
    <t>Copy (Ctrl-c) cells X3:X384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</si>
  <si>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</si>
  <si>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</si>
  <si>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</si>
  <si>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</si>
  <si>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</si>
  <si>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</si>
  <si>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</si>
  <si>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</si>
  <si>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</si>
  <si>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Patt</t>
  </si>
  <si>
    <t>ern1101.al</t>
  </si>
  <si>
    <t>o/f</t>
  </si>
  <si>
    <t>sion 1828  (SACOG2000)</t>
  </si>
  <si>
    <t>Crea</t>
  </si>
  <si>
    <t>ted by ALO</t>
  </si>
  <si>
    <t>GIT</t>
  </si>
  <si>
    <t>8:21:35 on 26 Jun 12</t>
  </si>
  <si>
    <t>8878  -.34</t>
  </si>
  <si>
    <t>6497067E+05  -.321831544626E+05</t>
  </si>
  <si>
    <t>0 8:21:</t>
  </si>
  <si>
    <t>on 26 Jun 12</t>
  </si>
  <si>
    <t>377 -18045</t>
  </si>
  <si>
    <t>-</t>
  </si>
  <si>
    <t>13822  -1674  -7440   6372  25945</t>
  </si>
  <si>
    <t>0      0</t>
  </si>
  <si>
    <t>0      0      0      0      0</t>
  </si>
  <si>
    <t>0 -16694</t>
  </si>
  <si>
    <t>558      0      0      0      0</t>
  </si>
  <si>
    <t>26066  -4132 -12339  -6961   9380</t>
  </si>
  <si>
    <t>0  -6748   -491  -8214  -2854</t>
  </si>
  <si>
    <t>339      0</t>
  </si>
  <si>
    <t>0      0  16425      0      0</t>
  </si>
  <si>
    <t>0 -27814</t>
  </si>
  <si>
    <t>264      0      0  -2867      0</t>
  </si>
  <si>
    <t>0  -5742</t>
  </si>
  <si>
    <t>-6857      0      0   -455      0</t>
  </si>
  <si>
    <t>367      0</t>
  </si>
  <si>
    <t>0  -6981  46889    692    451</t>
  </si>
  <si>
    <t>806      0</t>
  </si>
  <si>
    <t>0      0     61    284      0</t>
  </si>
  <si>
    <t>971      0      0 -97457      0</t>
  </si>
  <si>
    <t>659   3964    143      4    438</t>
  </si>
  <si>
    <t>0   -186    586      0      0</t>
  </si>
  <si>
    <t>0      0 -31640      0  31397</t>
  </si>
  <si>
    <t>0 -31702</t>
  </si>
  <si>
    <t>2447      0      0   3686      0</t>
  </si>
  <si>
    <t>749      0</t>
  </si>
  <si>
    <t>-16      0    376 -34558  -4878</t>
  </si>
  <si>
    <t>130  -3063</t>
  </si>
  <si>
    <t>-5470      0      0      0   3093</t>
  </si>
  <si>
    <t>422      0</t>
  </si>
  <si>
    <t>0      0   6779      0      0</t>
  </si>
  <si>
    <t>279      0</t>
  </si>
  <si>
    <t>13253      0      0      0      0</t>
  </si>
  <si>
    <t>5483 -14960  -2992  21916  17511</t>
  </si>
  <si>
    <t>0    937  -1184      0      0</t>
  </si>
  <si>
    <t>0      0   6580      0  -6563</t>
  </si>
  <si>
    <t>0   -262</t>
  </si>
  <si>
    <t>45  26187    -27  -3739  -3037</t>
  </si>
  <si>
    <t>0     66     64      0      0</t>
  </si>
  <si>
    <t>0      0   1369      0  -1345</t>
  </si>
  <si>
    <t>0   -214</t>
  </si>
  <si>
    <t>15659  -2043  11828   2853 -10523</t>
  </si>
  <si>
    <t>029      0</t>
  </si>
  <si>
    <t>0      0   -823    530      0</t>
  </si>
  <si>
    <t>540      0      0  -7369      0</t>
  </si>
  <si>
    <t>383      0</t>
  </si>
  <si>
    <t>0 -68514 -12889  -2616  12359</t>
  </si>
  <si>
    <t>713 -15969</t>
  </si>
  <si>
    <t>191      0      0      0   -868</t>
  </si>
  <si>
    <t>988      0</t>
  </si>
  <si>
    <t>0      0    228      0      0</t>
  </si>
  <si>
    <t>175      0</t>
  </si>
  <si>
    <t>713   -718      0 -72122 -13186</t>
  </si>
  <si>
    <t>664  -3567</t>
  </si>
  <si>
    <t>16959      0      0    393      0</t>
  </si>
  <si>
    <t>358      0</t>
  </si>
  <si>
    <t>6485      0    217   1223   -735</t>
  </si>
  <si>
    <t>0 -88262</t>
  </si>
  <si>
    <t>-2017  12063   2361 -17832 -14780</t>
  </si>
  <si>
    <t>0   -894   1069      0      0</t>
  </si>
  <si>
    <t>0      0  -4028      0   3885</t>
  </si>
  <si>
    <t>0     76</t>
  </si>
  <si>
    <t>63562 -11388  51027  53390  63202</t>
  </si>
  <si>
    <t>0    -56   -292    -12   -319</t>
  </si>
  <si>
    <t>283      0</t>
  </si>
  <si>
    <t>0      0   -201    148      0</t>
  </si>
  <si>
    <t>237      0      0    741      0</t>
  </si>
  <si>
    <t>711      0</t>
  </si>
  <si>
    <t>0 -14632  -3579   2179    159</t>
  </si>
  <si>
    <t>505   2874</t>
  </si>
  <si>
    <t>-187   -632   -418      0      0</t>
  </si>
  <si>
    <t>-48      0</t>
  </si>
  <si>
    <t>3731      0      0      0      0</t>
  </si>
  <si>
    <t>-2714      0   2809      0    108</t>
  </si>
  <si>
    <t>-2404   6675   6789   6933      0</t>
  </si>
  <si>
    <t>351      0</t>
  </si>
  <si>
    <t>0   -247</t>
  </si>
  <si>
    <t>3518      0      0    -99      0</t>
  </si>
  <si>
    <t>-372      0    -38    150   1075</t>
  </si>
  <si>
    <t>0 -21566</t>
  </si>
  <si>
    <t>21112  16044      0   4806      0</t>
  </si>
  <si>
    <t>0   -137    182     60  -1547</t>
  </si>
  <si>
    <t>766      0</t>
  </si>
  <si>
    <t>0      0     49    135      0</t>
  </si>
  <si>
    <t>86      0      0    687      0</t>
  </si>
  <si>
    <t>740      0</t>
  </si>
  <si>
    <t>0 -21453  -5960  -2159  16995</t>
  </si>
  <si>
    <t>162  19994</t>
  </si>
  <si>
    <t>0      0      0      0   6848</t>
  </si>
  <si>
    <t>-1151    354   -247    938   -123</t>
  </si>
  <si>
    <t>0    532     -2      0      0</t>
  </si>
  <si>
    <t>0      0  -1719      0   2117</t>
  </si>
  <si>
    <t>0    123</t>
  </si>
  <si>
    <t>24131   -646   5598   7910  14287</t>
  </si>
  <si>
    <t>217      0</t>
  </si>
  <si>
    <t>0      0      0  -4095      0</t>
  </si>
  <si>
    <t>0    471   -425     97    272</t>
  </si>
  <si>
    <t>994      0</t>
  </si>
  <si>
    <t>0      0   -228   -155      0</t>
  </si>
  <si>
    <t>-211      0      0   1457      0</t>
  </si>
  <si>
    <t>567      0</t>
  </si>
  <si>
    <t>0  -3309 -13628   1720   2301</t>
  </si>
  <si>
    <t>296   -811</t>
  </si>
  <si>
    <t>0      0      0      0  -1039</t>
  </si>
  <si>
    <t>-2197      0      0      0      0</t>
  </si>
  <si>
    <t>0   7706</t>
  </si>
  <si>
    <t>81  -4131  -3398      0      0</t>
  </si>
  <si>
    <t>-69      0</t>
  </si>
  <si>
    <t>98      0      0      0      0</t>
  </si>
  <si>
    <t>75      0   -114      0      5</t>
  </si>
  <si>
    <t>976    153</t>
  </si>
  <si>
    <t>5769    851   1050    580      0</t>
  </si>
  <si>
    <t>220      0</t>
  </si>
  <si>
    <t>0  -1390      0      0      0</t>
  </si>
  <si>
    <t>080      0</t>
  </si>
  <si>
    <t>0      0      0  -1635      0</t>
  </si>
  <si>
    <t>224      0</t>
  </si>
  <si>
    <t>429    945</t>
  </si>
  <si>
    <t>0      0    619      0      0</t>
  </si>
  <si>
    <t>0  -1942</t>
  </si>
  <si>
    <t>0      0      0      0    823</t>
  </si>
  <si>
    <t>0   -496  -1711   -775      0</t>
  </si>
  <si>
    <t>567    389</t>
  </si>
  <si>
    <t>-3761      0   -148      0      0</t>
  </si>
  <si>
    <t>0      0  -1242      0   -134</t>
  </si>
  <si>
    <t>186      0    794     -6      0</t>
  </si>
  <si>
    <t>0   -300</t>
  </si>
  <si>
    <t>891      0      0     -5      0</t>
  </si>
  <si>
    <t>193      0</t>
  </si>
  <si>
    <t>222      0   -369    -96    108</t>
  </si>
  <si>
    <t>0  -1485</t>
  </si>
  <si>
    <t>1538   3204      0     64      0</t>
  </si>
  <si>
    <t>0      0      0    976      0</t>
  </si>
  <si>
    <t>0   -456      0    435    -68</t>
  </si>
  <si>
    <t>0  -2750   -384  -1036    209</t>
  </si>
  <si>
    <t>199      0</t>
  </si>
  <si>
    <t>0      0   2195  -2760      0</t>
  </si>
  <si>
    <t>-549      0      0   -170      0</t>
  </si>
  <si>
    <t>99      0</t>
  </si>
  <si>
    <t>0   -806   -677   -314   -812</t>
  </si>
  <si>
    <t>558   -520</t>
  </si>
  <si>
    <t>0      0      0      0  -1113</t>
  </si>
  <si>
    <t>337      0      0      0      0</t>
  </si>
  <si>
    <t>0    601</t>
  </si>
  <si>
    <t>0      0 -14766  -7448      0</t>
  </si>
  <si>
    <t>0  -2194    785  -1218   -606</t>
  </si>
  <si>
    <t>505      0</t>
  </si>
  <si>
    <t>0      0   1094  -1400      0</t>
  </si>
  <si>
    <t>-903      0      0    242      0</t>
  </si>
  <si>
    <t>348      0</t>
  </si>
  <si>
    <t>0    476   -426   -735  -1695</t>
  </si>
  <si>
    <t>605  -2185</t>
  </si>
  <si>
    <t>0      0      0      0     28</t>
  </si>
  <si>
    <t>329      0      0      0      0</t>
  </si>
  <si>
    <t>0   2653</t>
  </si>
  <si>
    <t>0      0  18896   5861      0</t>
  </si>
  <si>
    <t>062      0</t>
  </si>
  <si>
    <t>-497    -39    101    290    336</t>
  </si>
  <si>
    <t>0    546   -562      0      0</t>
  </si>
  <si>
    <t>0      0    157      0   -320</t>
  </si>
  <si>
    <t>0   -515</t>
  </si>
  <si>
    <t>76     61    237    155   -227</t>
  </si>
  <si>
    <t>291      0</t>
  </si>
  <si>
    <t>214      0</t>
  </si>
  <si>
    <t>0   1546    217      0  -8119</t>
  </si>
  <si>
    <t>-446    -38    109    110    330</t>
  </si>
  <si>
    <t>0    434   -341      0      0</t>
  </si>
  <si>
    <t>0      0      6      0    -77</t>
  </si>
  <si>
    <t>0   -292</t>
  </si>
  <si>
    <t>93      6    210    313     65</t>
  </si>
  <si>
    <t>66      0</t>
  </si>
  <si>
    <t>0      0      0     58      0</t>
  </si>
  <si>
    <t>255      0</t>
  </si>
  <si>
    <t>0  -1900  -1304      0  -7296</t>
  </si>
  <si>
    <t>23961      0      0      0      0</t>
  </si>
  <si>
    <t>0    -85</t>
  </si>
  <si>
    <t>-228      0      0   -246      0</t>
  </si>
  <si>
    <t>244      0</t>
  </si>
  <si>
    <t>-13      0    141    182    -83</t>
  </si>
  <si>
    <t>0     66</t>
  </si>
  <si>
    <t>-111     28      0    -52      0</t>
  </si>
  <si>
    <t>0      0      0   -268      0</t>
  </si>
  <si>
    <t>-45      0</t>
  </si>
  <si>
    <t>0    312      0    235     20</t>
  </si>
  <si>
    <t>10396      0      0      0      0</t>
  </si>
  <si>
    <t>867 -19138</t>
  </si>
  <si>
    <t>2016    176   -823   -561   -536</t>
  </si>
  <si>
    <t>0  -1168   1158      0      0</t>
  </si>
  <si>
    <t>0      0     77      0     24</t>
  </si>
  <si>
    <t>0   -160</t>
  </si>
  <si>
    <t>-78      0</t>
  </si>
  <si>
    <t>0      0      0   -196      0</t>
  </si>
  <si>
    <t>190      0</t>
  </si>
  <si>
    <t>0  -1008  -1269      0  12117</t>
  </si>
  <si>
    <t>1689  -4329      0      0 -35258</t>
  </si>
  <si>
    <t>0  -1344     14    -93    -84</t>
  </si>
  <si>
    <t>128      0</t>
  </si>
  <si>
    <t>0      0    338  -1307      0</t>
  </si>
  <si>
    <t>331      0      0   -408      0</t>
  </si>
  <si>
    <t>514      0</t>
  </si>
  <si>
    <t>0   -725   -140   -269    -16</t>
  </si>
  <si>
    <t>332   -182</t>
  </si>
  <si>
    <t>0      0      0      0    334</t>
  </si>
  <si>
    <t>212      0      0      0      0</t>
  </si>
  <si>
    <t>0    278</t>
  </si>
  <si>
    <t>0      0  -4043  -1871      0</t>
  </si>
  <si>
    <t>261      0</t>
  </si>
  <si>
    <t>4570  -5106  -2792      0      0</t>
  </si>
  <si>
    <t>312   -480</t>
  </si>
  <si>
    <t>259    -22  -1017      0      0</t>
  </si>
  <si>
    <t>118      0</t>
  </si>
  <si>
    <t>-243      0      0      0      0</t>
  </si>
  <si>
    <t>-458      0    722      0   1365</t>
  </si>
  <si>
    <t>15   -168</t>
  </si>
  <si>
    <t>-13   -894   -799   -472      0</t>
  </si>
  <si>
    <t>218      0</t>
  </si>
  <si>
    <t>0   -898      0      0      0</t>
  </si>
  <si>
    <t>241      0</t>
  </si>
  <si>
    <t>0      0      0     94      0</t>
  </si>
  <si>
    <t>612    593</t>
  </si>
  <si>
    <t>-8224      0  19580      0      0</t>
  </si>
  <si>
    <t>0      0   1901   1516      0</t>
  </si>
  <si>
    <t>358    -90</t>
  </si>
  <si>
    <t>-200      0      0    -30      0</t>
  </si>
  <si>
    <t>-20      0</t>
  </si>
  <si>
    <t>342      0    684      3     23</t>
  </si>
  <si>
    <t>0    142</t>
  </si>
  <si>
    <t>-315   -290      0     -4      0</t>
  </si>
  <si>
    <t>0      0      0   -150      0</t>
  </si>
  <si>
    <t>106      0</t>
  </si>
  <si>
    <t>0   -170      0    149    259</t>
  </si>
  <si>
    <t>2025      0      0      0      0</t>
  </si>
  <si>
    <t>972  -3167</t>
  </si>
  <si>
    <t>7436  -7559      0   7923   7501</t>
  </si>
  <si>
    <t>764    243</t>
  </si>
  <si>
    <t>0      0    183      0      0</t>
  </si>
  <si>
    <t>0  -1319</t>
  </si>
  <si>
    <t>0      0      0      0     84</t>
  </si>
  <si>
    <t>0    713   -521     23      0</t>
  </si>
  <si>
    <t>269   -274</t>
  </si>
  <si>
    <t>-284      0    144      0      0</t>
  </si>
  <si>
    <t>0      0    718      0    228</t>
  </si>
  <si>
    <t>170      0    476    434      0</t>
  </si>
  <si>
    <t>0  -9971</t>
  </si>
  <si>
    <t>0      0      0      0   9456</t>
  </si>
  <si>
    <t>071     49</t>
  </si>
  <si>
    <t>-7750      0   7382  20407 -25964</t>
  </si>
  <si>
    <t>188   -903</t>
  </si>
  <si>
    <t>0      0    -16      0      0</t>
  </si>
  <si>
    <t>0    -14</t>
  </si>
  <si>
    <t>0      0      0      0   -410</t>
  </si>
  <si>
    <t>0    131      9    196      0</t>
  </si>
  <si>
    <t>784  -1039</t>
  </si>
  <si>
    <t>140      0    -12      0      0</t>
  </si>
  <si>
    <t>0      0   2152      0    -47</t>
  </si>
  <si>
    <t>326      0   1135   -132      0</t>
  </si>
  <si>
    <t>0  -3200</t>
  </si>
  <si>
    <t>0      0      0      0  12303</t>
  </si>
  <si>
    <t>943  -2444</t>
  </si>
  <si>
    <t>3355      0 -13353   5566  -3157</t>
  </si>
  <si>
    <t>869    411</t>
  </si>
  <si>
    <t>-627      0      0    189      0</t>
  </si>
  <si>
    <t>-19      0</t>
  </si>
  <si>
    <t>31      0    218   -236   -125</t>
  </si>
  <si>
    <t>0     61</t>
  </si>
  <si>
    <t>-751    -99      0     35      0</t>
  </si>
  <si>
    <t>0      0      0    121      0</t>
  </si>
  <si>
    <t>177      0</t>
  </si>
  <si>
    <t>0     61      0    630    261</t>
  </si>
  <si>
    <t>13680      0      0      0      0</t>
  </si>
  <si>
    <t>055  -1220</t>
  </si>
  <si>
    <t>491   -965      0 -22093  -1652</t>
  </si>
  <si>
    <t>449   3625</t>
  </si>
  <si>
    <t>39    -86  -1141      0      0</t>
  </si>
  <si>
    <t>61      0</t>
  </si>
  <si>
    <t>-690      0      0      0      0</t>
  </si>
  <si>
    <t>58      0    -90      0    -75</t>
  </si>
  <si>
    <t>23    -26</t>
  </si>
  <si>
    <t>-185   -932   -756   -400      0</t>
  </si>
  <si>
    <t>242      0</t>
  </si>
  <si>
    <t>0  -1066      0      0      0</t>
  </si>
  <si>
    <t>674      0</t>
  </si>
  <si>
    <t>0      0      0    433      0</t>
  </si>
  <si>
    <t>878    654</t>
  </si>
  <si>
    <t>-8872      0  27910      0      0</t>
  </si>
  <si>
    <t>0      0   1969   -541      0</t>
  </si>
  <si>
    <t>854  19377</t>
  </si>
  <si>
    <t>20403      0      0      0      0</t>
  </si>
  <si>
    <t>0  -1598   -661   -774    270</t>
  </si>
  <si>
    <t>512      0</t>
  </si>
  <si>
    <t>0      0   1073   -558      0</t>
  </si>
  <si>
    <t>-523      0      0    -63      0</t>
  </si>
  <si>
    <t>184      0</t>
  </si>
  <si>
    <t>0  -1353    112   -228    119</t>
  </si>
  <si>
    <t>602   4558</t>
  </si>
  <si>
    <t>0      0      0      0  -1284</t>
  </si>
  <si>
    <t>-59      0      0      0      0</t>
  </si>
  <si>
    <t>0   -341</t>
  </si>
  <si>
    <t>0      0 -90958  13287      0</t>
  </si>
  <si>
    <t>554      0</t>
  </si>
  <si>
    <t>28345  -6544  -2432      0      0</t>
  </si>
  <si>
    <t>196   -136</t>
  </si>
  <si>
    <t>1642   4704   -326   1450   8955</t>
  </si>
  <si>
    <t>393   -746     56     39  -1052</t>
  </si>
  <si>
    <t>0    -62   -518      0      0</t>
  </si>
  <si>
    <t>0      0     94      0   -122</t>
  </si>
  <si>
    <t>0    178</t>
  </si>
  <si>
    <t>2041    554   -183  -1076  -1545</t>
  </si>
  <si>
    <t>082      0</t>
  </si>
  <si>
    <t>0      0      0   2176      0</t>
  </si>
  <si>
    <t>578      0</t>
  </si>
  <si>
    <t>0  16869 -73264      0   2481</t>
  </si>
  <si>
    <t>-3421  -1943      0      0   3135</t>
  </si>
  <si>
    <t>681      0</t>
  </si>
  <si>
    <t>2568   4609   1289   3379      0</t>
  </si>
  <si>
    <t>0   -944   -377   -401    -32</t>
  </si>
  <si>
    <t>113      0</t>
  </si>
  <si>
    <t>0      0    968  -1028      0</t>
  </si>
  <si>
    <t>-115      0      0   -248      0</t>
  </si>
  <si>
    <t>134      0</t>
  </si>
  <si>
    <t>0   -335   -417   -107     11</t>
  </si>
  <si>
    <t>0      0      0      0   -422</t>
  </si>
  <si>
    <t>175      0      0      0      0</t>
  </si>
  <si>
    <t>0    201</t>
  </si>
  <si>
    <t>0      0  -4774  -2984      0</t>
  </si>
  <si>
    <t>892      0</t>
  </si>
  <si>
    <t>-1444 -10064  -4730      0      0</t>
  </si>
  <si>
    <t>645    842</t>
  </si>
  <si>
    <t>-2849   -611  -1202    132   1492</t>
  </si>
  <si>
    <t>-305      0    135   -224    -14</t>
  </si>
  <si>
    <t>234    113</t>
  </si>
  <si>
    <t>-47      0      0      0    143</t>
  </si>
  <si>
    <t>130      0</t>
  </si>
  <si>
    <t>0      0   -353      0      0</t>
  </si>
  <si>
    <t>142      0</t>
  </si>
  <si>
    <t>365   -283      0     78    368</t>
  </si>
  <si>
    <t>47    475</t>
  </si>
  <si>
    <t>-191      0      0      0      0</t>
  </si>
  <si>
    <t>0    539</t>
  </si>
  <si>
    <t>-426      0   -299      0      0</t>
  </si>
  <si>
    <t>-571   -294      0      0  -3682</t>
  </si>
  <si>
    <t>308      0</t>
  </si>
  <si>
    <t>0      0 -12975   1638   1016</t>
  </si>
  <si>
    <t>2490   5943  -3171  -1794  -3956</t>
  </si>
  <si>
    <t>103   4092</t>
  </si>
  <si>
    <t>0      0  -5508      0  -1980</t>
  </si>
  <si>
    <t>626      0</t>
  </si>
  <si>
    <t>4947    873   1560   1072   1003</t>
  </si>
  <si>
    <t>0     80   -315      0      0</t>
  </si>
  <si>
    <t>0      0   -357      0   -441</t>
  </si>
  <si>
    <t>0   -635</t>
  </si>
  <si>
    <t>675    405    392    234    384</t>
  </si>
  <si>
    <t>593      0</t>
  </si>
  <si>
    <t>0      0      0   -158      0</t>
  </si>
  <si>
    <t>249      0</t>
  </si>
  <si>
    <t>0   2855    924      0   2253</t>
  </si>
  <si>
    <t>962    201      0      0   -648</t>
  </si>
  <si>
    <t>773      0</t>
  </si>
  <si>
    <t>861    568     67   1191      0</t>
  </si>
  <si>
    <t>0  -1444    -25    347      0</t>
  </si>
  <si>
    <t>533  35323</t>
  </si>
  <si>
    <t>0      0     40      0      0</t>
  </si>
  <si>
    <t>0    256</t>
  </si>
  <si>
    <t>0      0      0      0   -442</t>
  </si>
  <si>
    <t>0     76  -1110   -665      0</t>
  </si>
  <si>
    <t>672  29998</t>
  </si>
  <si>
    <t>49      0    -19      0      0</t>
  </si>
  <si>
    <t>0      0   -223      0   -157</t>
  </si>
  <si>
    <t>-699      0      2   -255      0</t>
  </si>
  <si>
    <t>0  -2517</t>
  </si>
  <si>
    <t>0      0      0      0    675</t>
  </si>
  <si>
    <t>18      0    164    113    -26</t>
  </si>
  <si>
    <t>59    -48</t>
  </si>
  <si>
    <t>0      0      0      0   1851</t>
  </si>
  <si>
    <t>0    389</t>
  </si>
  <si>
    <t>-1619  -3664     47   8675    -43</t>
  </si>
  <si>
    <t>322      0</t>
  </si>
  <si>
    <t>0      0   -504    -77      0</t>
  </si>
  <si>
    <t>-141      0      0   -241      0</t>
  </si>
  <si>
    <t>326      0</t>
  </si>
  <si>
    <t>0  -1452    -99   -231    614</t>
  </si>
  <si>
    <t>007    724</t>
  </si>
  <si>
    <t>0      0      0      0   -159</t>
  </si>
  <si>
    <t>-118      0      0      0      0</t>
  </si>
  <si>
    <t>0     52</t>
  </si>
  <si>
    <t>0      0    707    140      0</t>
  </si>
  <si>
    <t>462      0</t>
  </si>
  <si>
    <t>-733    202     10      0      0</t>
  </si>
  <si>
    <t>312    467</t>
  </si>
  <si>
    <t>74    -92   -332   -588     84</t>
  </si>
  <si>
    <t>-323      0     80    -88   -205</t>
  </si>
  <si>
    <t>0  -6741</t>
  </si>
  <si>
    <t>428    637    364      0      0</t>
  </si>
  <si>
    <t>037      0</t>
  </si>
  <si>
    <t>1539      0      0      0      0</t>
  </si>
  <si>
    <t>-184      0    200      0    303</t>
  </si>
  <si>
    <t>848   2994</t>
  </si>
  <si>
    <t>-292   1289   2489   1538      0</t>
  </si>
  <si>
    <t>-31      0</t>
  </si>
  <si>
    <t>0    237      0      0      0</t>
  </si>
  <si>
    <t>355      0</t>
  </si>
  <si>
    <t>0      0      0   -169      0</t>
  </si>
  <si>
    <t>39   1504</t>
  </si>
  <si>
    <t>89      0  -2992      0      0</t>
  </si>
  <si>
    <t>0      0     49    384      0</t>
  </si>
  <si>
    <t>295   -770</t>
  </si>
  <si>
    <t>-1570  -2457      0      0      0</t>
  </si>
  <si>
    <t>569    189      0 -16566 -13769</t>
  </si>
  <si>
    <t>645 -10240</t>
  </si>
  <si>
    <t>850      0      0   -975      0</t>
  </si>
  <si>
    <t>125      0</t>
  </si>
  <si>
    <t>40      0   -109   6451   2412</t>
  </si>
  <si>
    <t>0  -2679</t>
  </si>
  <si>
    <t>2139   1307      0    -40      0</t>
  </si>
  <si>
    <t>0      0      0    667      0</t>
  </si>
  <si>
    <t>0   -157      0   -264   1231</t>
  </si>
  <si>
    <t>-2856      0      0      0      0</t>
  </si>
  <si>
    <t>477    835</t>
  </si>
  <si>
    <t>-76   -361      0    937    598</t>
  </si>
  <si>
    <t>217   -254</t>
  </si>
  <si>
    <t>395      0</t>
  </si>
  <si>
    <t>0 -10150  -8077  23996  42001</t>
  </si>
  <si>
    <t>961   -351</t>
  </si>
  <si>
    <t>0      0   -566      0      0</t>
  </si>
  <si>
    <t>0   -420</t>
  </si>
  <si>
    <t>0      0      0      0     53</t>
  </si>
  <si>
    <t>0    218   2421    726      0</t>
  </si>
  <si>
    <t>313   -433</t>
  </si>
  <si>
    <t>525      0   -147      0      0</t>
  </si>
  <si>
    <t>0      0    -43      0    610</t>
  </si>
  <si>
    <t>-90      0   -841  -3731      0</t>
  </si>
  <si>
    <t>0   1378</t>
  </si>
  <si>
    <t>0      0      0      0  -3405</t>
  </si>
  <si>
    <t>371    160</t>
  </si>
  <si>
    <t>-92      0   -215  -1645   -206</t>
  </si>
  <si>
    <t>505  -1381</t>
  </si>
  <si>
    <t>0      0      0      0  -1280</t>
  </si>
  <si>
    <t>0  -2116</t>
  </si>
  <si>
    <t>-7644  -6203   8198  21654  11901</t>
  </si>
  <si>
    <t>0  -5295</t>
  </si>
  <si>
    <t>2821      0      0   -836      0</t>
  </si>
  <si>
    <t>55      0</t>
  </si>
  <si>
    <t>537      0    159   3768    987</t>
  </si>
  <si>
    <t>0    105</t>
  </si>
  <si>
    <t>6692      6      0   -296      0</t>
  </si>
  <si>
    <t>0      0      0   1279      0</t>
  </si>
  <si>
    <t>888      0</t>
  </si>
  <si>
    <t>0   -960      0  -2502  -5088</t>
  </si>
  <si>
    <t>-5263      0      0      0      0</t>
  </si>
  <si>
    <t>512   -327</t>
  </si>
  <si>
    <t>-604   -222      0   -284  -3520</t>
  </si>
  <si>
    <t>508  -3052</t>
  </si>
  <si>
    <t>189      0</t>
  </si>
  <si>
    <t>0  -9743  -7146  10675  32007</t>
  </si>
  <si>
    <t>165      0</t>
  </si>
  <si>
    <t>-795   -270    -84      0      0</t>
  </si>
  <si>
    <t>763      0</t>
  </si>
  <si>
    <t>1108      0      0      0      0</t>
  </si>
  <si>
    <t>-46      0     58      0    216</t>
  </si>
  <si>
    <t>032   1365</t>
  </si>
  <si>
    <t>-747    771    817   3507      0</t>
  </si>
  <si>
    <t>78      0</t>
  </si>
  <si>
    <t>0    -97      0      0      0</t>
  </si>
  <si>
    <t>737      0</t>
  </si>
  <si>
    <t>0      0      0    780      0</t>
  </si>
  <si>
    <t>353  -1278</t>
  </si>
  <si>
    <t>1102      0   -490      0      0</t>
  </si>
  <si>
    <t>0      0    -45    826      0</t>
  </si>
  <si>
    <t>240   -614</t>
  </si>
  <si>
    <t>-1028  -1052      0      0      0</t>
  </si>
  <si>
    <t>-315    825      0  -8284  -5348</t>
  </si>
  <si>
    <t>291  34579</t>
  </si>
  <si>
    <t>30491    -42   -109     -9    381</t>
  </si>
  <si>
    <t>137      0</t>
  </si>
  <si>
    <t>0      0     67    125      0</t>
  </si>
  <si>
    <t>-134      0      0   -104      0</t>
  </si>
  <si>
    <t>-4      0</t>
  </si>
  <si>
    <t>0    294    -33    457    -21</t>
  </si>
  <si>
    <t>0      0      0      0     -7</t>
  </si>
  <si>
    <t>47      0      0      0      0</t>
  </si>
  <si>
    <t>0   -521</t>
  </si>
  <si>
    <t>0      0   -318   -125      0</t>
  </si>
  <si>
    <t>596      0</t>
  </si>
  <si>
    <t>-101  -7792    833      0      0</t>
  </si>
  <si>
    <t>210    209</t>
  </si>
  <si>
    <t>57   -353    687     50   -152</t>
  </si>
  <si>
    <t>563      0    265    943   -469</t>
  </si>
  <si>
    <t>0  -8013</t>
  </si>
  <si>
    <t>-4700      0   1540    674  -2459</t>
  </si>
  <si>
    <t>-504   -198    286     58     12</t>
  </si>
  <si>
    <t>0     90      6      0      0</t>
  </si>
  <si>
    <t>0      0    -15      0     89</t>
  </si>
  <si>
    <t>0    227</t>
  </si>
  <si>
    <t>-31     -3   -206    -86     53</t>
  </si>
  <si>
    <t>0      0      0   -110      0</t>
  </si>
  <si>
    <t>385      0</t>
  </si>
  <si>
    <t>0    -61    -98      0   -132</t>
  </si>
  <si>
    <t>439   2543      0      0     16</t>
  </si>
  <si>
    <t>378      0</t>
  </si>
  <si>
    <t>43   -153   -144    240      0</t>
  </si>
  <si>
    <t>0    -27   -201    287      0</t>
  </si>
  <si>
    <t>955  -2211</t>
  </si>
  <si>
    <t>0  -1264   -551   2437  18510</t>
  </si>
  <si>
    <t>0   -525</t>
  </si>
  <si>
    <t>499      0      0     63      0</t>
  </si>
  <si>
    <t>144      0</t>
  </si>
  <si>
    <t>70      0   -142    154     97</t>
  </si>
  <si>
    <t>0   -251</t>
  </si>
  <si>
    <t>-255    170      0   -281      0</t>
  </si>
  <si>
    <t>0      0      0    194      0</t>
  </si>
  <si>
    <t>101      0</t>
  </si>
  <si>
    <t>0    136      0    107     85</t>
  </si>
  <si>
    <t>-1013      0      0      0      0</t>
  </si>
  <si>
    <t>953  -3628</t>
  </si>
  <si>
    <t>871   -138      0   -493  -1030</t>
  </si>
  <si>
    <t>595      0</t>
  </si>
  <si>
    <t>0    276  -2929   1779   2779</t>
  </si>
  <si>
    <t>11072      0  -2890      0      0</t>
  </si>
  <si>
    <t>-699    109   -456   -331    211</t>
  </si>
  <si>
    <t>0    455   6771      0      0</t>
  </si>
  <si>
    <t>0      0   -303      0    359</t>
  </si>
  <si>
    <t>0    254</t>
  </si>
  <si>
    <t>-387    -32   -199    241    296</t>
  </si>
  <si>
    <t>252      0</t>
  </si>
  <si>
    <t>0      0      0   4138      0</t>
  </si>
  <si>
    <t>15      0</t>
  </si>
  <si>
    <t>0    962    235      0     79</t>
  </si>
  <si>
    <t>14    -87      0      0    269</t>
  </si>
  <si>
    <t>170      0</t>
  </si>
  <si>
    <t>-690     48   1324   -120      0</t>
  </si>
  <si>
    <t>0    -88   -742   -353      0</t>
  </si>
  <si>
    <t>342    123</t>
  </si>
  <si>
    <t>0    553    -42   1014   -803</t>
  </si>
  <si>
    <t>0     11</t>
  </si>
  <si>
    <t>0   -201    331    371    121</t>
  </si>
  <si>
    <t>607      0</t>
  </si>
  <si>
    <t>0      0  -2110     24      0</t>
  </si>
  <si>
    <t>-169      0      0    -81      0</t>
  </si>
  <si>
    <t>380      0</t>
  </si>
  <si>
    <t>0    581    324     84   -344</t>
  </si>
  <si>
    <t>458   -319</t>
  </si>
  <si>
    <t>0      0      0      0    -81</t>
  </si>
  <si>
    <t>-94      0      0      0      0</t>
  </si>
  <si>
    <t>0   -197</t>
  </si>
  <si>
    <t>0      0   2323   1262      0</t>
  </si>
  <si>
    <t>911      0</t>
  </si>
  <si>
    <t>-675   -433    -74      0      0</t>
  </si>
  <si>
    <t>57   -454</t>
  </si>
  <si>
    <t>-1026      0   -575  -2350  -1338</t>
  </si>
  <si>
    <t>0  -5971</t>
  </si>
  <si>
    <t>-8086      0   8667  12056  10968</t>
  </si>
  <si>
    <t>016      0</t>
  </si>
  <si>
    <t>0      0 -17388      0      0</t>
  </si>
  <si>
    <t>0   -122</t>
  </si>
  <si>
    <t>-675      0      0    -10      0</t>
  </si>
  <si>
    <t>465      0</t>
  </si>
  <si>
    <t>325      0    442   -225    451</t>
  </si>
  <si>
    <t>0     91</t>
  </si>
  <si>
    <t>-172   -146      0   -100      0</t>
  </si>
  <si>
    <t>0      0      0    474      0</t>
  </si>
  <si>
    <t>37      0</t>
  </si>
  <si>
    <t>0   -215      0     81    320</t>
  </si>
  <si>
    <t>756   -397</t>
  </si>
  <si>
    <t>20    -89      0   -399  -1265</t>
  </si>
  <si>
    <t>60  -2884</t>
  </si>
  <si>
    <t>569      0</t>
  </si>
  <si>
    <t>0  -6621  -5738   8201  17004</t>
  </si>
  <si>
    <t>156      0</t>
  </si>
  <si>
    <t>2896      0  -2086    364      0</t>
  </si>
  <si>
    <t>-2042   -451     40   2089   -100</t>
  </si>
  <si>
    <t>0   -199     88      0      0</t>
  </si>
  <si>
    <t>0      0     78      0    -84</t>
  </si>
  <si>
    <t>0     78</t>
  </si>
  <si>
    <t>62   -306    277    799    963</t>
  </si>
  <si>
    <t>699      0</t>
  </si>
  <si>
    <t>0      0      0   -604      0</t>
  </si>
  <si>
    <t>176      0</t>
  </si>
  <si>
    <t>0    724    219      0   -828</t>
  </si>
  <si>
    <t>657    -83      0      0     27</t>
  </si>
  <si>
    <t>147      0</t>
  </si>
  <si>
    <t>-118  -1249  -1256  -1553      0</t>
  </si>
  <si>
    <t>0   -287    418    516      0</t>
  </si>
  <si>
    <t>143  -5540</t>
  </si>
  <si>
    <t>0  12640  25602  19410  -7354</t>
  </si>
  <si>
    <t>0   1443</t>
  </si>
  <si>
    <t>0  -8599  10126      0   9336</t>
  </si>
  <si>
    <t>106    -75</t>
  </si>
  <si>
    <t>0      0   -168      0      0</t>
  </si>
  <si>
    <t>0    -81</t>
  </si>
  <si>
    <t>0      0      0      0   -104</t>
  </si>
  <si>
    <t>0     41    234    169      0</t>
  </si>
  <si>
    <t>386     51</t>
  </si>
  <si>
    <t>-66      0    -86      0      0</t>
  </si>
  <si>
    <t>0      0   -410      0   -210</t>
  </si>
  <si>
    <t>-225      0    -29   -316      0</t>
  </si>
  <si>
    <t>0    589</t>
  </si>
  <si>
    <t>0      0      0      0   -733</t>
  </si>
  <si>
    <t>103     28</t>
  </si>
  <si>
    <t>152      0   1861    -66    949</t>
  </si>
  <si>
    <t>238  -1126</t>
  </si>
  <si>
    <t>0      0      0      0   -355</t>
  </si>
  <si>
    <t>0    -45</t>
  </si>
  <si>
    <t>-5446  -3777   5941  22469   1381</t>
  </si>
  <si>
    <t>0  11465</t>
  </si>
  <si>
    <t>0   5168    756      0      0</t>
  </si>
  <si>
    <t>0 -16575</t>
  </si>
  <si>
    <t>19853   -249    119   -139    -23</t>
  </si>
  <si>
    <t>136      0</t>
  </si>
  <si>
    <t>0      0     53    402      0</t>
  </si>
  <si>
    <t>-187      0      0    -99      0</t>
  </si>
  <si>
    <t>145      0</t>
  </si>
  <si>
    <t>0   -515      4    -84    358</t>
  </si>
  <si>
    <t>496    406</t>
  </si>
  <si>
    <t>0      0      0      0    355</t>
  </si>
  <si>
    <t>982      0      0      0      0</t>
  </si>
  <si>
    <t>0    -95</t>
  </si>
  <si>
    <t>0      0   1544    720      0</t>
  </si>
  <si>
    <t>820      0</t>
  </si>
  <si>
    <t>-1391   -205   -224      0      0</t>
  </si>
  <si>
    <t>52    -40</t>
  </si>
  <si>
    <t>-932      0   -245    164   -171</t>
  </si>
  <si>
    <t>0 -10444</t>
  </si>
  <si>
    <t>17219      0  14455  21656  20038</t>
  </si>
  <si>
    <t>840      0</t>
  </si>
  <si>
    <t>0      0   6226  21480      0</t>
  </si>
  <si>
    <t>247  25370</t>
  </si>
  <si>
    <t>-1077  -1043  -1252      0      0</t>
  </si>
  <si>
    <t>105      0</t>
  </si>
  <si>
    <t>-390      0      0      0      0</t>
  </si>
  <si>
    <t>479      0    320      0    574</t>
  </si>
  <si>
    <t>118   -547</t>
  </si>
  <si>
    <t>-375   -790   -703   -926      0</t>
  </si>
  <si>
    <t>401      0</t>
  </si>
  <si>
    <t>0      2      0      0      0</t>
  </si>
  <si>
    <t>483      0</t>
  </si>
  <si>
    <t>0      0      0   1283      0</t>
  </si>
  <si>
    <t>-2099      0    758      0      0</t>
  </si>
  <si>
    <t>0      0    944    572      0</t>
  </si>
  <si>
    <t>367   -313</t>
  </si>
  <si>
    <t>902    567      0      0      0</t>
  </si>
  <si>
    <t>266   -547      0 -89976   5128</t>
  </si>
  <si>
    <t>291   -345</t>
  </si>
  <si>
    <t>467  -1360   2359      0     51</t>
  </si>
  <si>
    <t>829      0</t>
  </si>
  <si>
    <t>1572      0   1591     28   -990</t>
  </si>
  <si>
    <t>961  -5805</t>
  </si>
  <si>
    <t>0      0    -72      0      0</t>
  </si>
  <si>
    <t>0    -68</t>
  </si>
  <si>
    <t>0      0      0      0    623</t>
  </si>
  <si>
    <t>0   -421    -97    190      0</t>
  </si>
  <si>
    <t>133  -4633</t>
  </si>
  <si>
    <t>-144      0     69      0      0</t>
  </si>
  <si>
    <t>0      0     60      0     92</t>
  </si>
  <si>
    <t>854      0    -92   -244      0</t>
  </si>
  <si>
    <t>0   1904</t>
  </si>
  <si>
    <t>0      0      0      0   -886</t>
  </si>
  <si>
    <t>943    240</t>
  </si>
  <si>
    <t>-137      0     46    463    -28</t>
  </si>
  <si>
    <t>326    574</t>
  </si>
  <si>
    <t>0      0      0      0  -1194</t>
  </si>
  <si>
    <t>0    349</t>
  </si>
  <si>
    <t>7133 -70252   2878   1568    682</t>
  </si>
  <si>
    <t>0   1379</t>
  </si>
  <si>
    <t>0  -1315 -14460      0      0</t>
  </si>
  <si>
    <t>0  -1340</t>
  </si>
  <si>
    <t>679  -2034   2447      0      0</t>
  </si>
  <si>
    <t>0   -134    247      0      0</t>
  </si>
  <si>
    <t>0      0     51      0    -69</t>
  </si>
  <si>
    <t>0     19</t>
  </si>
  <si>
    <t>-926   -257   -204    -80    163</t>
  </si>
  <si>
    <t>24      0</t>
  </si>
  <si>
    <t>0      0      0     54      0</t>
  </si>
  <si>
    <t>0   -486   -279      0   -134</t>
  </si>
  <si>
    <t>865    199      0      0   -258</t>
  </si>
  <si>
    <t>227      0</t>
  </si>
  <si>
    <t>130    136    153   -273      0</t>
  </si>
  <si>
    <t>0    159  -7754    921      0</t>
  </si>
  <si>
    <t>244  -2656</t>
  </si>
  <si>
    <t>0    957   1829    432  -7868</t>
  </si>
  <si>
    <t>0    214</t>
  </si>
  <si>
    <t>0   -827    640      0    933</t>
  </si>
  <si>
    <t>554    769</t>
  </si>
  <si>
    <t>0      0      0   -582      0</t>
  </si>
  <si>
    <t>679   -939</t>
  </si>
  <si>
    <t>-402      0      0    -39      0</t>
  </si>
  <si>
    <t>36      0</t>
  </si>
  <si>
    <t>-37      0    -84   -420   3077</t>
  </si>
  <si>
    <t>0   -205</t>
  </si>
  <si>
    <t>-118   -147      0   -145      0</t>
  </si>
  <si>
    <t>0      0      0      5      0</t>
  </si>
  <si>
    <t>-3      0</t>
  </si>
  <si>
    <t>0     98      0    -20    429</t>
  </si>
  <si>
    <t>-459      0      0      0      0</t>
  </si>
  <si>
    <t>156   -536</t>
  </si>
  <si>
    <t>131   -363      0    -97   -589</t>
  </si>
  <si>
    <t>289    297</t>
  </si>
  <si>
    <t>642      0</t>
  </si>
  <si>
    <t>0  -5780  -5934   1832   1010</t>
  </si>
  <si>
    <t>088      0</t>
  </si>
  <si>
    <t>6905      0  -1375   6200      0</t>
  </si>
  <si>
    <t>-5636  -7876  -3448   -516      0</t>
  </si>
  <si>
    <t>0   1588  -8619      0      0</t>
  </si>
  <si>
    <t>0   2083    982    896    391</t>
  </si>
  <si>
    <t>703      0</t>
  </si>
  <si>
    <t>0      0   -139    142      0</t>
  </si>
  <si>
    <t>-554      0      0   -148      0</t>
  </si>
  <si>
    <t>454      0</t>
  </si>
  <si>
    <t>0    571    507   -336     -7</t>
  </si>
  <si>
    <t>519   2371</t>
  </si>
  <si>
    <t>0      0      0      0    -50</t>
  </si>
  <si>
    <t>-27      0      0      0      0</t>
  </si>
  <si>
    <t>0   -965</t>
  </si>
  <si>
    <t>0      0   1804   1556      0</t>
  </si>
  <si>
    <t>519      0</t>
  </si>
  <si>
    <t>617    870    249      0      0</t>
  </si>
  <si>
    <t>270   -425</t>
  </si>
  <si>
    <t>-173    278   -170   -429     38</t>
  </si>
  <si>
    <t>1867      0  -1841   -279    519</t>
  </si>
  <si>
    <t>0   7396</t>
  </si>
  <si>
    <t>1133      0    -76    638  -1239</t>
  </si>
  <si>
    <t>931      0</t>
  </si>
  <si>
    <t>0      0   -187    139      0</t>
  </si>
  <si>
    <t>312   -117</t>
  </si>
  <si>
    <t>0      0      0      0  -4121</t>
  </si>
  <si>
    <t>0   6861</t>
  </si>
  <si>
    <t>765  34500   -170    191   -138</t>
  </si>
  <si>
    <t>0    -72   -136      0      0</t>
  </si>
  <si>
    <t>0      0   -103      0    -73</t>
  </si>
  <si>
    <t>0    194</t>
  </si>
  <si>
    <t>486  29697    246     44   -151</t>
  </si>
  <si>
    <t>429      0</t>
  </si>
  <si>
    <t>0      0      0   -154      0</t>
  </si>
  <si>
    <t>585      0</t>
  </si>
  <si>
    <t>0  -1257  39409      0    121</t>
  </si>
  <si>
    <t>-34    -98      0      0   -227</t>
  </si>
  <si>
    <t>172      0</t>
  </si>
  <si>
    <t>72   -351   -210    411      0</t>
  </si>
  <si>
    <t>0   1198   -376    173      0</t>
  </si>
  <si>
    <t>670  38177</t>
  </si>
  <si>
    <t>0     86    -38  -3190    549</t>
  </si>
  <si>
    <t>0   -120</t>
  </si>
  <si>
    <t>0     17    582      0    379</t>
  </si>
  <si>
    <t>122   -295</t>
  </si>
  <si>
    <t>0      0      0   3962      0</t>
  </si>
  <si>
    <t>526    -91</t>
  </si>
  <si>
    <t>-2827    154   6464    705    448</t>
  </si>
  <si>
    <t>0   -900    146      0      0</t>
  </si>
  <si>
    <t>0      0   -411      0    466</t>
  </si>
  <si>
    <t>0    148</t>
  </si>
  <si>
    <t>-1263   -161   1076    981   1128</t>
  </si>
  <si>
    <t>349      0</t>
  </si>
  <si>
    <t>0      0      0     79      0</t>
  </si>
  <si>
    <t>0    673    271      0   -682</t>
  </si>
  <si>
    <t>282    199      0      0   -121</t>
  </si>
  <si>
    <t>455      0</t>
  </si>
  <si>
    <t>-195   -142   -371    109      0</t>
  </si>
  <si>
    <t>0    -62   -403   -528      0</t>
  </si>
  <si>
    <t>706    204</t>
  </si>
  <si>
    <t>0   -342   -402    215    559</t>
  </si>
  <si>
    <t>0     24</t>
  </si>
  <si>
    <t>0     23    183      0   -104</t>
  </si>
  <si>
    <t>244   -527</t>
  </si>
  <si>
    <t>0      0      0  -1021      0</t>
  </si>
  <si>
    <t>411   -365</t>
  </si>
  <si>
    <t>-3225 -10019      2   1155   1238</t>
  </si>
  <si>
    <t>784      0</t>
  </si>
  <si>
    <t>0      0  -2154    107      0</t>
  </si>
  <si>
    <t>648      0      0   -410      0</t>
  </si>
  <si>
    <t>245      0</t>
  </si>
  <si>
    <t>0  -3066   -213   1580   1837</t>
  </si>
  <si>
    <t>749    749</t>
  </si>
  <si>
    <t>0      0      0      0    134</t>
  </si>
  <si>
    <t>158      0      0      0      0</t>
  </si>
  <si>
    <t>0   -660</t>
  </si>
  <si>
    <t>0      0    257   -245      0</t>
  </si>
  <si>
    <t>804      0</t>
  </si>
  <si>
    <t>723    675   -117      0      0</t>
  </si>
  <si>
    <t>33     -6</t>
  </si>
  <si>
    <t>166   -241     81   -448  -1298</t>
  </si>
  <si>
    <t>-115      0    365    674    352</t>
  </si>
  <si>
    <t>0   3886</t>
  </si>
  <si>
    <t>-3069      0  -1428  -2281   -286</t>
  </si>
  <si>
    <t>824      0</t>
  </si>
  <si>
    <t>0      0   -168   -921      0</t>
  </si>
  <si>
    <t>101  -2200</t>
  </si>
  <si>
    <t>0      0      0      0  -1010</t>
  </si>
  <si>
    <t>0   2066</t>
  </si>
  <si>
    <t>-4520  -4760  24955  -9215   -135</t>
  </si>
  <si>
    <t>298   1056</t>
  </si>
  <si>
    <t>-344      0      0      0  -2070</t>
  </si>
  <si>
    <t>496      0</t>
  </si>
  <si>
    <t>0      0   1100      0      0</t>
  </si>
  <si>
    <t>344      0</t>
  </si>
  <si>
    <t>5577   2317      0  -2484    -99</t>
  </si>
  <si>
    <t>721   1750</t>
  </si>
  <si>
    <t>-57      0      0      0      0</t>
  </si>
  <si>
    <t>0    100</t>
  </si>
  <si>
    <t>-356      0   -289      0      0</t>
  </si>
  <si>
    <t>-452    629      0      0   1075</t>
  </si>
  <si>
    <t>849      0</t>
  </si>
  <si>
    <t>0      0   -930    916    237</t>
  </si>
  <si>
    <t>132    540     80   -158      7</t>
  </si>
  <si>
    <t>351   2391</t>
  </si>
  <si>
    <t>0      0   -514      0   -174</t>
  </si>
  <si>
    <t>374   -327</t>
  </si>
  <si>
    <t>-2228  -2451  -2332      0    207</t>
  </si>
  <si>
    <t>278    142</t>
  </si>
  <si>
    <t>-665      0      0      0    650</t>
  </si>
  <si>
    <t>876      0</t>
  </si>
  <si>
    <t>2877      0      0      0      0</t>
  </si>
  <si>
    <t>0   -833</t>
  </si>
  <si>
    <t>-984      0  -4556  -3559  23198</t>
  </si>
  <si>
    <t>811  -4669</t>
  </si>
  <si>
    <t>597      0      0   -133      0</t>
  </si>
  <si>
    <t>122      0</t>
  </si>
  <si>
    <t>990      0    274   2650    945</t>
  </si>
  <si>
    <t>0   1033</t>
  </si>
  <si>
    <t>597    799      0    120      0</t>
  </si>
  <si>
    <t>0      0      0  -4138      0</t>
  </si>
  <si>
    <t>501      0</t>
  </si>
  <si>
    <t>0    -65      0     29  -3922</t>
  </si>
  <si>
    <t>299      0      0      0      0</t>
  </si>
  <si>
    <t>623    503</t>
  </si>
  <si>
    <t>110    -92      0   -203    325</t>
  </si>
  <si>
    <t>-82    256</t>
  </si>
  <si>
    <t>952      0</t>
  </si>
  <si>
    <t>0     99   -995    140    336</t>
  </si>
  <si>
    <t>82      0</t>
  </si>
  <si>
    <t>721      0    212    225      0</t>
  </si>
  <si>
    <t>278    862    586    238      0</t>
  </si>
  <si>
    <t>0   1374   -392   -547      0</t>
  </si>
  <si>
    <t>389   1469</t>
  </si>
  <si>
    <t>-3250    -88    477    189  10942</t>
  </si>
  <si>
    <t>0   -152    263      0      0</t>
  </si>
  <si>
    <t>0      0  -1231      0   1233</t>
  </si>
  <si>
    <t>0    115</t>
  </si>
  <si>
    <t>146   -176   3074  10497   1639</t>
  </si>
  <si>
    <t>690      0</t>
  </si>
  <si>
    <t>0      0      0   -329      0</t>
  </si>
  <si>
    <t>356      0</t>
  </si>
  <si>
    <t>0    293   1549      0  -2212</t>
  </si>
  <si>
    <t>572    351      0      0   -858</t>
  </si>
  <si>
    <t>310      0</t>
  </si>
  <si>
    <t>-1409  -1298  -1443  -2220      0</t>
  </si>
  <si>
    <t>0  -1980     17   1478      0</t>
  </si>
  <si>
    <t>325   -578</t>
  </si>
  <si>
    <t>0   8026   -393     14   -176</t>
  </si>
  <si>
    <t>0    -97</t>
  </si>
  <si>
    <t>0    259   -239      0    -98</t>
  </si>
  <si>
    <t>040  -1033</t>
  </si>
  <si>
    <t>0      0      0   -873      0</t>
  </si>
  <si>
    <t>914   -422</t>
  </si>
  <si>
    <t>808   7796  15523  11761  21642</t>
  </si>
  <si>
    <t>384   -733</t>
  </si>
  <si>
    <t>0      0   -298      0      0</t>
  </si>
  <si>
    <t>0   -391</t>
  </si>
  <si>
    <t>0      0      0      0    440</t>
  </si>
  <si>
    <t>0     -5   2042    723      0</t>
  </si>
  <si>
    <t>376   1070</t>
  </si>
  <si>
    <t>-610      0    -26      0      0</t>
  </si>
  <si>
    <t>0      0    118      0    772</t>
  </si>
  <si>
    <t>-949      0  -3759  -4919      0</t>
  </si>
  <si>
    <t>0  -4944</t>
  </si>
  <si>
    <t>0      0      0      0 -13365</t>
  </si>
  <si>
    <t>-62    466</t>
  </si>
  <si>
    <t>-523      0   -206  -3194   -470</t>
  </si>
  <si>
    <t>740  -6418</t>
  </si>
  <si>
    <t>0      0      0      0   6949</t>
  </si>
  <si>
    <t>0   8947</t>
  </si>
  <si>
    <t>614   1957   -137   -727    744</t>
  </si>
  <si>
    <t>0   -706</t>
  </si>
  <si>
    <t>0     51  -2421      0      0</t>
  </si>
  <si>
    <t>0    425</t>
  </si>
  <si>
    <t>-2615  -1170  -1138      0      0</t>
  </si>
  <si>
    <t>-2741   -143   1355      0 -16922</t>
  </si>
  <si>
    <t>681   8639</t>
  </si>
  <si>
    <t>29039      0      0      0      0</t>
  </si>
  <si>
    <t>-67   -150     45      0      0</t>
  </si>
  <si>
    <t>178      0</t>
  </si>
  <si>
    <t>105      0      0      0      0</t>
  </si>
  <si>
    <t>-17      0    -89      0   -152</t>
  </si>
  <si>
    <t>199    115</t>
  </si>
  <si>
    <t>-59      6    -31     34      0</t>
  </si>
  <si>
    <t>632      0</t>
  </si>
  <si>
    <t>0    140      0      0      0</t>
  </si>
  <si>
    <t>-89      0</t>
  </si>
  <si>
    <t>0      0      0   -579      0</t>
  </si>
  <si>
    <t>249    182</t>
  </si>
  <si>
    <t>-240      0    236      0      0</t>
  </si>
  <si>
    <t>0      0    962   -138      0</t>
  </si>
  <si>
    <t>125   -237</t>
  </si>
  <si>
    <t>76   -114      0      0      0</t>
  </si>
  <si>
    <t>623    150      0    904    875</t>
  </si>
  <si>
    <t>487   1556</t>
  </si>
  <si>
    <t>-42   -120 -18942      0   -698</t>
  </si>
  <si>
    <t>406      0</t>
  </si>
  <si>
    <t>-605      0   -611   1345    164</t>
  </si>
  <si>
    <t>492      0</t>
  </si>
  <si>
    <t>0    138      0   -398   1761</t>
  </si>
  <si>
    <t>240    201</t>
  </si>
  <si>
    <t>0      0    129      0      0</t>
  </si>
  <si>
    <t>0    -59</t>
  </si>
  <si>
    <t>0      0      0      0     59</t>
  </si>
  <si>
    <t>0   -112    584    189      0</t>
  </si>
  <si>
    <t>237   -133</t>
  </si>
  <si>
    <t>638      0   -302      0      0</t>
  </si>
  <si>
    <t>0      0    126      0    188</t>
  </si>
  <si>
    <t>148      0    409   -268      0</t>
  </si>
  <si>
    <t>0   7465</t>
  </si>
  <si>
    <t>0      0      0      0   6036</t>
  </si>
  <si>
    <t>592  -2386</t>
  </si>
  <si>
    <t>-275      0   -396  -1111    -65</t>
  </si>
  <si>
    <t>532  -1945</t>
  </si>
  <si>
    <t>0      0      0      0  -8517</t>
  </si>
  <si>
    <t>0  -9427</t>
  </si>
  <si>
    <t>0    -58</t>
  </si>
  <si>
    <t>0   -244  17208      0      0</t>
  </si>
  <si>
    <t>0      9</t>
  </si>
  <si>
    <t>-470   -340    825      0      0</t>
  </si>
  <si>
    <t>-1436  -1237   -868      0   1043</t>
  </si>
  <si>
    <t>338   3009</t>
  </si>
  <si>
    <t>10778  -7449      0  12370      0</t>
  </si>
  <si>
    <t>0    755</t>
  </si>
  <si>
    <t>66      0      0   -375      0</t>
  </si>
  <si>
    <t>324      0</t>
  </si>
  <si>
    <t>-198      0    -39   -173    -12</t>
  </si>
  <si>
    <t>0    189</t>
  </si>
  <si>
    <t>-235   -393      0    163      0</t>
  </si>
  <si>
    <t>0      0      0   -186      0</t>
  </si>
  <si>
    <t>-33      0</t>
  </si>
  <si>
    <t>0     39      0    -67     96</t>
  </si>
  <si>
    <t>523      0      0      0      0</t>
  </si>
  <si>
    <t>51   1199</t>
  </si>
  <si>
    <t>-6219   1383      0    -93   -304</t>
  </si>
  <si>
    <t>331   -553</t>
  </si>
  <si>
    <t>0   -870    -87      2    653</t>
  </si>
  <si>
    <t>216      0</t>
  </si>
  <si>
    <t>-7      0   1059   -497      0</t>
  </si>
  <si>
    <t>412    206    158    333      0</t>
  </si>
  <si>
    <t>0    -94   -259    161      0</t>
  </si>
  <si>
    <t>499  -1010</t>
  </si>
  <si>
    <t>-2132   1244   2831      0 -18905</t>
  </si>
  <si>
    <t>0   -428   -327   -750   -602</t>
  </si>
  <si>
    <t>188      0</t>
  </si>
  <si>
    <t>0      0   4667    208      0</t>
  </si>
  <si>
    <t>-88      0      0     94      0</t>
  </si>
  <si>
    <t>-54      0</t>
  </si>
  <si>
    <t>0    526    -15   -440   -461</t>
  </si>
  <si>
    <t>498   -821</t>
  </si>
  <si>
    <t>0      0      0      0   -728</t>
  </si>
  <si>
    <t>-87      0      0      0      0</t>
  </si>
  <si>
    <t>0     62</t>
  </si>
  <si>
    <t>0      0   -660   -473      0</t>
  </si>
  <si>
    <t>-217    457     68      0      0</t>
  </si>
  <si>
    <t>161      8</t>
  </si>
  <si>
    <t>345   -141    138    107    225</t>
  </si>
  <si>
    <t>208      0    391    902    253</t>
  </si>
  <si>
    <t>0   -119</t>
  </si>
  <si>
    <t>-464      0    757    989   1382</t>
  </si>
  <si>
    <t>295      0</t>
  </si>
  <si>
    <t>0      0   1440   2331      0</t>
  </si>
  <si>
    <t>932    658</t>
  </si>
  <si>
    <t>0      0      0      0   -203</t>
  </si>
  <si>
    <t>0    580</t>
  </si>
  <si>
    <t>325   5418</t>
  </si>
  <si>
    <t>0      0    122  -2199      0</t>
  </si>
  <si>
    <t>-102      0      0   -160      0</t>
  </si>
  <si>
    <t>68      0</t>
  </si>
  <si>
    <t>181      0    270   -223    188</t>
  </si>
  <si>
    <t>0    373</t>
  </si>
  <si>
    <t>-354   -478      0    -65      0</t>
  </si>
  <si>
    <t>0      0      0   -402      0</t>
  </si>
  <si>
    <t>0   -471      0   -104    144</t>
  </si>
  <si>
    <t>150      0      0      0      0</t>
  </si>
  <si>
    <t>143    186</t>
  </si>
  <si>
    <t>-285    -17      0    130    -98</t>
  </si>
  <si>
    <t>553     45</t>
  </si>
  <si>
    <t>4      0</t>
  </si>
  <si>
    <t>0    114   -216    -62      6</t>
  </si>
  <si>
    <t>298      0</t>
  </si>
  <si>
    <t>21      0    166    -43      0</t>
  </si>
  <si>
    <t>-1140    -81    451   -311      0</t>
  </si>
  <si>
    <t>0    308      2    532      0</t>
  </si>
  <si>
    <t>504   -192</t>
  </si>
  <si>
    <t>3956   4161   4333      0  -1607</t>
  </si>
  <si>
    <t>9513      0      0      0      0</t>
  </si>
  <si>
    <t>0   1173   -217    -13   -139</t>
  </si>
  <si>
    <t>409      0</t>
  </si>
  <si>
    <t>0      0    202    278      0</t>
  </si>
  <si>
    <t>-104      0      0    367      0</t>
  </si>
  <si>
    <t>472      0</t>
  </si>
  <si>
    <t>0   -770   -249  -2677     -2</t>
  </si>
  <si>
    <t>884    531</t>
  </si>
  <si>
    <t>0      0      0      0    -54</t>
  </si>
  <si>
    <t>298      0      0      0      0</t>
  </si>
  <si>
    <t>0     32</t>
  </si>
  <si>
    <t>0      0   -518   -144      0</t>
  </si>
  <si>
    <t>416      0</t>
  </si>
  <si>
    <t>73    271    -33      0      0</t>
  </si>
  <si>
    <t>371     24</t>
  </si>
  <si>
    <t>105   -225   1123   -657   -934</t>
  </si>
  <si>
    <t>213      0     93    639    481</t>
  </si>
  <si>
    <t>0    667</t>
  </si>
  <si>
    <t>22      0   -892  -2279   -825</t>
  </si>
  <si>
    <t>212      0</t>
  </si>
  <si>
    <t>0      0   -366   -276      0</t>
  </si>
  <si>
    <t>543  -6891</t>
  </si>
  <si>
    <t>0      0      0      0   -285</t>
  </si>
  <si>
    <t>0    647</t>
  </si>
  <si>
    <t>-379   -425  -2887  10665  -5791</t>
  </si>
  <si>
    <t>100   -459</t>
  </si>
  <si>
    <t>0      0   4029   3782      0</t>
  </si>
  <si>
    <t>103      0</t>
  </si>
  <si>
    <t>1063    -44    -18    -91     58</t>
  </si>
  <si>
    <t>0    322    740      0      0</t>
  </si>
  <si>
    <t>0      0     11      0    -95</t>
  </si>
  <si>
    <t>0     21</t>
  </si>
  <si>
    <t>242     39   -213   -226   -184</t>
  </si>
  <si>
    <t>457      0</t>
  </si>
  <si>
    <t>0      0      0    359      0</t>
  </si>
  <si>
    <t>0     14    -98      0   -618</t>
  </si>
  <si>
    <t>84     -6      0      0    -32</t>
  </si>
  <si>
    <t>-55      0</t>
  </si>
  <si>
    <t>-427   -607  -4515  -1003      0</t>
  </si>
  <si>
    <t>0    135    280    115      0</t>
  </si>
  <si>
    <t>264   -209</t>
  </si>
  <si>
    <t>0  -1203  -1653   -589    129</t>
  </si>
  <si>
    <t>0   -170</t>
  </si>
  <si>
    <t>0    522   -307      0   -217</t>
  </si>
  <si>
    <t>496 -13454</t>
  </si>
  <si>
    <t>0      0      0    463      0</t>
  </si>
  <si>
    <t>089    231</t>
  </si>
  <si>
    <t>-537   1134  15472  -5649  -7817</t>
  </si>
  <si>
    <t>050   7790</t>
  </si>
  <si>
    <t>0   1262    686      0   1784</t>
  </si>
  <si>
    <t>1351     90     62    134    125</t>
  </si>
  <si>
    <t>0    -86   -253      0      0</t>
  </si>
  <si>
    <t>0      0    -23      0    -76</t>
  </si>
  <si>
    <t>0    -76</t>
  </si>
  <si>
    <t>-795   -163   -124    429    638</t>
  </si>
  <si>
    <t>0      0      0     19      0</t>
  </si>
  <si>
    <t>341      0</t>
  </si>
  <si>
    <t>0   -189    101      0  -1703</t>
  </si>
  <si>
    <t>0    -24      0      0   -492</t>
  </si>
  <si>
    <t>28      0</t>
  </si>
  <si>
    <t>-718   -700   -929  -4558      0</t>
  </si>
  <si>
    <t>0    -49    919    246      0</t>
  </si>
  <si>
    <t>390    578</t>
  </si>
  <si>
    <t>0  -1410  -2217   -762   -375</t>
  </si>
  <si>
    <t>0   -321  -1988      0  -1708</t>
  </si>
  <si>
    <t>433  -4574</t>
  </si>
  <si>
    <t>0      0      0   -283      0</t>
  </si>
  <si>
    <t>534   -560</t>
  </si>
  <si>
    <t>-3059  -3483  22294 -19139  -1884</t>
  </si>
  <si>
    <t>632  10240</t>
  </si>
  <si>
    <t>0  -3706   2454      0 -13000</t>
  </si>
  <si>
    <t>27268      0      0      0      0</t>
  </si>
  <si>
    <t>0   2051   -605   -520   -439</t>
  </si>
  <si>
    <t>050      0</t>
  </si>
  <si>
    <t>0      0    161   -462      0</t>
  </si>
  <si>
    <t>828      0      0    297      0</t>
  </si>
  <si>
    <t>335      0</t>
  </si>
  <si>
    <t>0   1010    -88    -94   -626</t>
  </si>
  <si>
    <t>848  -2455</t>
  </si>
  <si>
    <t>0      0      0      0     -8</t>
  </si>
  <si>
    <t>-114      0      0      0      0</t>
  </si>
  <si>
    <t>0   1074</t>
  </si>
  <si>
    <t>0      0   5960  -2607      0</t>
  </si>
  <si>
    <t>870      0</t>
  </si>
  <si>
    <t>-2532   -738    -41      0      0</t>
  </si>
  <si>
    <t>775    290</t>
  </si>
  <si>
    <t>286    109    649   1018   1271</t>
  </si>
  <si>
    <t>638      0   3391    230   -894</t>
  </si>
  <si>
    <t>0  -4143</t>
  </si>
  <si>
    <t>425      0   -161  -1674   -188</t>
  </si>
  <si>
    <t>0      0     10   -140      0</t>
  </si>
  <si>
    <t>285    316</t>
  </si>
  <si>
    <t>0      0      0      0  11463</t>
  </si>
  <si>
    <t>0  -5861</t>
  </si>
  <si>
    <t>90953   5695  -3023  -8503  -5299</t>
  </si>
  <si>
    <t>104  -4573</t>
  </si>
  <si>
    <t>0      0 -17271   1276      0</t>
  </si>
  <si>
    <t>494      0</t>
  </si>
  <si>
    <t>-2778  -3441  -2717      0      0</t>
  </si>
  <si>
    <t>0    849</t>
  </si>
  <si>
    <t>-243      0      0    134      0</t>
  </si>
  <si>
    <t>709      0</t>
  </si>
  <si>
    <t>70      0   -493  -1212   -357</t>
  </si>
  <si>
    <t>0      5</t>
  </si>
  <si>
    <t>-186   -407      0     14      0</t>
  </si>
  <si>
    <t>0      0      0     46      0</t>
  </si>
  <si>
    <t>251      0</t>
  </si>
  <si>
    <t>0    765      0    556    579</t>
  </si>
  <si>
    <t>-270      0      0      0      0</t>
  </si>
  <si>
    <t>721    633</t>
  </si>
  <si>
    <t>328   -265      0   -101     56</t>
  </si>
  <si>
    <t>92    101</t>
  </si>
  <si>
    <t>196      0</t>
  </si>
  <si>
    <t>0   5882   6576   -151    245</t>
  </si>
  <si>
    <t>570      0</t>
  </si>
  <si>
    <t>13      0    102  -1720      0</t>
  </si>
  <si>
    <t>-333    540    972     69      0</t>
  </si>
  <si>
    <t>0 -10701    417  -1312      0</t>
  </si>
  <si>
    <t>488 -71850</t>
  </si>
  <si>
    <t>-6145  -6702  14699      0   3230</t>
  </si>
  <si>
    <t>-1706      0      0  -1808      0</t>
  </si>
  <si>
    <t>537  -4522</t>
  </si>
  <si>
    <t>0      0      0  -4360      0</t>
  </si>
  <si>
    <t>189   -432</t>
  </si>
  <si>
    <t>0      0    -17      0      0</t>
  </si>
  <si>
    <t>0   -175</t>
  </si>
  <si>
    <t>0      0      0      0    -11</t>
  </si>
  <si>
    <t>0     57   1188    334      0</t>
  </si>
  <si>
    <t>885   -410</t>
  </si>
  <si>
    <t>-67      0     22      0      0</t>
  </si>
  <si>
    <t>0      0   -123      0     31</t>
  </si>
  <si>
    <t>65      0     97   1610      0</t>
  </si>
  <si>
    <t>0   -421</t>
  </si>
  <si>
    <t>0      0      0      0     54</t>
  </si>
  <si>
    <t>485    102</t>
  </si>
  <si>
    <t>131      0    192     59    189</t>
  </si>
  <si>
    <t>28    153</t>
  </si>
  <si>
    <t>0      0      0      0    376</t>
  </si>
  <si>
    <t>0    190</t>
  </si>
  <si>
    <t>26     39   -150     95   -150</t>
  </si>
  <si>
    <t>0   -187</t>
  </si>
  <si>
    <t>0   -162  -1443      0      0</t>
  </si>
  <si>
    <t>314    356   -407      0      0</t>
  </si>
  <si>
    <t>101 -15110   2337      0  -5426</t>
  </si>
  <si>
    <t>472    629</t>
  </si>
  <si>
    <t>1432   2379      0  -7014      0</t>
  </si>
  <si>
    <t>0   4198</t>
  </si>
  <si>
    <t>0      0   -820      0  -2176</t>
  </si>
  <si>
    <t>283   2188</t>
  </si>
  <si>
    <t>0      0    778      0    377</t>
  </si>
  <si>
    <t>550   -204</t>
  </si>
  <si>
    <t>0      0   -175      0      0</t>
  </si>
  <si>
    <t>0      0      0      0   -125</t>
  </si>
  <si>
    <t>0   -116    640   1685      0</t>
  </si>
  <si>
    <t>121   -129</t>
  </si>
  <si>
    <t>317      0    -68      0      0</t>
  </si>
  <si>
    <t>0      0     -8      0    123</t>
  </si>
  <si>
    <t>329      0    224     17      0</t>
  </si>
  <si>
    <t>0    241</t>
  </si>
  <si>
    <t>0      0      0      0   -108</t>
  </si>
  <si>
    <t>22   -131</t>
  </si>
  <si>
    <t>275      0      2   -462    192</t>
  </si>
  <si>
    <t>29    161</t>
  </si>
  <si>
    <t>0      0      0      0     52</t>
  </si>
  <si>
    <t>0    113</t>
  </si>
  <si>
    <t>944   1415   -901   -596   -683</t>
  </si>
  <si>
    <t>0   1107</t>
  </si>
  <si>
    <t>0    382  -1071      0      0</t>
  </si>
  <si>
    <t>0    261</t>
  </si>
  <si>
    <t>1067    420    -99      0      0</t>
  </si>
  <si>
    <t>-1145   2189 -16218      0 -10514</t>
  </si>
  <si>
    <t>033   5462</t>
  </si>
  <si>
    <t>-4684  -6621      0    945      0</t>
  </si>
  <si>
    <t>0   2185</t>
  </si>
  <si>
    <t>0      0  -3385      0  -4585</t>
  </si>
  <si>
    <t>281   1978</t>
  </si>
  <si>
    <t>0      0   2679      0   3546</t>
  </si>
  <si>
    <t>597      0</t>
  </si>
  <si>
    <t>1326    764    699      0      0</t>
  </si>
  <si>
    <t>161      0</t>
  </si>
  <si>
    <t>-194      0      0      0      0</t>
  </si>
  <si>
    <t>-175      0    -97      0   -268</t>
  </si>
  <si>
    <t>297    565</t>
  </si>
  <si>
    <t>186    146    587    535      0</t>
  </si>
  <si>
    <t>294      0</t>
  </si>
  <si>
    <t>0    -71      0      0      0</t>
  </si>
  <si>
    <t>403      0</t>
  </si>
  <si>
    <t>0      0      0   -486      0</t>
  </si>
  <si>
    <t>75   -935</t>
  </si>
  <si>
    <t>-567      0   2456      0      0</t>
  </si>
  <si>
    <t>0      0   -305   -578      0</t>
  </si>
  <si>
    <t>162    888</t>
  </si>
  <si>
    <t>114   1030      0      0      0</t>
  </si>
  <si>
    <t>-65    329      0   6475  -4303</t>
  </si>
  <si>
    <t>918   1851</t>
  </si>
  <si>
    <t>-1188   -979    655      0   -242</t>
  </si>
  <si>
    <t>752      0</t>
  </si>
  <si>
    <t>100      0    348    135   -133</t>
  </si>
  <si>
    <t>-29      0</t>
  </si>
  <si>
    <t>0   4260      0   5695   -198</t>
  </si>
  <si>
    <t>1728   1386    -76   -566     18</t>
  </si>
  <si>
    <t>0    260</t>
  </si>
  <si>
    <t>-235      0    357      0      0</t>
  </si>
  <si>
    <t>-13      0</t>
  </si>
  <si>
    <t>002      0</t>
  </si>
  <si>
    <t>0    -77  38990   -149    -53</t>
  </si>
  <si>
    <t>276      0</t>
  </si>
  <si>
    <t>0      0    244   -138      0</t>
  </si>
  <si>
    <t>-125      0      0    -84      0</t>
  </si>
  <si>
    <t>0    155  32888    -36    -15</t>
  </si>
  <si>
    <t>136    454</t>
  </si>
  <si>
    <t>0      0      0      0    -31</t>
  </si>
  <si>
    <t>-52      0      0      0      0</t>
  </si>
  <si>
    <t>0   -409</t>
  </si>
  <si>
    <t>0      0  -1362  48636      0</t>
  </si>
  <si>
    <t>794      0</t>
  </si>
  <si>
    <t>-46    677    549      0      0</t>
  </si>
  <si>
    <t>299   -141</t>
  </si>
  <si>
    <t>-60     61    -83      2    292</t>
  </si>
  <si>
    <t>1145      0    155   -152    474</t>
  </si>
  <si>
    <t>0  -1207</t>
  </si>
  <si>
    <t>903      0    116    401    482</t>
  </si>
  <si>
    <t>623      0</t>
  </si>
  <si>
    <t>0      0    -60    254      0</t>
  </si>
  <si>
    <t>72    -42</t>
  </si>
  <si>
    <t>0      0      0      0   1262</t>
  </si>
  <si>
    <t>0    805</t>
  </si>
  <si>
    <t>1864  51433    -22   -542    789</t>
  </si>
  <si>
    <t>152   -168</t>
  </si>
  <si>
    <t>0      0  -1639     90      0</t>
  </si>
  <si>
    <t>162      0</t>
  </si>
  <si>
    <t>-25    -34   -106      0      0</t>
  </si>
  <si>
    <t>36   -554    285      0   6548</t>
  </si>
  <si>
    <t>294   -250</t>
  </si>
  <si>
    <t>0      0     48      0      0</t>
  </si>
  <si>
    <t>0      0      0      0    207</t>
  </si>
  <si>
    <t>0   -147   -683   -289      0</t>
  </si>
  <si>
    <t>221   -313</t>
  </si>
  <si>
    <t>-4      0     28      0      0</t>
  </si>
  <si>
    <t>0      0     86      0    -19</t>
  </si>
  <si>
    <t>66      0    -10    313      0</t>
  </si>
  <si>
    <t>0    -33</t>
  </si>
  <si>
    <t>0      0      0      0    109</t>
  </si>
  <si>
    <t>157    -25</t>
  </si>
  <si>
    <t>794      0   -349   -165    -25</t>
  </si>
  <si>
    <t>18     -5</t>
  </si>
  <si>
    <t>0      0      0      0    -79</t>
  </si>
  <si>
    <t>0     15</t>
  </si>
  <si>
    <t>385     59  -2872    -56  -1442</t>
  </si>
  <si>
    <t>0   -236</t>
  </si>
  <si>
    <t>0    -74    -67      0      0</t>
  </si>
  <si>
    <t>0    -49</t>
  </si>
  <si>
    <t>-139   -205     20      0      0</t>
  </si>
  <si>
    <t>-450   -114   -300      0     65</t>
  </si>
  <si>
    <t>229    920</t>
  </si>
  <si>
    <t>-179   -158      0      8      0</t>
  </si>
  <si>
    <t>0   -142</t>
  </si>
  <si>
    <t>0      0     93      0    -78</t>
  </si>
  <si>
    <t>170     81</t>
  </si>
  <si>
    <t>0      0   -145      0    -67</t>
  </si>
  <si>
    <t>3   -284</t>
  </si>
  <si>
    <t>0  -1265  -1687     46   -985</t>
  </si>
  <si>
    <t>010      0</t>
  </si>
  <si>
    <t>0      0   -234    231      0</t>
  </si>
  <si>
    <t>-8      0      0    452      0</t>
  </si>
  <si>
    <t>393      0</t>
  </si>
  <si>
    <t>0    384  -2167    350   7161</t>
  </si>
  <si>
    <t>808    476</t>
  </si>
  <si>
    <t>0      0      0      0   -250</t>
  </si>
  <si>
    <t>178      0      0      0      0</t>
  </si>
  <si>
    <t>0   -190</t>
  </si>
  <si>
    <t>0      0    166      0      0</t>
  </si>
  <si>
    <t>797      0</t>
  </si>
  <si>
    <t>-3550    181    210      0      0</t>
  </si>
  <si>
    <t>735    -76</t>
  </si>
  <si>
    <t>-256      0  -1952   -232   1546</t>
  </si>
  <si>
    <t>0   -287</t>
  </si>
  <si>
    <t>425      0  13018    988  -1477</t>
  </si>
  <si>
    <t>340      0</t>
  </si>
  <si>
    <t>0      0    151   -537      0</t>
  </si>
  <si>
    <t>341   -590</t>
  </si>
  <si>
    <t>0      0      0      0   -533</t>
  </si>
  <si>
    <t>0   -893</t>
  </si>
  <si>
    <t>-129  -1544    192    313    330</t>
  </si>
  <si>
    <t>845  15761</t>
  </si>
  <si>
    <t>0      0    564    -35      0</t>
  </si>
  <si>
    <t>323      0</t>
  </si>
  <si>
    <t>11    177    409      0      0</t>
  </si>
  <si>
    <t>-150    -43     82      0  -7767</t>
  </si>
  <si>
    <t>712   1807</t>
  </si>
  <si>
    <t>-1644  -1427     57   -420    326</t>
  </si>
  <si>
    <t>0   -413    397      0      0</t>
  </si>
  <si>
    <t>0      0    -44      0    100</t>
  </si>
  <si>
    <t>594  -1367   -292   1630   3840</t>
  </si>
  <si>
    <t>194      0</t>
  </si>
  <si>
    <t>0      0      0   -522      0</t>
  </si>
  <si>
    <t>594      0</t>
  </si>
  <si>
    <t>0  -5009  -5815      0  -3906</t>
  </si>
  <si>
    <t>-624     52      0      0   -585</t>
  </si>
  <si>
    <t>-2522  -5641  -2584  -3256      0</t>
  </si>
  <si>
    <t>0   6442   -441   3254      0</t>
  </si>
  <si>
    <t>779  -1677</t>
  </si>
  <si>
    <t>0    121  16076  -2171   -290</t>
  </si>
  <si>
    <t>0    -22</t>
  </si>
  <si>
    <t>0    262   -369      0   -162</t>
  </si>
  <si>
    <t>297    -22</t>
  </si>
  <si>
    <t>0      0      0   -855      0</t>
  </si>
  <si>
    <t>058    150</t>
  </si>
  <si>
    <t>-2018    298    382    258  -1622</t>
  </si>
  <si>
    <t>017  18257</t>
  </si>
  <si>
    <t>0  -1259    -70      0   -378</t>
  </si>
  <si>
    <t>355    603      0      0      0</t>
  </si>
  <si>
    <t>113    339      0  -8525  -8077</t>
  </si>
  <si>
    <t>0    -81     93      0      0</t>
  </si>
  <si>
    <t>0      0     91      0    -66</t>
  </si>
  <si>
    <t>0    149</t>
  </si>
  <si>
    <t>692  -1014   -582    -36   -363</t>
  </si>
  <si>
    <t>0      0      0    -92      0</t>
  </si>
  <si>
    <t>602      0</t>
  </si>
  <si>
    <t>0     93   -389      0    646</t>
  </si>
  <si>
    <t>-342   -373      0      0   -134</t>
  </si>
  <si>
    <t>701      0</t>
  </si>
  <si>
    <t>-525   -129    239     75      0</t>
  </si>
  <si>
    <t>0  -1817   -309    794      0</t>
  </si>
  <si>
    <t>207   -773</t>
  </si>
  <si>
    <t>0  -1687  -2228  -7412    -81</t>
  </si>
  <si>
    <t>0     83</t>
  </si>
  <si>
    <t>0     61   -393      0   -452</t>
  </si>
  <si>
    <t>782   -142</t>
  </si>
  <si>
    <t>0      0      0  -1019      0</t>
  </si>
  <si>
    <t>248    302</t>
  </si>
  <si>
    <t>-3346    340   1103   -789   -379</t>
  </si>
  <si>
    <t>0    711    111      0   -421</t>
  </si>
  <si>
    <t>518    896      0      0      0</t>
  </si>
  <si>
    <t>75    230      0  -6870  -6124</t>
  </si>
  <si>
    <t>491      0</t>
  </si>
  <si>
    <t>22459  -1054    809    173   -455</t>
  </si>
  <si>
    <t>231      0</t>
  </si>
  <si>
    <t>0      0     21    -70      0</t>
  </si>
  <si>
    <t>-113      0      0    177      0</t>
  </si>
  <si>
    <t>247      0</t>
  </si>
  <si>
    <t>0     42    627    229    108</t>
  </si>
  <si>
    <t>97     86</t>
  </si>
  <si>
    <t>0      0      0      0     19</t>
  </si>
  <si>
    <t>24      0      0      0      0</t>
  </si>
  <si>
    <t>0   -526</t>
  </si>
  <si>
    <t>0      0     54   1010      0</t>
  </si>
  <si>
    <t>559      0</t>
  </si>
  <si>
    <t>-181  -5904  -1613      0      0</t>
  </si>
  <si>
    <t>78   -105</t>
  </si>
  <si>
    <t>51   -273    278     52     51</t>
  </si>
  <si>
    <t>388      0    248    810   -384</t>
  </si>
  <si>
    <t>0    737</t>
  </si>
  <si>
    <t>82      0   -223   -127    -99</t>
  </si>
  <si>
    <t>937      0</t>
  </si>
  <si>
    <t>0      0     44   -446      0</t>
  </si>
  <si>
    <t>421    393</t>
  </si>
  <si>
    <t>0      0      0      0    -20</t>
  </si>
  <si>
    <t>0    314</t>
  </si>
  <si>
    <t>773    950     42    462     89</t>
  </si>
  <si>
    <t>366     73</t>
  </si>
  <si>
    <t>0      0   -455    -61      0</t>
  </si>
  <si>
    <t>365      0</t>
  </si>
  <si>
    <t>249     40     51      0      0</t>
  </si>
  <si>
    <t>281    487   -251      0 -11856</t>
  </si>
  <si>
    <t>753  -1201</t>
  </si>
  <si>
    <t>3270   3908   -312   -930    766</t>
  </si>
  <si>
    <t>182    -13</t>
  </si>
  <si>
    <t>1119      0      0      0      7</t>
  </si>
  <si>
    <t>-60      0</t>
  </si>
  <si>
    <t>0      0     79      0      0</t>
  </si>
  <si>
    <t>25      0</t>
  </si>
  <si>
    <t>542    108      0    -89    606</t>
  </si>
  <si>
    <t>107     67</t>
  </si>
  <si>
    <t>973      0      0      0      0</t>
  </si>
  <si>
    <t>0     33</t>
  </si>
  <si>
    <t>26      0     29      0      0</t>
  </si>
  <si>
    <t>368    -54      0      0    315</t>
  </si>
  <si>
    <t>0      0    -47  -1578  -7242</t>
  </si>
  <si>
    <t>50    151    180    -67     34</t>
  </si>
  <si>
    <t>35    -63</t>
  </si>
  <si>
    <t>0      0    201      0    210</t>
  </si>
  <si>
    <t>470   -259</t>
  </si>
  <si>
    <t>-118   -635   -423      0   -215</t>
  </si>
  <si>
    <t>147   -370</t>
  </si>
  <si>
    <t>17      0      0      0    -38</t>
  </si>
  <si>
    <t>-2      0      0      0      0</t>
  </si>
  <si>
    <t>0     96</t>
  </si>
  <si>
    <t>-91      0    225    781   -130</t>
  </si>
  <si>
    <t>130   -314</t>
  </si>
  <si>
    <t>0    316      0      0    237</t>
  </si>
  <si>
    <t>-1      0    -86   -103     60</t>
  </si>
  <si>
    <t>-6      0    246     36   -190</t>
  </si>
  <si>
    <t>0  -8825</t>
  </si>
  <si>
    <t>0      0    619    957  -1468</t>
  </si>
  <si>
    <t>297      0</t>
  </si>
  <si>
    <t>234   -262    -75    -71   -137</t>
  </si>
  <si>
    <t>0    -38   -133      0      0</t>
  </si>
  <si>
    <t>0      0     29      0    -50</t>
  </si>
  <si>
    <t>0   -172</t>
  </si>
  <si>
    <t>59   -226      1    168   -333</t>
  </si>
  <si>
    <t>27      0</t>
  </si>
  <si>
    <t>0      0      0    -13      0</t>
  </si>
  <si>
    <t>186      0</t>
  </si>
  <si>
    <t>0   4856   3383      0   -667</t>
  </si>
  <si>
    <t>-2756  -2051      0      0    609</t>
  </si>
  <si>
    <t>-73      0</t>
  </si>
  <si>
    <t>-311  -1241   -260   -670      0</t>
  </si>
  <si>
    <t>0  -4828  -1232   -560      0</t>
  </si>
  <si>
    <t>315   -680</t>
  </si>
  <si>
    <t>0    216   -765    906  -1562</t>
  </si>
  <si>
    <t>0    128</t>
  </si>
  <si>
    <t>0      6   -175      0    -73</t>
  </si>
  <si>
    <t>0      0      0  -1376      0</t>
  </si>
  <si>
    <t>424   -836</t>
  </si>
  <si>
    <t>-496    -64    -54   -314    119</t>
  </si>
  <si>
    <t>637  -1609</t>
  </si>
  <si>
    <t>0  16080   -284      0    -23</t>
  </si>
  <si>
    <t>-139    109      0      0      0</t>
  </si>
  <si>
    <t>-683   -342      0 -16051 -15298</t>
  </si>
  <si>
    <t>223      0</t>
  </si>
  <si>
    <t>-4122  -2612  16257   7657      0</t>
  </si>
  <si>
    <t>-5   -222   -376      0      0</t>
  </si>
  <si>
    <t>-86      0</t>
  </si>
  <si>
    <t>255      0      0      0      0</t>
  </si>
  <si>
    <t>7      0     83      0    142</t>
  </si>
  <si>
    <t>306     -9</t>
  </si>
  <si>
    <t>13    -86   -159   -343      0</t>
  </si>
  <si>
    <t>132      0</t>
  </si>
  <si>
    <t>0   -268      0      0      0</t>
  </si>
  <si>
    <t>205      0</t>
  </si>
  <si>
    <t>0      0      0    119      0</t>
  </si>
  <si>
    <t>227   -206</t>
  </si>
  <si>
    <t>-59      0   -227      0      0</t>
  </si>
  <si>
    <t>0      0    -41    219      0</t>
  </si>
  <si>
    <t>753    -99</t>
  </si>
  <si>
    <t>81    -68      0      0      0</t>
  </si>
  <si>
    <t>-71   -204      0    766     38</t>
  </si>
  <si>
    <t>372   -596</t>
  </si>
  <si>
    <t>-286   -853     98      0    -97</t>
  </si>
  <si>
    <t>182      0</t>
  </si>
  <si>
    <t>-232      0   -110    -38    123</t>
  </si>
  <si>
    <t>253      0</t>
  </si>
  <si>
    <t>0   -550      0    -79   -158</t>
  </si>
  <si>
    <t>-47      0</t>
  </si>
  <si>
    <t>468    453     63   -121   -234</t>
  </si>
  <si>
    <t>0    266</t>
  </si>
  <si>
    <t>8      0  -3045      0      0</t>
  </si>
  <si>
    <t>-58      0</t>
  </si>
  <si>
    <t>-91      0</t>
  </si>
  <si>
    <t>0 -12434  -9825  -5609      0</t>
  </si>
  <si>
    <t>-4277   -277      0   -712      0</t>
  </si>
  <si>
    <t>424    723</t>
  </si>
  <si>
    <t>0      0    -15      0      0</t>
  </si>
  <si>
    <t>0    -63</t>
  </si>
  <si>
    <t>0      0      0      0    -48</t>
  </si>
  <si>
    <t>0    391     47    -42      0</t>
  </si>
  <si>
    <t>383    681</t>
  </si>
  <si>
    <t>-305      0    -72      0      0</t>
  </si>
  <si>
    <t>0      0   -368      0   -125</t>
  </si>
  <si>
    <t>-81      0     46   -168      0</t>
  </si>
  <si>
    <t>0   1955</t>
  </si>
  <si>
    <t>0      0      0      0   -596</t>
  </si>
  <si>
    <t>484   -428</t>
  </si>
  <si>
    <t>221      0    140  -4803    235</t>
  </si>
  <si>
    <t>599    221</t>
  </si>
  <si>
    <t>0      0      0      0  -1041</t>
  </si>
  <si>
    <t>0   -306</t>
  </si>
  <si>
    <t>312   1248    253     50   1295</t>
  </si>
  <si>
    <t>0   -352</t>
  </si>
  <si>
    <t>0     -6      2      0      0</t>
  </si>
  <si>
    <t>0    196</t>
  </si>
  <si>
    <t>-111    -80    -18      0      0</t>
  </si>
  <si>
    <t>-341    140   -240      0     -9</t>
  </si>
  <si>
    <t>060    237</t>
  </si>
  <si>
    <t>-119    175      0   -230      0</t>
  </si>
  <si>
    <t>0     50</t>
  </si>
  <si>
    <t>0      0   -144      0    -97</t>
  </si>
  <si>
    <t>0      0    -82      0    -92</t>
  </si>
  <si>
    <t>-7839      0      0      0   8582</t>
  </si>
  <si>
    <t>599  10172</t>
  </si>
  <si>
    <t>930      0      0  25157      0</t>
  </si>
  <si>
    <t>0    234</t>
  </si>
  <si>
    <t>126      0      0     78      0</t>
  </si>
  <si>
    <t>38      0</t>
  </si>
  <si>
    <t>321      0    260   -514     66</t>
  </si>
  <si>
    <t>0    323</t>
  </si>
  <si>
    <t>-257   -332      0    -67      0</t>
  </si>
  <si>
    <t>0      0      0   -172      0</t>
  </si>
  <si>
    <t>0    -80      0     20     40</t>
  </si>
  <si>
    <t>-245      0      0      0      0</t>
  </si>
  <si>
    <t>428   -452</t>
  </si>
  <si>
    <t>-138    271      0    328  -1669</t>
  </si>
  <si>
    <t>180  -3853</t>
  </si>
  <si>
    <t>689      0</t>
  </si>
  <si>
    <t>0    470   1451    -68    -41</t>
  </si>
  <si>
    <t>179      0</t>
  </si>
  <si>
    <t>-406      0    -18     36      0</t>
  </si>
  <si>
    <t>-1645   -188    -78    -87      0</t>
  </si>
  <si>
    <t>0   -327    130    573      0</t>
  </si>
  <si>
    <t>128   1297</t>
  </si>
  <si>
    <t>32   -143    -11      0   -192</t>
  </si>
  <si>
    <t>-746      0      0    275      0</t>
  </si>
  <si>
    <t>130    -67</t>
  </si>
  <si>
    <t>0      0      0   -140      0</t>
  </si>
  <si>
    <t>102    -63</t>
  </si>
  <si>
    <t>-3431   4614      0      0      0</t>
  </si>
  <si>
    <t>208   9658</t>
  </si>
  <si>
    <t>0    272      0      0  23816</t>
  </si>
  <si>
    <t>0  19068</t>
  </si>
  <si>
    <t>499   -320   -721   -477   -764</t>
  </si>
  <si>
    <t>0    111   -215      0      0</t>
  </si>
  <si>
    <t>0      0    262      0     75</t>
  </si>
  <si>
    <t>0    297</t>
  </si>
  <si>
    <t>753    -97   -233   -532   -464</t>
  </si>
  <si>
    <t>612      0</t>
  </si>
  <si>
    <t>0      0      0    -43      0</t>
  </si>
  <si>
    <t>659      0</t>
  </si>
  <si>
    <t>0   1568   -947      0    606</t>
  </si>
  <si>
    <t>-228     50      0      0    865</t>
  </si>
  <si>
    <t>419      0</t>
  </si>
  <si>
    <t>-431    121    674    527      0</t>
  </si>
  <si>
    <t>0   1226    375   -496      0</t>
  </si>
  <si>
    <t>530   3481</t>
  </si>
  <si>
    <t>0   -547  -1039   -836    327</t>
  </si>
  <si>
    <t>0    107</t>
  </si>
  <si>
    <t>0     57   -389      0   -611</t>
  </si>
  <si>
    <t>406    155</t>
  </si>
  <si>
    <t>0      0      0   7081      0</t>
  </si>
  <si>
    <t>631    200</t>
  </si>
  <si>
    <t>2679   -684   -804   -748   -354</t>
  </si>
  <si>
    <t>575    186</t>
  </si>
  <si>
    <t>0  -2331    580      0   -214</t>
  </si>
  <si>
    <t>153    -84      0      0      0</t>
  </si>
  <si>
    <t>237     45      0 -77928    699</t>
  </si>
  <si>
    <t>265      0</t>
  </si>
  <si>
    <t>2986   1190  -1028   -989      0</t>
  </si>
  <si>
    <t>942      0</t>
  </si>
  <si>
    <t>1681      0   2064      0      0</t>
  </si>
  <si>
    <t>0      0      0    312  -1703</t>
  </si>
  <si>
    <t>279    323</t>
  </si>
  <si>
    <t>259      0      0      0    -13</t>
  </si>
  <si>
    <t>201      0</t>
  </si>
  <si>
    <t>0      0    471      0      0</t>
  </si>
  <si>
    <t>-18      0</t>
  </si>
  <si>
    <t>-494    329      0     34  -1145</t>
  </si>
  <si>
    <t>10     24</t>
  </si>
  <si>
    <t>37      0      0      0      0</t>
  </si>
  <si>
    <t>-2      0      9      0      0</t>
  </si>
  <si>
    <t>-1017   -116      0      0   1117</t>
  </si>
  <si>
    <t>0      0   -421    484    334</t>
  </si>
  <si>
    <t>110    291    -14    269    400</t>
  </si>
  <si>
    <t>-91    218</t>
  </si>
  <si>
    <t>0      0   -894      0    329</t>
  </si>
  <si>
    <t>282   -111</t>
  </si>
  <si>
    <t>-172    234    -82      0   -370</t>
  </si>
  <si>
    <t>697   -665</t>
  </si>
  <si>
    <t>-883      0      0      0    121</t>
  </si>
  <si>
    <t>171      0</t>
  </si>
  <si>
    <t>-62      0      0      0      0</t>
  </si>
  <si>
    <t>0  -2134</t>
  </si>
  <si>
    <t>-161      0  -2584   3313    -16</t>
  </si>
  <si>
    <t>413     28</t>
  </si>
  <si>
    <t>0     20      0      0  -1912</t>
  </si>
  <si>
    <t>219      0</t>
  </si>
  <si>
    <t>103      0     86    109     62</t>
  </si>
  <si>
    <t>3191      0  -2260    154   -264</t>
  </si>
  <si>
    <t>0    673</t>
  </si>
  <si>
    <t>0      0   2466   2616    476</t>
  </si>
  <si>
    <t>003  -2064</t>
  </si>
  <si>
    <t>0   1520      0   2765      0</t>
  </si>
  <si>
    <t>897      0</t>
  </si>
  <si>
    <t>0      0      0      0   2217</t>
  </si>
  <si>
    <t>0    158</t>
  </si>
  <si>
    <t>-84      0      0   -277      0</t>
  </si>
  <si>
    <t>83      0</t>
  </si>
  <si>
    <t>38      0     22  -4548    604</t>
  </si>
  <si>
    <t>0   -331</t>
  </si>
  <si>
    <t>176     28      0     -1      0</t>
  </si>
  <si>
    <t>0      0      0     50      0</t>
  </si>
  <si>
    <t>18      0</t>
  </si>
  <si>
    <t>0      2      0   -168    134</t>
  </si>
  <si>
    <t>43      0      0      0      0</t>
  </si>
  <si>
    <t>8    640</t>
  </si>
  <si>
    <t>-44     44      0    215    311</t>
  </si>
  <si>
    <t>92    153</t>
  </si>
  <si>
    <t>306      0</t>
  </si>
  <si>
    <t>0    429   1944    179    248</t>
  </si>
  <si>
    <t>112      0</t>
  </si>
  <si>
    <t>764      0   -260   -785      0</t>
  </si>
  <si>
    <t>208     99     75     68      0</t>
  </si>
  <si>
    <t>0    600  -7988   1096      0</t>
  </si>
  <si>
    <t>544   1908</t>
  </si>
  <si>
    <t>-189   -163    202      0    464</t>
  </si>
  <si>
    <t>82      0      0     42      0</t>
  </si>
  <si>
    <t>81     57</t>
  </si>
  <si>
    <t>0      0      0     38      0</t>
  </si>
  <si>
    <t>448  -3915</t>
  </si>
  <si>
    <t>-1425    345      0      0      0</t>
  </si>
  <si>
    <t>641   1499</t>
  </si>
  <si>
    <t>0   4528      0      0   1151</t>
  </si>
  <si>
    <t>0   -232</t>
  </si>
  <si>
    <t>1750    679   -233    -37    218</t>
  </si>
  <si>
    <t>0   -128    -14      0      0</t>
  </si>
  <si>
    <t>0      0    108      0   -138</t>
  </si>
  <si>
    <t>0    -31</t>
  </si>
  <si>
    <t>33    337      9   -163    -82</t>
  </si>
  <si>
    <t>-32      0</t>
  </si>
  <si>
    <t>0      0      0    -68      0</t>
  </si>
  <si>
    <t>44      0</t>
  </si>
  <si>
    <t>0    196    785      0   -161</t>
  </si>
  <si>
    <t>-422   -272      0      0   -107</t>
  </si>
  <si>
    <t>334     62   -190   -241      0</t>
  </si>
  <si>
    <t>0    277    867  -6021      0</t>
  </si>
  <si>
    <t>555   1233</t>
  </si>
  <si>
    <t>0    614   1487   1890   -500</t>
  </si>
  <si>
    <t>0     38</t>
  </si>
  <si>
    <t>0     57    -49      0    649</t>
  </si>
  <si>
    <t>455    154</t>
  </si>
  <si>
    <t>0      0      0     74      0</t>
  </si>
  <si>
    <t>296   1260</t>
  </si>
  <si>
    <t>1191   -222   -241   -182    -94</t>
  </si>
  <si>
    <t>106    339</t>
  </si>
  <si>
    <t>0   -264     87      0   -217</t>
  </si>
  <si>
    <t>-85   -139      0      0      0</t>
  </si>
  <si>
    <t>788  -4438      0 -13170  -9615</t>
  </si>
  <si>
    <t>678      0</t>
  </si>
  <si>
    <t>13516 -17328   6916   4837      0</t>
  </si>
  <si>
    <t>4299      0  -4681      0      0</t>
  </si>
  <si>
    <t>0   1798      0   3413  -8964</t>
  </si>
  <si>
    <t>0   1067   -226   1383    755</t>
  </si>
  <si>
    <t>976      0</t>
  </si>
  <si>
    <t>0      0   -226     31      0</t>
  </si>
  <si>
    <t>470      0      0   -195      0</t>
  </si>
  <si>
    <t>180      0</t>
  </si>
  <si>
    <t>0    152   -842    165   1064</t>
  </si>
  <si>
    <t>850   2419</t>
  </si>
  <si>
    <t>0      0      0      0    -58</t>
  </si>
  <si>
    <t>-132      0      0      0      0</t>
  </si>
  <si>
    <t>0  -1310</t>
  </si>
  <si>
    <t>0      0   5623    246      0</t>
  </si>
  <si>
    <t>576      0</t>
  </si>
  <si>
    <t>1719     70     77      0      0</t>
  </si>
  <si>
    <t>623   -577</t>
  </si>
  <si>
    <t>-29    353    -57   -372    312</t>
  </si>
  <si>
    <t>-385      0  -2382   -583    173</t>
  </si>
  <si>
    <t>0   9997</t>
  </si>
  <si>
    <t>1806      0    343   -143    969</t>
  </si>
  <si>
    <t>499      0</t>
  </si>
  <si>
    <t>0      0     53    117      0</t>
  </si>
  <si>
    <t>208    207</t>
  </si>
  <si>
    <t>0      0      0      0  -4969</t>
  </si>
  <si>
    <t>0   2791</t>
  </si>
  <si>
    <t>7866  -5335    847   1650   1371</t>
  </si>
  <si>
    <t>355    -83</t>
  </si>
  <si>
    <t>0      0   1469   -437      0</t>
  </si>
  <si>
    <t>153      0</t>
  </si>
  <si>
    <t>36   -299    -35      0      0</t>
  </si>
  <si>
    <t>4833   -382    352      0   9323</t>
  </si>
  <si>
    <t>410     71</t>
  </si>
  <si>
    <t>-530  -1640    251    317    344</t>
  </si>
  <si>
    <t>0   1010</t>
  </si>
  <si>
    <t>0    271      0    341      0</t>
  </si>
  <si>
    <t>0      0  -3634      0   4365</t>
  </si>
  <si>
    <t>420    697</t>
  </si>
  <si>
    <t>333     59    966      0      0</t>
  </si>
  <si>
    <t>88      0</t>
  </si>
  <si>
    <t>-91      0      0      0      0</t>
  </si>
  <si>
    <t>-53      0     33      0   -257</t>
  </si>
  <si>
    <t>126   -109</t>
  </si>
  <si>
    <t>326    459   -477  -1020      0</t>
  </si>
  <si>
    <t>0    -69      0      0      0</t>
  </si>
  <si>
    <t>48      0</t>
  </si>
  <si>
    <t>0      0      0   -627      0</t>
  </si>
  <si>
    <t>487    381</t>
  </si>
  <si>
    <t>36762      0   -373      0      0</t>
  </si>
  <si>
    <t>0      0    147   -340      0</t>
  </si>
  <si>
    <t>-419   -168      0      0      0</t>
  </si>
  <si>
    <t>-486    204      0   -296  42548</t>
  </si>
  <si>
    <t>416    607</t>
  </si>
  <si>
    <t>2239    237     65      0    170</t>
  </si>
  <si>
    <t>323      0    213    146    -76</t>
  </si>
  <si>
    <t>160      0</t>
  </si>
  <si>
    <t>0     82      0  -1697   -420</t>
  </si>
  <si>
    <t>-67      0</t>
  </si>
  <si>
    <t>69    464     58   1738   2108</t>
  </si>
  <si>
    <t>0    101</t>
  </si>
  <si>
    <t>49      0    -42      0      0</t>
  </si>
  <si>
    <t>284      0</t>
  </si>
  <si>
    <t>0   -505  46814   -269      0</t>
  </si>
  <si>
    <t>1476   1209      0    576      0</t>
  </si>
  <si>
    <t>0    147</t>
  </si>
  <si>
    <t>1520      0      0      0      0</t>
  </si>
  <si>
    <t>0   6908   2135   1207      0</t>
  </si>
  <si>
    <t>289      0</t>
  </si>
  <si>
    <t>0    634   2002   -843   -507</t>
  </si>
  <si>
    <t>369      0</t>
  </si>
  <si>
    <t>0      0   -241    353      0</t>
  </si>
  <si>
    <t>88      0      0    103      0</t>
  </si>
  <si>
    <t>0    994   4169   -745   -916</t>
  </si>
  <si>
    <t>855    -44</t>
  </si>
  <si>
    <t>0      0      0      0   -409</t>
  </si>
  <si>
    <t>-46      0      0      0      0</t>
  </si>
  <si>
    <t>0   -432</t>
  </si>
  <si>
    <t>0      0  -8480  -1792      0</t>
  </si>
  <si>
    <t>776      0</t>
  </si>
  <si>
    <t>15804   -729    320      0      0</t>
  </si>
  <si>
    <t>478   -290</t>
  </si>
  <si>
    <t>11031      0   9367   -106   3684</t>
  </si>
  <si>
    <t>0  -1605</t>
  </si>
  <si>
    <t>24      0  -2939  24650  -1311</t>
  </si>
  <si>
    <t>232      0</t>
  </si>
  <si>
    <t>0      0    179    358      0</t>
  </si>
  <si>
    <t>357  -1798</t>
  </si>
  <si>
    <t>0      0      0      0   1990</t>
  </si>
  <si>
    <t>0   -568</t>
  </si>
  <si>
    <t>457   4015    -81     71    232</t>
  </si>
  <si>
    <t>690  -2063</t>
  </si>
  <si>
    <t>0      0  -4105    -69      0</t>
  </si>
  <si>
    <t>19      0</t>
  </si>
  <si>
    <t>-665    373     19      0      0</t>
  </si>
  <si>
    <t>-565    324    741      0   -974</t>
  </si>
  <si>
    <t>895    197</t>
  </si>
  <si>
    <t>-586  19119  -1341    157    355</t>
  </si>
  <si>
    <t>0  -1927</t>
  </si>
  <si>
    <t>0    147      0    -30      0</t>
  </si>
  <si>
    <t>0      0   1135      0  -2735</t>
  </si>
  <si>
    <t>377   1450</t>
  </si>
  <si>
    <t>066    955</t>
  </si>
  <si>
    <t>0      0   -202      0      0</t>
  </si>
  <si>
    <t>0    237</t>
  </si>
  <si>
    <t>0      0      0      0   -771</t>
  </si>
  <si>
    <t>0     23   1129    -26      0</t>
  </si>
  <si>
    <t>331   1359</t>
  </si>
  <si>
    <t>-767      0    165      0      0</t>
  </si>
  <si>
    <t>0      0   -399      0    168</t>
  </si>
  <si>
    <t>1920      0   -111    -33      0</t>
  </si>
  <si>
    <t>0  -1060</t>
  </si>
  <si>
    <t>0      0      0      0  -2162</t>
  </si>
  <si>
    <t>701   -564</t>
  </si>
  <si>
    <t>960      0   -146    135   -224</t>
  </si>
  <si>
    <t>117   -287</t>
  </si>
  <si>
    <t>0      0      0      0    990</t>
  </si>
  <si>
    <t>0   -968</t>
  </si>
  <si>
    <t>-1917   3000  -1169  -2101  -2360</t>
  </si>
  <si>
    <t>0  -4711</t>
  </si>
  <si>
    <t>0    162   -718      0      0</t>
  </si>
  <si>
    <t>0   -194</t>
  </si>
  <si>
    <t>-1523   -234   -471      0      0</t>
  </si>
  <si>
    <t>-1448    640    999      0  -1286</t>
  </si>
  <si>
    <t>284     99</t>
  </si>
  <si>
    <t>-3227   -841      0   -306      0</t>
  </si>
  <si>
    <t>0   -716</t>
  </si>
  <si>
    <t>0      0     -3      0     49</t>
  </si>
  <si>
    <t>784    657</t>
  </si>
  <si>
    <t>0      0    849      0   1591</t>
  </si>
  <si>
    <t>419    266</t>
  </si>
  <si>
    <t>227      0      0      0  -3280</t>
  </si>
  <si>
    <t>086  -8345</t>
  </si>
  <si>
    <t>210      0      0   -832      0</t>
  </si>
  <si>
    <t>789      0</t>
  </si>
  <si>
    <t>0   1359</t>
  </si>
  <si>
    <t>1887      0 -21074 -11160      0</t>
  </si>
  <si>
    <t>-419    591   -111    435   -419</t>
  </si>
  <si>
    <t>0    114     73      0      0</t>
  </si>
  <si>
    <t>0      0     -1      0    -67</t>
  </si>
  <si>
    <t>0    -98</t>
  </si>
  <si>
    <t>-120    524    291   -293   -170</t>
  </si>
  <si>
    <t>-77      0</t>
  </si>
  <si>
    <t>0      0      0     35      0</t>
  </si>
  <si>
    <t>0  -1574    746      0    950</t>
  </si>
  <si>
    <t>-1867   -313      0      0    304</t>
  </si>
  <si>
    <t>-40      0</t>
  </si>
  <si>
    <t>115    965    280    327      0</t>
  </si>
  <si>
    <t>0    645    864    -45      0</t>
  </si>
  <si>
    <t>318   1259</t>
  </si>
  <si>
    <t>0   -642   -509   -235  -3589</t>
  </si>
  <si>
    <t>0   -913</t>
  </si>
  <si>
    <t>0     52   -288      0   -203</t>
  </si>
  <si>
    <t>746     64</t>
  </si>
  <si>
    <t>0      0      0    -11      0</t>
  </si>
  <si>
    <t>806    671</t>
  </si>
  <si>
    <t>1297    153    643    219    764</t>
  </si>
  <si>
    <t>429    -95</t>
  </si>
  <si>
    <t>0  -3254     91      0    369</t>
  </si>
  <si>
    <t>92      4      0      0      0</t>
  </si>
  <si>
    <t>974     20      0    509   2303</t>
  </si>
  <si>
    <t>124      0</t>
  </si>
  <si>
    <t>-711   -158  -7425  -1659      0</t>
  </si>
  <si>
    <t>622      0</t>
  </si>
  <si>
    <t>-227      0   -219      0      0</t>
  </si>
  <si>
    <t>0    316      0    641   1071</t>
  </si>
  <si>
    <t>141      0</t>
  </si>
  <si>
    <t>0      0      0      0    699</t>
  </si>
  <si>
    <t>504   -364</t>
  </si>
  <si>
    <t>67      0      0   -173      0</t>
  </si>
  <si>
    <t>148      0</t>
  </si>
  <si>
    <t>60      0     32    276    -26</t>
  </si>
  <si>
    <t>-148    -17      0    257      0</t>
  </si>
  <si>
    <t>0   -791      0     48    132</t>
  </si>
  <si>
    <t>929      0      0      0      0</t>
  </si>
  <si>
    <t>478   -245</t>
  </si>
  <si>
    <t>174    119      0    211    225</t>
  </si>
  <si>
    <t>305     45</t>
  </si>
  <si>
    <t>007      0</t>
  </si>
  <si>
    <t>0      3   1209      2     96</t>
  </si>
  <si>
    <t>140      0</t>
  </si>
  <si>
    <t>387      0      3  -2415      0</t>
  </si>
  <si>
    <t>-130    -18     51    -44      0</t>
  </si>
  <si>
    <t>0    513    282     89      0</t>
  </si>
  <si>
    <t>-80   1144</t>
  </si>
  <si>
    <t>73    201    -59      0    569</t>
  </si>
  <si>
    <t>52      0      0    110      0</t>
  </si>
  <si>
    <t>0      0      0    455      0</t>
  </si>
  <si>
    <t>486    368</t>
  </si>
  <si>
    <t>2198    106      0      0      0</t>
  </si>
  <si>
    <t>140   -370</t>
  </si>
  <si>
    <t>0  -1769      0      0      4</t>
  </si>
  <si>
    <t>0     42</t>
  </si>
  <si>
    <t>635      5      0  -5242  -1944</t>
  </si>
  <si>
    <t>-1757  -2483  26029   -385     76</t>
  </si>
  <si>
    <t>264    118</t>
  </si>
  <si>
    <t>1374      0      0      0     60</t>
  </si>
  <si>
    <t>-7      0</t>
  </si>
  <si>
    <t>0      0   -177      0      0</t>
  </si>
  <si>
    <t>-88      0</t>
  </si>
  <si>
    <t>54    -69      0    -83    192</t>
  </si>
  <si>
    <t>161    487</t>
  </si>
  <si>
    <t>-7      0      0      0      0</t>
  </si>
  <si>
    <t>0    -42</t>
  </si>
  <si>
    <t>48      0      2      0      0</t>
  </si>
  <si>
    <t>-166    -17      0      0   -595</t>
  </si>
  <si>
    <t>320      0</t>
  </si>
  <si>
    <t>0      0   -192    291    102</t>
  </si>
  <si>
    <t>-12     96    -44     15    280</t>
  </si>
  <si>
    <t>195     48</t>
  </si>
  <si>
    <t>0      0    455      0    213</t>
  </si>
  <si>
    <t>169    247</t>
  </si>
  <si>
    <t>90    -91   -140      0   1271</t>
  </si>
  <si>
    <t>376     24</t>
  </si>
  <si>
    <t>-1354      0      0      0    -85</t>
  </si>
  <si>
    <t>40      0</t>
  </si>
  <si>
    <t>260      0      0      0      0</t>
  </si>
  <si>
    <t>0     27</t>
  </si>
  <si>
    <t>124      0    -66    348     79</t>
  </si>
  <si>
    <t>31   -142</t>
  </si>
  <si>
    <t>0     43      0      0  -1307</t>
  </si>
  <si>
    <t>34      0</t>
  </si>
  <si>
    <t>-11      0     28    106    263</t>
  </si>
  <si>
    <t>123      0    317    110    230</t>
  </si>
  <si>
    <t>0      0    883   -337    -45</t>
  </si>
  <si>
    <t>197      8</t>
  </si>
  <si>
    <t>0    -92      0      4      0</t>
  </si>
  <si>
    <t>12      0</t>
  </si>
  <si>
    <t>0      0      0      0    -14</t>
  </si>
  <si>
    <t>0    421</t>
  </si>
  <si>
    <t>-2111   -846      0      0      0</t>
  </si>
  <si>
    <t>27710  -1196    501    775    362</t>
  </si>
  <si>
    <t>300      0</t>
  </si>
  <si>
    <t>0      0    -23   -112      0</t>
  </si>
  <si>
    <t>247      0      0    -51      0</t>
  </si>
  <si>
    <t>32      0</t>
  </si>
  <si>
    <t>0   -300    274    475    114</t>
  </si>
  <si>
    <t>655   -438</t>
  </si>
  <si>
    <t>0      0   9472   5284      0</t>
  </si>
  <si>
    <t>115      0</t>
  </si>
  <si>
    <t>6660  -2444  -1711      0      0</t>
  </si>
  <si>
    <t>111   -318</t>
  </si>
  <si>
    <t>10978      0  -5520  -1145   -199</t>
  </si>
  <si>
    <t>0  -1258</t>
  </si>
  <si>
    <t>-382      0    135  -2711   1133</t>
  </si>
  <si>
    <t>350      0</t>
  </si>
  <si>
    <t>0      0     35   -171      0</t>
  </si>
  <si>
    <t>-89    438</t>
  </si>
  <si>
    <t>0      0      0      0  -2452</t>
  </si>
  <si>
    <t>0  -2077</t>
  </si>
  <si>
    <t>-2020    437    333    148   -617</t>
  </si>
  <si>
    <t>613     70</t>
  </si>
  <si>
    <t>0      0  19002   -208      0</t>
  </si>
  <si>
    <t>-112   -185    677      0      0</t>
  </si>
  <si>
    <t>-1897   -466    115      0  -1578</t>
  </si>
  <si>
    <t>328   -233</t>
  </si>
  <si>
    <t>-548  -2158    810   -586     66</t>
  </si>
  <si>
    <t>0   9312</t>
  </si>
  <si>
    <t>0     51      0    152      0</t>
  </si>
  <si>
    <t>0      0  -1425      0    -88</t>
  </si>
  <si>
    <t>300     96</t>
  </si>
  <si>
    <t>064 -12935</t>
  </si>
  <si>
    <t>0    231</t>
  </si>
  <si>
    <t>-1528      0      0    153      0</t>
  </si>
  <si>
    <t>152      0</t>
  </si>
  <si>
    <t>335      0    542   -170   -297</t>
  </si>
  <si>
    <t>0    455</t>
  </si>
  <si>
    <t>-772   -393      0     54      0</t>
  </si>
  <si>
    <t>0      0      0   -620      0</t>
  </si>
  <si>
    <t>173      0</t>
  </si>
  <si>
    <t>0   -137      0    440    137</t>
  </si>
  <si>
    <t>-943      0      0      0      0</t>
  </si>
  <si>
    <t>785   -628</t>
  </si>
  <si>
    <t>-91   -552      0   -643   4230</t>
  </si>
  <si>
    <t>172   -338</t>
  </si>
  <si>
    <t>80      0</t>
  </si>
  <si>
    <t>0    456   2123    231    -35</t>
  </si>
  <si>
    <t>-16      0    266  -1330      0</t>
  </si>
  <si>
    <t>788   -220    -51   -267      0</t>
  </si>
  <si>
    <t>0    186    165     12      0</t>
  </si>
  <si>
    <t>338   2066</t>
  </si>
  <si>
    <t>454  -2100   -979      0   -343</t>
  </si>
  <si>
    <t>-817      0      0   -385      0</t>
  </si>
  <si>
    <t>519    -58</t>
  </si>
  <si>
    <t>0      0      0    128      0</t>
  </si>
  <si>
    <t>352     82</t>
  </si>
  <si>
    <t>3027   -184      0      0      0</t>
  </si>
  <si>
    <t>074  -1577</t>
  </si>
  <si>
    <t>0   -714      0      0     74</t>
  </si>
  <si>
    <t>0  -1174</t>
  </si>
  <si>
    <t>307    -80      0  -4040     14</t>
  </si>
  <si>
    <t>9039   9189   1446  -2284  -5063</t>
  </si>
  <si>
    <t>305      0</t>
  </si>
  <si>
    <t>-64   1174</t>
  </si>
  <si>
    <t>0      0     67      0      0</t>
  </si>
  <si>
    <t>0  -1491</t>
  </si>
  <si>
    <t>0      0      0      0    -75</t>
  </si>
  <si>
    <t>0    434   -104    315      0</t>
  </si>
  <si>
    <t>230    836</t>
  </si>
  <si>
    <t>-291      0    -44      0      0</t>
  </si>
  <si>
    <t>0      0   -246      0    -76</t>
  </si>
  <si>
    <t>-150      0    293    135      0</t>
  </si>
  <si>
    <t>0    328</t>
  </si>
  <si>
    <t>0      0      0      0    333</t>
  </si>
  <si>
    <t>245   -215</t>
  </si>
  <si>
    <t>-543      0    433    272   -456</t>
  </si>
  <si>
    <t>534   -188</t>
  </si>
  <si>
    <t>0      0      0      0   -189</t>
  </si>
  <si>
    <t>0    250</t>
  </si>
  <si>
    <t>585   1113    771     93    690</t>
  </si>
  <si>
    <t>0  -1322</t>
  </si>
  <si>
    <t>0    108   -499      0      0</t>
  </si>
  <si>
    <t>0     -8</t>
  </si>
  <si>
    <t>-162    -45   -225      0      0</t>
  </si>
  <si>
    <t>163    108    233      0    435</t>
  </si>
  <si>
    <t>191    269</t>
  </si>
  <si>
    <t>-1388   -761      0   -259      0</t>
  </si>
  <si>
    <t>0   -510</t>
  </si>
  <si>
    <t>0      0    788      0   -535</t>
  </si>
  <si>
    <t>269   -847</t>
  </si>
  <si>
    <t>0      0   -268      0    215</t>
  </si>
  <si>
    <t>-70    296</t>
  </si>
  <si>
    <t>-279      0      0      0  -1400</t>
  </si>
  <si>
    <t>023   -709</t>
  </si>
  <si>
    <t>-279      0      0    -13      0</t>
  </si>
  <si>
    <t>104      0</t>
  </si>
  <si>
    <t>0   -744</t>
  </si>
  <si>
    <t>497      0  -2917   -355      0</t>
  </si>
  <si>
    <t>5952   1260  -1028  -2670  -2325</t>
  </si>
  <si>
    <t>0    332</t>
  </si>
  <si>
    <t>-946      0      0    150      0</t>
  </si>
  <si>
    <t>159      0</t>
  </si>
  <si>
    <t>54      0    -57   -280   -231</t>
  </si>
  <si>
    <t>0   -135</t>
  </si>
  <si>
    <t>-271   -198      0     76      0</t>
  </si>
  <si>
    <t>0      0      0   -912      0</t>
  </si>
  <si>
    <t>277      0</t>
  </si>
  <si>
    <t>0    -84      0     60    445</t>
  </si>
  <si>
    <t>-3353      0      0      0      0</t>
  </si>
  <si>
    <t>034    399</t>
  </si>
  <si>
    <t>115   -646      0    -74   -172</t>
  </si>
  <si>
    <t>395   -113</t>
  </si>
  <si>
    <t>0    240    717    832   -566</t>
  </si>
  <si>
    <t>019      0</t>
  </si>
  <si>
    <t>-70      0    579  -1240      0</t>
  </si>
  <si>
    <t>-742  -1360    -98  -2815      0</t>
  </si>
  <si>
    <t>0    -10   -131     72      0</t>
  </si>
  <si>
    <t>366    435</t>
  </si>
  <si>
    <t>-11  -1560    217      0   -227</t>
  </si>
  <si>
    <t>568      0      0   -666      0</t>
  </si>
  <si>
    <t>109    -48</t>
  </si>
  <si>
    <t>0      0      0    -69      0</t>
  </si>
  <si>
    <t>311   -210</t>
  </si>
  <si>
    <t>751   -567      0      0      0</t>
  </si>
  <si>
    <t>365    -44</t>
  </si>
  <si>
    <t>0   -606      0      0   -134</t>
  </si>
  <si>
    <t>114     89      0  -5835  -3291</t>
  </si>
  <si>
    <t>11591  11695   1043    223  -5942</t>
  </si>
  <si>
    <t>894      0</t>
  </si>
  <si>
    <t>12530      0   9722      0      0</t>
  </si>
  <si>
    <t>486     30</t>
  </si>
  <si>
    <t>0    -90</t>
  </si>
  <si>
    <t>0      0      0      0   3786</t>
  </si>
  <si>
    <t>0  -1003   -714   -341      0</t>
  </si>
  <si>
    <t>296    118</t>
  </si>
  <si>
    <t>-198      0    128      0      0</t>
  </si>
  <si>
    <t>0      0   -261      0     33</t>
  </si>
  <si>
    <t>-42      0   -129    -27      0</t>
  </si>
  <si>
    <t>0    678</t>
  </si>
  <si>
    <t>0      0      0      0  -1069</t>
  </si>
  <si>
    <t>181    301</t>
  </si>
  <si>
    <t>260      0   -338   -475    -84</t>
  </si>
  <si>
    <t>157   -439</t>
  </si>
  <si>
    <t>0      0      0      0   -308</t>
  </si>
  <si>
    <t>0   -149</t>
  </si>
  <si>
    <t>908   1062   2406  -4192  -3922</t>
  </si>
  <si>
    <t>0  -1090</t>
  </si>
  <si>
    <t>0    -27   -204      0      0</t>
  </si>
  <si>
    <t>-891   -588    188      0      0</t>
  </si>
  <si>
    <t>-344    230   -516      0    -39</t>
  </si>
  <si>
    <t>382   1898</t>
  </si>
  <si>
    <t>-583   -330      0   -103      0</t>
  </si>
  <si>
    <t>0   -344</t>
  </si>
  <si>
    <t>0      0    193      0   -150</t>
  </si>
  <si>
    <t>172    672</t>
  </si>
  <si>
    <t>0      0    454      0    291</t>
  </si>
  <si>
    <t>180   -862</t>
  </si>
  <si>
    <t>1462      0      0      0    -97</t>
  </si>
  <si>
    <t>121   -434</t>
  </si>
  <si>
    <t>26      0      0   -380      0</t>
  </si>
  <si>
    <t>-380      0  -1159   -921      0</t>
  </si>
  <si>
    <t>2055    729   -929   -913  -1058</t>
  </si>
  <si>
    <t>0  -3193      0      0  -4231</t>
  </si>
  <si>
    <t>653    293</t>
  </si>
  <si>
    <t>0      0    232      0      0</t>
  </si>
  <si>
    <t>0     80</t>
  </si>
  <si>
    <t>0      0      0      0     27</t>
  </si>
  <si>
    <t>0    331   -641   -496      0</t>
  </si>
  <si>
    <t>174    972</t>
  </si>
  <si>
    <t>-2014      0    571      0      0</t>
  </si>
  <si>
    <t>0      0   -435      0     -8</t>
  </si>
  <si>
    <t>1330      0   -589    788      0</t>
  </si>
  <si>
    <t>0   3901</t>
  </si>
  <si>
    <t>0      0      0      0  -3752</t>
  </si>
  <si>
    <t>176     65</t>
  </si>
  <si>
    <t>348      0    293    -40    253</t>
  </si>
  <si>
    <t>219    419</t>
  </si>
  <si>
    <t>0      0      0      0   3302</t>
  </si>
  <si>
    <t>0   3375</t>
  </si>
  <si>
    <t>-5517   2557   -613   -587   -255</t>
  </si>
  <si>
    <t>0   -360</t>
  </si>
  <si>
    <t>0    232  -4462      0      0</t>
  </si>
  <si>
    <t>-338    229   -240      0      0</t>
  </si>
  <si>
    <t>-1423     30    -84      0  -3539</t>
  </si>
  <si>
    <t>161   -772</t>
  </si>
  <si>
    <t>-300   1309      0    407      0</t>
  </si>
  <si>
    <t>0  -4014</t>
  </si>
  <si>
    <t>0      0   -127      0   -199</t>
  </si>
  <si>
    <t>260   -271</t>
  </si>
  <si>
    <t>0      0  11219      0  -3782</t>
  </si>
  <si>
    <t>169    -24</t>
  </si>
  <si>
    <t>-392      0      0      0     35</t>
  </si>
  <si>
    <t>138  -1580</t>
  </si>
  <si>
    <t>-1796      0      0   -373      0</t>
  </si>
  <si>
    <t>336      0</t>
  </si>
  <si>
    <t>0   8616</t>
  </si>
  <si>
    <t>-48      0 -89024  -3923      0</t>
  </si>
  <si>
    <t>19309  -2724   -562  -1376 -20417</t>
  </si>
  <si>
    <t>0   2337      0      0   3051</t>
  </si>
  <si>
    <t>353      0</t>
  </si>
  <si>
    <t>0   -729</t>
  </si>
  <si>
    <t>-888      0      0   -342      0</t>
  </si>
  <si>
    <t>-10      0    428    341    185</t>
  </si>
  <si>
    <t>0   -157</t>
  </si>
  <si>
    <t>1068   1760      0   -255      0</t>
  </si>
  <si>
    <t>0      0      0     14      0</t>
  </si>
  <si>
    <t>93      0</t>
  </si>
  <si>
    <t>0    825      0    495   -768</t>
  </si>
  <si>
    <t>452      0      0      0      0</t>
  </si>
  <si>
    <t>175    304</t>
  </si>
  <si>
    <t>-433    252      0     54    411</t>
  </si>
  <si>
    <t>52    364</t>
  </si>
  <si>
    <t>0   1037   -802    -65   -615</t>
  </si>
  <si>
    <t>387      0</t>
  </si>
  <si>
    <t>-68      0     68  -2922      0</t>
  </si>
  <si>
    <t>-254   -172    138   -225      0</t>
  </si>
  <si>
    <t>0    200     77     82      0</t>
  </si>
  <si>
    <t>569  -1494</t>
  </si>
  <si>
    <t>-21  -1645  -2628      0   -121</t>
  </si>
  <si>
    <t>-38      0      0    -38      0</t>
  </si>
  <si>
    <t>-27    194</t>
  </si>
  <si>
    <t>0      0      0  -1856      0</t>
  </si>
  <si>
    <t>087     62</t>
  </si>
  <si>
    <t>2580   -317      0      0      0</t>
  </si>
  <si>
    <t>979  -2424</t>
  </si>
  <si>
    <t>0  -2060      0      0   -275</t>
  </si>
  <si>
    <t>0   -348</t>
  </si>
  <si>
    <t>239   -224      0  -6471 -73694</t>
  </si>
  <si>
    <t>22711  15271  -2262  -1044  -1868</t>
  </si>
  <si>
    <t>058      0</t>
  </si>
  <si>
    <t>1169      0   1750      0      0</t>
  </si>
  <si>
    <t>817   1456</t>
  </si>
  <si>
    <t>0   7710      0  -1591   1376</t>
  </si>
  <si>
    <t>240   -174</t>
  </si>
  <si>
    <t>-277      0      0      0      3</t>
  </si>
  <si>
    <t>85      0</t>
  </si>
  <si>
    <t>0      0    211      0      0</t>
  </si>
  <si>
    <t>43      0</t>
  </si>
  <si>
    <t>935     56      0   -410   1230</t>
  </si>
  <si>
    <t>223   -227</t>
  </si>
  <si>
    <t>70      0      0      0      0</t>
  </si>
  <si>
    <t>0     85</t>
  </si>
  <si>
    <t>97      0     81      0      0</t>
  </si>
  <si>
    <t>-1   -720      0      0   -159</t>
  </si>
  <si>
    <t>0      0   -316    611    423</t>
  </si>
  <si>
    <t>322    198    149    119    163</t>
  </si>
  <si>
    <t>76    209</t>
  </si>
  <si>
    <t>0      0    434      0    304</t>
  </si>
  <si>
    <t>188    381</t>
  </si>
  <si>
    <t>-206     31    163      0   -204</t>
  </si>
  <si>
    <t>-1183      0      0      0    127</t>
  </si>
  <si>
    <t>57      0</t>
  </si>
  <si>
    <t>325      0      0      0      0</t>
  </si>
  <si>
    <t>0    195</t>
  </si>
  <si>
    <t>657      0    228   2212   -218</t>
  </si>
  <si>
    <t>-80    179</t>
  </si>
  <si>
    <t>0    941      0      0  -1223</t>
  </si>
  <si>
    <t>64      0</t>
  </si>
  <si>
    <t>81      0    216    120    241</t>
  </si>
  <si>
    <t>252      0    535  -5459    879</t>
  </si>
  <si>
    <t>0    659</t>
  </si>
  <si>
    <t>0      0   -139    -70   -137</t>
  </si>
  <si>
    <t>062    610</t>
  </si>
  <si>
    <t>0    -66      0    153      0</t>
  </si>
  <si>
    <t>0      0      0      0    364</t>
  </si>
  <si>
    <t>0    295</t>
  </si>
  <si>
    <t>-3060    794      0      0      0</t>
  </si>
  <si>
    <t>-4294   -995   2019      0      0</t>
  </si>
  <si>
    <t>0      0   1603   -701      0</t>
  </si>
  <si>
    <t>-460   -619    384     74     46</t>
  </si>
  <si>
    <t>615      0</t>
  </si>
  <si>
    <t>0      0    -43     46      0</t>
  </si>
  <si>
    <t>124      0      0     11      0</t>
  </si>
  <si>
    <t>-12      0</t>
  </si>
  <si>
    <t>0   -130    585    300   1252</t>
  </si>
  <si>
    <t>-7    153</t>
  </si>
  <si>
    <t>0      0      0      0    -21</t>
  </si>
  <si>
    <t>-38      0      0      0      0</t>
  </si>
  <si>
    <t>0    129</t>
  </si>
  <si>
    <t>0      0   -486   1168      0</t>
  </si>
  <si>
    <t>307      0</t>
  </si>
  <si>
    <t>-473    358    352      0      0</t>
  </si>
  <si>
    <t>583    -32</t>
  </si>
  <si>
    <t>267    -89    744   -138   -284</t>
  </si>
  <si>
    <t>736      0    350    772  -2481</t>
  </si>
  <si>
    <t>0    136</t>
  </si>
  <si>
    <t>-160      0   3517    185    273</t>
  </si>
  <si>
    <t>92      0</t>
  </si>
  <si>
    <t>0      0    -17   -190      0</t>
  </si>
  <si>
    <t>221    829</t>
  </si>
  <si>
    <t>0      0      0      0    304</t>
  </si>
  <si>
    <t>0    321</t>
  </si>
  <si>
    <t>246   1798   -340   -340   -452</t>
  </si>
  <si>
    <t>121   3019</t>
  </si>
  <si>
    <t>0      0  -2261     76      0</t>
  </si>
  <si>
    <t>680    -24    217      0      0</t>
  </si>
  <si>
    <t>-129   1264  -5242      0   1164</t>
  </si>
  <si>
    <t>520   -234</t>
  </si>
  <si>
    <t>3141   1037   1285   -185    -40</t>
  </si>
  <si>
    <t>0  -1599</t>
  </si>
  <si>
    <t>0   -325      0    471      0</t>
  </si>
  <si>
    <t>0      0    -20      0     88</t>
  </si>
  <si>
    <t>199  -8334</t>
  </si>
  <si>
    <t>770 -21024</t>
  </si>
  <si>
    <t>-1682      0      0      0      0</t>
  </si>
  <si>
    <t>260      0</t>
  </si>
  <si>
    <t>532   3250      0      0      0</t>
  </si>
  <si>
    <t>0   2999</t>
  </si>
  <si>
    <t>6783   -869  -4651  -1431  -2473</t>
  </si>
  <si>
    <t>0    887     31      0      0</t>
  </si>
  <si>
    <t>0      0    249      0   -256</t>
  </si>
  <si>
    <t>0     -7</t>
  </si>
  <si>
    <t>1562  -1327  -2591  -2672  -1642</t>
  </si>
  <si>
    <t>772      0</t>
  </si>
  <si>
    <t>0      0      0    143      0</t>
  </si>
  <si>
    <t>0  -2833  -2113      0   1907</t>
  </si>
  <si>
    <t>-669   -511      0      0   -174</t>
  </si>
  <si>
    <t>261    698    495   -154      0</t>
  </si>
  <si>
    <t>0    318    181    -64      0</t>
  </si>
  <si>
    <t>127  -1771</t>
  </si>
  <si>
    <t>0  -4095  -1487   1144   -160</t>
  </si>
  <si>
    <t>0    180</t>
  </si>
  <si>
    <t>0      8     50      0   -645</t>
  </si>
  <si>
    <t>269     21</t>
  </si>
  <si>
    <t>0      0      0   1462      0</t>
  </si>
  <si>
    <t>542    435</t>
  </si>
  <si>
    <t>-2408  -3015    405  -3375  -1010</t>
  </si>
  <si>
    <t>749  -1440</t>
  </si>
  <si>
    <t>0  -2261    137      0    244</t>
  </si>
  <si>
    <t>-90    368      0      0      0</t>
  </si>
  <si>
    <t>410    592      0  -1488  -2133</t>
  </si>
  <si>
    <t>542      0</t>
  </si>
  <si>
    <t>-986   1657   -172    -57      0</t>
  </si>
  <si>
    <t>833      0</t>
  </si>
  <si>
    <t>-574      0    220      0      0</t>
  </si>
  <si>
    <t>0   1098      0    675    116</t>
  </si>
  <si>
    <t>458      0</t>
  </si>
  <si>
    <t>0      0      0      0  13209</t>
  </si>
  <si>
    <t>353   5733</t>
  </si>
  <si>
    <t>0      0      0      0  -2411</t>
  </si>
  <si>
    <t>0 -19355</t>
  </si>
  <si>
    <t>-7921      0      0      0      0</t>
  </si>
  <si>
    <t>229      0</t>
  </si>
  <si>
    <t>2575   -195 -14996  -2092  -1594</t>
  </si>
  <si>
    <t>0   1601   1098      0      0</t>
  </si>
  <si>
    <t>0      0    473      0   -446</t>
  </si>
  <si>
    <t>0    154</t>
  </si>
  <si>
    <t>1914    327  -2825  -2500  -2548</t>
  </si>
  <si>
    <t>085      0</t>
  </si>
  <si>
    <t>0      0      0    407      0</t>
  </si>
  <si>
    <t>0  -3464     10      0   1961</t>
  </si>
  <si>
    <t>-1200  -1344      0      0  -1711</t>
  </si>
  <si>
    <t>-318    683    861   -642      0</t>
  </si>
  <si>
    <t>0   -632    195    622      0</t>
  </si>
  <si>
    <t>221   1478</t>
  </si>
  <si>
    <t>0  -1695  -1304    368     -5</t>
  </si>
  <si>
    <t>0     71</t>
  </si>
  <si>
    <t>0   1057   1990      0  -1825</t>
  </si>
  <si>
    <t>316   -387</t>
  </si>
  <si>
    <t>0      0      0   2053      0</t>
  </si>
  <si>
    <t>844     36</t>
  </si>
  <si>
    <t>438 -23390  -5001  -5088  -2829</t>
  </si>
  <si>
    <t>178  -1763</t>
  </si>
  <si>
    <t>0   -913    -59      0   2622</t>
  </si>
  <si>
    <t>291   -257      0      0      0</t>
  </si>
  <si>
    <t>56   -223      0  -3076   -535</t>
  </si>
  <si>
    <t>214   1537   -433   -159      0</t>
  </si>
  <si>
    <t>-83      0</t>
  </si>
  <si>
    <t>1315      0   -677      0      0</t>
  </si>
  <si>
    <t>0   1289      0   -467     90</t>
  </si>
  <si>
    <t>0      0      0      0   3434</t>
  </si>
  <si>
    <t>035    217</t>
  </si>
  <si>
    <t>0      0      0      0   -929</t>
  </si>
  <si>
    <t>0  -4194</t>
  </si>
  <si>
    <t>-3660      0      0      0      0</t>
  </si>
  <si>
    <t>581      0</t>
  </si>
  <si>
    <t>22150   -828     92  -7862  -5108</t>
  </si>
  <si>
    <t>645      0</t>
  </si>
  <si>
    <t>0      0   4274   1306      0</t>
  </si>
  <si>
    <t>-7516      0      0    757      0</t>
  </si>
  <si>
    <t>757      0</t>
  </si>
  <si>
    <t>0   2864    494  -3624  -3458</t>
  </si>
  <si>
    <t>368  -1068</t>
  </si>
  <si>
    <t>0      0      0      0     62</t>
  </si>
  <si>
    <t>148      0      0      0      0</t>
  </si>
  <si>
    <t>0    912</t>
  </si>
  <si>
    <t>0      0  -6112   2166      0</t>
  </si>
  <si>
    <t>2600  -1136   -781      0      0</t>
  </si>
  <si>
    <t>584   3271</t>
  </si>
  <si>
    <t>-847  -1072  -1025     50  -1947</t>
  </si>
  <si>
    <t>2375      0  -2237    136     62</t>
  </si>
  <si>
    <t>0  -4671</t>
  </si>
  <si>
    <t>11401      0  -2468  -2210    133</t>
  </si>
  <si>
    <t>0      0   -594   -233      0</t>
  </si>
  <si>
    <t>323  -1517</t>
  </si>
  <si>
    <t>0      0      0      0   2332</t>
  </si>
  <si>
    <t>0  -1255</t>
  </si>
  <si>
    <t>-2212   1263  -3902 -23262 -10897</t>
  </si>
  <si>
    <t>670  -2690</t>
  </si>
  <si>
    <t>0      0   -310     79      0</t>
  </si>
  <si>
    <t>675      0</t>
  </si>
  <si>
    <t>-374     -1    -85      0      0</t>
  </si>
  <si>
    <t>1111   -137    -95      0  -9869</t>
  </si>
  <si>
    <t>211   1762</t>
  </si>
  <si>
    <t>988   2544   4532  -1787  -1476</t>
  </si>
  <si>
    <t>0    487</t>
  </si>
  <si>
    <t>0    823      0    806      0</t>
  </si>
  <si>
    <t>0      0   1652      0   -406</t>
  </si>
  <si>
    <t>-42    295</t>
  </si>
  <si>
    <t>242  11665</t>
  </si>
  <si>
    <t>-3665      0      0      0      0</t>
  </si>
  <si>
    <t>641      0</t>
  </si>
  <si>
    <t>5002   2828      0      0      0</t>
  </si>
  <si>
    <t>0   1288</t>
  </si>
  <si>
    <t>-188  14321  23300  -1672     84</t>
  </si>
  <si>
    <t>093  -4745</t>
  </si>
  <si>
    <t>-912      0      0      0   4419</t>
  </si>
  <si>
    <t>535      0</t>
  </si>
  <si>
    <t>0      0  -7509      0      0</t>
  </si>
  <si>
    <t>715      0</t>
  </si>
  <si>
    <t>3157    949      0   2604    427</t>
  </si>
  <si>
    <t>765  -3316</t>
  </si>
  <si>
    <t>104      0      0      0      0</t>
  </si>
  <si>
    <t>0    591</t>
  </si>
  <si>
    <t>312      0    132      0      0</t>
  </si>
  <si>
    <t>20    948      0      0  -6492</t>
  </si>
  <si>
    <t>0      0   5071  -2538  -1522</t>
  </si>
  <si>
    <t>-617   -797   -470   -113    198</t>
  </si>
  <si>
    <t>721  -5940</t>
  </si>
  <si>
    <t>0      0   3091      0  -1913</t>
  </si>
  <si>
    <t>25    720</t>
  </si>
  <si>
    <t>-3906 -12383 -28833      0  -2263</t>
  </si>
  <si>
    <t>727    179</t>
  </si>
  <si>
    <t>-610      0      0      0   1782</t>
  </si>
  <si>
    <t>317      0</t>
  </si>
  <si>
    <t>1006      0      0      0      0</t>
  </si>
  <si>
    <t>0   2477</t>
  </si>
  <si>
    <t>-308      0  -1509   1443  -3849</t>
  </si>
  <si>
    <t>992 -25704</t>
  </si>
  <si>
    <t>0    117      0      0   -454</t>
  </si>
  <si>
    <t>-499      0    619    291    -52</t>
  </si>
  <si>
    <t>11      0    865    -76   -384</t>
  </si>
  <si>
    <t>0  -8001</t>
  </si>
  <si>
    <t>0      0    741   1666   4398</t>
  </si>
  <si>
    <t>787   -449</t>
  </si>
  <si>
    <t>0    922      0      4      0</t>
  </si>
  <si>
    <t>736      0</t>
  </si>
  <si>
    <t>0      0      0      0   1881</t>
  </si>
  <si>
    <t>0   -256</t>
  </si>
  <si>
    <t>-6559  -1624      0      0      0</t>
  </si>
  <si>
    <t>-574   -341  -1696      0      0</t>
  </si>
  <si>
    <t>0      0  -7110   1960      0</t>
  </si>
  <si>
    <t>720   -653   -369  15930  24506</t>
  </si>
  <si>
    <t>293  -1264</t>
  </si>
  <si>
    <t>-2892      0      0   -572      0</t>
  </si>
  <si>
    <t>485      0</t>
  </si>
  <si>
    <t>-2199      0      8   2198   1186</t>
  </si>
  <si>
    <t>0   9103</t>
  </si>
  <si>
    <t>-6507  -3262      0   -366      0</t>
  </si>
  <si>
    <t>0      0      0   4268      0</t>
  </si>
  <si>
    <t>0    755      0    -22  -3088</t>
  </si>
  <si>
    <t>1860      0      0      0      0</t>
  </si>
  <si>
    <t>111  -1484</t>
  </si>
  <si>
    <t>-1780   4104      0    953   1305</t>
  </si>
  <si>
    <t>4    836</t>
  </si>
  <si>
    <t>526      0</t>
  </si>
  <si>
    <t>0  -2631   -311   1073   1366</t>
  </si>
  <si>
    <t>440      0</t>
  </si>
  <si>
    <t>-1266      0    595   -832      0</t>
  </si>
  <si>
    <t>821    604  -1099    352      0</t>
  </si>
  <si>
    <t>0    -68    785      7      0</t>
  </si>
  <si>
    <t>043  -1176</t>
  </si>
  <si>
    <t>26646  -6539  -7155      0    502</t>
  </si>
  <si>
    <t>2439      0      0   -808      0</t>
  </si>
  <si>
    <t>105    410</t>
  </si>
  <si>
    <t>0      0      0     65      0</t>
  </si>
  <si>
    <t>367    -88</t>
  </si>
  <si>
    <t>-404    684      0      0      0</t>
  </si>
  <si>
    <t>350    411</t>
  </si>
  <si>
    <t>0   -135      0      0    996</t>
  </si>
  <si>
    <t>0    216</t>
  </si>
  <si>
    <t>456    104      0  -1503  -1082</t>
  </si>
  <si>
    <t>1616   7544  -1455   -252   -473</t>
  </si>
  <si>
    <t>-154      0  -1859      0      0</t>
  </si>
  <si>
    <t>578   -334</t>
  </si>
  <si>
    <t>0   1227      0    522    509</t>
  </si>
  <si>
    <t>922  11591</t>
  </si>
  <si>
    <t>320    182  -3135  -4030 -19067</t>
  </si>
  <si>
    <t>0    621   -230      0      0</t>
  </si>
  <si>
    <t>0      0   3058      0  -3133</t>
  </si>
  <si>
    <t>0    -24</t>
  </si>
  <si>
    <t>8350   2437  -5559 -16659  -5841</t>
  </si>
  <si>
    <t>879      0</t>
  </si>
  <si>
    <t>413      0</t>
  </si>
  <si>
    <t>0  -2298   -640      0   3777</t>
  </si>
  <si>
    <t>-1164  -1103      0      0    339</t>
  </si>
  <si>
    <t>2485   1814   2511   4392      0</t>
  </si>
  <si>
    <t>0    398    378  -2892      0</t>
  </si>
  <si>
    <t>838   1443</t>
  </si>
  <si>
    <t>0 -28448  -8503    998   -542</t>
  </si>
  <si>
    <t>0    327</t>
  </si>
  <si>
    <t>0   -321  -1106      0  -1076</t>
  </si>
  <si>
    <t>493   -588</t>
  </si>
  <si>
    <t>0      0      0   3634      0</t>
  </si>
  <si>
    <t>408    221</t>
  </si>
  <si>
    <t>772  -9953</t>
  </si>
  <si>
    <t>0  -2940    -72      0  -2081</t>
  </si>
  <si>
    <t>-156    183      0      0      0</t>
  </si>
  <si>
    <t>105    555      0   -326   1031</t>
  </si>
  <si>
    <t>264      0</t>
  </si>
  <si>
    <t>-6284    819   -712   -392      0</t>
  </si>
  <si>
    <t>-1658      0  -1445      0      0</t>
  </si>
  <si>
    <t>0   2335      0   -535    105</t>
  </si>
  <si>
    <t>666      0</t>
  </si>
  <si>
    <t>0      0      0      0   4240</t>
  </si>
  <si>
    <t>017    534</t>
  </si>
  <si>
    <t>0      0      0      0   2178</t>
  </si>
  <si>
    <t>-29      0      0      0      0</t>
  </si>
  <si>
    <t>032      0</t>
  </si>
  <si>
    <t>10814   9850  18179  16212  32732</t>
  </si>
  <si>
    <t>435    205</t>
  </si>
  <si>
    <t>0      0   -305      0      0</t>
  </si>
  <si>
    <t>0   1039</t>
  </si>
  <si>
    <t>0      0      0      0  -3048</t>
  </si>
  <si>
    <t>0     23   1006    157      0</t>
  </si>
  <si>
    <t>279    212</t>
  </si>
  <si>
    <t>-1468      0    476      0      0</t>
  </si>
  <si>
    <t>0      0  -1109      0   -262</t>
  </si>
  <si>
    <t>1248      0    999    288      0</t>
  </si>
  <si>
    <t>0   5636</t>
  </si>
  <si>
    <t>0      0      0      0  14762</t>
  </si>
  <si>
    <t>278   -647</t>
  </si>
  <si>
    <t>2397      0   -139   2335    128</t>
  </si>
  <si>
    <t>295   4183</t>
  </si>
  <si>
    <t>0      0      0      0  -9172</t>
  </si>
  <si>
    <t>0  -4600</t>
  </si>
  <si>
    <t>-2834   1211  -1243  -5124  -4466</t>
  </si>
  <si>
    <t>0  -4074</t>
  </si>
  <si>
    <t>0    254   2001      0      0</t>
  </si>
  <si>
    <t>-1727   -463   -570      0      0</t>
  </si>
  <si>
    <t>-1031   -257    588      0  -5971</t>
  </si>
  <si>
    <t>328  -1871</t>
  </si>
  <si>
    <t>-5938 -22511      0    116      0</t>
  </si>
  <si>
    <t>0   1619</t>
  </si>
  <si>
    <t>0      0   -995      0   -601</t>
  </si>
  <si>
    <t>362     78</t>
  </si>
  <si>
    <t>0      0   4954      0  -1331</t>
  </si>
  <si>
    <t>322    489</t>
  </si>
  <si>
    <t>240      0      0      0  -4118</t>
  </si>
  <si>
    <t>453   1207</t>
  </si>
  <si>
    <t>1655      0      0  -2236      0</t>
  </si>
  <si>
    <t>663      0</t>
  </si>
  <si>
    <t>226      0  -8127    992      0</t>
  </si>
  <si>
    <t>7361   -214     59    531   2114</t>
  </si>
  <si>
    <t>0   -850      0      0    268</t>
  </si>
  <si>
    <t>5702      0  -2093   -158    733</t>
  </si>
  <si>
    <t>605   8931</t>
  </si>
  <si>
    <t>35974      0      0      0      0</t>
  </si>
  <si>
    <t>0   2527    433   1935   1651</t>
  </si>
  <si>
    <t>0      0  -9010  -1370      0</t>
  </si>
  <si>
    <t>417      0      0   -121      0</t>
  </si>
  <si>
    <t>0  -1413   -118    934    960</t>
  </si>
  <si>
    <t>175   1922</t>
  </si>
  <si>
    <t>0      0      0      0    648</t>
  </si>
  <si>
    <t>-50      0      0      0      0</t>
  </si>
  <si>
    <t>0    -36</t>
  </si>
  <si>
    <t>0      0  -1161    563      0</t>
  </si>
  <si>
    <t>2089   -837    -79      0      0</t>
  </si>
  <si>
    <t>51    199</t>
  </si>
  <si>
    <t>-701    191    244    184   -357</t>
  </si>
  <si>
    <t>1467      0   -752   -371    239</t>
  </si>
  <si>
    <t>0  -2175</t>
  </si>
  <si>
    <t>1217      0    302    493   2623</t>
  </si>
  <si>
    <t>837      0</t>
  </si>
  <si>
    <t>0      0   -514    -98      0</t>
  </si>
  <si>
    <t>-62    297</t>
  </si>
  <si>
    <t>0      0      0      0   2048</t>
  </si>
  <si>
    <t>0    -96</t>
  </si>
  <si>
    <t>124    625   2404   4760   2342</t>
  </si>
  <si>
    <t>033  -1418</t>
  </si>
  <si>
    <t>0      0    215    446      0</t>
  </si>
  <si>
    <t>-27   -552   2180      0      0</t>
  </si>
  <si>
    <t>647    -69     79      0   1563</t>
  </si>
  <si>
    <t>659    970</t>
  </si>
  <si>
    <t>-2924  -3562  -2143    336    104</t>
  </si>
  <si>
    <t>0    110</t>
  </si>
  <si>
    <t>0  -5291      0  -5141      0</t>
  </si>
  <si>
    <t>0      0   1135      0   -413</t>
  </si>
  <si>
    <t>15   -230</t>
  </si>
  <si>
    <t>202   3047</t>
  </si>
  <si>
    <t>-150      0      0      0      0</t>
  </si>
  <si>
    <t>366      0</t>
  </si>
  <si>
    <t>-826    200      0      0      0</t>
  </si>
  <si>
    <t>0   1420</t>
  </si>
  <si>
    <t>971  -1018 -10654 -11379 -11334</t>
  </si>
  <si>
    <t>849  10663</t>
  </si>
  <si>
    <t>021    -66</t>
  </si>
  <si>
    <t>0      0     22      0      0</t>
  </si>
  <si>
    <t>0  -1282</t>
  </si>
  <si>
    <t>0      0      0      0      8</t>
  </si>
  <si>
    <t>0   -201    -49    -42      0</t>
  </si>
  <si>
    <t>79     90</t>
  </si>
  <si>
    <t>142      0     48      0      0</t>
  </si>
  <si>
    <t>0      0    955      0     12</t>
  </si>
  <si>
    <t>-107      0     81    210      0</t>
  </si>
  <si>
    <t>0    942</t>
  </si>
  <si>
    <t>0      0      0      0   -315</t>
  </si>
  <si>
    <t>138    -36</t>
  </si>
  <si>
    <t>-653      0 -24626   6721   -986</t>
  </si>
  <si>
    <t>911   1514</t>
  </si>
  <si>
    <t>0      0      0      0     64</t>
  </si>
  <si>
    <t>0   -114</t>
  </si>
  <si>
    <t>99   -299    997   -519   2038</t>
  </si>
  <si>
    <t>0   -370</t>
  </si>
  <si>
    <t>0     34    139      0      0</t>
  </si>
  <si>
    <t>0 -22425</t>
  </si>
  <si>
    <t>1684    584   -562      0      0</t>
  </si>
  <si>
    <t>294    183     18      0    400</t>
  </si>
  <si>
    <t>1    128</t>
  </si>
  <si>
    <t>-295   -364      0   -574      0</t>
  </si>
  <si>
    <t>0    181</t>
  </si>
  <si>
    <t>0      0    298      0   -493</t>
  </si>
  <si>
    <t>528    735</t>
  </si>
  <si>
    <t>0      0   -227      0     29</t>
  </si>
  <si>
    <t>351    350</t>
  </si>
  <si>
    <t>137      0      0      0   -112</t>
  </si>
  <si>
    <t>110    202</t>
  </si>
  <si>
    <t>218      0      0   -539      0</t>
  </si>
  <si>
    <t>174      0</t>
  </si>
  <si>
    <t>0     64</t>
  </si>
  <si>
    <t>109      0    -67   -219      0</t>
  </si>
  <si>
    <t>1064   -564   -533    199    -18</t>
  </si>
  <si>
    <t>0    -16      0      0   2283</t>
  </si>
  <si>
    <t>165      0    229   -336    167</t>
  </si>
  <si>
    <t>486  -4703</t>
  </si>
  <si>
    <t>2306   1358      0      0      0</t>
  </si>
  <si>
    <t>656   -608    715    692   1071</t>
  </si>
  <si>
    <t>0    697     61      0      0</t>
  </si>
  <si>
    <t>0      0   -159      0    -71</t>
  </si>
  <si>
    <t>0   -325</t>
  </si>
  <si>
    <t>-1308   -647    708   1033   1072</t>
  </si>
  <si>
    <t>518      0</t>
  </si>
  <si>
    <t>0      0      0    747      0</t>
  </si>
  <si>
    <t>418      0</t>
  </si>
  <si>
    <t>0   -331   3015      0  -1339</t>
  </si>
  <si>
    <t>-165    -32      0      0    529</t>
  </si>
  <si>
    <t>572      0</t>
  </si>
  <si>
    <t>-1829    -91    -75    714      0</t>
  </si>
  <si>
    <t>0  -1575  -1113   -600      0</t>
  </si>
  <si>
    <t>659   -162</t>
  </si>
  <si>
    <t>0   -557   -772    617   -417</t>
  </si>
  <si>
    <t>0   4942 -24665      0  -3986</t>
  </si>
  <si>
    <t>188   -312</t>
  </si>
  <si>
    <t>0      0      0   1225      0</t>
  </si>
  <si>
    <t>565   -147</t>
  </si>
  <si>
    <t>-903    -21   1135  -1092    -11</t>
  </si>
  <si>
    <t>870   1107</t>
  </si>
  <si>
    <t>0    765    430      0  -1508</t>
  </si>
  <si>
    <t>139   4422      0      0      0</t>
  </si>
  <si>
    <t>-163   1434      0    687  -1057</t>
  </si>
  <si>
    <t>-1230   -717   -127   -199      0</t>
  </si>
  <si>
    <t>12984      0  -4220      0      0</t>
  </si>
  <si>
    <t>0    472      0   -693    202</t>
  </si>
  <si>
    <t>0      0      0      0  -1025</t>
  </si>
  <si>
    <t>690     47</t>
  </si>
  <si>
    <t>0      0      0      0 -26020</t>
  </si>
  <si>
    <t>0  -4585</t>
  </si>
  <si>
    <t>356      0      0      0      0</t>
  </si>
  <si>
    <t>271      0</t>
  </si>
  <si>
    <t>-181  -8094   2417  -9897  -5611</t>
  </si>
  <si>
    <t>745   7715</t>
  </si>
  <si>
    <t>0      0      0      0  25428</t>
  </si>
  <si>
    <t>574     50</t>
  </si>
  <si>
    <t>358      0      0    550      0</t>
  </si>
  <si>
    <t>-2      0    -53   -426   -506</t>
  </si>
  <si>
    <t>0  -1009</t>
  </si>
  <si>
    <t>964    918      0     15      0</t>
  </si>
  <si>
    <t>0      0      0    888      0</t>
  </si>
  <si>
    <t>0    605      0     43     50</t>
  </si>
  <si>
    <t>-526      0      0      0      0</t>
  </si>
  <si>
    <t>122   -229</t>
  </si>
  <si>
    <t>6    395      0   -969  -1104</t>
  </si>
  <si>
    <t>849   6915</t>
  </si>
  <si>
    <t>299      0</t>
  </si>
  <si>
    <t>0   -308    -73    -52    385</t>
  </si>
  <si>
    <t>150      0</t>
  </si>
  <si>
    <t>-102      0    188   -137      0</t>
  </si>
  <si>
    <t>1116    -91  -2376   1178      0</t>
  </si>
  <si>
    <t>0     16   -239   -863      0</t>
  </si>
  <si>
    <t>328   -148</t>
  </si>
  <si>
    <t>-872  -1242  -1156      0     62</t>
  </si>
  <si>
    <t>-2938      0      0 -20742      0</t>
  </si>
  <si>
    <t>406   -165</t>
  </si>
  <si>
    <t>0      0      0    488      0</t>
  </si>
  <si>
    <t>436     75</t>
  </si>
  <si>
    <t>111    130      0      0      0</t>
  </si>
  <si>
    <t>29     86</t>
  </si>
  <si>
    <t>0     29      0      0    -19</t>
  </si>
  <si>
    <t>-210   -816      0    -54   -178</t>
  </si>
  <si>
    <t>519   1551   -507   -836    211</t>
  </si>
  <si>
    <t>202      0</t>
  </si>
  <si>
    <t>169      0    869      0      0</t>
  </si>
  <si>
    <t>310   -162</t>
  </si>
  <si>
    <t>0    444      0    249   -200</t>
  </si>
  <si>
    <t>273   -747</t>
  </si>
  <si>
    <t>2700   3782   2610      0      0</t>
  </si>
  <si>
    <t>8491   2800   6287    389   -489</t>
  </si>
  <si>
    <t>240    422</t>
  </si>
  <si>
    <t>-26      0      0      0   1271</t>
  </si>
  <si>
    <t>41      0</t>
  </si>
  <si>
    <t>0      0    387      0      0</t>
  </si>
  <si>
    <t>-80   -942      0   -663   -399</t>
  </si>
  <si>
    <t>312    465</t>
  </si>
  <si>
    <t>259      0      0      0      0</t>
  </si>
  <si>
    <t>0    174</t>
  </si>
  <si>
    <t>-217      0    242      0      0</t>
  </si>
  <si>
    <t>-205    -32      0      0   -553</t>
  </si>
  <si>
    <t>013      0</t>
  </si>
  <si>
    <t>0      0    576   -605   -400</t>
  </si>
  <si>
    <t>-1832  -2346   6176 -24537   -299</t>
  </si>
  <si>
    <t>-36     53</t>
  </si>
  <si>
    <t>0      0   1370      0   -978</t>
  </si>
  <si>
    <t>583   -457</t>
  </si>
  <si>
    <t>-2247  -2226   -683      0   -874</t>
  </si>
  <si>
    <t>014    406</t>
  </si>
  <si>
    <t>169      0      0      0  -1006</t>
  </si>
  <si>
    <t>207      0</t>
  </si>
  <si>
    <t>-905      0      0      0      0</t>
  </si>
  <si>
    <t>0   1648</t>
  </si>
  <si>
    <t>574      0   -841   -580   -100</t>
  </si>
  <si>
    <t>068   -171</t>
  </si>
  <si>
    <t>0    418      0      0    521</t>
  </si>
  <si>
    <t>083      0</t>
  </si>
  <si>
    <t>170      0    748    904   2997</t>
  </si>
  <si>
    <t>404      0    -71     26   -260</t>
  </si>
  <si>
    <t>0   -218</t>
  </si>
  <si>
    <t>0      0  -1059  -1027   -376</t>
  </si>
  <si>
    <t>169   -128</t>
  </si>
  <si>
    <t>0  -5113      0  -3744      0</t>
  </si>
  <si>
    <t>0      0      0      0   1115</t>
  </si>
  <si>
    <t>0   -877</t>
  </si>
  <si>
    <t>-727   -715      0      0      0</t>
  </si>
  <si>
    <t>282    187    630      0      0</t>
  </si>
  <si>
    <t>0      0    252    476      0</t>
  </si>
  <si>
    <t>155     55    766   4758   6850</t>
  </si>
  <si>
    <t>081   1398</t>
  </si>
  <si>
    <t>20623    756    726     88  -1421</t>
  </si>
  <si>
    <t>639      0</t>
  </si>
  <si>
    <t>0      0    -16   -237      0</t>
  </si>
  <si>
    <t>720      0      0   -577      0</t>
  </si>
  <si>
    <t>694      0</t>
  </si>
  <si>
    <t>0   1519    584   4374     40</t>
  </si>
  <si>
    <t>074   -883</t>
  </si>
  <si>
    <t>0      0      0      0    723</t>
  </si>
  <si>
    <t>-198      0      0      0      0</t>
  </si>
  <si>
    <t>0    218</t>
  </si>
  <si>
    <t>0      0    942    -32      0</t>
  </si>
  <si>
    <t>541      0</t>
  </si>
  <si>
    <t>-356    742    211      0      0</t>
  </si>
  <si>
    <t>735   -938</t>
  </si>
  <si>
    <t>856   -972 -18330    910    425</t>
  </si>
  <si>
    <t>-383      0   -743     18   -129</t>
  </si>
  <si>
    <t>-1143      0  -1815  -3070  -1794</t>
  </si>
  <si>
    <t>698      0</t>
  </si>
  <si>
    <t>0      0   1966  -1479      0</t>
  </si>
  <si>
    <t>526 -21430</t>
  </si>
  <si>
    <t>0      0      0      0    976</t>
  </si>
  <si>
    <t>0   -546</t>
  </si>
  <si>
    <t>-286   -204    579   -608   1001</t>
  </si>
  <si>
    <t>103    934</t>
  </si>
  <si>
    <t>0      0    -95    -48      0</t>
  </si>
  <si>
    <t>287      0</t>
  </si>
  <si>
    <t>23699     67   -245      0      0</t>
  </si>
  <si>
    <t>-67    183    379      0   -572</t>
  </si>
  <si>
    <t>279   -150</t>
  </si>
  <si>
    <t>188   1663   1037  -1050   -122</t>
  </si>
  <si>
    <t>0   1068</t>
  </si>
  <si>
    <t>0     81      0    174      0</t>
  </si>
  <si>
    <t>0      0    666      0   -229</t>
  </si>
  <si>
    <t>580  -1038</t>
  </si>
  <si>
    <t>280   3037</t>
  </si>
  <si>
    <t>245      0      0      0      0</t>
  </si>
  <si>
    <t>5780     51      0      0      0</t>
  </si>
  <si>
    <t>0    617</t>
  </si>
  <si>
    <t>-2828   -863  -2527   4126  -1713</t>
  </si>
  <si>
    <t>263  -2491</t>
  </si>
  <si>
    <t>848  -7338</t>
  </si>
  <si>
    <t>0  -1022    514   -979  -2189</t>
  </si>
  <si>
    <t>992      0</t>
  </si>
  <si>
    <t>0      0   1327    345      0</t>
  </si>
  <si>
    <t>25792      0      0    -27      0</t>
  </si>
  <si>
    <t>-26      0</t>
  </si>
  <si>
    <t>0    -86    -91   -698   -106</t>
  </si>
  <si>
    <t>420    900</t>
  </si>
  <si>
    <t>-331      0      0      0      0</t>
  </si>
  <si>
    <t>0    651</t>
  </si>
  <si>
    <t>0      0  -2564    791      0</t>
  </si>
  <si>
    <t>989      0</t>
  </si>
  <si>
    <t>1679   -579   -436      0      0</t>
  </si>
  <si>
    <t>439    -67</t>
  </si>
  <si>
    <t>121    743    193    491   -745</t>
  </si>
  <si>
    <t>1752      0  -1050   -290    651</t>
  </si>
  <si>
    <t>0  -2234</t>
  </si>
  <si>
    <t>-3660      0    -43   -112   1537</t>
  </si>
  <si>
    <t>0      0   -106    695      0</t>
  </si>
  <si>
    <t>485    127</t>
  </si>
  <si>
    <t>0      0      0      0   1443</t>
  </si>
  <si>
    <t>0   -239</t>
  </si>
  <si>
    <t>-435    523   1287  -4787  -4144</t>
  </si>
  <si>
    <t>438   -595</t>
  </si>
  <si>
    <t>0      0   -182    116      0</t>
  </si>
  <si>
    <t>-52      0</t>
  </si>
  <si>
    <t>-204    179   -274      0      0</t>
  </si>
  <si>
    <t>300   -244    378      0  -3083</t>
  </si>
  <si>
    <t>321   1148</t>
  </si>
  <si>
    <t>332    536   1633   -183   -262</t>
  </si>
  <si>
    <t>0    -41</t>
  </si>
  <si>
    <t>0    235      0    577      0</t>
  </si>
  <si>
    <t>0      0   1245      0    -47</t>
  </si>
  <si>
    <t>158    343</t>
  </si>
  <si>
    <t>759   3139</t>
  </si>
  <si>
    <t>-583      0      0      0      0</t>
  </si>
  <si>
    <t>610      0</t>
  </si>
  <si>
    <t>753 -14118      0      0      0</t>
  </si>
  <si>
    <t>0    921</t>
  </si>
  <si>
    <t>24   2231  -9640  25743  24191</t>
  </si>
  <si>
    <t>770   7281</t>
  </si>
  <si>
    <t>252    360</t>
  </si>
  <si>
    <t>1841      0      0      0      0</t>
  </si>
  <si>
    <t>0   1511</t>
  </si>
  <si>
    <t>-445      0      0    870      0</t>
  </si>
  <si>
    <t>584      0</t>
  </si>
  <si>
    <t>-311      0    -56   -853    521</t>
  </si>
  <si>
    <t>0   1196</t>
  </si>
  <si>
    <t>-216    153      0   -620      0</t>
  </si>
  <si>
    <t>0      0      0    414      0</t>
  </si>
  <si>
    <t>0   -646      0    154  -1210</t>
  </si>
  <si>
    <t>-425      0      0      0      0</t>
  </si>
  <si>
    <t>343   -628</t>
  </si>
  <si>
    <t>-2688    106      0    271   -321</t>
  </si>
  <si>
    <t>233   -327</t>
  </si>
  <si>
    <t>566      0</t>
  </si>
  <si>
    <t>0  12292   -858   -565   -880</t>
  </si>
  <si>
    <t>-1844      0   -345   3078      0</t>
  </si>
  <si>
    <t>-516   -237  -1175    590      0</t>
  </si>
  <si>
    <t>0    202   -397    800      0</t>
  </si>
  <si>
    <t>776  -1893</t>
  </si>
  <si>
    <t>-195   -396  -1643      0   -776</t>
  </si>
  <si>
    <t>-376      0      0   -128      0</t>
  </si>
  <si>
    <t>89  -1139</t>
  </si>
  <si>
    <t>0      0      0  -3392      0</t>
  </si>
  <si>
    <t>010   -346</t>
  </si>
  <si>
    <t>-793   -232      0      0      0</t>
  </si>
  <si>
    <t>557  -1436</t>
  </si>
  <si>
    <t>0   2597      0      0   -448</t>
  </si>
  <si>
    <t>0   -512</t>
  </si>
  <si>
    <t>31    317      0  14866    -54</t>
  </si>
  <si>
    <t>764      0</t>
  </si>
  <si>
    <t>-309      0   -586      0      0</t>
  </si>
  <si>
    <t>098    152</t>
  </si>
  <si>
    <t>0 -12160      0   -679   -406</t>
  </si>
  <si>
    <t>522    406</t>
  </si>
  <si>
    <t>1801   6637   4665      0      0</t>
  </si>
  <si>
    <t>2735   -573   6916    216   7624</t>
  </si>
  <si>
    <t>-7310  -1061   4333   3569   3525</t>
  </si>
  <si>
    <t>0  -1078   -160      0      0</t>
  </si>
  <si>
    <t>0      0   -882      0    583</t>
  </si>
  <si>
    <t>-6258  -1327   2829   3239   3551</t>
  </si>
  <si>
    <t>0      0      0     82      0</t>
  </si>
  <si>
    <t>375      0</t>
  </si>
  <si>
    <t>0  -8013   -539      0   2502</t>
  </si>
  <si>
    <t>2234   1184      0      0    -72</t>
  </si>
  <si>
    <t>453      0</t>
  </si>
  <si>
    <t>544    719  -1045   -386      0</t>
  </si>
  <si>
    <t>0    531    111   1108      0</t>
  </si>
  <si>
    <t>435   -586</t>
  </si>
  <si>
    <t>0   2989   5575   2096    486</t>
  </si>
  <si>
    <t>0    -32</t>
  </si>
  <si>
    <t>0    119   1235      0   1995</t>
  </si>
  <si>
    <t>367    336</t>
  </si>
  <si>
    <t>0      0      0 -17188      0</t>
  </si>
  <si>
    <t>113    723</t>
  </si>
  <si>
    <t>770   3470   8956   8514   3498</t>
  </si>
  <si>
    <t>158   2942</t>
  </si>
  <si>
    <t>0    583     94      0   2754</t>
  </si>
  <si>
    <t>169   -583      0      0      0</t>
  </si>
  <si>
    <t>569   -227      0  -8910    552</t>
  </si>
  <si>
    <t>210      0</t>
  </si>
  <si>
    <t>2343   -148   1543    926      0</t>
  </si>
  <si>
    <t>528      0</t>
  </si>
  <si>
    <t>1606      0   1658      0      0</t>
  </si>
  <si>
    <t>0 -11024      0   -179   1027</t>
  </si>
  <si>
    <t>0      0      0      0  -2349</t>
  </si>
  <si>
    <t>815   2085</t>
  </si>
  <si>
    <t>0      0      0      0    861</t>
  </si>
  <si>
    <t>0   2277</t>
  </si>
  <si>
    <t>-897      0      0      0      0</t>
  </si>
  <si>
    <t>828      0</t>
  </si>
  <si>
    <t>848 -14461</t>
  </si>
  <si>
    <t>0      0      0      0 -14226</t>
  </si>
  <si>
    <t>193  -8735</t>
  </si>
  <si>
    <t>0      0 -15311      0 -28708</t>
  </si>
  <si>
    <t>497    262</t>
  </si>
  <si>
    <t>0      0   -294      0      0</t>
  </si>
  <si>
    <t>0   1138</t>
  </si>
  <si>
    <t>0      0      0      0  -1777</t>
  </si>
  <si>
    <t>0    833   1156    583      0</t>
  </si>
  <si>
    <t>422    -97</t>
  </si>
  <si>
    <t>-372      0    148      0      0</t>
  </si>
  <si>
    <t>0      0    331      0     69</t>
  </si>
  <si>
    <t>281      0   1174    392      0</t>
  </si>
  <si>
    <t>0   -267</t>
  </si>
  <si>
    <t>0      0      0      0   5607</t>
  </si>
  <si>
    <t>975  -1228</t>
  </si>
  <si>
    <t>3623      0  -2081  -1757   -344</t>
  </si>
  <si>
    <t>547    937</t>
  </si>
  <si>
    <t>0   2089</t>
  </si>
  <si>
    <t>2275  -1194   -724    202 -30637</t>
  </si>
  <si>
    <t>0  -2136</t>
  </si>
  <si>
    <t>0   -217    -55      0      0</t>
  </si>
  <si>
    <t>220    -20    639      0      0</t>
  </si>
  <si>
    <t>554     49   -136      0   1548</t>
  </si>
  <si>
    <t>-1759  -3048      0    136      0</t>
  </si>
  <si>
    <t>0    -50</t>
  </si>
  <si>
    <t>0      0    247      0     60</t>
  </si>
  <si>
    <t>210    467</t>
  </si>
  <si>
    <t>0      0    149      0  -1094</t>
  </si>
  <si>
    <t>-37     66</t>
  </si>
  <si>
    <t>4136      0      0      0   -555</t>
  </si>
  <si>
    <t>343   4554</t>
  </si>
  <si>
    <t>484      0      0  -1185      0</t>
  </si>
  <si>
    <t>222      0   -278   -896      0</t>
  </si>
  <si>
    <t>2075    710    665    527   1682</t>
  </si>
  <si>
    <t>0  -1467      0      0  -9554</t>
  </si>
  <si>
    <t>436      0</t>
  </si>
  <si>
    <t>-310      0     17   -510    441</t>
  </si>
  <si>
    <t>497   2462</t>
  </si>
  <si>
    <t>2452   2212      0      0      0</t>
  </si>
  <si>
    <t>440   2316   -254    125   -770</t>
  </si>
  <si>
    <t>-1801      0      0      0      0</t>
  </si>
  <si>
    <t>0    272</t>
  </si>
  <si>
    <t>20948      0      0     11      0</t>
  </si>
  <si>
    <t>960      0     25    146     71</t>
  </si>
  <si>
    <t>0   3294</t>
  </si>
  <si>
    <t>-3261   -850      0    188      0</t>
  </si>
  <si>
    <t>0      0      0   -695      0</t>
  </si>
  <si>
    <t>0    236      0   3678   -403</t>
  </si>
  <si>
    <t>6237      0      0      0      0</t>
  </si>
  <si>
    <t>413   -707</t>
  </si>
  <si>
    <t>1584    986      0    709   4472</t>
  </si>
  <si>
    <t>873   3660</t>
  </si>
  <si>
    <t>530      0</t>
  </si>
  <si>
    <t>0   1146    362   -811   -995</t>
  </si>
  <si>
    <t>620      0</t>
  </si>
  <si>
    <t>-54      0     -7  -1215      0</t>
  </si>
  <si>
    <t>174    883   -113   -697      0</t>
  </si>
  <si>
    <t>0    973     40    473      0</t>
  </si>
  <si>
    <t>139    323</t>
  </si>
  <si>
    <t>1015 -35294  -8048      0   -132</t>
  </si>
  <si>
    <t>42      0      0    -73      0</t>
  </si>
  <si>
    <t>214   -111</t>
  </si>
  <si>
    <t>0      0      0    827      0</t>
  </si>
  <si>
    <t>545    158</t>
  </si>
  <si>
    <t>640    152      0      0      0</t>
  </si>
  <si>
    <t>542  -8782</t>
  </si>
  <si>
    <t>0  -1169      0      0     63</t>
  </si>
  <si>
    <t>0   -182</t>
  </si>
  <si>
    <t>106    925      0    498  -3811</t>
  </si>
  <si>
    <t>-1548   6195   1197   -348  -2517</t>
  </si>
  <si>
    <t>4731      0   2972      0      0</t>
  </si>
  <si>
    <t>410   -460</t>
  </si>
  <si>
    <t>0   -760      0   3935     46</t>
  </si>
  <si>
    <t>523   9239</t>
  </si>
  <si>
    <t>-9  22423   5369      0      0</t>
  </si>
  <si>
    <t>-15    140  -1543     73   -936</t>
  </si>
  <si>
    <t>573      0</t>
  </si>
  <si>
    <t>313  -1540      0      0      0</t>
  </si>
  <si>
    <t>0   6992</t>
  </si>
  <si>
    <t>-321    498  -4277      0      0</t>
  </si>
  <si>
    <t>204      0</t>
  </si>
  <si>
    <t>-642      0      0      0      0</t>
  </si>
  <si>
    <t>-459      0    419      0    484</t>
  </si>
  <si>
    <t>424     98</t>
  </si>
  <si>
    <t>-31  -1161  -3786   1111      0</t>
  </si>
  <si>
    <t>222      0</t>
  </si>
  <si>
    <t>0    750      0      0      0</t>
  </si>
  <si>
    <t>927      0</t>
  </si>
  <si>
    <t>0      0      0    426      0</t>
  </si>
  <si>
    <t>338   1107</t>
  </si>
  <si>
    <t>9331      0   9413      0      0</t>
  </si>
  <si>
    <t>0      0    829   1124      0</t>
  </si>
  <si>
    <t>361   5060</t>
  </si>
  <si>
    <t>5164   6490      0      0      0</t>
  </si>
  <si>
    <t>441  -4671      0   2241    775</t>
  </si>
  <si>
    <t>822   -918</t>
  </si>
  <si>
    <t>34146   1281   -232      0   -105</t>
  </si>
  <si>
    <t>649      0</t>
  </si>
  <si>
    <t>863      0    208    783   -256</t>
  </si>
  <si>
    <t>924      0</t>
  </si>
  <si>
    <t>0  -1627      0   -343   -189</t>
  </si>
  <si>
    <t>389      0</t>
  </si>
  <si>
    <t>368  -2676   1297  -6105 -33300</t>
  </si>
  <si>
    <t>0   -259</t>
  </si>
  <si>
    <t>-106      0   -180      0      0</t>
  </si>
  <si>
    <t>0   1945    587    147      0</t>
  </si>
  <si>
    <t>-148     71      0   1322      0</t>
  </si>
  <si>
    <t>0     65</t>
  </si>
  <si>
    <t>-161      0      0      0      0</t>
  </si>
  <si>
    <t>0   -283   -136    463      0</t>
  </si>
  <si>
    <t>632  -8261</t>
  </si>
  <si>
    <t>0      0 -42387    660    867</t>
  </si>
  <si>
    <t>614   -117</t>
  </si>
  <si>
    <t>0      0   3463      0   2070</t>
  </si>
  <si>
    <t>0      0      0  -7526      0</t>
  </si>
  <si>
    <t>769    -81</t>
  </si>
  <si>
    <t>-1055   1217    952   5026  19953</t>
  </si>
  <si>
    <t>0      0    181     82  -1639</t>
  </si>
  <si>
    <t>64  -1063</t>
  </si>
  <si>
    <t>164      0   2057   -711      0</t>
  </si>
  <si>
    <t>21841      0      0      0      0</t>
  </si>
  <si>
    <t>0  -1252</t>
  </si>
  <si>
    <t>-636      0      0   -248      0</t>
  </si>
  <si>
    <t>290      0</t>
  </si>
  <si>
    <t>1055      0   6409   1591    635</t>
  </si>
  <si>
    <t>-327   -352      0     95      0</t>
  </si>
  <si>
    <t>0      0      0     39      0</t>
  </si>
  <si>
    <t>0     95      0    610    117</t>
  </si>
  <si>
    <t>5316      0      0      0      0</t>
  </si>
  <si>
    <t>072   -287</t>
  </si>
  <si>
    <t>380   -210      0    -50    751</t>
  </si>
  <si>
    <t>232     -5</t>
  </si>
  <si>
    <t>248      0</t>
  </si>
  <si>
    <t>0     35   -919  -1973   3474</t>
  </si>
  <si>
    <t>-119      0     44    -25      0</t>
  </si>
  <si>
    <t>-543    964    565      0      0</t>
  </si>
  <si>
    <t>0    347   -228    335      0</t>
  </si>
  <si>
    <t>76    195</t>
  </si>
  <si>
    <t>697   -125   -431      0   -202</t>
  </si>
  <si>
    <t>314      0      0   -148      0</t>
  </si>
  <si>
    <t>258    288</t>
  </si>
  <si>
    <t>0      0      0   -325      0</t>
  </si>
  <si>
    <t>047   -231</t>
  </si>
  <si>
    <t>-1090  -4454      0      0      0</t>
  </si>
  <si>
    <t>480   -386</t>
  </si>
  <si>
    <t>0   -216      0      0   1280</t>
  </si>
  <si>
    <t>-211    724      0     20     48</t>
  </si>
  <si>
    <t>-754    120    280    296    229</t>
  </si>
  <si>
    <t>543      0</t>
  </si>
  <si>
    <t>-290      0   -118      0      0</t>
  </si>
  <si>
    <t>975 -12121</t>
  </si>
  <si>
    <t>0   -128      0     84    175</t>
  </si>
  <si>
    <t>152   2937</t>
  </si>
  <si>
    <t>300    579    166      0      0</t>
  </si>
  <si>
    <t>-124     28   -110    -56    557</t>
  </si>
  <si>
    <t>467      0</t>
  </si>
  <si>
    <t>-10    961      0      0      0</t>
  </si>
  <si>
    <t>0  12150</t>
  </si>
  <si>
    <t>288  -1805</t>
  </si>
  <si>
    <t>0      0   1079      0      0</t>
  </si>
  <si>
    <t>0    710</t>
  </si>
  <si>
    <t>0      0      0      0  -8543</t>
  </si>
  <si>
    <t>0 -29142  -2500   -688      0</t>
  </si>
  <si>
    <t>173   -148</t>
  </si>
  <si>
    <t>-36      0     30      0      0</t>
  </si>
  <si>
    <t>0      0     44      0     84</t>
  </si>
  <si>
    <t>-28      0  -1006    -77      0</t>
  </si>
  <si>
    <t>0    144</t>
  </si>
  <si>
    <t>0      0      0      0   -674</t>
  </si>
  <si>
    <t>919    398</t>
  </si>
  <si>
    <t>695      0  -2376  -2866  -1512</t>
  </si>
  <si>
    <t>528    -21</t>
  </si>
  <si>
    <t>0      0      0      0     32</t>
  </si>
  <si>
    <t>0   -674</t>
  </si>
  <si>
    <t>54   1681  -1760  -1028   -397</t>
  </si>
  <si>
    <t>0   -730</t>
  </si>
  <si>
    <t>0   -452    -82      0      0</t>
  </si>
  <si>
    <t>0   -999</t>
  </si>
  <si>
    <t>-400    104   -292      0      0</t>
  </si>
  <si>
    <t>-2709   -164    360      0   -171</t>
  </si>
  <si>
    <t>950  -1801</t>
  </si>
  <si>
    <t>-316   -646      0   1003      0</t>
  </si>
  <si>
    <t>0   -246</t>
  </si>
  <si>
    <t>0      0  -1057      0    499</t>
  </si>
  <si>
    <t>220    836</t>
  </si>
  <si>
    <t>0      0     52      0  -1839</t>
  </si>
  <si>
    <t>406    498</t>
  </si>
  <si>
    <t>-1242      0      0      0   -887</t>
  </si>
  <si>
    <t>548   -578</t>
  </si>
  <si>
    <t>153      0      0  -1016      0</t>
  </si>
  <si>
    <t>0     18</t>
  </si>
  <si>
    <t>197      0   -290     21      0</t>
  </si>
  <si>
    <t>-94    313    -86   -265    -82</t>
  </si>
  <si>
    <t>0  -1375      0      0     56</t>
  </si>
  <si>
    <t>71      0   -561   -145    191</t>
  </si>
  <si>
    <t>749    978</t>
  </si>
  <si>
    <t>160    130      0      0      0</t>
  </si>
  <si>
    <t>531   1242     59    998     -5</t>
  </si>
  <si>
    <t>476      0      0      0      0</t>
  </si>
  <si>
    <t>398      0</t>
  </si>
  <si>
    <t>0      0      0      0  -1449</t>
  </si>
  <si>
    <t>-9793 -82968   1879  14845   8363</t>
  </si>
  <si>
    <t>0   4773    471      0      0</t>
  </si>
  <si>
    <t>0      0  60311      0 -59217</t>
  </si>
  <si>
    <t>0 -20452</t>
  </si>
  <si>
    <t>17157  -3574 -13712 -14269 -16968</t>
  </si>
  <si>
    <t>502      0</t>
  </si>
  <si>
    <t>0      0      0  -2009      0</t>
  </si>
  <si>
    <t>360      0</t>
  </si>
  <si>
    <t>0   -470  -1396      0    425</t>
  </si>
  <si>
    <t>322    113      0      0      1</t>
  </si>
  <si>
    <t>169      0</t>
  </si>
  <si>
    <t>-227    818    124     11      0</t>
  </si>
  <si>
    <t>0   -256    -81    224      0</t>
  </si>
  <si>
    <t>241  -1561</t>
  </si>
  <si>
    <t>0    209   -323     45     31</t>
  </si>
  <si>
    <t>0    176</t>
  </si>
  <si>
    <t>0   -183   -373      0   -335</t>
  </si>
  <si>
    <t>496    135</t>
  </si>
  <si>
    <t>244    104</t>
  </si>
  <si>
    <t>-1609   -241     48   -259     16</t>
  </si>
  <si>
    <t>124   -315</t>
  </si>
  <si>
    <t>0   -294    104      0    331</t>
  </si>
  <si>
    <t>79     -3      0      0      0</t>
  </si>
  <si>
    <t>52    164      0     62  -1733</t>
  </si>
  <si>
    <t>-30      0</t>
  </si>
  <si>
    <t>-307      5     48     37      0</t>
  </si>
  <si>
    <t>-271      0    -87      0      0</t>
  </si>
  <si>
    <t>0   -175      0    384   -107</t>
  </si>
  <si>
    <t>197      0</t>
  </si>
  <si>
    <t>0      0      0      0   -920</t>
  </si>
  <si>
    <t>360   -362</t>
  </si>
  <si>
    <t>0      0      0      0   -301</t>
  </si>
  <si>
    <t>0   -150</t>
  </si>
  <si>
    <t>-11      0      0      0      0</t>
  </si>
  <si>
    <t>407      0</t>
  </si>
  <si>
    <t>250    146   -158     37    209</t>
  </si>
  <si>
    <t>153   -111</t>
  </si>
  <si>
    <t>0      0      0      0   -417</t>
  </si>
  <si>
    <t>178    118</t>
  </si>
  <si>
    <t>0      0   -607      0   -165</t>
  </si>
  <si>
    <t>100      0</t>
  </si>
  <si>
    <t>1146      0  -1969    575      0</t>
  </si>
  <si>
    <t>710    213</t>
  </si>
  <si>
    <t>-1083      0      0    -79      0</t>
  </si>
  <si>
    <t>238      0</t>
  </si>
  <si>
    <t>-620      0    729      2     -5</t>
  </si>
  <si>
    <t>0   1062</t>
  </si>
  <si>
    <t>-977    351      0   -128      0</t>
  </si>
  <si>
    <t>0      0      0    -28      0</t>
  </si>
  <si>
    <t>-87      0</t>
  </si>
  <si>
    <t>0  -1360      0  -4723    182</t>
  </si>
  <si>
    <t>745      0      0      0      0</t>
  </si>
  <si>
    <t>099    221</t>
  </si>
  <si>
    <t>53     38      0    -60    321</t>
  </si>
  <si>
    <t>23    264</t>
  </si>
  <si>
    <t>442      0</t>
  </si>
  <si>
    <t>0    341  -1521     -1   -303</t>
  </si>
  <si>
    <t>548      0</t>
  </si>
  <si>
    <t>-17      0     57    -57      0</t>
  </si>
  <si>
    <t>-64   -368    -11    -42      0</t>
  </si>
  <si>
    <t>0    233     66     64      0</t>
  </si>
  <si>
    <t>487  -2058</t>
  </si>
  <si>
    <t>95    417  -2112      0     32</t>
  </si>
  <si>
    <t>111      0      0    -32      0</t>
  </si>
  <si>
    <t>109     74</t>
  </si>
  <si>
    <t>0      0      0   -665      0</t>
  </si>
  <si>
    <t>701     58</t>
  </si>
  <si>
    <t>-1350    320      0      0      0</t>
  </si>
  <si>
    <t>802   -488</t>
  </si>
  <si>
    <t>0    -43      0      0   -100</t>
  </si>
  <si>
    <t>-1    -44      0    566   -544</t>
  </si>
  <si>
    <t>-2492     17   -517   -354   -164</t>
  </si>
  <si>
    <t>720      0</t>
  </si>
  <si>
    <t>187      0    167      0      0</t>
  </si>
  <si>
    <t>149   -141</t>
  </si>
  <si>
    <t>0   -598      0   1078   -192</t>
  </si>
  <si>
    <t>442    606</t>
  </si>
  <si>
    <t>448   -303   1020      0      0</t>
  </si>
  <si>
    <t>-39    -85    -92     58   -120</t>
  </si>
  <si>
    <t>-113    762      0      0      0</t>
  </si>
  <si>
    <t>0   1437</t>
  </si>
  <si>
    <t>997      0</t>
  </si>
  <si>
    <t>0  -1110   6712  -1350  -2450</t>
  </si>
  <si>
    <t>740    190</t>
  </si>
  <si>
    <t>-380      0      0      0   1854</t>
  </si>
  <si>
    <t>914      0</t>
  </si>
  <si>
    <t>0      0   -598      0      0</t>
  </si>
  <si>
    <t>817    464      0    337  -2468</t>
  </si>
  <si>
    <t>246   -305</t>
  </si>
  <si>
    <t>97      0      0      0      0</t>
  </si>
  <si>
    <t>-215      0    -11      0      0</t>
  </si>
  <si>
    <t>1142    265      0      0   7971</t>
  </si>
  <si>
    <t>960      0</t>
  </si>
  <si>
    <t>0      0   6417   1752   1620</t>
  </si>
  <si>
    <t>1767  -1875   -384  -3284  -3167</t>
  </si>
  <si>
    <t>554  -1434</t>
  </si>
  <si>
    <t>0      0  -6116      0  12113</t>
  </si>
  <si>
    <t>242   2395</t>
  </si>
  <si>
    <t>-379   -351  -3981      0   -985</t>
  </si>
  <si>
    <t>639     29</t>
  </si>
  <si>
    <t>-1612      0      0      0    152</t>
  </si>
  <si>
    <t>139      0      0      0      0</t>
  </si>
  <si>
    <t>0   -536</t>
  </si>
  <si>
    <t>27      0   1064  -7001   -321</t>
  </si>
  <si>
    <t>240  -3869</t>
  </si>
  <si>
    <t>0    -23      0      0  -1538</t>
  </si>
  <si>
    <t>263      0</t>
  </si>
  <si>
    <t>-120      0     97    567     12</t>
  </si>
  <si>
    <t>-352      0    339    106    200</t>
  </si>
  <si>
    <t>0   1106</t>
  </si>
  <si>
    <t>0      0   -816  -2954    805</t>
  </si>
  <si>
    <t>42     86</t>
  </si>
  <si>
    <t>0   -379      0   -296      0</t>
  </si>
  <si>
    <t>54      0</t>
  </si>
  <si>
    <t>0      0      0      0   -289</t>
  </si>
  <si>
    <t>0    813</t>
  </si>
  <si>
    <t>2167    644      0      0      0</t>
  </si>
  <si>
    <t>-1870  -1098  -4206      0      0</t>
  </si>
  <si>
    <t>0      0  -2460   -732      0</t>
  </si>
  <si>
    <t>2261  -1472  -2078    711     26</t>
  </si>
  <si>
    <t>250    640</t>
  </si>
  <si>
    <t>-486  -1455   2226      0      0</t>
  </si>
  <si>
    <t>0      0      0  15708      0</t>
  </si>
  <si>
    <t>658   8397</t>
  </si>
  <si>
    <t>0      0   6307      0      0</t>
  </si>
  <si>
    <t>6378  -6611   -969  -1476    274</t>
  </si>
  <si>
    <t>522      0</t>
  </si>
  <si>
    <t>0      0   -735   1603      0</t>
  </si>
  <si>
    <t>-123      0      0    -72      0</t>
  </si>
  <si>
    <t>151      0</t>
  </si>
  <si>
    <t>0  -1851  -1758    172    665</t>
  </si>
  <si>
    <t>401    917</t>
  </si>
  <si>
    <t>74      0      0      0      0</t>
  </si>
  <si>
    <t>0      0    621  -6925      0</t>
  </si>
  <si>
    <t>-574    -57    -95      0      0</t>
  </si>
  <si>
    <t>-6    469</t>
  </si>
  <si>
    <t>224    411    748    586     84</t>
  </si>
  <si>
    <t>148      0     51   -651    -17</t>
  </si>
  <si>
    <t>0  -4090</t>
  </si>
  <si>
    <t>24496      0   7080  13563  16270</t>
  </si>
  <si>
    <t>000      0</t>
  </si>
  <si>
    <t>0      0   1419  -2864      0</t>
  </si>
  <si>
    <t>161   2720</t>
  </si>
  <si>
    <t>0      0      0      0   -111</t>
  </si>
  <si>
    <t>0  -4418</t>
  </si>
  <si>
    <t>1538  -8062   -620   -740  -4047</t>
  </si>
  <si>
    <t>112  -1017</t>
  </si>
  <si>
    <t>0      0  -1703    369      0</t>
  </si>
  <si>
    <t>329      0</t>
  </si>
  <si>
    <t>190    536    503      0      0</t>
  </si>
  <si>
    <t>1318   -859    229      0   2330</t>
  </si>
  <si>
    <t>575     36</t>
  </si>
  <si>
    <t>-929  -1586   -770    -73     43</t>
  </si>
  <si>
    <t>0   -714</t>
  </si>
  <si>
    <t>0   -987      0   -316      0</t>
  </si>
  <si>
    <t>0      0   -361      0    976</t>
  </si>
  <si>
    <t>688    318</t>
  </si>
  <si>
    <t>632  -2761</t>
  </si>
  <si>
    <t>-5297      0      0      0      0</t>
  </si>
  <si>
    <t>273      0</t>
  </si>
  <si>
    <t>-2136  -3050      0      0      0</t>
  </si>
  <si>
    <t>0   -890</t>
  </si>
  <si>
    <t>-2226    595   -386 -10467  -8652</t>
  </si>
  <si>
    <t>035   -446</t>
  </si>
  <si>
    <t>316    616</t>
  </si>
  <si>
    <t>716      0      0  -3032      0</t>
  </si>
  <si>
    <t>535   1428</t>
  </si>
  <si>
    <t>0   9597      0   1954   4770</t>
  </si>
  <si>
    <t>6943      0      0      0      0</t>
  </si>
  <si>
    <t>0   1384</t>
  </si>
  <si>
    <t>-5377   -744   -448    343   -164</t>
  </si>
  <si>
    <t>0  -1292    279      0      0</t>
  </si>
  <si>
    <t>0      0   -325      0    359</t>
  </si>
  <si>
    <t>0   1245</t>
  </si>
  <si>
    <t>-1690  -2016   1165    721   1284</t>
  </si>
  <si>
    <t>254      0</t>
  </si>
  <si>
    <t>0      0      0     32      0</t>
  </si>
  <si>
    <t>-63      0</t>
  </si>
  <si>
    <t>0    224  -7679      0   2985</t>
  </si>
  <si>
    <t>65     26      0      0     15</t>
  </si>
  <si>
    <t>327      0</t>
  </si>
  <si>
    <t>748    949    732    226      0</t>
  </si>
  <si>
    <t>0    344   -511   -133      0</t>
  </si>
  <si>
    <t>096  -8726</t>
  </si>
  <si>
    <t>0  -1452  -2061    214   -281</t>
  </si>
  <si>
    <t>0    164</t>
  </si>
  <si>
    <t>0   -275   -472      0   -288</t>
  </si>
  <si>
    <t>247    803</t>
  </si>
  <si>
    <t>0      0      0   -544      0</t>
  </si>
  <si>
    <t>099   -803</t>
  </si>
  <si>
    <t>13898   1527  27929  22872   9652</t>
  </si>
  <si>
    <t>699   8308</t>
  </si>
  <si>
    <t>0   -541   -218      0  -1789</t>
  </si>
  <si>
    <t>-1616  -2542      0      0      0</t>
  </si>
  <si>
    <t>3209   3476      0   2083 -10865</t>
  </si>
  <si>
    <t>451      0</t>
  </si>
  <si>
    <t>-1519    273    164    242      0</t>
  </si>
  <si>
    <t>830      0</t>
  </si>
  <si>
    <t>-716      0   -257      0      0</t>
  </si>
  <si>
    <t>0   -257      0   1260   -602</t>
  </si>
  <si>
    <t>154      0</t>
  </si>
  <si>
    <t>0      0      0      0  -3710</t>
  </si>
  <si>
    <t>513  -2874</t>
  </si>
  <si>
    <t>0      0      0      0    371</t>
  </si>
  <si>
    <t>0    738</t>
  </si>
  <si>
    <t>-2245      0      0      0      0</t>
  </si>
  <si>
    <t>309      0</t>
  </si>
  <si>
    <t>1049    -35  -8961  -7563  -1934</t>
  </si>
  <si>
    <t>368  -1007</t>
  </si>
  <si>
    <t>0      0      0      0   -129</t>
  </si>
  <si>
    <t>174   -761</t>
  </si>
  <si>
    <t>0      0  -3054      0     15</t>
  </si>
  <si>
    <t>267      0</t>
  </si>
  <si>
    <t>10506      0   2529   4860      0</t>
  </si>
  <si>
    <t>131   6046</t>
  </si>
  <si>
    <t>-1828   1631   1213   -207  -1150</t>
  </si>
  <si>
    <t>0   -288     51      0      0</t>
  </si>
  <si>
    <t>0      0    212      0   -103</t>
  </si>
  <si>
    <t>0    778</t>
  </si>
  <si>
    <t>-606   1413    255     32    266</t>
  </si>
  <si>
    <t>293      0</t>
  </si>
  <si>
    <t>0      0      0     26      0</t>
  </si>
  <si>
    <t>0   -141  -3702      0   3166</t>
  </si>
  <si>
    <t>-366   -342      0      0      0</t>
  </si>
  <si>
    <t>445      0</t>
  </si>
  <si>
    <t>616    922    415   -292      0</t>
  </si>
  <si>
    <t>0   -206   -382     27      0</t>
  </si>
  <si>
    <t>187  -4615</t>
  </si>
  <si>
    <t>0  -1026  -1552   -163   -433</t>
  </si>
  <si>
    <t>0    223</t>
  </si>
  <si>
    <t>0   -241   -430      0     96</t>
  </si>
  <si>
    <t>193    260</t>
  </si>
  <si>
    <t>0      0      0   -519      0</t>
  </si>
  <si>
    <t>285   -308</t>
  </si>
  <si>
    <t>-4595   -149   1330  -3347     59</t>
  </si>
  <si>
    <t>742  -1237</t>
  </si>
  <si>
    <t>0  -1514    108      0    -34</t>
  </si>
  <si>
    <t>148    161      0      0      0</t>
  </si>
  <si>
    <t>106    423      0   -294 -26801</t>
  </si>
  <si>
    <t>114      0</t>
  </si>
  <si>
    <t>6884   9733   6446   4957      0</t>
  </si>
  <si>
    <t>191      0</t>
  </si>
  <si>
    <t>-4536      0  -8113      0      0</t>
  </si>
  <si>
    <t>0   -204      0  -5927   3870</t>
  </si>
  <si>
    <t>391      0</t>
  </si>
  <si>
    <t>0      0      0      0  -3853</t>
  </si>
  <si>
    <t>649  -3172</t>
  </si>
  <si>
    <t>0      0      0      0   -604</t>
  </si>
  <si>
    <t>0    542</t>
  </si>
  <si>
    <t>-276      0      0      0      0</t>
  </si>
  <si>
    <t>377      0</t>
  </si>
  <si>
    <t>-1550   2153  -1698    416    444</t>
  </si>
  <si>
    <t>867   1049</t>
  </si>
  <si>
    <t>0      0      0      0    425</t>
  </si>
  <si>
    <t>150   2959</t>
  </si>
  <si>
    <t>0      0  -1100      0    757</t>
  </si>
  <si>
    <t>14131      0   2617   5112      0</t>
  </si>
  <si>
    <t>354   5084</t>
  </si>
  <si>
    <t>31266 -11417   -347    192    406</t>
  </si>
  <si>
    <t>779      0</t>
  </si>
  <si>
    <t>0      0   -241   -716      0</t>
  </si>
  <si>
    <t>22103      0      0  -5772      0</t>
  </si>
  <si>
    <t>0    111     83    436    579</t>
  </si>
  <si>
    <t>155    547</t>
  </si>
  <si>
    <t>0      0      0      0    -32</t>
  </si>
  <si>
    <t>101      0      0      0      0</t>
  </si>
  <si>
    <t>0      0    759   2937      0</t>
  </si>
  <si>
    <t>370      0</t>
  </si>
  <si>
    <t>-973   -396   -529      0      0</t>
  </si>
  <si>
    <t>-91   -509  -1058   -826    304</t>
  </si>
  <si>
    <t>761      0  -1762  -1378   -407</t>
  </si>
  <si>
    <t>0  -1635</t>
  </si>
  <si>
    <t>1640      0    758     97  -1134</t>
  </si>
  <si>
    <t>-70      0</t>
  </si>
  <si>
    <t>0      0    876   1821      0</t>
  </si>
  <si>
    <t>283   -713</t>
  </si>
  <si>
    <t>0      0      0      0   2253</t>
  </si>
  <si>
    <t>0  -1155</t>
  </si>
  <si>
    <t>-1007   3316   1153  -1744   1833</t>
  </si>
  <si>
    <t>403    707</t>
  </si>
  <si>
    <t>0      0    577   -297      0</t>
  </si>
  <si>
    <t>102      0</t>
  </si>
  <si>
    <t>-961   -922    -30      0      0</t>
  </si>
  <si>
    <t>-255  -1081   -940      0    147</t>
  </si>
  <si>
    <t>927    448</t>
  </si>
  <si>
    <t>1097    981   -455   -514   -667</t>
  </si>
  <si>
    <t>0    636</t>
  </si>
  <si>
    <t>0   2022      0   1151      0</t>
  </si>
  <si>
    <t>0      0   1074      0  -2120</t>
  </si>
  <si>
    <t>998   -619</t>
  </si>
  <si>
    <t>436     88</t>
  </si>
  <si>
    <t>-1111      0      0      0      0</t>
  </si>
  <si>
    <t>828   2197      0      0      0</t>
  </si>
  <si>
    <t>0   2095</t>
  </si>
  <si>
    <t>447  -1442</t>
  </si>
  <si>
    <t>244    -81</t>
  </si>
  <si>
    <t>848      0      0  -1512      0</t>
  </si>
  <si>
    <t>404  -1230</t>
  </si>
  <si>
    <t>0 -10952      0  -2429  -4922</t>
  </si>
  <si>
    <t>-6929      0      0      0      0</t>
  </si>
  <si>
    <t>0 -19075</t>
  </si>
  <si>
    <t>22338 -23531 -16233  -5390    725</t>
  </si>
  <si>
    <t>516    200</t>
  </si>
  <si>
    <t>-2385      0      0      0   -441</t>
  </si>
  <si>
    <t>575      0</t>
  </si>
  <si>
    <t>0      0  31516      0      0</t>
  </si>
  <si>
    <t>47      0</t>
  </si>
  <si>
    <t>2995   1376      0     57    408</t>
  </si>
  <si>
    <t>-66     14</t>
  </si>
  <si>
    <t>-234      0      0      0      0</t>
  </si>
  <si>
    <t>0     25</t>
  </si>
  <si>
    <t>115      0   -195      0      0</t>
  </si>
  <si>
    <t>441      0      0      0    569</t>
  </si>
  <si>
    <t>270      0</t>
  </si>
  <si>
    <t>0      0    760   -180    282</t>
  </si>
  <si>
    <t>918    343    603    308    -25</t>
  </si>
  <si>
    <t>441   -155</t>
  </si>
  <si>
    <t>0      0   -662      0   1827</t>
  </si>
  <si>
    <t>106    -62</t>
  </si>
  <si>
    <t>897   2095   1625      0    768</t>
  </si>
  <si>
    <t>069   1406</t>
  </si>
  <si>
    <t>378      0      0      0    108</t>
  </si>
  <si>
    <t>417      0</t>
  </si>
  <si>
    <t>-408      0      0      0      0</t>
  </si>
  <si>
    <t>0  -1218</t>
  </si>
  <si>
    <t>171      0    866   -421    719</t>
  </si>
  <si>
    <t>984   1592</t>
  </si>
  <si>
    <t>0   -244      0      0    544</t>
  </si>
  <si>
    <t>551      0</t>
  </si>
  <si>
    <t>127      0     58    496   -833</t>
  </si>
  <si>
    <t>-1057      0    604    688    295</t>
  </si>
  <si>
    <t>0    469</t>
  </si>
  <si>
    <t>0      0    368    343    472</t>
  </si>
  <si>
    <t>-87    638</t>
  </si>
  <si>
    <t>0    117      0    413      0</t>
  </si>
  <si>
    <t>490      0</t>
  </si>
  <si>
    <t>0      0      0      0   -580</t>
  </si>
  <si>
    <t>0   2470</t>
  </si>
  <si>
    <t>783     -7      0      0      0</t>
  </si>
  <si>
    <t>51   -395    278      0      0</t>
  </si>
  <si>
    <t>0      0   -542   -315      0</t>
  </si>
  <si>
    <t>391    309     95  -1266   -652</t>
  </si>
  <si>
    <t>143    301</t>
  </si>
  <si>
    <t>-91   -422   -265      0      0</t>
  </si>
  <si>
    <t>487      0</t>
  </si>
  <si>
    <t>0      0      0   1007      0</t>
  </si>
  <si>
    <t>518    362</t>
  </si>
  <si>
    <t>0      0   1987      0      0</t>
  </si>
  <si>
    <t>-1    900    -89   -120   -644</t>
  </si>
  <si>
    <t>132    118</t>
  </si>
  <si>
    <t>1180      0      0   -370      0</t>
  </si>
  <si>
    <t>228      0</t>
  </si>
  <si>
    <t>4916      0   -100   -113    -37</t>
  </si>
  <si>
    <t>0   5006</t>
  </si>
  <si>
    <t>1471  -3565      0  -2860      0</t>
  </si>
  <si>
    <t>0      0      0    360      0</t>
  </si>
  <si>
    <t>281      0</t>
  </si>
  <si>
    <t>0 -34859      0 -12853  -1425</t>
  </si>
  <si>
    <t>-1538      0      0      0      0</t>
  </si>
  <si>
    <t>887   2643</t>
  </si>
  <si>
    <t>-645   -297      0   -585   -697</t>
  </si>
  <si>
    <t>896      0</t>
  </si>
  <si>
    <t>0   -333    519    116    285</t>
  </si>
  <si>
    <t>304      0</t>
  </si>
  <si>
    <t>655      0   -481    100      0</t>
  </si>
  <si>
    <t>177   -194    119     70      0</t>
  </si>
  <si>
    <t>0  -1003   -243    -70      0</t>
  </si>
  <si>
    <t>964     10</t>
  </si>
  <si>
    <t>28   2529   3758      0    739</t>
  </si>
  <si>
    <t>202      0      0    274      0</t>
  </si>
  <si>
    <t>432    491</t>
  </si>
  <si>
    <t>0      0      0    609      0</t>
  </si>
  <si>
    <t>455   -246</t>
  </si>
  <si>
    <t>-15    -58      0      0      0</t>
  </si>
  <si>
    <t>347   2215</t>
  </si>
  <si>
    <t>0    283      0      0     79</t>
  </si>
  <si>
    <t>0     81</t>
  </si>
  <si>
    <t>-156    -50      0   -285   2115</t>
  </si>
  <si>
    <t>3228  -4435   1500   1287     20</t>
  </si>
  <si>
    <t>427      0</t>
  </si>
  <si>
    <t>-86      0    -72      0      0</t>
  </si>
  <si>
    <t>0    264      0  -2936   -928</t>
  </si>
  <si>
    <t>244     60</t>
  </si>
  <si>
    <t>-1557  -2259   -707      0      0</t>
  </si>
  <si>
    <t>-486   -225     90   -231     16</t>
  </si>
  <si>
    <t>91      0</t>
  </si>
  <si>
    <t>-394    887      0      0      0</t>
  </si>
  <si>
    <t>0   -225</t>
  </si>
  <si>
    <t>-34      0</t>
  </si>
  <si>
    <t>0   -120  -2615   -222   -739</t>
  </si>
  <si>
    <t>325    617</t>
  </si>
  <si>
    <t>-140 -60842     55     91    419</t>
  </si>
  <si>
    <t>0    -90    -38      0      0</t>
  </si>
  <si>
    <t>0      0   1829      0  -1693</t>
  </si>
  <si>
    <t>0  -5739</t>
  </si>
  <si>
    <t>998  -5959    194     50   -490</t>
  </si>
  <si>
    <t>0      0      0    427      0</t>
  </si>
  <si>
    <t>0   -618  -1871      0    116</t>
  </si>
  <si>
    <t>195    141      0      0     17</t>
  </si>
  <si>
    <t>-79      0</t>
  </si>
  <si>
    <t>-117   1015    132    -62      0</t>
  </si>
  <si>
    <t>0   -852     15     89      0</t>
  </si>
  <si>
    <t>89  -2545</t>
  </si>
  <si>
    <t>0   2193    899    -61     12</t>
  </si>
  <si>
    <t>0      7</t>
  </si>
  <si>
    <t>0     75   -141      0    -52</t>
  </si>
  <si>
    <t>154     -3</t>
  </si>
  <si>
    <t>0      0      0   -380      0</t>
  </si>
  <si>
    <t>379     94</t>
  </si>
  <si>
    <t>-2460     95    -27   -153    -29</t>
  </si>
  <si>
    <t>935    784</t>
  </si>
  <si>
    <t>0    -34    -16      0     -4</t>
  </si>
  <si>
    <t>21     46      0      0      0</t>
  </si>
  <si>
    <t>104    -34      0   -313  -3053</t>
  </si>
  <si>
    <t>1336     -1    -13      4      0</t>
  </si>
  <si>
    <t>42      0</t>
  </si>
  <si>
    <t>-81      0     12      0      0</t>
  </si>
  <si>
    <t>0   -197      0    318     33</t>
  </si>
  <si>
    <t>-71      0</t>
  </si>
  <si>
    <t>0      0      0      0   2124</t>
  </si>
  <si>
    <t>111   -683</t>
  </si>
  <si>
    <t>0      0      0      0   -521</t>
  </si>
  <si>
    <t>0   -260</t>
  </si>
  <si>
    <t>155      0      0      0      0</t>
  </si>
  <si>
    <t>397      0</t>
  </si>
  <si>
    <t>-1970   -389    -98    -17     58</t>
  </si>
  <si>
    <t>679   -727</t>
  </si>
  <si>
    <t>0      0      0      0     70</t>
  </si>
  <si>
    <t>23    178</t>
  </si>
  <si>
    <t>0      0    -91      0   -348</t>
  </si>
  <si>
    <t>648      0  -5299  -5052      0</t>
  </si>
  <si>
    <t>321  69578</t>
  </si>
  <si>
    <t>6468   5685  -2471   -159    277</t>
  </si>
  <si>
    <t>523  -3520</t>
  </si>
  <si>
    <t>0      0   -161      0      0</t>
  </si>
  <si>
    <t>0   -112</t>
  </si>
  <si>
    <t>0      0      0      0    -37</t>
  </si>
  <si>
    <t>0     27   -131    125      0</t>
  </si>
  <si>
    <t>747 -82415</t>
  </si>
  <si>
    <t>14056      0   3876      0      0</t>
  </si>
  <si>
    <t>0      0   8981      0   7643</t>
  </si>
  <si>
    <t>-915      0  -8194   3211      0</t>
  </si>
  <si>
    <t>0   -492</t>
  </si>
  <si>
    <t>0      0      0      0   -819</t>
  </si>
  <si>
    <t>134    126</t>
  </si>
  <si>
    <t>-111      0    -99   -131   -148</t>
  </si>
  <si>
    <t>-73    564</t>
  </si>
  <si>
    <t>0      0      0      0    285</t>
  </si>
  <si>
    <t>149  -1549    120    104     60</t>
  </si>
  <si>
    <t>0   2040</t>
  </si>
  <si>
    <t>0    -44     62      0      0</t>
  </si>
  <si>
    <t>0     59</t>
  </si>
  <si>
    <t>727     29     94      0      0</t>
  </si>
  <si>
    <t>292     49      2      0    124</t>
  </si>
  <si>
    <t>666    374</t>
  </si>
  <si>
    <t>1732    667      0    -11      0</t>
  </si>
  <si>
    <t>0     63</t>
  </si>
  <si>
    <t>0      0    -84      0    366</t>
  </si>
  <si>
    <t>-13    315</t>
  </si>
  <si>
    <t>0      0   -488      0    286</t>
  </si>
  <si>
    <t>119    -58</t>
  </si>
  <si>
    <t>-180      0      0      0   2998</t>
  </si>
  <si>
    <t>471    514</t>
  </si>
  <si>
    <t>51      0      0     37      0</t>
  </si>
  <si>
    <t>-94      0</t>
  </si>
  <si>
    <t>0   -210</t>
  </si>
  <si>
    <t>75      0   -160    571      0</t>
  </si>
  <si>
    <t>-583   -423   -331     41   -710</t>
  </si>
  <si>
    <t>0   -269      0      0   -811</t>
  </si>
  <si>
    <t>46      0</t>
  </si>
  <si>
    <t>50      0     16   -261    284</t>
  </si>
  <si>
    <t>809   -875</t>
  </si>
  <si>
    <t>-4094  -1903      0      0      0</t>
  </si>
  <si>
    <t>-66    416    277    194   -695</t>
  </si>
  <si>
    <t>1767      0      0      0      0</t>
  </si>
  <si>
    <t>119      0</t>
  </si>
  <si>
    <t>0      0      0      0    323</t>
  </si>
  <si>
    <t>-159   3998  86964   4317   4331</t>
  </si>
  <si>
    <t>703   2964</t>
  </si>
  <si>
    <t>9008   -474  -2655    160   -432</t>
  </si>
  <si>
    <t>0      0   -528    906      0</t>
  </si>
  <si>
    <t>19      0      0    416      0</t>
  </si>
  <si>
    <t>343      0</t>
  </si>
  <si>
    <t>0  -1278   -610    419    869</t>
  </si>
  <si>
    <t>549   -118</t>
  </si>
  <si>
    <t>0      0      0      0  -3092</t>
  </si>
  <si>
    <t>866      0      0      0      0</t>
  </si>
  <si>
    <t>0    -13</t>
  </si>
  <si>
    <t>0      0  -8916  -8069      0</t>
  </si>
  <si>
    <t>907      0</t>
  </si>
  <si>
    <t>-3109    434   -246      0      0</t>
  </si>
  <si>
    <t>905   4432</t>
  </si>
  <si>
    <t>3367   6648  -7593   2484   8021</t>
  </si>
  <si>
    <t>11324      0 -18630   1931  -4373</t>
  </si>
  <si>
    <t>-1252      0   4272   7115    130</t>
  </si>
  <si>
    <t>90      0</t>
  </si>
  <si>
    <t>0      0    228    178      0</t>
  </si>
  <si>
    <t>92  -5362     65   -255  -1400</t>
  </si>
  <si>
    <t>119   3990</t>
  </si>
  <si>
    <t>0      0    790     70      0</t>
  </si>
  <si>
    <t>-235     83   -271      0      0</t>
  </si>
  <si>
    <t>-1507    154    303      0     79</t>
  </si>
  <si>
    <t>567    167</t>
  </si>
  <si>
    <t>5623   7914    692    214    174</t>
  </si>
  <si>
    <t>0    585</t>
  </si>
  <si>
    <t>0   -113      0    -55      0</t>
  </si>
  <si>
    <t>0      0    176      0     54</t>
  </si>
  <si>
    <t>-53    355</t>
  </si>
  <si>
    <t>808    735</t>
  </si>
  <si>
    <t>-3982      0      0      0      0</t>
  </si>
  <si>
    <t>893      0</t>
  </si>
  <si>
    <t>-3212    330      0      0      0</t>
  </si>
  <si>
    <t>0   2729</t>
  </si>
  <si>
    <t>094  -2109</t>
  </si>
  <si>
    <t>364  -2931</t>
  </si>
  <si>
    <t>3160      0      0   -410      0</t>
  </si>
  <si>
    <t>194    169</t>
  </si>
  <si>
    <t>0   6176      0 -13315 -22065</t>
  </si>
  <si>
    <t>2614      0      0      0      0</t>
  </si>
  <si>
    <t>18527  19572  17482  -4316   -257</t>
  </si>
  <si>
    <t>083  12506</t>
  </si>
  <si>
    <t>623   -455    310      0      0</t>
  </si>
  <si>
    <t>-96      0</t>
  </si>
  <si>
    <t>276      0      0      0      0</t>
  </si>
  <si>
    <t>583      0   -540      0    534</t>
  </si>
  <si>
    <t>803    137</t>
  </si>
  <si>
    <t>558  -1732   -600    296      0</t>
  </si>
  <si>
    <t>87      0</t>
  </si>
  <si>
    <t>0   1033      0      0      0</t>
  </si>
  <si>
    <t>110      0</t>
  </si>
  <si>
    <t>0      0      0    329      0</t>
  </si>
  <si>
    <t>470   5059</t>
  </si>
  <si>
    <t>-7198      0    476      0      0</t>
  </si>
  <si>
    <t>0      0    -18   -246      0</t>
  </si>
  <si>
    <t>923   -799</t>
  </si>
  <si>
    <t>-364   -995      0      0      0</t>
  </si>
  <si>
    <t>-501    481      0    691 -14258</t>
  </si>
  <si>
    <t>532   8767</t>
  </si>
  <si>
    <t>26336  -7576   -187      0    -17</t>
  </si>
  <si>
    <t>123      0</t>
  </si>
  <si>
    <t>-1784      0    911 -11632  -1058</t>
  </si>
  <si>
    <t>361      0</t>
  </si>
  <si>
    <t>0    280      0   -746   2110</t>
  </si>
  <si>
    <t>4  -1483    674   3009   4753</t>
  </si>
  <si>
    <t>0    193</t>
  </si>
  <si>
    <t>90      0    -23      0      0</t>
  </si>
  <si>
    <t>-81      0</t>
  </si>
  <si>
    <t>717      0</t>
  </si>
  <si>
    <t>0   1577 -10097   -265      0</t>
  </si>
  <si>
    <t>332    189      0   -433      0</t>
  </si>
  <si>
    <t>0     72</t>
  </si>
  <si>
    <t>22      0      0      0      0</t>
  </si>
  <si>
    <t>0    755   -327     66      0</t>
  </si>
  <si>
    <t>315   4362</t>
  </si>
  <si>
    <t>0      0   5932    317  -2212</t>
  </si>
  <si>
    <t>696   -383</t>
  </si>
  <si>
    <t>0      0   -788      0   -122</t>
  </si>
  <si>
    <t>0      0      0   3900      0</t>
  </si>
  <si>
    <t>343  -1665</t>
  </si>
  <si>
    <t>-6939  -5857    -69   3501    765</t>
  </si>
  <si>
    <t>0      0   -281     60    539</t>
  </si>
  <si>
    <t>141    -40</t>
  </si>
  <si>
    <t>-2279      0     39  -1114      0</t>
  </si>
  <si>
    <t>-6488 -14999      0      0      0</t>
  </si>
  <si>
    <t>0      0      0    560   4030</t>
  </si>
  <si>
    <t>102  18191</t>
  </si>
  <si>
    <t>-8341   -240   1270   9861   4983</t>
  </si>
  <si>
    <t>088  -1177</t>
  </si>
  <si>
    <t>-8      0      0     -5      0</t>
  </si>
  <si>
    <t>-868      0    484    575    155</t>
  </si>
  <si>
    <t>0  -2309</t>
  </si>
  <si>
    <t>-4   -574      0   -269      0</t>
  </si>
  <si>
    <t>0      0      0    873      0</t>
  </si>
  <si>
    <t>916      0</t>
  </si>
  <si>
    <t>0    521      0   -277   5008</t>
  </si>
  <si>
    <t>576      0      0      0      0</t>
  </si>
  <si>
    <t>202     27</t>
  </si>
  <si>
    <t>10   -141      0   -297   -303</t>
  </si>
  <si>
    <t>272   -314</t>
  </si>
  <si>
    <t>889      0</t>
  </si>
  <si>
    <t>0   1708  -6282   -244   -676</t>
  </si>
  <si>
    <t>420      0</t>
  </si>
  <si>
    <t>59      0     55  -1089      0</t>
  </si>
  <si>
    <t>-221    880    147   -607      0</t>
  </si>
  <si>
    <t>0   -326   -322    284      0</t>
  </si>
  <si>
    <t>450 -21433</t>
  </si>
  <si>
    <t>20945 -20689 -27645      0   1018</t>
  </si>
  <si>
    <t>1031      0      0   1277      0</t>
  </si>
  <si>
    <t>237   1752</t>
  </si>
  <si>
    <t>0      0      0  -6485      0</t>
  </si>
  <si>
    <t>446   1533</t>
  </si>
  <si>
    <t>-9460   -180      0      0      0</t>
  </si>
  <si>
    <t>447   3016</t>
  </si>
  <si>
    <t>0   -544      0      0    137</t>
  </si>
  <si>
    <t>0   -189</t>
  </si>
  <si>
    <t>-142     96      0   -137   3351</t>
  </si>
  <si>
    <t>5987    809  -2292  -1725   -393</t>
  </si>
  <si>
    <t>362      0</t>
  </si>
  <si>
    <t>-611      0   -119      0      0</t>
  </si>
  <si>
    <t>809     43</t>
  </si>
  <si>
    <t>0   1931      0  -1427  -1584</t>
  </si>
  <si>
    <t>510  -4618</t>
  </si>
  <si>
    <t>5999   5455   2032      0      0</t>
  </si>
  <si>
    <t>-749    156   -278    356   -361</t>
  </si>
  <si>
    <t>382      0</t>
  </si>
  <si>
    <t>275   -678      0      0      0</t>
  </si>
  <si>
    <t>0   4632</t>
  </si>
  <si>
    <t>750      0</t>
  </si>
  <si>
    <t>0    486   4110   3607  18670</t>
  </si>
  <si>
    <t>093  45429</t>
  </si>
  <si>
    <t>-635   9782   6133  27699  23869</t>
  </si>
  <si>
    <t>0      0    -12      0      0</t>
  </si>
  <si>
    <t>0   -213</t>
  </si>
  <si>
    <t>0      0      0      0    313</t>
  </si>
  <si>
    <t>0    409   -112     -1      0</t>
  </si>
  <si>
    <t>339   3400</t>
  </si>
  <si>
    <t>-474      0    574      0      0</t>
  </si>
  <si>
    <t>0      0   -240      0   -259</t>
  </si>
  <si>
    <t>369      0  -1498   3141      0</t>
  </si>
  <si>
    <t>0      0      0      0   -637</t>
  </si>
  <si>
    <t>-23     71</t>
  </si>
  <si>
    <t>-17      0   -317   -794   -109</t>
  </si>
  <si>
    <t>496    158</t>
  </si>
  <si>
    <t>0      0      0      0    834</t>
  </si>
  <si>
    <t>0   1554</t>
  </si>
  <si>
    <t>559  -6395    275    478  -1211</t>
  </si>
  <si>
    <t>0   2383</t>
  </si>
  <si>
    <t>0     86  -1264      0      0</t>
  </si>
  <si>
    <t>0    -69</t>
  </si>
  <si>
    <t>487    161      9      0      0</t>
  </si>
  <si>
    <t>599   -231    106      0   -669</t>
  </si>
  <si>
    <t>896    134</t>
  </si>
  <si>
    <t>739    495      0    162      0</t>
  </si>
  <si>
    <t>0  -1129</t>
  </si>
  <si>
    <t>0      0     -9      0     71</t>
  </si>
  <si>
    <t>0      0   1417      0  -1248</t>
  </si>
  <si>
    <t>119    243</t>
  </si>
  <si>
    <t>630      0      0      0 -23715</t>
  </si>
  <si>
    <t>539 -12447</t>
  </si>
  <si>
    <t>-901      0      0   -471      0</t>
  </si>
  <si>
    <t>449      0</t>
  </si>
  <si>
    <t>0  -1451</t>
  </si>
  <si>
    <t>-952      0    398   3031      0</t>
  </si>
  <si>
    <t>219  -2100  -1731   -734  -4312</t>
  </si>
  <si>
    <t>0   -155      0      0  -2415</t>
  </si>
  <si>
    <t>441      0</t>
  </si>
  <si>
    <t>2021      0   -891  -1560   -814</t>
  </si>
  <si>
    <t>842   -817</t>
  </si>
  <si>
    <t>2936   2689      0      0      0</t>
  </si>
  <si>
    <t>-129   2066    -59    670    107</t>
  </si>
  <si>
    <t>-945      0      0      0      0</t>
  </si>
  <si>
    <t>517      0</t>
  </si>
  <si>
    <t>0      0      0      0   2423</t>
  </si>
  <si>
    <t>269   3206   1178  16122  19145</t>
  </si>
  <si>
    <t>347  48059</t>
  </si>
  <si>
    <t>7032   -119  20484  22739  22748</t>
  </si>
  <si>
    <t>331    288</t>
  </si>
  <si>
    <t>0      0    358      0      0</t>
  </si>
  <si>
    <t>0    -16</t>
  </si>
  <si>
    <t>0      0      0      0    -69</t>
  </si>
  <si>
    <t>0   -405   -599   -244      0</t>
  </si>
  <si>
    <t>631  -2923</t>
  </si>
  <si>
    <t>2334      0   1363      0      0</t>
  </si>
  <si>
    <t>0      0    509      0   1509</t>
  </si>
  <si>
    <t>9214      0   8910   4170      0</t>
  </si>
  <si>
    <t>0   2552</t>
  </si>
  <si>
    <t>0      0      0      0   5321</t>
  </si>
  <si>
    <t>572  -1281</t>
  </si>
  <si>
    <t>232      0    886    611    186</t>
  </si>
  <si>
    <t>482  -1043</t>
  </si>
  <si>
    <t>0      0      0      0  -1374</t>
  </si>
  <si>
    <t>0    557</t>
  </si>
  <si>
    <t>541   5131   -182      4   1300</t>
  </si>
  <si>
    <t>0  -3910</t>
  </si>
  <si>
    <t>0    820   -451      0      0</t>
  </si>
  <si>
    <t>0    -25</t>
  </si>
  <si>
    <t>-539   -308   -156      0      0</t>
  </si>
  <si>
    <t>-1071   -659   -111      0    589</t>
  </si>
  <si>
    <t>625   -414</t>
  </si>
  <si>
    <t>-3598  -3039      0   -602      0</t>
  </si>
  <si>
    <t>0   -517</t>
  </si>
  <si>
    <t>0      0   -217      0   -722</t>
  </si>
  <si>
    <t>463   -546</t>
  </si>
  <si>
    <t>0      0    760      0  -1522</t>
  </si>
  <si>
    <t>659    328</t>
  </si>
  <si>
    <t>206      0      0      0  -4003</t>
  </si>
  <si>
    <t>317   2096</t>
  </si>
  <si>
    <t>-538      0      0    121      0</t>
  </si>
  <si>
    <t>0    347</t>
  </si>
  <si>
    <t>109      0   5849  -3100      0</t>
  </si>
  <si>
    <t>0    967      0      0   3097</t>
  </si>
  <si>
    <t>-3670      0   4298   -461  -3892</t>
  </si>
  <si>
    <t>324    474</t>
  </si>
  <si>
    <t>3501   2283      0      0      0</t>
  </si>
  <si>
    <t>77   -657    238   -445    842</t>
  </si>
  <si>
    <t>-2219      0      0      0      0</t>
  </si>
  <si>
    <t>0      0      0      0  -4151</t>
  </si>
  <si>
    <t>-1226    437   -839  -6179  -9436</t>
  </si>
  <si>
    <t>029  -6659</t>
  </si>
  <si>
    <t>13664  -7074 -33137 -34466 -33437</t>
  </si>
  <si>
    <t>123    -37   -469      0      0</t>
  </si>
  <si>
    <t>440      0      0      0      0</t>
  </si>
  <si>
    <t>73      0    -30      0    737</t>
  </si>
  <si>
    <t>193   -133</t>
  </si>
  <si>
    <t>198   -213   -534    130      0</t>
  </si>
  <si>
    <t>133      0</t>
  </si>
  <si>
    <t>0   -511      0      0      0</t>
  </si>
  <si>
    <t>296      0</t>
  </si>
  <si>
    <t>861    256</t>
  </si>
  <si>
    <t>24065      0  18052      0      0</t>
  </si>
  <si>
    <t>0      0   9359   6561      0</t>
  </si>
  <si>
    <t>097  19581</t>
  </si>
  <si>
    <t>11483  25197      0      0      0</t>
  </si>
  <si>
    <t>5333  23726      0   1287  -5167</t>
  </si>
  <si>
    <t>147  -1163</t>
  </si>
  <si>
    <t>-3964   -314   -709      0    790</t>
  </si>
  <si>
    <t>898      0</t>
  </si>
  <si>
    <t>95      0     38   -650   -930</t>
  </si>
  <si>
    <t>0     66      0   -158   -864</t>
  </si>
  <si>
    <t>743      0</t>
  </si>
  <si>
    <t>-553    583    157  -1145  -3938</t>
  </si>
  <si>
    <t>0   -340</t>
  </si>
  <si>
    <t>-893      0   -406      0      0</t>
  </si>
  <si>
    <t>0   1716  -7795     28      0</t>
  </si>
  <si>
    <t>-785   -911      0  -1215      0</t>
  </si>
  <si>
    <t>-49      0      0      0      0</t>
  </si>
  <si>
    <t>0   -156   -533  -1317      0</t>
  </si>
  <si>
    <t>456   1616</t>
  </si>
  <si>
    <t>0      0  -6478  -1209  -3022</t>
  </si>
  <si>
    <t>560  -1391</t>
  </si>
  <si>
    <t>0      0   1086      0   1234</t>
  </si>
  <si>
    <t>0      0      0     73      0</t>
  </si>
  <si>
    <t>527  -2007</t>
  </si>
  <si>
    <t>-2285   -921   1407   1878   3027</t>
  </si>
  <si>
    <t>0      0    451  -3356  -7529</t>
  </si>
  <si>
    <t>865  -5651</t>
  </si>
  <si>
    <t>-351      0  -1184    529      0</t>
  </si>
  <si>
    <t>2962   6847      0      0      0</t>
  </si>
  <si>
    <t>0      0      0  -1060   3748</t>
  </si>
  <si>
    <t>123  52235</t>
  </si>
  <si>
    <t>-75    340   -913   5425   3358</t>
  </si>
  <si>
    <t>987  15987</t>
  </si>
  <si>
    <t>0   -610  -2288    295    192</t>
  </si>
  <si>
    <t>509      0</t>
  </si>
  <si>
    <t>0      0    443  -1152      0</t>
  </si>
  <si>
    <t>921      0      0    -51      0</t>
  </si>
  <si>
    <t>0   -914  -2227    457    473</t>
  </si>
  <si>
    <t>568    287</t>
  </si>
  <si>
    <t>0      0      0      0   -487</t>
  </si>
  <si>
    <t>76      0      0      0      0</t>
  </si>
  <si>
    <t>0    132</t>
  </si>
  <si>
    <t>0      0  -6751  -5923      0</t>
  </si>
  <si>
    <t>313      0</t>
  </si>
  <si>
    <t>1165    793    322      0      0</t>
  </si>
  <si>
    <t>224    287</t>
  </si>
  <si>
    <t>-117   1575    679    713   -760</t>
  </si>
  <si>
    <t>3027      0  -1138   5019   1413</t>
  </si>
  <si>
    <t>0   1684</t>
  </si>
  <si>
    <t>-1299      0  -1625  -1453  -2744</t>
  </si>
  <si>
    <t>0      0  -2397 -10502      0</t>
  </si>
  <si>
    <t>103   -454</t>
  </si>
  <si>
    <t>0      0      0      0   -628</t>
  </si>
  <si>
    <t>800  -6510    754    254   1482</t>
  </si>
  <si>
    <t>0      0   -957    -77      0</t>
  </si>
  <si>
    <t>-250   -116   -419      0      0</t>
  </si>
  <si>
    <t>-266   -803   -101      0   1482</t>
  </si>
  <si>
    <t>594     78</t>
  </si>
  <si>
    <t>-328   -633    -87     21     94</t>
  </si>
  <si>
    <t>0   -415</t>
  </si>
  <si>
    <t>0    -11      0   -187      0</t>
  </si>
  <si>
    <t>0      0   -114      0   -172</t>
  </si>
  <si>
    <t>540     -5</t>
  </si>
  <si>
    <t>794  -1928</t>
  </si>
  <si>
    <t>-6100      0      0      0      0</t>
  </si>
  <si>
    <t>679      0</t>
  </si>
  <si>
    <t>-1473   1018      0      0      0</t>
  </si>
  <si>
    <t>0     29</t>
  </si>
  <si>
    <t>382    -66</t>
  </si>
  <si>
    <t>276   1399</t>
  </si>
  <si>
    <t>1601      0      0  -1824      0</t>
  </si>
  <si>
    <t>338  -1768</t>
  </si>
  <si>
    <t>0  -2167      0    540   1474</t>
  </si>
  <si>
    <t>-1168      0      0      0      0</t>
  </si>
  <si>
    <t>47383  25016  25931  -1144   -366</t>
  </si>
  <si>
    <t>287   5902</t>
  </si>
  <si>
    <t>18146  18393   -118      0  23413</t>
  </si>
  <si>
    <t>614  -2318</t>
  </si>
  <si>
    <t>0      0    108      0      0</t>
  </si>
  <si>
    <t>0    408</t>
  </si>
  <si>
    <t>0      0      0      0    858</t>
  </si>
  <si>
    <t>0    520   -677   -238      0</t>
  </si>
  <si>
    <t>729  -2357</t>
  </si>
  <si>
    <t>310      0    -21      0      0</t>
  </si>
  <si>
    <t>0      0    -65      0     77</t>
  </si>
  <si>
    <t>104      0    204    -85      0</t>
  </si>
  <si>
    <t>0  -6196</t>
  </si>
  <si>
    <t>0      0      0      0   -134</t>
  </si>
  <si>
    <t>838    133</t>
  </si>
  <si>
    <t>510      0    305    503    145</t>
  </si>
  <si>
    <t>393    509</t>
  </si>
  <si>
    <t>0      0      0      0   2850</t>
  </si>
  <si>
    <t>0  -1143</t>
  </si>
  <si>
    <t>1155  -6634    755   -308   1774</t>
  </si>
  <si>
    <t>0   -606</t>
  </si>
  <si>
    <t>0    323  -1023      0      0</t>
  </si>
  <si>
    <t>0   -206</t>
  </si>
  <si>
    <t>-331   -125   -821      0      0</t>
  </si>
  <si>
    <t>-265  -1060   -347      0    376</t>
  </si>
  <si>
    <t>775  -3815</t>
  </si>
  <si>
    <t>-337    207      0    644      0</t>
  </si>
  <si>
    <t>0   -115</t>
  </si>
  <si>
    <t>0      0   -255      0   1449</t>
  </si>
  <si>
    <t>823   5047</t>
  </si>
  <si>
    <t>0      0    -67      0   -594</t>
  </si>
  <si>
    <t>299   1331</t>
  </si>
  <si>
    <t>-105      0      0      0   -634</t>
  </si>
  <si>
    <t>903   -188</t>
  </si>
  <si>
    <t>-375      0      0    164      0</t>
  </si>
  <si>
    <t>192      0</t>
  </si>
  <si>
    <t>32      0   2802   1940      0</t>
  </si>
  <si>
    <t>0    577      0      0  -1484</t>
  </si>
  <si>
    <t>866      0</t>
  </si>
  <si>
    <t>342      0   1493  -2750  -3391</t>
  </si>
  <si>
    <t>561   -465</t>
  </si>
  <si>
    <t>897    871      0      0      0</t>
  </si>
  <si>
    <t>57  -1068   1081   -865   1240</t>
  </si>
  <si>
    <t>-2012      0      0      0      0</t>
  </si>
  <si>
    <t>956      0</t>
  </si>
  <si>
    <t>0      0      0      0  -1007</t>
  </si>
  <si>
    <t>-342   4082   4506  23182  25039</t>
  </si>
  <si>
    <t>522  26020</t>
  </si>
  <si>
    <t>5907   4051  17391  19092  34419</t>
  </si>
  <si>
    <t>388    -39</t>
  </si>
  <si>
    <t>-156    146    181    136    390</t>
  </si>
  <si>
    <t>0    -56   -323      0      0</t>
  </si>
  <si>
    <t>0      0    -20      0     24</t>
  </si>
  <si>
    <t>0    439</t>
  </si>
  <si>
    <t>-723    199    377    397    318</t>
  </si>
  <si>
    <t>497      0</t>
  </si>
  <si>
    <t>0      0      0   -185      0</t>
  </si>
  <si>
    <t>8      0</t>
  </si>
  <si>
    <t>0  -5102  -3293      0   -815</t>
  </si>
  <si>
    <t>996    912      0      0     38</t>
  </si>
  <si>
    <t>314      0</t>
  </si>
  <si>
    <t>1715   -153     91      5      0</t>
  </si>
  <si>
    <t>0   -717   3804    592      0</t>
  </si>
  <si>
    <t>807  -3770</t>
  </si>
  <si>
    <t>0    -98   -660    272   -119</t>
  </si>
  <si>
    <t>0    313</t>
  </si>
  <si>
    <t>0   -155   -437      0   -159</t>
  </si>
  <si>
    <t>80     72</t>
  </si>
  <si>
    <t>0      0      0   -298      0</t>
  </si>
  <si>
    <t>249   -698</t>
  </si>
  <si>
    <t>-3680   -193    221    591     17</t>
  </si>
  <si>
    <t>142   -730</t>
  </si>
  <si>
    <t>0   -802     -2      0     59</t>
  </si>
  <si>
    <t>-13    241      0      0      0</t>
  </si>
  <si>
    <t>-275    130      0   1077 -17616</t>
  </si>
  <si>
    <t>120      0</t>
  </si>
  <si>
    <t>-2036  -3577    747    788      0</t>
  </si>
  <si>
    <t>899      0</t>
  </si>
  <si>
    <t>13378      0  -7501      0      0</t>
  </si>
  <si>
    <t>0   -821      0  -1767   1091</t>
  </si>
  <si>
    <t>345      0</t>
  </si>
  <si>
    <t>0      0      0      0  -3395</t>
  </si>
  <si>
    <t>413  -3323</t>
  </si>
  <si>
    <t>0      0      0      0   -691</t>
  </si>
  <si>
    <t>0    153</t>
  </si>
  <si>
    <t>626      0      0      0      0</t>
  </si>
  <si>
    <t>-3907    862  -1194  -1616   -266</t>
  </si>
  <si>
    <t>408   1183</t>
  </si>
  <si>
    <t>0      0      0      0    496</t>
  </si>
  <si>
    <t>394   4012</t>
  </si>
  <si>
    <t>0      0  -1361      0    438</t>
  </si>
  <si>
    <t>-2205      0    640   1317      0</t>
  </si>
  <si>
    <t>159   3376</t>
  </si>
  <si>
    <t>23816  50913   -736   -160   -101</t>
  </si>
  <si>
    <t>003   2862</t>
  </si>
  <si>
    <t>34917    -39      0  20620  23755</t>
  </si>
  <si>
    <t>870    -45</t>
  </si>
  <si>
    <t>122      0      0    -57      0</t>
  </si>
  <si>
    <t>-137      0    225   -111    -84</t>
  </si>
  <si>
    <t>0   -167</t>
  </si>
  <si>
    <t>62    252      0     -2      0</t>
  </si>
  <si>
    <t>0      0      0   -151      0</t>
  </si>
  <si>
    <t>-23      0</t>
  </si>
  <si>
    <t>0    -62      0    188    -30</t>
  </si>
  <si>
    <t>-2045      0      0      0      0</t>
  </si>
  <si>
    <t>697   -185</t>
  </si>
  <si>
    <t>-523    980      0   1585    599</t>
  </si>
  <si>
    <t>756   1073</t>
  </si>
  <si>
    <t>0    -67  -4627   -117    633</t>
  </si>
  <si>
    <t>461      0   -147  -1322      0</t>
  </si>
  <si>
    <t>-1760    683    470    785      0</t>
  </si>
  <si>
    <t>0   -462    783    465      0</t>
  </si>
  <si>
    <t>208  -4765</t>
  </si>
  <si>
    <t>-21   -215  -1142      0    -77</t>
  </si>
  <si>
    <t>-642      0      0    115      0</t>
  </si>
  <si>
    <t>459     16</t>
  </si>
  <si>
    <t>0      0      0   -721      0</t>
  </si>
  <si>
    <t>371   -214</t>
  </si>
  <si>
    <t>-7101     71      0      0      0</t>
  </si>
  <si>
    <t>8   -532</t>
  </si>
  <si>
    <t>0   -427      0      0    -46</t>
  </si>
  <si>
    <t>0    725</t>
  </si>
  <si>
    <t>-292      0      0   1150   1948</t>
  </si>
  <si>
    <t>1576      0   1300      0      0</t>
  </si>
  <si>
    <t>197    826</t>
  </si>
  <si>
    <t>0   -629      0    832  -1581</t>
  </si>
  <si>
    <t>344  -3152</t>
  </si>
  <si>
    <t>334     -5    246      0      0</t>
  </si>
  <si>
    <t>377  -1694  -4420  -1144  -3381</t>
  </si>
  <si>
    <t>748      0</t>
  </si>
  <si>
    <t>-780    768      0      0      0</t>
  </si>
  <si>
    <t>0   -971</t>
  </si>
  <si>
    <t>657      0</t>
  </si>
  <si>
    <t>0    -22   3195   3292  37626</t>
  </si>
  <si>
    <t>378  19675</t>
  </si>
  <si>
    <t>-208   4647   2973  28978  14965</t>
  </si>
  <si>
    <t>494  13144</t>
  </si>
  <si>
    <t>23855  22963  19766  -6238  -1698</t>
  </si>
  <si>
    <t>949    360</t>
  </si>
  <si>
    <t>-180      0      0      0   -983</t>
  </si>
  <si>
    <t>0      0    758      0      0</t>
  </si>
  <si>
    <t>215      0</t>
  </si>
  <si>
    <t>3605   1767      0  -1870  -1549</t>
  </si>
  <si>
    <t>256   1618</t>
  </si>
  <si>
    <t>-350      0      0      0      0</t>
  </si>
  <si>
    <t>780      0    284      0      0</t>
  </si>
  <si>
    <t>-2    345      0      0   5049</t>
  </si>
  <si>
    <t>656      0</t>
  </si>
  <si>
    <t>0      0     88  -2010   -696</t>
  </si>
  <si>
    <t>-506  -1335     61  -1127  -1860</t>
  </si>
  <si>
    <t>609  -1872</t>
  </si>
  <si>
    <t>0      0  -3510      0  -3295</t>
  </si>
  <si>
    <t>184  -1310</t>
  </si>
  <si>
    <t>16908  41041  25908      0  19009</t>
  </si>
  <si>
    <t>391  21750</t>
  </si>
  <si>
    <t>45065      0      0      0   2610</t>
  </si>
  <si>
    <t>867      0</t>
  </si>
  <si>
    <t>23251      0      0      0      0</t>
  </si>
  <si>
    <t>0  -5562</t>
  </si>
  <si>
    <t>15582      0   1315  -4553   -905</t>
  </si>
  <si>
    <t>078     69</t>
  </si>
  <si>
    <t>0  -2694      0      0   6051</t>
  </si>
  <si>
    <t>70      0  -1827  -2349  -3187</t>
  </si>
  <si>
    <t>-557      0   -734  -2731  -3026</t>
  </si>
  <si>
    <t>0   1748</t>
  </si>
  <si>
    <t>0      0    363    134   -574</t>
  </si>
  <si>
    <t>411    165</t>
  </si>
  <si>
    <t>0    -44      0    -68      0</t>
  </si>
  <si>
    <t>262      0</t>
  </si>
  <si>
    <t>0      0      0      0  -1241</t>
  </si>
  <si>
    <t>0   -807</t>
  </si>
  <si>
    <t>3877   2504      0      0      0</t>
  </si>
  <si>
    <t>-3427  -2513   4283      0      0</t>
  </si>
  <si>
    <t>0      0  -2030   -993      0</t>
  </si>
  <si>
    <t>049  -8778</t>
  </si>
  <si>
    <t>106  -2175  -1150      0      0</t>
  </si>
  <si>
    <t>0      0      0  -4837      0</t>
  </si>
  <si>
    <t>285   -511</t>
  </si>
  <si>
    <t>0      0    782      0      0</t>
  </si>
  <si>
    <t>2877  15774  49203  16588  18374</t>
  </si>
  <si>
    <t>702    947</t>
  </si>
  <si>
    <t>14703  27338  13286  13873   1506</t>
  </si>
  <si>
    <t>0  17013</t>
  </si>
  <si>
    <t>15100      0  -2198    130    -10</t>
  </si>
  <si>
    <t>0      0     24    148      0</t>
  </si>
  <si>
    <t>592      0      0     42      0</t>
  </si>
  <si>
    <t>-37      0</t>
  </si>
  <si>
    <t>0   -549  -2273    366     77</t>
  </si>
  <si>
    <t>-8    331</t>
  </si>
  <si>
    <t>0      0      0      0    -41</t>
  </si>
  <si>
    <t>-8      0      0      0      0</t>
  </si>
  <si>
    <t>0     46</t>
  </si>
  <si>
    <t>0      0   1703  -7996      0</t>
  </si>
  <si>
    <t>533      0</t>
  </si>
  <si>
    <t>49     54     76      0      0</t>
  </si>
  <si>
    <t>57   -160</t>
  </si>
  <si>
    <t>-109    278    138    173    719</t>
  </si>
  <si>
    <t>-116      0     45  -1230   -507</t>
  </si>
  <si>
    <t>0  -2368</t>
  </si>
  <si>
    <t>634      0   -209   -635    321</t>
  </si>
  <si>
    <t>448      0</t>
  </si>
  <si>
    <t>0      0     91     35      0</t>
  </si>
  <si>
    <t>200    267</t>
  </si>
  <si>
    <t>0      0      0      0    517</t>
  </si>
  <si>
    <t>724 -13078  -3317  -6697  -3840</t>
  </si>
  <si>
    <t>184  -1680</t>
  </si>
  <si>
    <t>0      0  -1069   -214      0</t>
  </si>
  <si>
    <t>064      0</t>
  </si>
  <si>
    <t>-390   1088   -558      0      0</t>
  </si>
  <si>
    <t>-3145   1845   1025      0   2085</t>
  </si>
  <si>
    <t>895     17</t>
  </si>
  <si>
    <t>-617  -1082   -101      3     88</t>
  </si>
  <si>
    <t>0   -304</t>
  </si>
  <si>
    <t>0    148      0     54      0</t>
  </si>
  <si>
    <t>0      0    161      0   -378</t>
  </si>
  <si>
    <t>970    -30</t>
  </si>
  <si>
    <t>621  -1780</t>
  </si>
  <si>
    <t>-6896      0      0      0      0</t>
  </si>
  <si>
    <t>599      0</t>
  </si>
  <si>
    <t>-1610   1092      0      0      0</t>
  </si>
  <si>
    <t>0    623</t>
  </si>
  <si>
    <t>115    964</t>
  </si>
  <si>
    <t>241     72</t>
  </si>
  <si>
    <t>1576      0      0  -1148      0</t>
  </si>
  <si>
    <t>222  -2916</t>
  </si>
  <si>
    <t>0    261      0   1001   2082</t>
  </si>
  <si>
    <t>-569      0      0      0      0</t>
  </si>
  <si>
    <t>0      4</t>
  </si>
  <si>
    <t>25198  50996  26685   1425   -137</t>
  </si>
  <si>
    <t>135   6102</t>
  </si>
  <si>
    <t>35623  19241   2372      0  26102</t>
  </si>
  <si>
    <t>167  42143</t>
  </si>
  <si>
    <t>-198     41    323    107     30</t>
  </si>
  <si>
    <t>0   -317     94      0      0</t>
  </si>
  <si>
    <t>0      0     44      0    -32</t>
  </si>
  <si>
    <t>0    384</t>
  </si>
  <si>
    <t>-649    186    324    210    160</t>
  </si>
  <si>
    <t>410      0</t>
  </si>
  <si>
    <t>0      0      0     -7      0</t>
  </si>
  <si>
    <t>21      0</t>
  </si>
  <si>
    <t>0    842  -4304      0    540</t>
  </si>
  <si>
    <t>82     74      0      0    -87</t>
  </si>
  <si>
    <t>-49    315    177    304      0</t>
  </si>
  <si>
    <t>0   -139   -833   -307      0</t>
  </si>
  <si>
    <t>848  -4028</t>
  </si>
  <si>
    <t>0   -610   -392    230    556</t>
  </si>
  <si>
    <t>0   -131   1097      0    719</t>
  </si>
  <si>
    <t>188     19</t>
  </si>
  <si>
    <t>0      0      0   1668      0</t>
  </si>
  <si>
    <t>422   2405</t>
  </si>
  <si>
    <t>-3813   -192     37    134     64</t>
  </si>
  <si>
    <t>277  -1073</t>
  </si>
  <si>
    <t>0   -883    -41      0    -39</t>
  </si>
  <si>
    <t>9     63      0      0      0</t>
  </si>
  <si>
    <t>-735    -15      0    457 -21796</t>
  </si>
  <si>
    <t>1415   3102   -322   -214      0</t>
  </si>
  <si>
    <t>580      0</t>
  </si>
  <si>
    <t>-1273      0   -895      0      0</t>
  </si>
  <si>
    <t>0   -249      0  -2329   3450</t>
  </si>
  <si>
    <t>873      0</t>
  </si>
  <si>
    <t>0      0      0      0  -3790</t>
  </si>
  <si>
    <t>386  -3572</t>
  </si>
  <si>
    <t>0      0      0      0   -153</t>
  </si>
  <si>
    <t>0    334</t>
  </si>
  <si>
    <t>701      0      0      0      0</t>
  </si>
  <si>
    <t>-3986    550  -1420  -1273   -116</t>
  </si>
  <si>
    <t>545   1323</t>
  </si>
  <si>
    <t>0      0      0      0   1017</t>
  </si>
  <si>
    <t>112   2131</t>
  </si>
  <si>
    <t>0      0  -1193      0    240</t>
  </si>
  <si>
    <t>185      0</t>
  </si>
  <si>
    <t>-295      0   1200   2148      0</t>
  </si>
  <si>
    <t>177   3338</t>
  </si>
  <si>
    <t>23638  55905   1518     76   -226</t>
  </si>
  <si>
    <t>086   2858</t>
  </si>
  <si>
    <t>36041   1937      0  22358  28130</t>
  </si>
  <si>
    <t>251  37639</t>
  </si>
  <si>
    <t>114  -1522    197   -114    -13</t>
  </si>
  <si>
    <t>0   -625   1018      0      0</t>
  </si>
  <si>
    <t>0      0    133      0   -103</t>
  </si>
  <si>
    <t>0    258</t>
  </si>
  <si>
    <t>-75  -1495    212    152    -59</t>
  </si>
  <si>
    <t>0      0      0    139      0</t>
  </si>
  <si>
    <t>0   2710 -14800      0  -2118</t>
  </si>
  <si>
    <t>-262   -341      0      0  -1084</t>
  </si>
  <si>
    <t>48  -1723    467  -1281      0</t>
  </si>
  <si>
    <t>0   2641   1802   1215      0</t>
  </si>
  <si>
    <t>164  -4671</t>
  </si>
  <si>
    <t>0   -152   -997    302   -101</t>
  </si>
  <si>
    <t>0    271</t>
  </si>
  <si>
    <t>0    560   1566      0    975</t>
  </si>
  <si>
    <t>470    -60</t>
  </si>
  <si>
    <t>0      0      0   -662      0</t>
  </si>
  <si>
    <t>449   -396</t>
  </si>
  <si>
    <t>-5091   -475   1456     13   -171</t>
  </si>
  <si>
    <t>344   -638</t>
  </si>
  <si>
    <t>0  -1276    631      0   1427</t>
  </si>
  <si>
    <t>599   2165      0      0      0</t>
  </si>
  <si>
    <t>996    803      0     -6  -7114</t>
  </si>
  <si>
    <t>73      0</t>
  </si>
  <si>
    <t>-806    241     17     68      0</t>
  </si>
  <si>
    <t>444      0</t>
  </si>
  <si>
    <t>846      0    433      0      0</t>
  </si>
  <si>
    <t>0   -438      0   -322   -273</t>
  </si>
  <si>
    <t>9      0</t>
  </si>
  <si>
    <t>0      0      0      0  -3111</t>
  </si>
  <si>
    <t>761  -2726</t>
  </si>
  <si>
    <t>0      0      0      0   2171</t>
  </si>
  <si>
    <t>0   1580</t>
  </si>
  <si>
    <t>712      0      0      0      0</t>
  </si>
  <si>
    <t>560      0</t>
  </si>
  <si>
    <t>-3123   -840   -738     13    473</t>
  </si>
  <si>
    <t>-57    393</t>
  </si>
  <si>
    <t>276  -6183</t>
  </si>
  <si>
    <t>0      0   -270      0   -841</t>
  </si>
  <si>
    <t>946      0</t>
  </si>
  <si>
    <t>-1358      0    524   2073      0</t>
  </si>
  <si>
    <t>161   3080</t>
  </si>
  <si>
    <t>20071  17501    419    -47   -250</t>
  </si>
  <si>
    <t>519   2903</t>
  </si>
  <si>
    <t>12417    970      0  27088  21879</t>
  </si>
  <si>
    <t>068  17716</t>
  </si>
  <si>
    <t>19623     29  -2221    354     52</t>
  </si>
  <si>
    <t>333      0</t>
  </si>
  <si>
    <t>0      0    -86    130      0</t>
  </si>
  <si>
    <t>635      0      0      4      0</t>
  </si>
  <si>
    <t>-17      0</t>
  </si>
  <si>
    <t>0   -623  -2147    449    389</t>
  </si>
  <si>
    <t>273    393</t>
  </si>
  <si>
    <t>0      0      0      0     15</t>
  </si>
  <si>
    <t>-13      0      0      0      0</t>
  </si>
  <si>
    <t>0     22</t>
  </si>
  <si>
    <t>0      0   1428  -7460      0</t>
  </si>
  <si>
    <t>357      0</t>
  </si>
  <si>
    <t>6     85     80      0      0</t>
  </si>
  <si>
    <t>59   -106    144    133    697</t>
  </si>
  <si>
    <t>-184      0   -199  -1284   -498</t>
  </si>
  <si>
    <t>0   2123</t>
  </si>
  <si>
    <t>-3393      0   -713    416    194</t>
  </si>
  <si>
    <t>0      0   2035  -1849      0</t>
  </si>
  <si>
    <t>695  -1358</t>
  </si>
  <si>
    <t>0      0      0      0   -385</t>
  </si>
  <si>
    <t>0  -2192</t>
  </si>
  <si>
    <t>-2453  -6557    104    -19    683</t>
  </si>
  <si>
    <t>173   -758</t>
  </si>
  <si>
    <t>0      0  -2117   -104      0</t>
  </si>
  <si>
    <t>181    196   -659      0      0</t>
  </si>
  <si>
    <t>176   3712   1267      0   1744</t>
  </si>
  <si>
    <t>086     19</t>
  </si>
  <si>
    <t>-535  -1134   -284    144    197</t>
  </si>
  <si>
    <t>0   -283</t>
  </si>
  <si>
    <t>0    -66      0   -119      0</t>
  </si>
  <si>
    <t>0      0   -272      0   -466</t>
  </si>
  <si>
    <t>787    -46</t>
  </si>
  <si>
    <t>605  -2101</t>
  </si>
  <si>
    <t>-6545      0      0      0      0</t>
  </si>
  <si>
    <t>-1828   1115      0      0      0</t>
  </si>
  <si>
    <t>0   -134</t>
  </si>
  <si>
    <t>404   -158</t>
  </si>
  <si>
    <t>315    645</t>
  </si>
  <si>
    <t>1894      0      0  -1379      0</t>
  </si>
  <si>
    <t>482  -2099</t>
  </si>
  <si>
    <t>0    -73      0    777   2034</t>
  </si>
  <si>
    <t>-534      0      0      0      0</t>
  </si>
  <si>
    <t>0    -40</t>
  </si>
  <si>
    <t>49641  24579  26412   1466   -102</t>
  </si>
  <si>
    <t>177   5995</t>
  </si>
  <si>
    <t>17812  19185   2276      0  25238</t>
  </si>
  <si>
    <t>229  30428</t>
  </si>
  <si>
    <t>32706  29343  20988  -4811  -1819</t>
  </si>
  <si>
    <t>018    615</t>
  </si>
  <si>
    <t>-183      0      0      0   -275</t>
  </si>
  <si>
    <t>0      0    717      0      0</t>
  </si>
  <si>
    <t>2546   1350      0  -1671  -1921</t>
  </si>
  <si>
    <t>543   1664</t>
  </si>
  <si>
    <t>-257      0      0      0      0</t>
  </si>
  <si>
    <t>162      0    289      0      0</t>
  </si>
  <si>
    <t>-93    -19      0      0   4231</t>
  </si>
  <si>
    <t>166      0</t>
  </si>
  <si>
    <t>0      0   1857  -1474   -928</t>
  </si>
  <si>
    <t>-35   -621     95   -545  -1164</t>
  </si>
  <si>
    <t>663   -898</t>
  </si>
  <si>
    <t>0      0  -3474      0  -3610</t>
  </si>
  <si>
    <t>235   -711</t>
  </si>
  <si>
    <t>-1018  -3019    107      0   -707</t>
  </si>
  <si>
    <t>472    557</t>
  </si>
  <si>
    <t>6298      0      0      0    446</t>
  </si>
  <si>
    <t>-2649      0      0      0      0</t>
  </si>
  <si>
    <t>0  -1369</t>
  </si>
  <si>
    <t>-3612      0  -8378 -16659  15540</t>
  </si>
  <si>
    <t>631  24319</t>
  </si>
  <si>
    <t>0   9436      0      0  47087</t>
  </si>
  <si>
    <t>5853      0   8663  13622  15928</t>
  </si>
  <si>
    <t>-9204      0 -10951   7538  21638</t>
  </si>
  <si>
    <t>0    851</t>
  </si>
  <si>
    <t>0      0    456      4    506</t>
  </si>
  <si>
    <t>445     66</t>
  </si>
  <si>
    <t>0   -112      0    180      0</t>
  </si>
  <si>
    <t>-44      0</t>
  </si>
  <si>
    <t>0      0      0      0  -1314</t>
  </si>
  <si>
    <t>0  -1118</t>
  </si>
  <si>
    <t>3550   2233      0      0      0</t>
  </si>
  <si>
    <t>-3400  -2070   3215      0      0</t>
  </si>
  <si>
    <t>0      0  -1996   -378      0</t>
  </si>
  <si>
    <t>194  -7879</t>
  </si>
  <si>
    <t>-1208    168    444      0      0</t>
  </si>
  <si>
    <t>0      0      0  -4634      0</t>
  </si>
  <si>
    <t>447    410</t>
  </si>
  <si>
    <t>0      0    569      0      0</t>
  </si>
  <si>
    <t>3415  16862  17407  47862  19170</t>
  </si>
  <si>
    <t>259    811</t>
  </si>
  <si>
    <t>15340  14477  24838  14057   1073</t>
  </si>
  <si>
    <t>0  18114</t>
  </si>
  <si>
    <t>16892  18775  35629  21942  17528</t>
  </si>
  <si>
    <t>135   -139</t>
  </si>
  <si>
    <t>37      0      0    -15      0</t>
  </si>
  <si>
    <t>-35      0    341   -185   -135</t>
  </si>
  <si>
    <t>0   -627</t>
  </si>
  <si>
    <t>165    351      0    -26      0</t>
  </si>
  <si>
    <t>0      0      0    -34      0</t>
  </si>
  <si>
    <t>0     17      0    244    224</t>
  </si>
  <si>
    <t>547      0      0      0      0</t>
  </si>
  <si>
    <t>334    127</t>
  </si>
  <si>
    <t>-136     48      0     89   -300</t>
  </si>
  <si>
    <t>88    -26</t>
  </si>
  <si>
    <t>23      0</t>
  </si>
  <si>
    <t>0    875  -3464     -3     41</t>
  </si>
  <si>
    <t>-68      0    269   -882      0</t>
  </si>
  <si>
    <t>-237     35     21   -135      0</t>
  </si>
  <si>
    <t>0   -513  -1008   -187      0</t>
  </si>
  <si>
    <t>623  -3760</t>
  </si>
  <si>
    <t>-184   -775   -529      0    538</t>
  </si>
  <si>
    <t>205      0      0    -37      0</t>
  </si>
  <si>
    <t>290    -43</t>
  </si>
  <si>
    <t>0      0      0    362      0</t>
  </si>
  <si>
    <t>7   2510</t>
  </si>
  <si>
    <t>18378  -2242      0      0      0</t>
  </si>
  <si>
    <t>572   1561</t>
  </si>
  <si>
    <t>0   -743      0      0   -853</t>
  </si>
  <si>
    <t>0  -2092</t>
  </si>
  <si>
    <t>2773   1757      0   2480   4297</t>
  </si>
  <si>
    <t>-261      0    209      0      0</t>
  </si>
  <si>
    <t>563    611</t>
  </si>
  <si>
    <t>0   -178      0   1049  -2368</t>
  </si>
  <si>
    <t>868  -3581</t>
  </si>
  <si>
    <t>-140    447   1184      0      0</t>
  </si>
  <si>
    <t>938   -196   2402    -30   1337</t>
  </si>
  <si>
    <t>437   -856      0      0      0</t>
  </si>
  <si>
    <t>0   -750</t>
  </si>
  <si>
    <t>-39      0</t>
  </si>
  <si>
    <t>0    -84   3104   2860  18270</t>
  </si>
  <si>
    <t>769  22184</t>
  </si>
  <si>
    <t>-168   4678   2707  14751  16653</t>
  </si>
  <si>
    <t>943  31180</t>
  </si>
  <si>
    <t>25371  25395  36468  17906  19415</t>
  </si>
  <si>
    <t>141  38961</t>
  </si>
  <si>
    <t>336  -1099    261   -147     31</t>
  </si>
  <si>
    <t>0   -691    777      0      0</t>
  </si>
  <si>
    <t>0      0    117      0   -115</t>
  </si>
  <si>
    <t>0    141</t>
  </si>
  <si>
    <t>-35  -1088    165    116    -50</t>
  </si>
  <si>
    <t>0      0      0    147      0</t>
  </si>
  <si>
    <t>-42      0</t>
  </si>
  <si>
    <t>0   1759 -10300      0  -1245</t>
  </si>
  <si>
    <t>14    217      0      0   -411</t>
  </si>
  <si>
    <t>423      0</t>
  </si>
  <si>
    <t>1276  -1735   -178   -622      0</t>
  </si>
  <si>
    <t>0   1422   1628    623      0</t>
  </si>
  <si>
    <t>553  -3793</t>
  </si>
  <si>
    <t>0     -4   -701    377    -44</t>
  </si>
  <si>
    <t>0    229</t>
  </si>
  <si>
    <t>0    460   1346      0   1061</t>
  </si>
  <si>
    <t>307     51</t>
  </si>
  <si>
    <t>0      0      0   -205      0</t>
  </si>
  <si>
    <t>204   -345</t>
  </si>
  <si>
    <t>-3794    259   -188    228    -38</t>
  </si>
  <si>
    <t>200  -1008</t>
  </si>
  <si>
    <t>0   -646    -75      0   -453</t>
  </si>
  <si>
    <t>63   -310      0      0      0</t>
  </si>
  <si>
    <t>-206    -70      0   -882  -5417</t>
  </si>
  <si>
    <t>527      0</t>
  </si>
  <si>
    <t>-1907  -2399    924    658      0</t>
  </si>
  <si>
    <t>-6246      0  -3884      0      0</t>
  </si>
  <si>
    <t>0   -658      0   -524   1217</t>
  </si>
  <si>
    <t>965      0</t>
  </si>
  <si>
    <t>0      0      0      0  -2375</t>
  </si>
  <si>
    <t>460  -2223</t>
  </si>
  <si>
    <t>0      0      0      0   1996</t>
  </si>
  <si>
    <t>0   1672</t>
  </si>
  <si>
    <t>560      0      0      0      0</t>
  </si>
  <si>
    <t>-2569   -860   -608   -234    329</t>
  </si>
  <si>
    <t>72    446</t>
  </si>
  <si>
    <t>0      0      0      0    179</t>
  </si>
  <si>
    <t>108  -4651</t>
  </si>
  <si>
    <t>0      0   -205      0   -596</t>
  </si>
  <si>
    <t>-375      0    176   1715      0</t>
  </si>
  <si>
    <t>130   2370</t>
  </si>
  <si>
    <t>15441  14803    148    -31   -166</t>
  </si>
  <si>
    <t>500   2210</t>
  </si>
  <si>
    <t>10591    728      0  21592  17217</t>
  </si>
  <si>
    <t>865  16070</t>
  </si>
  <si>
    <t>15548  19166  17423  13192  13997</t>
  </si>
  <si>
    <t>137  -1713</t>
  </si>
  <si>
    <t>0      0     77      0      0</t>
  </si>
  <si>
    <t>0    -60</t>
  </si>
  <si>
    <t>0      0      0      0    543</t>
  </si>
  <si>
    <t>0    326   -567   -317      0</t>
  </si>
  <si>
    <t>583  -1708</t>
  </si>
  <si>
    <t>313      0    -10      0      0</t>
  </si>
  <si>
    <t>0      0   -335      0      3</t>
  </si>
  <si>
    <t>29      0    186     32      0</t>
  </si>
  <si>
    <t>0   1205</t>
  </si>
  <si>
    <t>0      0      0      0    -91</t>
  </si>
  <si>
    <t>27     57</t>
  </si>
  <si>
    <t>-136      0   -371     84     29</t>
  </si>
  <si>
    <t>167     50</t>
  </si>
  <si>
    <t>0      0      0      0    -73</t>
  </si>
  <si>
    <t>0   -113</t>
  </si>
  <si>
    <t>1362  -9957   -685  -2353  -1047</t>
  </si>
  <si>
    <t>0    279  -1073      0      0</t>
  </si>
  <si>
    <t>0   1299</t>
  </si>
  <si>
    <t>-1562     35   -256      0      0</t>
  </si>
  <si>
    <t>-2401   1284    259      0    592</t>
  </si>
  <si>
    <t>440    482</t>
  </si>
  <si>
    <t>-270   -823      0    -37      0</t>
  </si>
  <si>
    <t>0   -731</t>
  </si>
  <si>
    <t>0      0    -19      0   -151</t>
  </si>
  <si>
    <t>0      0    193      0   -171</t>
  </si>
  <si>
    <t>161   -106</t>
  </si>
  <si>
    <t>-290      0      0      0   -384</t>
  </si>
  <si>
    <t>46   1792</t>
  </si>
  <si>
    <t>-1778      0      0   -286      0</t>
  </si>
  <si>
    <t>0   2490</t>
  </si>
  <si>
    <t>2077      0   2644   2052      0</t>
  </si>
  <si>
    <t>0    278      0      0  -1449</t>
  </si>
  <si>
    <t>841      0</t>
  </si>
  <si>
    <t>148      0   1154  -2745  -3148</t>
  </si>
  <si>
    <t>313  -1595</t>
  </si>
  <si>
    <t>28    417      0      0      0</t>
  </si>
  <si>
    <t>534   -203    121    387   1855</t>
  </si>
  <si>
    <t>-1246      0      0      0      0</t>
  </si>
  <si>
    <t>0      0      0      0   -138</t>
  </si>
  <si>
    <t>-20   3334   3578  19362  36995</t>
  </si>
  <si>
    <t>434  22559</t>
  </si>
  <si>
    <t>4958   3241  15483  27851  15635</t>
  </si>
  <si>
    <t>356   1749</t>
  </si>
  <si>
    <t>25100  22578  18537  26403  27523</t>
  </si>
  <si>
    <t>721  18175</t>
  </si>
  <si>
    <t>13218     30  -1734    309    -60</t>
  </si>
  <si>
    <t>81      0</t>
  </si>
  <si>
    <t>0      0    127     44      0</t>
  </si>
  <si>
    <t>528      0      0     37      0</t>
  </si>
  <si>
    <t>0   -518  -1781    311    111</t>
  </si>
  <si>
    <t>113    242</t>
  </si>
  <si>
    <t>0      0      0      0    -53</t>
  </si>
  <si>
    <t>10      0      0      0      0</t>
  </si>
  <si>
    <t>0     54</t>
  </si>
  <si>
    <t>0      0    872  -6366      0</t>
  </si>
  <si>
    <t>-2     63     82      0      0</t>
  </si>
  <si>
    <t>45   -138</t>
  </si>
  <si>
    <t>-153    218     12    186    576</t>
  </si>
  <si>
    <t>-74      0     57   -895   -423</t>
  </si>
  <si>
    <t>0    603</t>
  </si>
  <si>
    <t>949      0   -467  -1087    -15</t>
  </si>
  <si>
    <t>-93      0</t>
  </si>
  <si>
    <t>0      0     23     85      0</t>
  </si>
  <si>
    <t>0      0      0      0    144</t>
  </si>
  <si>
    <t>0   -272</t>
  </si>
  <si>
    <t>796   -957</t>
  </si>
  <si>
    <t>0      0  -1271   -259      0</t>
  </si>
  <si>
    <t>-1185    408   -631      0      0</t>
  </si>
  <si>
    <t>-2404   1855    356      0  -7164</t>
  </si>
  <si>
    <t>215     97</t>
  </si>
  <si>
    <t>-11    395    260    806     50</t>
  </si>
  <si>
    <t>0  -2174</t>
  </si>
  <si>
    <t>0   -381      0    -53      0</t>
  </si>
  <si>
    <t>0      0    199      0      1</t>
  </si>
  <si>
    <t>223   2461</t>
  </si>
  <si>
    <t>613  -1455</t>
  </si>
  <si>
    <t>-5356      0      0      0      0</t>
  </si>
  <si>
    <t>474      0</t>
  </si>
  <si>
    <t>-1222    805      0      0      0</t>
  </si>
  <si>
    <t>0    372</t>
  </si>
  <si>
    <t>49    712</t>
  </si>
  <si>
    <t>075    103</t>
  </si>
  <si>
    <t>1673      0      0   -975      0</t>
  </si>
  <si>
    <t>214  -2035</t>
  </si>
  <si>
    <t>0   -120      0    648   1560</t>
  </si>
  <si>
    <t>-210      0      0      0      0</t>
  </si>
  <si>
    <t>0     49</t>
  </si>
  <si>
    <t>21408  36779  22595    730    -80</t>
  </si>
  <si>
    <t>129   5023</t>
  </si>
  <si>
    <t>26168  15150   1630      0  21190</t>
  </si>
  <si>
    <t>959  35488</t>
  </si>
  <si>
    <t>37222  24750  18519  26540  29571</t>
  </si>
  <si>
    <t>961  15095</t>
  </si>
  <si>
    <t>45   -102    112      0      0</t>
  </si>
  <si>
    <t>138      0</t>
  </si>
  <si>
    <t>42      0    -20      0    263</t>
  </si>
  <si>
    <t>225   -657</t>
  </si>
  <si>
    <t>221    523    248    209      0</t>
  </si>
  <si>
    <t>0    -79      0      0      0</t>
  </si>
  <si>
    <t>-1492      0   -138      0      0</t>
  </si>
  <si>
    <t>0      0     85     70      0</t>
  </si>
  <si>
    <t>47   -827</t>
  </si>
  <si>
    <t>-161   -310      0      0      0</t>
  </si>
  <si>
    <t>-1069   -998      0    560  -2445</t>
  </si>
  <si>
    <t>159    -56</t>
  </si>
  <si>
    <t>-35     17  -1421      0    505</t>
  </si>
  <si>
    <t>765      0</t>
  </si>
  <si>
    <t>-500      0   -249    -73    -10</t>
  </si>
  <si>
    <t>0  -1072      0  -1081  -1194</t>
  </si>
  <si>
    <t>439      0</t>
  </si>
  <si>
    <t>121    -39    -24    506   -232</t>
  </si>
  <si>
    <t>0   -668</t>
  </si>
  <si>
    <t>-197      0   -625      0      0</t>
  </si>
  <si>
    <t>0 -18700 -22382   3797      0</t>
  </si>
  <si>
    <t>16359  13182      0  38758      0</t>
  </si>
  <si>
    <t>0  17816</t>
  </si>
  <si>
    <t>8770      0      0      0      0</t>
  </si>
  <si>
    <t>0  -4549   6587  16225      0</t>
  </si>
  <si>
    <t>974   3902</t>
  </si>
  <si>
    <t>0      0  -2018  -1211  -4064</t>
  </si>
  <si>
    <t>347  -1387</t>
  </si>
  <si>
    <t>0      0   -331      0    110</t>
  </si>
  <si>
    <t>0      0      0   -918      0</t>
  </si>
  <si>
    <t>196  -2096</t>
  </si>
  <si>
    <t>-167    -83     55  -1837   -419</t>
  </si>
  <si>
    <t>0      0  -3143   -164  -1145</t>
  </si>
  <si>
    <t>208  -1507</t>
  </si>
  <si>
    <t>-504      0    579   -330      0</t>
  </si>
  <si>
    <t>-1232     40      0      0      0</t>
  </si>
  <si>
    <t>0      0      0   -421   2203</t>
  </si>
  <si>
    <t>237  13387</t>
  </si>
  <si>
    <t>970    285    135   3648   2382</t>
  </si>
  <si>
    <t>006  12731</t>
  </si>
  <si>
    <t>0  14087  18566  18564  25022</t>
  </si>
  <si>
    <t>420  15953</t>
  </si>
  <si>
    <t>19380  16885  25813   8633  13442</t>
  </si>
  <si>
    <t>047    -41</t>
  </si>
  <si>
    <t>203      0      0    -43      0</t>
  </si>
  <si>
    <t>127      0</t>
  </si>
  <si>
    <t>-103      0    272   -118    -64</t>
  </si>
  <si>
    <t>0    -88</t>
  </si>
  <si>
    <t>360    394      0    -59      0</t>
  </si>
  <si>
    <t>0      0      0   -308      0</t>
  </si>
  <si>
    <t>-64      0</t>
  </si>
  <si>
    <t>0    -43      0     88   -172</t>
  </si>
  <si>
    <t>-864      0      0      0      0</t>
  </si>
  <si>
    <t>266    545</t>
  </si>
  <si>
    <t>-463   1116      0   1345    560</t>
  </si>
  <si>
    <t>879    933</t>
  </si>
  <si>
    <t>155      0</t>
  </si>
  <si>
    <t>0    190  -4796    193    146</t>
  </si>
  <si>
    <t>-48      0    262   -218      0</t>
  </si>
  <si>
    <t>602   -497      2   -109      0</t>
  </si>
  <si>
    <t>0   -583   -328   -104      0</t>
  </si>
  <si>
    <t>308  -4762</t>
  </si>
  <si>
    <t>-180   -209   -644      0    -83</t>
  </si>
  <si>
    <t>-449      0      0    176      0</t>
  </si>
  <si>
    <t>529     67</t>
  </si>
  <si>
    <t>0      0      0   -696      0</t>
  </si>
  <si>
    <t>612   -281</t>
  </si>
  <si>
    <t>-7193     24      0      0      0</t>
  </si>
  <si>
    <t>0    -51</t>
  </si>
  <si>
    <t>0     21      0      0      5</t>
  </si>
  <si>
    <t>0    780</t>
  </si>
  <si>
    <t>-433   -129      0    684   2061</t>
  </si>
  <si>
    <t>843      0</t>
  </si>
  <si>
    <t>-4970      0  -2481      0      0</t>
  </si>
  <si>
    <t>-75    388</t>
  </si>
  <si>
    <t>0  -1219      0    276   -140</t>
  </si>
  <si>
    <t>658  -2021</t>
  </si>
  <si>
    <t>759    388    147      0      0</t>
  </si>
  <si>
    <t>272  -2390  -4083  -1318  -3206</t>
  </si>
  <si>
    <t>470      0</t>
  </si>
  <si>
    <t>-933   1574      0      0      0</t>
  </si>
  <si>
    <t>0   -305</t>
  </si>
  <si>
    <t>0     -4   3027   3085  30693</t>
  </si>
  <si>
    <t>795  19584</t>
  </si>
  <si>
    <t>-70   4481   2799  23725  14825</t>
  </si>
  <si>
    <t>652  13499</t>
  </si>
  <si>
    <t>21513  22514  20045  23492  17103</t>
  </si>
  <si>
    <t>422  19795</t>
  </si>
  <si>
    <t>17907  16797  18704  19054  13544</t>
  </si>
  <si>
    <t>15  -1884</t>
  </si>
  <si>
    <t>0      0    -29      0      0</t>
  </si>
  <si>
    <t>0   -106</t>
  </si>
  <si>
    <t>0      0      0      0    354</t>
  </si>
  <si>
    <t>0    428   -441   -241      0</t>
  </si>
  <si>
    <t>647  -1829</t>
  </si>
  <si>
    <t>54      0     17      0      0</t>
  </si>
  <si>
    <t>0      0   -381      0     42</t>
  </si>
  <si>
    <t>97      0    169     27      0</t>
  </si>
  <si>
    <t>0   1021</t>
  </si>
  <si>
    <t>0      0      0      0   -207</t>
  </si>
  <si>
    <t>-14     33</t>
  </si>
  <si>
    <t>-180      0   -516    147     32</t>
  </si>
  <si>
    <t>110    -49</t>
  </si>
  <si>
    <t>0      0      0      0    154</t>
  </si>
  <si>
    <t>1506 -12177  -2723  -4064  -2415</t>
  </si>
  <si>
    <t>0  -2261</t>
  </si>
  <si>
    <t>0  -1330  -1688      0      0</t>
  </si>
  <si>
    <t>0   1782</t>
  </si>
  <si>
    <t>-2252      6   1424      0      0</t>
  </si>
  <si>
    <t>-2118   2001    695      0    679</t>
  </si>
  <si>
    <t>040    679</t>
  </si>
  <si>
    <t>-175   -414      0   -217      0</t>
  </si>
  <si>
    <t>0   -888</t>
  </si>
  <si>
    <t>0      0    -33      0   -143</t>
  </si>
  <si>
    <t>129   -365</t>
  </si>
  <si>
    <t>0      0     87      0   -633</t>
  </si>
  <si>
    <t>577   -125</t>
  </si>
  <si>
    <t>53      0      0      0   -337</t>
  </si>
  <si>
    <t>448    -22</t>
  </si>
  <si>
    <t>-302      0      0    254      0</t>
  </si>
  <si>
    <t>-86      0  -2563   1944      0</t>
  </si>
  <si>
    <t>998  -3187  -3051  -2645  -8246</t>
  </si>
  <si>
    <t>0   1923      0      0  -2840</t>
  </si>
  <si>
    <t>1191      0   2156   3090  -1212</t>
  </si>
  <si>
    <t>153  -1301</t>
  </si>
  <si>
    <t>366    436      0      0      0</t>
  </si>
  <si>
    <t>694   -146     84    186   2221</t>
  </si>
  <si>
    <t>-2111      0      0      0      0</t>
  </si>
  <si>
    <t>710      0</t>
  </si>
  <si>
    <t>0      0      0      0    556</t>
  </si>
  <si>
    <t>24   4016   4241  23229  44741</t>
  </si>
  <si>
    <t>893  26513</t>
  </si>
  <si>
    <t>6045   3894  19160  33453  19297</t>
  </si>
  <si>
    <t>053   1473</t>
  </si>
  <si>
    <t>30261  27644  21932  33130  32037</t>
  </si>
  <si>
    <t>206  21649</t>
  </si>
  <si>
    <t>17139  36109  26335  19393  21638</t>
  </si>
  <si>
    <t>0      0    -10      0      0</t>
  </si>
  <si>
    <t>0     36</t>
  </si>
  <si>
    <t>0      0      0      0    309</t>
  </si>
  <si>
    <t>0    404   -407   -233      0</t>
  </si>
  <si>
    <t>630  -1921</t>
  </si>
  <si>
    <t>190      0     14      0      0</t>
  </si>
  <si>
    <t>0      0   -275      0     40</t>
  </si>
  <si>
    <t>139      0    190     96      0</t>
  </si>
  <si>
    <t>0    998</t>
  </si>
  <si>
    <t>32     54</t>
  </si>
  <si>
    <t>-129      0    -14    359   -155</t>
  </si>
  <si>
    <t>216    -36</t>
  </si>
  <si>
    <t>0      0      0      0     44</t>
  </si>
  <si>
    <t>0    119</t>
  </si>
  <si>
    <t>688  -6375    602    888   1129</t>
  </si>
  <si>
    <t>0   -511</t>
  </si>
  <si>
    <t>0    406   -993      0      0</t>
  </si>
  <si>
    <t>0     43</t>
  </si>
  <si>
    <t>-114   -124   -491      0      0</t>
  </si>
  <si>
    <t>-576  -1388   -208      0    721</t>
  </si>
  <si>
    <t>110  -2829</t>
  </si>
  <si>
    <t>-2231  -2008      0    976      0</t>
  </si>
  <si>
    <t>0  -1772</t>
  </si>
  <si>
    <t>0      0    347      0  -1038</t>
  </si>
  <si>
    <t>855   1976</t>
  </si>
  <si>
    <t>0      0    676      0   -933</t>
  </si>
  <si>
    <t>928    303</t>
  </si>
  <si>
    <t>-79      0      0      0   -583</t>
  </si>
  <si>
    <t>602     76</t>
  </si>
  <si>
    <t>-262      0      0    348      0</t>
  </si>
  <si>
    <t>135      0</t>
  </si>
  <si>
    <t>0    -61</t>
  </si>
  <si>
    <t>-68      0  -1009   2151      0</t>
  </si>
  <si>
    <t>0    839      0      0  -3213</t>
  </si>
  <si>
    <t>466      0</t>
  </si>
  <si>
    <t>-238      0   1930   2546   -854</t>
  </si>
  <si>
    <t>609   -534</t>
  </si>
  <si>
    <t>1503   1269      0      0      0</t>
  </si>
  <si>
    <t>111  -1069    870  -1024   1834</t>
  </si>
  <si>
    <t>-2598      0      0      0      0</t>
  </si>
  <si>
    <t>394      0</t>
  </si>
  <si>
    <t>0      0      0      0    396</t>
  </si>
  <si>
    <t>-6   4102   4423  23969  25908</t>
  </si>
  <si>
    <t>076  26751</t>
  </si>
  <si>
    <t>6149   4013  19831  20595  32011</t>
  </si>
  <si>
    <t>291   1532</t>
  </si>
  <si>
    <t>40410  27840  22683  23564  48243</t>
  </si>
  <si>
    <t>424  22228</t>
  </si>
  <si>
    <t>17635  26581  36372  19684  23468</t>
  </si>
  <si>
    <t>569    118</t>
  </si>
  <si>
    <t>129      0      0      1      0</t>
  </si>
  <si>
    <t>328      0</t>
  </si>
  <si>
    <t>-14      0    436   -311   -111</t>
  </si>
  <si>
    <t>99    280      0     10      0</t>
  </si>
  <si>
    <t>0      0      0    -44      0</t>
  </si>
  <si>
    <t>0     27      0    229    118</t>
  </si>
  <si>
    <t>608      0      0      0      0</t>
  </si>
  <si>
    <t>464    -85</t>
  </si>
  <si>
    <t>-48     28      0     41   -267</t>
  </si>
  <si>
    <t>69    -73</t>
  </si>
  <si>
    <t>167      0</t>
  </si>
  <si>
    <t>0    962  -5362      2    107</t>
  </si>
  <si>
    <t>187      0</t>
  </si>
  <si>
    <t>-143      0    324   -469      0</t>
  </si>
  <si>
    <t>-148     38     -2   -197      0</t>
  </si>
  <si>
    <t>0   -544   -900   -126      0</t>
  </si>
  <si>
    <t>498  -5068</t>
  </si>
  <si>
    <t>162   -322   -840      0    -65</t>
  </si>
  <si>
    <t>-135      0      0      8      0</t>
  </si>
  <si>
    <t>0      0      0   -206      0</t>
  </si>
  <si>
    <t>757   -570</t>
  </si>
  <si>
    <t>21164  -3026      0      0      0</t>
  </si>
  <si>
    <t>521  -1511</t>
  </si>
  <si>
    <t>0   -461      0      0    227</t>
  </si>
  <si>
    <t>0  -1389</t>
  </si>
  <si>
    <t>2885    989      0  -1668   2682</t>
  </si>
  <si>
    <t>604      0</t>
  </si>
  <si>
    <t>3348      0   2217      0      0</t>
  </si>
  <si>
    <t>993    397</t>
  </si>
  <si>
    <t>0    996      0   1509   1615</t>
  </si>
  <si>
    <t>295  -3835</t>
  </si>
  <si>
    <t>-322    556   1385      0      0</t>
  </si>
  <si>
    <t>960   -239   1466    -97    718</t>
  </si>
  <si>
    <t>652      0</t>
  </si>
  <si>
    <t>144   -178      0      0      0</t>
  </si>
  <si>
    <t>0    326</t>
  </si>
  <si>
    <t>0   -173   3532   3417  20661</t>
  </si>
  <si>
    <t>581  24795</t>
  </si>
  <si>
    <t>-240   5450   3344  17401  19443</t>
  </si>
  <si>
    <t>523  32211</t>
  </si>
  <si>
    <t>28554  28651  36998  20287  22287</t>
  </si>
  <si>
    <t>649  43026</t>
  </si>
  <si>
    <t>36858  15994  24988  25038  26075</t>
  </si>
  <si>
    <t>162  26188</t>
  </si>
  <si>
    <t>1057 -34498 -29805      0      0</t>
  </si>
  <si>
    <t>1896      0      0      0      0</t>
  </si>
  <si>
    <t>1016      0  -1224      0   1056</t>
  </si>
  <si>
    <t>513  -1031</t>
  </si>
  <si>
    <t>24401  25607  33106  27388      0</t>
  </si>
  <si>
    <t>771      0</t>
  </si>
  <si>
    <t>0   1177      0      0      0</t>
  </si>
  <si>
    <t>839      0</t>
  </si>
  <si>
    <t>0      0      0  -1266      0</t>
  </si>
  <si>
    <t>073   7264</t>
  </si>
  <si>
    <t>858      0  -2089      0      0</t>
  </si>
  <si>
    <t>0      0    321    -25      0</t>
  </si>
  <si>
    <t>551    -54</t>
  </si>
  <si>
    <t>-172   -737      0      0      0</t>
  </si>
  <si>
    <t>255     31      0  -3001   -985</t>
  </si>
  <si>
    <t>679  -2049</t>
  </si>
  <si>
    <t>-1423  -1052    186      0   -162</t>
  </si>
  <si>
    <t>408      0</t>
  </si>
  <si>
    <t>712      0    231   3804    338</t>
  </si>
  <si>
    <t>211      0</t>
  </si>
  <si>
    <t>0   7141      0    394     97</t>
  </si>
  <si>
    <t>-1565  -1184   4067   1848    902</t>
  </si>
  <si>
    <t>0     -3</t>
  </si>
  <si>
    <t>13      0    268      0      0</t>
  </si>
  <si>
    <t>-53      0</t>
  </si>
  <si>
    <t>714      0</t>
  </si>
  <si>
    <t>0   2361   -485   -294      0</t>
  </si>
  <si>
    <t>95   -181      0    527      0</t>
  </si>
  <si>
    <t>0    233</t>
  </si>
  <si>
    <t>226      0      0      0      0</t>
  </si>
  <si>
    <t>0    416   -531    366      0</t>
  </si>
  <si>
    <t>620   -171</t>
  </si>
  <si>
    <t>0      0   -171   -566   -139</t>
  </si>
  <si>
    <t>184    209</t>
  </si>
  <si>
    <t>0      0    281      0    200</t>
  </si>
  <si>
    <t>0      0      0   7951      0</t>
  </si>
  <si>
    <t>247   -353</t>
  </si>
  <si>
    <t>11379  10109 -12026 -10211  -7418</t>
  </si>
  <si>
    <t>0      0  -1714   1561  -2407</t>
  </si>
  <si>
    <t>120  -1586</t>
  </si>
  <si>
    <t>6167      0   4514 -35770      0</t>
  </si>
  <si>
    <t>1891    635      0      0      0</t>
  </si>
  <si>
    <t>0      0      0     79 -27028</t>
  </si>
  <si>
    <t>839  -6449</t>
  </si>
  <si>
    <t>418   2823</t>
  </si>
  <si>
    <t>0  -3626   1715   1935    145</t>
  </si>
  <si>
    <t>965    834</t>
  </si>
  <si>
    <t>1586   1434    136  -1376   1186</t>
  </si>
  <si>
    <t>646    868</t>
  </si>
  <si>
    <t>88  -5014    180  -4381  -2693</t>
  </si>
  <si>
    <t>760      0</t>
  </si>
  <si>
    <t>0      0   5056  -2828      0</t>
  </si>
  <si>
    <t>-3983      0      0    395      0</t>
  </si>
  <si>
    <t>428      0</t>
  </si>
  <si>
    <t>0   1438    368  -2099  -2222</t>
  </si>
  <si>
    <t>712  -1696</t>
  </si>
  <si>
    <t>0      0      0      0   -329</t>
  </si>
  <si>
    <t>-31      0      0      0      0</t>
  </si>
  <si>
    <t>0   1171</t>
  </si>
  <si>
    <t>0      0 -10899   7534      0</t>
  </si>
  <si>
    <t>240      0</t>
  </si>
  <si>
    <t>6009   1724   1368      0      0</t>
  </si>
  <si>
    <t>489  -3935</t>
  </si>
  <si>
    <t>1282   -484    858    870   4216</t>
  </si>
  <si>
    <t>10015      0  -3945   5806   -485</t>
  </si>
  <si>
    <t>0  -4102</t>
  </si>
  <si>
    <t>-5737      0  -2355  -5160  -2314</t>
  </si>
  <si>
    <t>0      0   -757   2752      0</t>
  </si>
  <si>
    <t>898   -246</t>
  </si>
  <si>
    <t>0      0      0      0  11776</t>
  </si>
  <si>
    <t>0    302</t>
  </si>
  <si>
    <t>-3661   -100     73  -5851  -5841</t>
  </si>
  <si>
    <t>209  -3247</t>
  </si>
  <si>
    <t>0      0   -248     16      0</t>
  </si>
  <si>
    <t>268      0</t>
  </si>
  <si>
    <t>-74    -71   -907      0      0</t>
  </si>
  <si>
    <t>831    398     92      0   3598</t>
  </si>
  <si>
    <t>697   2058</t>
  </si>
  <si>
    <t>-739  -2118    414   -965   -614</t>
  </si>
  <si>
    <t>0    814</t>
  </si>
  <si>
    <t>0   1726      0   2267      0</t>
  </si>
  <si>
    <t>0      0   8182      0    677</t>
  </si>
  <si>
    <t>704    189</t>
  </si>
  <si>
    <t>617   3190</t>
  </si>
  <si>
    <t>-588      0      0      0      0</t>
  </si>
  <si>
    <t>-651    191      0      0      0</t>
  </si>
  <si>
    <t>0  12668</t>
  </si>
  <si>
    <t>-79   3716   -357  20519  22604</t>
  </si>
  <si>
    <t>188  10201</t>
  </si>
  <si>
    <t>599  -2877</t>
  </si>
  <si>
    <t>-830      0      0  10574      0</t>
  </si>
  <si>
    <t>967 -55185</t>
  </si>
  <si>
    <t>0   2486      0   2859   3266</t>
  </si>
  <si>
    <t>-156      0      0      0      0</t>
  </si>
  <si>
    <t>0   -203</t>
  </si>
  <si>
    <t>-2856  -1555  -2906  -2481    599</t>
  </si>
  <si>
    <t>915   -460</t>
  </si>
  <si>
    <t>269  -1318    162      0 -13577</t>
  </si>
  <si>
    <t>811   4016</t>
  </si>
  <si>
    <t>1384  -1128  -4085     96  -1613</t>
  </si>
  <si>
    <t>178  -2396</t>
  </si>
  <si>
    <t>-2321   1118   2180   -809  30628</t>
  </si>
  <si>
    <t>690   -478</t>
  </si>
  <si>
    <t>0      0  -1382      0      0</t>
  </si>
  <si>
    <t>0   1805</t>
  </si>
  <si>
    <t>0      0      0      0  -4166</t>
  </si>
  <si>
    <t>0     33   7192   2474      0</t>
  </si>
  <si>
    <t>104    -15</t>
  </si>
  <si>
    <t>-561      0     58      0      0</t>
  </si>
  <si>
    <t>0      0    452      0    -94</t>
  </si>
  <si>
    <t>982      0    -37    839      0</t>
  </si>
  <si>
    <t>0   4652</t>
  </si>
  <si>
    <t>0      0      0      0   -278</t>
  </si>
  <si>
    <t>364   -724</t>
  </si>
  <si>
    <t>1342      0   -540   1341    362</t>
  </si>
  <si>
    <t>604    448</t>
  </si>
  <si>
    <t>0      0      0      0   2021</t>
  </si>
  <si>
    <t>0     13</t>
  </si>
  <si>
    <t>-8777  -3806   2243  18615  16851</t>
  </si>
  <si>
    <t>0   3892</t>
  </si>
  <si>
    <t>0   -886   -232      0      0</t>
  </si>
  <si>
    <t>0    620</t>
  </si>
  <si>
    <t>1108   -138    -22      0      0</t>
  </si>
  <si>
    <t>1111   4691    641      0  -3508</t>
  </si>
  <si>
    <t>197    -36</t>
  </si>
  <si>
    <t>-2814  -2416      0     79      0</t>
  </si>
  <si>
    <t>0   -176</t>
  </si>
  <si>
    <t>0      0     97      0     99</t>
  </si>
  <si>
    <t>135   -239</t>
  </si>
  <si>
    <t>0      0  11312      0   1677</t>
  </si>
  <si>
    <t>153    112</t>
  </si>
  <si>
    <t>2556      0      0      0   -179</t>
  </si>
  <si>
    <t>363   -150</t>
  </si>
  <si>
    <t>1062      0      0     91      0</t>
  </si>
  <si>
    <t>868      0</t>
  </si>
  <si>
    <t>0   8691</t>
  </si>
  <si>
    <t>253      0  -4154   -769      0</t>
  </si>
  <si>
    <t>3485  -1471   -830   -244   -573</t>
  </si>
  <si>
    <t>0    906      0      0    832</t>
  </si>
  <si>
    <t>523      0</t>
  </si>
  <si>
    <t>13111      0    722   -465    -14</t>
  </si>
  <si>
    <t>922   -389</t>
  </si>
  <si>
    <t>10587   5714      0      0      0</t>
  </si>
  <si>
    <t>1763  -3502     69  -3124  -1132</t>
  </si>
  <si>
    <t>60900      0      0      0      0</t>
  </si>
  <si>
    <t>405      0</t>
  </si>
  <si>
    <t>0      0      0      0    -51</t>
  </si>
  <si>
    <t>8    715    633   3728   9946</t>
  </si>
  <si>
    <t>033  -1333</t>
  </si>
  <si>
    <t>399   -159   2366   2971   1198</t>
  </si>
  <si>
    <t>2671    402  -2795   9697   5009</t>
  </si>
  <si>
    <t>834   2480</t>
  </si>
  <si>
    <t>1582    872   2998   1459   2140</t>
  </si>
  <si>
    <t>236   3790</t>
  </si>
  <si>
    <t>0   1384    992      0      0</t>
  </si>
  <si>
    <t>0      0    471      0   -414</t>
  </si>
  <si>
    <t>1255     49  -1510  -1507   -958</t>
  </si>
  <si>
    <t>922      0</t>
  </si>
  <si>
    <t>0      0      0   -224      0</t>
  </si>
  <si>
    <t>831      0</t>
  </si>
  <si>
    <t>0   4145   -628      0  -3299</t>
  </si>
  <si>
    <t>-1256   -637      0      0    429</t>
  </si>
  <si>
    <t>2229    713    823    200      0</t>
  </si>
  <si>
    <t>0   -249    465   -835      0</t>
  </si>
  <si>
    <t>195   -547</t>
  </si>
  <si>
    <t>0  -2170  -4638  -1524   -155</t>
  </si>
  <si>
    <t>0     58</t>
  </si>
  <si>
    <t>0   -332   1090      0   1384</t>
  </si>
  <si>
    <t>243    101</t>
  </si>
  <si>
    <t>0      0      0  12352      0</t>
  </si>
  <si>
    <t>299     33</t>
  </si>
  <si>
    <t>-2719   1136  15019  14783   4483</t>
  </si>
  <si>
    <t>950   3193</t>
  </si>
  <si>
    <t>0    886   -635      0    333</t>
  </si>
  <si>
    <t>-1754  -1927      0      0      0</t>
  </si>
  <si>
    <t>5120   2461      0   3890  -1287</t>
  </si>
  <si>
    <t>-993   1002  -1066   -705      0</t>
  </si>
  <si>
    <t>891      0</t>
  </si>
  <si>
    <t>1036      0   1500      0      0</t>
  </si>
  <si>
    <t>0   8333      0    602   -835</t>
  </si>
  <si>
    <t>0      0      0      0    635</t>
  </si>
  <si>
    <t>254  -1554</t>
  </si>
  <si>
    <t>0      0      0      0   2016</t>
  </si>
  <si>
    <t>0   1874</t>
  </si>
  <si>
    <t>123      0      0      0      0</t>
  </si>
  <si>
    <t>4230    139  23220  19801  10922</t>
  </si>
  <si>
    <t>156   5380</t>
  </si>
  <si>
    <t>0      0      0      0  -4655</t>
  </si>
  <si>
    <t>515  -5536</t>
  </si>
  <si>
    <t>0      0  10504      0   7848</t>
  </si>
  <si>
    <t>948      0</t>
  </si>
  <si>
    <t>-3190      0   1193   1254      0</t>
  </si>
  <si>
    <t>-50    646</t>
  </si>
  <si>
    <t>6143   2780  -3334    680   -344</t>
  </si>
  <si>
    <t>370   -201</t>
  </si>
  <si>
    <t>1399   -684      0   2709   1647</t>
  </si>
  <si>
    <t>912   1555</t>
  </si>
  <si>
    <t>1737  -4021   4526   7403   -820</t>
  </si>
  <si>
    <t>177   1749</t>
  </si>
  <si>
    <t>2487   1640   1509  30465  49571</t>
  </si>
  <si>
    <t>504  -4354</t>
  </si>
  <si>
    <t>-2781      0      0   -379      0</t>
  </si>
  <si>
    <t>790      0</t>
  </si>
  <si>
    <t>-506      0      8   3392    889</t>
  </si>
  <si>
    <t>0   1794</t>
  </si>
  <si>
    <t>-1541   -914      0     90      0</t>
  </si>
  <si>
    <t>0      0      0    448      0</t>
  </si>
  <si>
    <t>0    866      0     12    162</t>
  </si>
  <si>
    <t>-2548      0      0      0      0</t>
  </si>
  <si>
    <t>246  -1528</t>
  </si>
  <si>
    <t>443   1235      0   -108    725</t>
  </si>
  <si>
    <t>443   1646</t>
  </si>
  <si>
    <t>0  -3724   -299    629  -5647</t>
  </si>
  <si>
    <t>-361      0    152    238      0</t>
  </si>
  <si>
    <t>1114    -97    -79    114      0</t>
  </si>
  <si>
    <t>0    708    199    295      0</t>
  </si>
  <si>
    <t>413  -1031</t>
  </si>
  <si>
    <t>-2406  -2493  -1954      0     77</t>
  </si>
  <si>
    <t>750      0      0    150      0</t>
  </si>
  <si>
    <t>437    -56</t>
  </si>
  <si>
    <t>0      0      0   9897      0</t>
  </si>
  <si>
    <t>465    446</t>
  </si>
  <si>
    <t>-1496  -5795      0      0      0</t>
  </si>
  <si>
    <t>302   3267</t>
  </si>
  <si>
    <t>0  -1199      0      0   2730</t>
  </si>
  <si>
    <t>0  -1918</t>
  </si>
  <si>
    <t>4833   -328      0  -2988   -871</t>
  </si>
  <si>
    <t>460   3265  -1690  -1047   -264</t>
  </si>
  <si>
    <t>773      0   1112      0      0</t>
  </si>
  <si>
    <t>107    862</t>
  </si>
  <si>
    <t>0  12346      0    796   -876</t>
  </si>
  <si>
    <t>97   4283</t>
  </si>
  <si>
    <t>11478  10395   6963      0      0</t>
  </si>
  <si>
    <t>-3315    711  -1886   -475  -2224</t>
  </si>
  <si>
    <t>074      0</t>
  </si>
  <si>
    <t>7059 -53997      0      0      0</t>
  </si>
  <si>
    <t>0    907</t>
  </si>
  <si>
    <t>359      0</t>
  </si>
  <si>
    <t>0    282    555    639   2319</t>
  </si>
  <si>
    <t>609  -1060</t>
  </si>
  <si>
    <t>-569    343    -75   1596    892</t>
  </si>
  <si>
    <t>821  -1022</t>
  </si>
  <si>
    <t>1069   1775   1912   1660  -1448</t>
  </si>
  <si>
    <t>782   1713</t>
  </si>
  <si>
    <t>1282  -7839   5895   5014  -1417</t>
  </si>
  <si>
    <t>304   1717</t>
  </si>
  <si>
    <t>42781  43456  45724  -6278     49</t>
  </si>
  <si>
    <t>096  -3424</t>
  </si>
  <si>
    <t>-2019      0      0      0   2123</t>
  </si>
  <si>
    <t>0      0  -2457      0      0</t>
  </si>
  <si>
    <t>747      0</t>
  </si>
  <si>
    <t>4750   1174      0   1586    370</t>
  </si>
  <si>
    <t>459  -1535</t>
  </si>
  <si>
    <t>0   -285</t>
  </si>
  <si>
    <t>639      0    -77      0      0</t>
  </si>
  <si>
    <t>-272    247      0      0   5628</t>
  </si>
  <si>
    <t>0      0   -643  -1324   -640</t>
  </si>
  <si>
    <t>-445    881    454   1335    747</t>
  </si>
  <si>
    <t>571     63</t>
  </si>
  <si>
    <t>0      0   1582      0    -49</t>
  </si>
  <si>
    <t>398   -842</t>
  </si>
  <si>
    <t>2317  -6599  -5215      0  -1257</t>
  </si>
  <si>
    <t>093  -2465</t>
  </si>
  <si>
    <t>752      0      0      0   -376</t>
  </si>
  <si>
    <t>182      0      0      0      0</t>
  </si>
  <si>
    <t>0  12476</t>
  </si>
  <si>
    <t>189      0  -3797   -501   1035</t>
  </si>
  <si>
    <t>524  -5698</t>
  </si>
  <si>
    <t>0    157      0      0    416</t>
  </si>
  <si>
    <t>229      0    667     -2   -163</t>
  </si>
  <si>
    <t>11664      0   1165    253     36</t>
  </si>
  <si>
    <t>0   4919</t>
  </si>
  <si>
    <t>0      0    408   -975   -329</t>
  </si>
  <si>
    <t>401   -995</t>
  </si>
  <si>
    <t>0     55      0    799      0</t>
  </si>
  <si>
    <t>373      0</t>
  </si>
  <si>
    <t>0      0      0      0   8668</t>
  </si>
  <si>
    <t>0    619</t>
  </si>
  <si>
    <t>-3244  -1520      0      0      0</t>
  </si>
  <si>
    <t>1366   -902   1641      0      0</t>
  </si>
  <si>
    <t>0      0   -570   6509      0</t>
  </si>
  <si>
    <t>4547   5475    763 -21274  -6122</t>
  </si>
  <si>
    <t>422  21908</t>
  </si>
  <si>
    <t>-482  -3475  -2736      0      0</t>
  </si>
  <si>
    <t>285      0</t>
  </si>
  <si>
    <t>0      0      0  -1619      0</t>
  </si>
  <si>
    <t>151  -1560</t>
  </si>
  <si>
    <t>0      0  -2138      0      0</t>
  </si>
  <si>
    <t>678   4819    544    142  -1172</t>
  </si>
  <si>
    <t>835    408</t>
  </si>
  <si>
    <t>4935   4391   3577   1263  -2521</t>
  </si>
  <si>
    <t>0   4171</t>
  </si>
  <si>
    <t>3478   1191   4720    882   3509</t>
  </si>
  <si>
    <t>951   1197</t>
  </si>
  <si>
    <t>4318   2226  -2621   7641   6965</t>
  </si>
  <si>
    <t>614  30259</t>
  </si>
  <si>
    <t>44156  -1565    448  -1144   2211</t>
  </si>
  <si>
    <t>637      0</t>
  </si>
  <si>
    <t>0      0   1269  -2134      0</t>
  </si>
  <si>
    <t>-327      0      0  -1103      0</t>
  </si>
  <si>
    <t>131      0</t>
  </si>
  <si>
    <t>0  -5511   -504   2104   3107</t>
  </si>
  <si>
    <t>306   -973</t>
  </si>
  <si>
    <t>0      0      0      0   -179</t>
  </si>
  <si>
    <t>815      0      0      0      0</t>
  </si>
  <si>
    <t>0      0  10947    145      0</t>
  </si>
  <si>
    <t>4813   2443    818      0      0</t>
  </si>
  <si>
    <t>222   -556</t>
  </si>
  <si>
    <t>341   1103   -779   1142   3604</t>
  </si>
  <si>
    <t>15732      0   5838   4599   -562</t>
  </si>
  <si>
    <t>0  -2515</t>
  </si>
  <si>
    <t>-2528      0   4603   9424  -1391</t>
  </si>
  <si>
    <t>0      0  -1220   -478      0</t>
  </si>
  <si>
    <t>818   1737</t>
  </si>
  <si>
    <t>0      0      0      0   5694</t>
  </si>
  <si>
    <t>0    582</t>
  </si>
  <si>
    <t>894   5330</t>
  </si>
  <si>
    <t>0      0   1816    166      0</t>
  </si>
  <si>
    <t>94   -214    254      0      0</t>
  </si>
  <si>
    <t>723    162    254      0   1796</t>
  </si>
  <si>
    <t>795   -195</t>
  </si>
  <si>
    <t>4127   7891   -343   -217   -200</t>
  </si>
  <si>
    <t>0   1368</t>
  </si>
  <si>
    <t>0   -226      0   -305      0</t>
  </si>
  <si>
    <t>0      0   3692      0    490</t>
  </si>
  <si>
    <t>636    196</t>
  </si>
  <si>
    <t>266  -2287</t>
  </si>
  <si>
    <t>802      0      0      0      0</t>
  </si>
  <si>
    <t>-1272     -5      0      0      0</t>
  </si>
  <si>
    <t>0   4626</t>
  </si>
  <si>
    <t>653   -796   1873   5216   5192</t>
  </si>
  <si>
    <t>712 -22057</t>
  </si>
  <si>
    <t>924   1243</t>
  </si>
  <si>
    <t>-1334      0      0   1508      0</t>
  </si>
  <si>
    <t>078 -30082</t>
  </si>
  <si>
    <t>0    334      0  -2885  -7893</t>
  </si>
  <si>
    <t>-145      0      0      0      0</t>
  </si>
  <si>
    <t>644   1595    884  -1368    114</t>
  </si>
  <si>
    <t>358    835</t>
  </si>
  <si>
    <t>-2009  -1889  -5515      0 -12911</t>
  </si>
  <si>
    <t>371   6239</t>
  </si>
  <si>
    <t>1497    678  -4205   1396   2586</t>
  </si>
  <si>
    <t>789  -2820</t>
  </si>
  <si>
    <t>-2096   1653   1935    792  28956</t>
  </si>
  <si>
    <t>229  24670</t>
  </si>
  <si>
    <t>-1151   -309   -644   2859   1933</t>
  </si>
  <si>
    <t>0    -74    342      0      0</t>
  </si>
  <si>
    <t>0      0   -813      0    959</t>
  </si>
  <si>
    <t>0    -12</t>
  </si>
  <si>
    <t>-8112  -1193   2706   1241   3140</t>
  </si>
  <si>
    <t>0      0      0   1145      0</t>
  </si>
  <si>
    <t>325      0</t>
  </si>
  <si>
    <t>0   -632    303      0  -4765</t>
  </si>
  <si>
    <t>-691   -105      0      0    478</t>
  </si>
  <si>
    <t>-1166   1246   -271  -2288      0</t>
  </si>
  <si>
    <t>0   -501   -334    850      0</t>
  </si>
  <si>
    <t>429   -737</t>
  </si>
  <si>
    <t>0 -17007 -20041  -5594     24</t>
  </si>
  <si>
    <t>0    179</t>
  </si>
  <si>
    <t>0    990  -1425      0    377</t>
  </si>
  <si>
    <t>993   -875</t>
  </si>
  <si>
    <t>0      0      0   7031      0</t>
  </si>
  <si>
    <t>196   3639</t>
  </si>
  <si>
    <t>-1193  -1500  -4924  -2736   5284</t>
  </si>
  <si>
    <t>598   9088</t>
  </si>
  <si>
    <t>0    -14     93      0   -284</t>
  </si>
  <si>
    <t>78   -555      0      0      0</t>
  </si>
  <si>
    <t>-14     52      0   3388  -1051</t>
  </si>
  <si>
    <t>239      0</t>
  </si>
  <si>
    <t>5167    349   -158   -308      0</t>
  </si>
  <si>
    <t>632      0     94      0      0</t>
  </si>
  <si>
    <t>0   4917      0    583   -752</t>
  </si>
  <si>
    <t>0      0      0      0   6480</t>
  </si>
  <si>
    <t>206   -701</t>
  </si>
  <si>
    <t>0      0      0      0    165</t>
  </si>
  <si>
    <t>116      0</t>
  </si>
  <si>
    <t>1    680   5450   3275 -19458</t>
  </si>
  <si>
    <t>370 -27483</t>
  </si>
  <si>
    <t>0      0      0      0    952</t>
  </si>
  <si>
    <t>649   -386</t>
  </si>
  <si>
    <t>0      0   1810      0   3873</t>
  </si>
  <si>
    <t>777      0</t>
  </si>
  <si>
    <t>-2717      0   4009    278      0</t>
  </si>
  <si>
    <t>126    195</t>
  </si>
  <si>
    <t>1981   1950   -675   -230   1142</t>
  </si>
  <si>
    <t>061   1695</t>
  </si>
  <si>
    <t>-1658  -5482      0    823   2160</t>
  </si>
  <si>
    <t>353   1538</t>
  </si>
  <si>
    <t>3313   1574   -132   1788   1555</t>
  </si>
  <si>
    <t>814    574</t>
  </si>
  <si>
    <t>1959   2925   1275  29440  26049</t>
  </si>
  <si>
    <t>935  28644</t>
  </si>
  <si>
    <t>-422    -63   -777   2279   1038</t>
  </si>
  <si>
    <t>0      6    -46      0      0</t>
  </si>
  <si>
    <t>0      0   -511      0    681</t>
  </si>
  <si>
    <t>0     57</t>
  </si>
  <si>
    <t>-7803   -865    415   1738   3545</t>
  </si>
  <si>
    <t>958      0</t>
  </si>
  <si>
    <t>0      0      0    728      0</t>
  </si>
  <si>
    <t>0    473    181      0  -3318</t>
  </si>
  <si>
    <t>-784   -162      0      0    537</t>
  </si>
  <si>
    <t>236      0</t>
  </si>
  <si>
    <t>-945   1524      2  -1496      0</t>
  </si>
  <si>
    <t>0   -133   -118    495      0</t>
  </si>
  <si>
    <t>898   -370</t>
  </si>
  <si>
    <t>0   3906   5560  -2086    359</t>
  </si>
  <si>
    <t>0    -57</t>
  </si>
  <si>
    <t>0   -373    383      0   -665</t>
  </si>
  <si>
    <t>063    314</t>
  </si>
  <si>
    <t>0      0      0   8539      0</t>
  </si>
  <si>
    <t>331   -279</t>
  </si>
  <si>
    <t>3336   1721   5342   4850 -12857</t>
  </si>
  <si>
    <t>574 -18251</t>
  </si>
  <si>
    <t>0  -1956    522      0    531</t>
  </si>
  <si>
    <t>562   2146      0      0      0</t>
  </si>
  <si>
    <t>3442   -440      0   2836  -1594</t>
  </si>
  <si>
    <t>2953   -654   -275   -290      0</t>
  </si>
  <si>
    <t>371      0</t>
  </si>
  <si>
    <t>469      0    -49      0      0</t>
  </si>
  <si>
    <t>0   5996      0    907   -567</t>
  </si>
  <si>
    <t>0      0      0      0   6038</t>
  </si>
  <si>
    <t>056   -791</t>
  </si>
  <si>
    <t>319      0      0      0      0</t>
  </si>
  <si>
    <t>254   1569   6668   4590 -15184</t>
  </si>
  <si>
    <t>506 -22462</t>
  </si>
  <si>
    <t>0      0      0      0    741</t>
  </si>
  <si>
    <t>948   -712</t>
  </si>
  <si>
    <t>0      0   1969      0   3281</t>
  </si>
  <si>
    <t>687      0</t>
  </si>
  <si>
    <t>-2695      0   3303   -501      0</t>
  </si>
  <si>
    <t>398    211</t>
  </si>
  <si>
    <t>1816   2809   -676   -394    868</t>
  </si>
  <si>
    <t>990   1535</t>
  </si>
  <si>
    <t>1908  -4900      0    594   2305</t>
  </si>
  <si>
    <t>732   2302</t>
  </si>
  <si>
    <t>2296  -2949   6317   1981   3746</t>
  </si>
  <si>
    <t>397   2090</t>
  </si>
  <si>
    <t>2340   2151   1805  28529  27240</t>
  </si>
  <si>
    <t>458  38151</t>
  </si>
  <si>
    <t>32788    278    678   -492   2821</t>
  </si>
  <si>
    <t>552      0</t>
  </si>
  <si>
    <t>0      0    137    -54      0</t>
  </si>
  <si>
    <t>-426      0      0   -906      0</t>
  </si>
  <si>
    <t>0  -5957    390   2267   1195</t>
  </si>
  <si>
    <t>893   1033</t>
  </si>
  <si>
    <t>0      0      0      0    558</t>
  </si>
  <si>
    <t>113      0      0      0      0</t>
  </si>
  <si>
    <t>0   -266</t>
  </si>
  <si>
    <t>0      0    487   1471      0</t>
  </si>
  <si>
    <t>-1855   -461    -92      0      0</t>
  </si>
  <si>
    <t>551   -282</t>
  </si>
  <si>
    <t>-362   -550   1837     37  -1045</t>
  </si>
  <si>
    <t>3530      0   -423   -155    405</t>
  </si>
  <si>
    <t>0  -1481</t>
  </si>
  <si>
    <t>-2547      0   2011   2921   -544</t>
  </si>
  <si>
    <t>374      0</t>
  </si>
  <si>
    <t>0      0   -391    479      0</t>
  </si>
  <si>
    <t>292   2359</t>
  </si>
  <si>
    <t>0      0      0      0   5768</t>
  </si>
  <si>
    <t>0    702</t>
  </si>
  <si>
    <t>-1141    326   -623  -2346  -1556</t>
  </si>
  <si>
    <t>468   1575</t>
  </si>
  <si>
    <t>0      0    -78     88      0</t>
  </si>
  <si>
    <t>126      0</t>
  </si>
  <si>
    <t>525   -153   -148      0      0</t>
  </si>
  <si>
    <t>610    258    181      0  -5915</t>
  </si>
  <si>
    <t>595   1686</t>
  </si>
  <si>
    <t>23797 -29398  -8895   -479    213</t>
  </si>
  <si>
    <t>0    213</t>
  </si>
  <si>
    <t>0  -1735      0   -382      0</t>
  </si>
  <si>
    <t>0      0   4507      0  -1203</t>
  </si>
  <si>
    <t>385   -880</t>
  </si>
  <si>
    <t>319   -724</t>
  </si>
  <si>
    <t>-895      0      0      0      0</t>
  </si>
  <si>
    <t>-596    435      0      0      0</t>
  </si>
  <si>
    <t>0   5081</t>
  </si>
  <si>
    <t>753    327   1280   7038   5110</t>
  </si>
  <si>
    <t>410 -14914</t>
  </si>
  <si>
    <t>996   1468</t>
  </si>
  <si>
    <t>-3783      0      0   2091      0</t>
  </si>
  <si>
    <t>946 -27469</t>
  </si>
  <si>
    <t>0   -480      0   7391   4534</t>
  </si>
  <si>
    <t>-594      0      0      0      0</t>
  </si>
  <si>
    <t>873   1493  -1013  -1032   -381</t>
  </si>
  <si>
    <t>552    372</t>
  </si>
  <si>
    <t>-3305  16133  -3290      0    448</t>
  </si>
  <si>
    <t>678   1722</t>
  </si>
  <si>
    <t>1702    688    673   1749   1219</t>
  </si>
  <si>
    <t>464  -5467</t>
  </si>
  <si>
    <t>482   1611   1946   1884  22239</t>
  </si>
  <si>
    <t>555  21642</t>
  </si>
  <si>
    <t>25871  26992  27553    651   -706</t>
  </si>
  <si>
    <t>014   2944</t>
  </si>
  <si>
    <t>-289      0      0      0     87</t>
  </si>
  <si>
    <t>-16      0</t>
  </si>
  <si>
    <t>0      0   -508      0      0</t>
  </si>
  <si>
    <t>171    -81      0  -7247  -1978</t>
  </si>
  <si>
    <t>744   3239</t>
  </si>
  <si>
    <t>1063      0      0      0      0</t>
  </si>
  <si>
    <t>0    458</t>
  </si>
  <si>
    <t>-260      0    794      0      0</t>
  </si>
  <si>
    <t>132   5610      0      0   1279</t>
  </si>
  <si>
    <t>060      0</t>
  </si>
  <si>
    <t>0      0  -6031   -891   -205</t>
  </si>
  <si>
    <t>-1233  -1598   -521  -1423    928</t>
  </si>
  <si>
    <t>550  -2214</t>
  </si>
  <si>
    <t>0      0   5551      0   -140</t>
  </si>
  <si>
    <t>305   1010</t>
  </si>
  <si>
    <t>-1756  -4251  -3418      0   6666</t>
  </si>
  <si>
    <t>791  -2291</t>
  </si>
  <si>
    <t>-21      0      0      0   -451</t>
  </si>
  <si>
    <t>243      0</t>
  </si>
  <si>
    <t>317      0      0      0      0</t>
  </si>
  <si>
    <t>0   9491</t>
  </si>
  <si>
    <t>-30      0  -1192  -2548   -986</t>
  </si>
  <si>
    <t>109  -2200</t>
  </si>
  <si>
    <t>0     27      0      0     16</t>
  </si>
  <si>
    <t>-311      0    585    -43    -27</t>
  </si>
  <si>
    <t>7071      0   1126    187    201</t>
  </si>
  <si>
    <t>0   4695</t>
  </si>
  <si>
    <t>0      0   5682   5746   -570</t>
  </si>
  <si>
    <t>335   -377</t>
  </si>
  <si>
    <t>0   -385      0    304      0</t>
  </si>
  <si>
    <t>0      0      0      0   6411</t>
  </si>
  <si>
    <t>0    750</t>
  </si>
  <si>
    <t>13265   3990      0      0      0</t>
  </si>
  <si>
    <t>1038   -973    931      0      0</t>
  </si>
  <si>
    <t>0      0   3584   1984      0</t>
  </si>
  <si>
    <t>-5830   4239  -1152    507   2023</t>
  </si>
  <si>
    <t>847   6950</t>
  </si>
  <si>
    <t>1350    821  -4239      0      0</t>
  </si>
  <si>
    <t>0      0      0   -683      0</t>
  </si>
  <si>
    <t>476    368</t>
  </si>
  <si>
    <t>0      0   -862      0      0</t>
  </si>
  <si>
    <t>796   2098   2164   2637   1664</t>
  </si>
  <si>
    <t>085   -480</t>
  </si>
  <si>
    <t>3043  -2395  -4405  -3094  -1603</t>
  </si>
  <si>
    <t>0   1077</t>
  </si>
  <si>
    <t>1809   1665   3316   1519   1751</t>
  </si>
  <si>
    <t>192   2438</t>
  </si>
  <si>
    <t>2949   2227  -3435   7512   7432</t>
  </si>
  <si>
    <t>102  33207</t>
  </si>
  <si>
    <t>28399  42731  39382  43619  39932</t>
  </si>
  <si>
    <t>597  -1839</t>
  </si>
  <si>
    <t>-523      0      0      7      0</t>
  </si>
  <si>
    <t>018      0</t>
  </si>
  <si>
    <t>127      0    164    743     48</t>
  </si>
  <si>
    <t>0   -351</t>
  </si>
  <si>
    <t>-453  -1070      0    147      0</t>
  </si>
  <si>
    <t>0      0      0   -313      0</t>
  </si>
  <si>
    <t>0    637      0    150    603</t>
  </si>
  <si>
    <t>-5355      0      0      0      0</t>
  </si>
  <si>
    <t>270    785</t>
  </si>
  <si>
    <t>-587    656      0   2773   1706</t>
  </si>
  <si>
    <t>270   1129</t>
  </si>
  <si>
    <t>603      0</t>
  </si>
  <si>
    <t>0 -12535   1497   -790   2931</t>
  </si>
  <si>
    <t>662      0</t>
  </si>
  <si>
    <t>661      0   -217   1085      0</t>
  </si>
  <si>
    <t>-2847    264    268   1442      0</t>
  </si>
  <si>
    <t>0  -1922   1722    600      0</t>
  </si>
  <si>
    <t>986   1357</t>
  </si>
  <si>
    <t>229     29   -949      0   -161</t>
  </si>
  <si>
    <t>-904      0      0     72      0</t>
  </si>
  <si>
    <t>297    -50</t>
  </si>
  <si>
    <t>0      0      0  -4023      0</t>
  </si>
  <si>
    <t>356    -72</t>
  </si>
  <si>
    <t>878   1200      0      0      0</t>
  </si>
  <si>
    <t>947   1696</t>
  </si>
  <si>
    <t>0    301      0      0   -346</t>
  </si>
  <si>
    <t>0   1632</t>
  </si>
  <si>
    <t>-2103   -474      0 -12643    322</t>
  </si>
  <si>
    <t>-261    230    -22   -282     85</t>
  </si>
  <si>
    <t>846      0</t>
  </si>
  <si>
    <t>2502      0   1370      0      0</t>
  </si>
  <si>
    <t>675   1636</t>
  </si>
  <si>
    <t>0  -3432      0   -804  -1432</t>
  </si>
  <si>
    <t>130   -459</t>
  </si>
  <si>
    <t>231   -293   -982      0      0</t>
  </si>
  <si>
    <t>260  -1384  -7444   -773  -3450</t>
  </si>
  <si>
    <t>636      0</t>
  </si>
  <si>
    <t>323 -22390      0      0      0</t>
  </si>
  <si>
    <t>195      0</t>
  </si>
  <si>
    <t>0     -3   -274   -109  -5243</t>
  </si>
  <si>
    <t>378  -2158</t>
  </si>
  <si>
    <t>530  -2491</t>
  </si>
  <si>
    <t>622  -2813</t>
  </si>
  <si>
    <t>-721   -925  -1266    597    850</t>
  </si>
  <si>
    <t>121   -304</t>
  </si>
  <si>
    <t>28879  27824  20661  13589  18677</t>
  </si>
  <si>
    <t>169  20865</t>
  </si>
  <si>
    <t>-1783     22   -201   -355   -666</t>
  </si>
  <si>
    <t>0   -387   -298      0      0</t>
  </si>
  <si>
    <t>0      0     91      0    142</t>
  </si>
  <si>
    <t>0    192</t>
  </si>
  <si>
    <t>079      0</t>
  </si>
  <si>
    <t>0      0      0    185      0</t>
  </si>
  <si>
    <t>539      0</t>
  </si>
  <si>
    <t>0 -17311   1784      0  -3157</t>
  </si>
  <si>
    <t>670     14      0      0  -1115</t>
  </si>
  <si>
    <t>643      0</t>
  </si>
  <si>
    <t>18   -364    287   -973      0</t>
  </si>
  <si>
    <t>0  -1203   4195   1275      0</t>
  </si>
  <si>
    <t>608   1549</t>
  </si>
  <si>
    <t>0    -21    283    562     11</t>
  </si>
  <si>
    <t>0    124   2562      0   1332</t>
  </si>
  <si>
    <t>0      0      0  -3820      0</t>
  </si>
  <si>
    <t>419    -50</t>
  </si>
  <si>
    <t>1126  -1244   3092     77   -205</t>
  </si>
  <si>
    <t>312   -564</t>
  </si>
  <si>
    <t>0   1079    288      0   2284</t>
  </si>
  <si>
    <t>116   2533      0      0      0</t>
  </si>
  <si>
    <t>1693    857      0 -14360    300</t>
  </si>
  <si>
    <t>012      0</t>
  </si>
  <si>
    <t>1545   1284   -806   -642      0</t>
  </si>
  <si>
    <t>1862      0    905      0      0</t>
  </si>
  <si>
    <t>0  -1121      0   -355  -1836</t>
  </si>
  <si>
    <t>0      0      0      0    -60</t>
  </si>
  <si>
    <t>391    -73</t>
  </si>
  <si>
    <t>0      0      0      0   3482</t>
  </si>
  <si>
    <t>0   1757</t>
  </si>
  <si>
    <t>1544      0      0      0      0</t>
  </si>
  <si>
    <t>981      0</t>
  </si>
  <si>
    <t>-283    -54   6931   -365    454</t>
  </si>
  <si>
    <t>159   -397</t>
  </si>
  <si>
    <t>0      0      0      0   -799</t>
  </si>
  <si>
    <t>658  -9973</t>
  </si>
  <si>
    <t>0      0  -2580      0    318</t>
  </si>
  <si>
    <t>913      0</t>
  </si>
  <si>
    <t>-55      0    238    171      0</t>
  </si>
  <si>
    <t>168   -289</t>
  </si>
  <si>
    <t>-1459  -1185    510   -301   -121</t>
  </si>
  <si>
    <t>341   -203</t>
  </si>
  <si>
    <t>-1487     62      0   1362  -2666</t>
  </si>
  <si>
    <t>320   2757</t>
  </si>
  <si>
    <t>766  -1190</t>
  </si>
  <si>
    <t>-184    488  -1025  12745  27657</t>
  </si>
  <si>
    <t>322  27353</t>
  </si>
  <si>
    <t>14135  18973   9665  14153  49338</t>
  </si>
  <si>
    <t>052      5</t>
  </si>
  <si>
    <t>0      0     28      0      0</t>
  </si>
  <si>
    <t>0      0      0      0    641</t>
  </si>
  <si>
    <t>0    112    279    -16      0</t>
  </si>
  <si>
    <t>234    -12</t>
  </si>
  <si>
    <t>-663      0    117      0      0</t>
  </si>
  <si>
    <t>0      0   -177      0     12</t>
  </si>
  <si>
    <t>395      0     59    413      0</t>
  </si>
  <si>
    <t>0 -12377</t>
  </si>
  <si>
    <t>0      0      0      0   1637</t>
  </si>
  <si>
    <t>687    511</t>
  </si>
  <si>
    <t>-6      0   1338   2254    141</t>
  </si>
  <si>
    <t>004   -548</t>
  </si>
  <si>
    <t>0      0      0      0   -216</t>
  </si>
  <si>
    <t>0   -623</t>
  </si>
  <si>
    <t>-7074   1089    109  -1228   -144</t>
  </si>
  <si>
    <t>0     84</t>
  </si>
  <si>
    <t>0    -21    289      0      0</t>
  </si>
  <si>
    <t>137     30     90      0      0</t>
  </si>
  <si>
    <t>-1063     19    -78      0  -6819</t>
  </si>
  <si>
    <t>907    160</t>
  </si>
  <si>
    <t>6   -622      0    -33      0</t>
  </si>
  <si>
    <t>0    377</t>
  </si>
  <si>
    <t>0      0     86      0     -4</t>
  </si>
  <si>
    <t>0      0  -2633      0   -941</t>
  </si>
  <si>
    <t>125    -72</t>
  </si>
  <si>
    <t>-1647      0      0      0   -626</t>
  </si>
  <si>
    <t>495  -1048</t>
  </si>
  <si>
    <t>979      0      0    661      0</t>
  </si>
  <si>
    <t>405      0  -8573    145      0</t>
  </si>
  <si>
    <t>464    -51   -255     68    540</t>
  </si>
  <si>
    <t>0   1062      0      0    422</t>
  </si>
  <si>
    <t>278      0</t>
  </si>
  <si>
    <t>-2070      0   -516  -1049    -62</t>
  </si>
  <si>
    <t>116    625</t>
  </si>
  <si>
    <t>68     74      0      0      0</t>
  </si>
  <si>
    <t>-1722  -3191   -486  -1846    157</t>
  </si>
  <si>
    <t>15145      0      0      0      0</t>
  </si>
  <si>
    <t>388      0</t>
  </si>
  <si>
    <t>0      0      0      0   -174</t>
  </si>
  <si>
    <t>73   -224   -159  -3226  -2155</t>
  </si>
  <si>
    <t>591   -348</t>
  </si>
  <si>
    <t>707     65</t>
  </si>
  <si>
    <t>-1990   1791    836   -520   -247</t>
  </si>
  <si>
    <t>255   -555</t>
  </si>
  <si>
    <t>21598  -3342  -2312  -1396   -110</t>
  </si>
  <si>
    <t>197    512</t>
  </si>
  <si>
    <t>13563  14141  19885  12443  14052</t>
  </si>
  <si>
    <t>178   9918</t>
  </si>
  <si>
    <t>35039  -1362   -270   -257   -345</t>
  </si>
  <si>
    <t>0      0     15   -263      0</t>
  </si>
  <si>
    <t>-265      0      0     53      0</t>
  </si>
  <si>
    <t>0   -519   -271    -53     65</t>
  </si>
  <si>
    <t>89   -879</t>
  </si>
  <si>
    <t>0      0      0      0    129</t>
  </si>
  <si>
    <t>0    480</t>
  </si>
  <si>
    <t>0      0 -16273     44      0</t>
  </si>
  <si>
    <t>1010   2127   1306      0      0</t>
  </si>
  <si>
    <t>544    711</t>
  </si>
  <si>
    <t>361   1242   -520    182   1549</t>
  </si>
  <si>
    <t>-2878      0     -8   4663    781</t>
  </si>
  <si>
    <t>0 -10011</t>
  </si>
  <si>
    <t>-218      0    584   1036    957</t>
  </si>
  <si>
    <t>0      0    148   1049      0</t>
  </si>
  <si>
    <t>551    109</t>
  </si>
  <si>
    <t>0      0      0      0  -4544</t>
  </si>
  <si>
    <t>0  -1571</t>
  </si>
  <si>
    <t>-9406    862    372  -1784     86</t>
  </si>
  <si>
    <t>149    584</t>
  </si>
  <si>
    <t>0      0    627    -74      0</t>
  </si>
  <si>
    <t>-14     38   -230      0      0</t>
  </si>
  <si>
    <t>-1397     -1    -87      0 -14996</t>
  </si>
  <si>
    <t>446   1001</t>
  </si>
  <si>
    <t>1340   2198   1632   -865   -760</t>
  </si>
  <si>
    <t>0    269</t>
  </si>
  <si>
    <t>0   1450      0    712      0</t>
  </si>
  <si>
    <t>0      0  -1477      0   -359</t>
  </si>
  <si>
    <t>103   -420</t>
  </si>
  <si>
    <t>357  -2594</t>
  </si>
  <si>
    <t>1817      0      0      0      0</t>
  </si>
  <si>
    <t>788      0</t>
  </si>
  <si>
    <t>693  -2043      0      0      0</t>
  </si>
  <si>
    <t>0  -4767</t>
  </si>
  <si>
    <t>433    241   -297   8847   2324</t>
  </si>
  <si>
    <t>408  -2706</t>
  </si>
  <si>
    <t>289      0      0   1397      0</t>
  </si>
  <si>
    <t>249 -19602</t>
  </si>
  <si>
    <t>0   -748      0   -914   -743</t>
  </si>
  <si>
    <t>-153      0      0      0      0</t>
  </si>
  <si>
    <t>0     40</t>
  </si>
  <si>
    <t>-1910  -1593  -2372    489   -208</t>
  </si>
  <si>
    <t>-1030  -2304    163      0   3982</t>
  </si>
  <si>
    <t>811   -453</t>
  </si>
  <si>
    <t>-24   -829    620   -431   -261</t>
  </si>
  <si>
    <t>640  -1459</t>
  </si>
  <si>
    <t>14818  -1711  -1045  -3438  11504</t>
  </si>
  <si>
    <t>858  17836</t>
  </si>
  <si>
    <t>17376  14012  12856   8931  19739</t>
  </si>
  <si>
    <t>694  45620</t>
  </si>
  <si>
    <t>-149   -226   -383      0      0</t>
  </si>
  <si>
    <t>20      0</t>
  </si>
  <si>
    <t>215      0      0      0      0</t>
  </si>
  <si>
    <t>115      0    111      0    148</t>
  </si>
  <si>
    <t>704     14</t>
  </si>
  <si>
    <t>9   -183   -576   -790      0</t>
  </si>
  <si>
    <t>0      0      0    569      0</t>
  </si>
  <si>
    <t>76    638</t>
  </si>
  <si>
    <t>-892      0   -631      0      0</t>
  </si>
  <si>
    <t>0      0   -202    -76      0</t>
  </si>
  <si>
    <t>855    403</t>
  </si>
  <si>
    <t>-153   -254      0      0      0</t>
  </si>
  <si>
    <t>113    185      0 -12955    992</t>
  </si>
  <si>
    <t>540   1019</t>
  </si>
  <si>
    <t>857   1461    317      0    -74</t>
  </si>
  <si>
    <t>-1000      0   -544   -284    381</t>
  </si>
  <si>
    <t>22      0</t>
  </si>
  <si>
    <t>0  -5962      0  -1490   3171</t>
  </si>
  <si>
    <t>923      0</t>
  </si>
  <si>
    <t>-866    252    -38    -43  -1230</t>
  </si>
  <si>
    <t>0    416</t>
  </si>
  <si>
    <t>-197      0    982      0      0</t>
  </si>
  <si>
    <t>39      0</t>
  </si>
  <si>
    <t>510      0</t>
  </si>
  <si>
    <t>0 -15971   -325    714      0</t>
  </si>
  <si>
    <t>-730   -551      0    150      0</t>
  </si>
  <si>
    <t>0    -44</t>
  </si>
  <si>
    <t>111      0      0      0      0</t>
  </si>
  <si>
    <t>0   -497  -2352   -538      0</t>
  </si>
  <si>
    <t>178    441</t>
  </si>
  <si>
    <t>0      0   -958   -701    234</t>
  </si>
  <si>
    <t>-51     94</t>
  </si>
  <si>
    <t>0      0   -480      0     87</t>
  </si>
  <si>
    <t>0      0      0  -3803      0</t>
  </si>
  <si>
    <t>961  -1764</t>
  </si>
  <si>
    <t>-2013  -2602   -107   -191    142</t>
  </si>
  <si>
    <t>0      0  -1698   1937  -1008</t>
  </si>
  <si>
    <t>262   -647</t>
  </si>
  <si>
    <t>-2711      0    576 -23276      0</t>
  </si>
  <si>
    <t>-227    -45      0      0      0</t>
  </si>
  <si>
    <t>0      0      0     47    -61</t>
  </si>
  <si>
    <t>-48   1062</t>
  </si>
  <si>
    <t>250   -392    -38    -78    -51</t>
  </si>
  <si>
    <t>707  -1506</t>
  </si>
  <si>
    <t>0    105    218    100    364</t>
  </si>
  <si>
    <t>444   -857</t>
  </si>
  <si>
    <t>-1432   -902    132   -681   -615</t>
  </si>
  <si>
    <t>739   1384</t>
  </si>
  <si>
    <t>-201  12577  17022  26257  27347</t>
  </si>
  <si>
    <t>483  17769</t>
  </si>
  <si>
    <t>9470  14624  53816  48237  33790</t>
  </si>
  <si>
    <t>576  -1086</t>
  </si>
  <si>
    <t>-292      0      0     -3      0</t>
  </si>
  <si>
    <t>758      0</t>
  </si>
  <si>
    <t>100      0    120    461    -73</t>
  </si>
  <si>
    <t>-412   -592      0    105      0</t>
  </si>
  <si>
    <t>0      0      0   -188      0</t>
  </si>
  <si>
    <t>0    456      0     22    529</t>
  </si>
  <si>
    <t>-393      0      0      0      0</t>
  </si>
  <si>
    <t>687    226</t>
  </si>
  <si>
    <t>-198     34      0   -477   -115</t>
  </si>
  <si>
    <t>144    -19</t>
  </si>
  <si>
    <t>0  -9945    796    -90    871</t>
  </si>
  <si>
    <t>655      0</t>
  </si>
  <si>
    <t>346      0   -176    138      0</t>
  </si>
  <si>
    <t>13   -544     17    105      0</t>
  </si>
  <si>
    <t>0  -1148   2747    300      0</t>
  </si>
  <si>
    <t>784    787</t>
  </si>
  <si>
    <t>117    224   -590      0    -60</t>
  </si>
  <si>
    <t>-82      0      0     32      0</t>
  </si>
  <si>
    <t>58    -40</t>
  </si>
  <si>
    <t>0      0      0  -3924      0</t>
  </si>
  <si>
    <t>076   -339</t>
  </si>
  <si>
    <t>-403   -663      0      0      0</t>
  </si>
  <si>
    <t>781   2134</t>
  </si>
  <si>
    <t>0    -48      0      0    108</t>
  </si>
  <si>
    <t>0     -6</t>
  </si>
  <si>
    <t>2851    951      0 -10602    437</t>
  </si>
  <si>
    <t>-828   -687    212    -20    101</t>
  </si>
  <si>
    <t>-892      0   -151      0      0</t>
  </si>
  <si>
    <t>144    787</t>
  </si>
  <si>
    <t>0  -3285      0   -815  -1733</t>
  </si>
  <si>
    <t>183   -634</t>
  </si>
  <si>
    <t>-133    -53    460      0      0</t>
  </si>
  <si>
    <t>418   1232    460     62    345</t>
  </si>
  <si>
    <t>375 -17713      0      0      0</t>
  </si>
  <si>
    <t>234      0</t>
  </si>
  <si>
    <t>0     25   -108    -34    272</t>
  </si>
  <si>
    <t>887   -904</t>
  </si>
  <si>
    <t>-54   -101     -8    113  -1115</t>
  </si>
  <si>
    <t>525  -1334</t>
  </si>
  <si>
    <t>-105    151    216   2793   -760</t>
  </si>
  <si>
    <t>260   1248</t>
  </si>
  <si>
    <t>540   2982  -1676  -1195   1212</t>
  </si>
  <si>
    <t>015    339</t>
  </si>
  <si>
    <t>13021  19032  15446  22105  13055</t>
  </si>
  <si>
    <t>258  14803</t>
  </si>
  <si>
    <t>43785  38276  28966  38027  48846</t>
  </si>
  <si>
    <t>117   -244</t>
  </si>
  <si>
    <t>0      0    -81      0      0</t>
  </si>
  <si>
    <t>0     51</t>
  </si>
  <si>
    <t>0      0      0      0    -23</t>
  </si>
  <si>
    <t>0    124    720     -8      0</t>
  </si>
  <si>
    <t>295   -256</t>
  </si>
  <si>
    <t>-894      0    101      0      0</t>
  </si>
  <si>
    <t>0      0   -140      0     -2</t>
  </si>
  <si>
    <t>579      0    115    505      0</t>
  </si>
  <si>
    <t>0 -13289</t>
  </si>
  <si>
    <t>0      0      0      0   1023</t>
  </si>
  <si>
    <t>203     66</t>
  </si>
  <si>
    <t>88      0   -654    141   -151</t>
  </si>
  <si>
    <t>23   -149</t>
  </si>
  <si>
    <t>0      0      0      0  -1361</t>
  </si>
  <si>
    <t>0    -34</t>
  </si>
  <si>
    <t>11849    827  -1006    -25   -334</t>
  </si>
  <si>
    <t>0  -1051</t>
  </si>
  <si>
    <t>0  -1231   -241      0      0</t>
  </si>
  <si>
    <t>0    293</t>
  </si>
  <si>
    <t>-930    -45   1220      0      0</t>
  </si>
  <si>
    <t>-1367   3478    581      0 -10023</t>
  </si>
  <si>
    <t>832    356</t>
  </si>
  <si>
    <t>283   -705      0   -216      0</t>
  </si>
  <si>
    <t>0      0     24      0    120</t>
  </si>
  <si>
    <t>0      0  -4788      0  -1328</t>
  </si>
  <si>
    <t>509   -105</t>
  </si>
  <si>
    <t>794      0      0      0    808</t>
  </si>
  <si>
    <t>495   1189</t>
  </si>
  <si>
    <t>89      0      0   -225      0</t>
  </si>
  <si>
    <t>0  -1640</t>
  </si>
  <si>
    <t>-520      0 -15118   -103      0</t>
  </si>
  <si>
    <t>2082    239   -536   -622   -174</t>
  </si>
  <si>
    <t>0   -196      0      0   -594</t>
  </si>
  <si>
    <t>940      0</t>
  </si>
  <si>
    <t>-5925      0   -314   3328    928</t>
  </si>
  <si>
    <t>702   -344</t>
  </si>
  <si>
    <t>-110  -1821      0      0      0</t>
  </si>
  <si>
    <t>1387   -488      0    -46    293</t>
  </si>
  <si>
    <t>20630      0      0      0      0</t>
  </si>
  <si>
    <t>368      0</t>
  </si>
  <si>
    <t>0      0      0      0    209</t>
  </si>
  <si>
    <t>95    -78     41    909   -448</t>
  </si>
  <si>
    <t>342  -1550</t>
  </si>
  <si>
    <t>-111    -25    304    364   -325</t>
  </si>
  <si>
    <t>877    -20</t>
  </si>
  <si>
    <t>549   -196   4888    457   -664</t>
  </si>
  <si>
    <t>296   1658</t>
  </si>
  <si>
    <t>-833   -255    935    936   4199</t>
  </si>
  <si>
    <t>304    224</t>
  </si>
  <si>
    <t>22420  17763  10668  23515  13140</t>
  </si>
  <si>
    <t>582  12791</t>
  </si>
  <si>
    <t>44854  31827  45792  54662  44199</t>
  </si>
  <si>
    <t>008   -198</t>
  </si>
  <si>
    <t>0      0      2      0      0</t>
  </si>
  <si>
    <t>0      0      0      0    598</t>
  </si>
  <si>
    <t>0     88    387    -44      0</t>
  </si>
  <si>
    <t>209   -181</t>
  </si>
  <si>
    <t>-511      0     85      0      0</t>
  </si>
  <si>
    <t>0      0   -112      0      9</t>
  </si>
  <si>
    <t>369      0     24    473      0</t>
  </si>
  <si>
    <t>0  -9373</t>
  </si>
  <si>
    <t>0      0      0      0    577</t>
  </si>
  <si>
    <t>225     91</t>
  </si>
  <si>
    <t>39      0   -277    -95   -157</t>
  </si>
  <si>
    <t>88   -139</t>
  </si>
  <si>
    <t>0      0      0      0   -968</t>
  </si>
  <si>
    <t>0     39</t>
  </si>
  <si>
    <t>-7485    899    103    227    181</t>
  </si>
  <si>
    <t>0    -68    221      0      0</t>
  </si>
  <si>
    <t>0   -240</t>
  </si>
  <si>
    <t>132     -4     88      0      0</t>
  </si>
  <si>
    <t>-987   -319   -139      0  -7454</t>
  </si>
  <si>
    <t>605   -104</t>
  </si>
  <si>
    <t>120   -414      0    239      0</t>
  </si>
  <si>
    <t>0    171</t>
  </si>
  <si>
    <t>0      0     69      0   -385</t>
  </si>
  <si>
    <t>0      0  -4810      0   -670</t>
  </si>
  <si>
    <t>425    330</t>
  </si>
  <si>
    <t>-426      0      0      0    878</t>
  </si>
  <si>
    <t>166   2108</t>
  </si>
  <si>
    <t>-280      0      0   -498      0</t>
  </si>
  <si>
    <t>646      0</t>
  </si>
  <si>
    <t>0  -2357</t>
  </si>
  <si>
    <t>850      0  -8854    272      0</t>
  </si>
  <si>
    <t>-338    169    -39     80    762</t>
  </si>
  <si>
    <t>0     45      0      0     43</t>
  </si>
  <si>
    <t>702      0</t>
  </si>
  <si>
    <t>-2537      0   -607  -1346   -128</t>
  </si>
  <si>
    <t>389    190</t>
  </si>
  <si>
    <t>29    485      0      0      0</t>
  </si>
  <si>
    <t>704    225    194   -144    113</t>
  </si>
  <si>
    <t>14881      0      0      0      0</t>
  </si>
  <si>
    <t>0      0      0      0     91</t>
  </si>
  <si>
    <t>55    -82    -41    -39  -1382</t>
  </si>
  <si>
    <t>232    764</t>
  </si>
  <si>
    <t>-70      4    -30  -1110   -709</t>
  </si>
  <si>
    <t>962   -172</t>
  </si>
  <si>
    <t>-451    541   1296   -321   -507</t>
  </si>
  <si>
    <t>628   1922</t>
  </si>
  <si>
    <t>1367  -2877  -4352   4190    839</t>
  </si>
  <si>
    <t>-1    506</t>
  </si>
  <si>
    <t>13151  17065  18007  11476   9915</t>
  </si>
  <si>
    <t>155  12123</t>
  </si>
  <si>
    <t>34702  27115  31510  37933  33583</t>
  </si>
  <si>
    <t>056  -1124</t>
  </si>
  <si>
    <t>-446      0      0    -15      0</t>
  </si>
  <si>
    <t>-51      0</t>
  </si>
  <si>
    <t>78      0    127    655      5</t>
  </si>
  <si>
    <t>0   -242</t>
  </si>
  <si>
    <t>-333   -857      0    101      0</t>
  </si>
  <si>
    <t>0      0      0    -78      0</t>
  </si>
  <si>
    <t>-6      0</t>
  </si>
  <si>
    <t>0    581      0    106    527</t>
  </si>
  <si>
    <t>-1022      0      0      0      0</t>
  </si>
  <si>
    <t>985    300</t>
  </si>
  <si>
    <t>-303     97      0   -592    158</t>
  </si>
  <si>
    <t>226     79</t>
  </si>
  <si>
    <t>0 -10703   1059    118    145</t>
  </si>
  <si>
    <t>-60      0    -50    104      0</t>
  </si>
  <si>
    <t>88    175     -8   -117      0</t>
  </si>
  <si>
    <t>0  -1616   -226    -67      0</t>
  </si>
  <si>
    <t>068   1110</t>
  </si>
  <si>
    <t>-361   -545  -2226      0   1021</t>
  </si>
  <si>
    <t>870      0      0    247      0</t>
  </si>
  <si>
    <t>342    229</t>
  </si>
  <si>
    <t>0      0      0  -5265      0</t>
  </si>
  <si>
    <t>482   3257</t>
  </si>
  <si>
    <t>46    696      0      0      0</t>
  </si>
  <si>
    <t>775   1676</t>
  </si>
  <si>
    <t>0     31      0      0   -198</t>
  </si>
  <si>
    <t>0    273</t>
  </si>
  <si>
    <t>-2391   -513      0 -15143    -47</t>
  </si>
  <si>
    <t>-118   1005    149   -497   -109</t>
  </si>
  <si>
    <t>-1933      0   -983      0      0</t>
  </si>
  <si>
    <t>934   -978</t>
  </si>
  <si>
    <t>0  -6226      0   -335   2469</t>
  </si>
  <si>
    <t>985   1411</t>
  </si>
  <si>
    <t>350    104   -997      0      0</t>
  </si>
  <si>
    <t>-1015   1102   -752    201   -352</t>
  </si>
  <si>
    <t>139 -19271      0      0      0</t>
  </si>
  <si>
    <t>0    104    -65     11    614</t>
  </si>
  <si>
    <t>615  -1104</t>
  </si>
  <si>
    <t>-233    -55     12    309   -800</t>
  </si>
  <si>
    <t>305  -1196</t>
  </si>
  <si>
    <t>372    217    143   2217     32</t>
  </si>
  <si>
    <t>333    291</t>
  </si>
  <si>
    <t>-1162   -709   -363    685   1209</t>
  </si>
  <si>
    <t>403   -645</t>
  </si>
  <si>
    <t>14462  17110  21685   9871  21447</t>
  </si>
  <si>
    <t>431  13161</t>
  </si>
  <si>
    <t>48315  46028  31503  47700  55598</t>
  </si>
  <si>
    <t>171  51888</t>
  </si>
  <si>
    <t>-113    119   -143      0      0</t>
  </si>
  <si>
    <t>14      0</t>
  </si>
  <si>
    <t>-266      0      0      0      0</t>
  </si>
  <si>
    <t>972      0  -1021      0  -3897</t>
  </si>
  <si>
    <t>226     16</t>
  </si>
  <si>
    <t>104    -31   -265   -456      0</t>
  </si>
  <si>
    <t>108      0</t>
  </si>
  <si>
    <t>0    -65      0      0      0</t>
  </si>
  <si>
    <t>0      0      0     -6      0</t>
  </si>
  <si>
    <t>124    130</t>
  </si>
  <si>
    <t>29339      0     92      0      0</t>
  </si>
  <si>
    <t>0      0    424   -395      0</t>
  </si>
  <si>
    <t>720    141</t>
  </si>
  <si>
    <t>-74    -10      0      0      0</t>
  </si>
  <si>
    <t>775      2      0  -1346 -33741</t>
  </si>
  <si>
    <t>115    -60</t>
  </si>
  <si>
    <t>-1827  -1366    129      0     13</t>
  </si>
  <si>
    <t>-62      0</t>
  </si>
  <si>
    <t>-113      0    -62    188    -13</t>
  </si>
  <si>
    <t>0   1138      0   8608    146</t>
  </si>
  <si>
    <t>-150    208    -83   -288    224</t>
  </si>
  <si>
    <t>0    215</t>
  </si>
  <si>
    <t>240      0    127      0      0</t>
  </si>
  <si>
    <t>0   -665 -35049    368      0</t>
  </si>
  <si>
    <t>-883   -847      0    508      0</t>
  </si>
  <si>
    <t>0     23</t>
  </si>
  <si>
    <t>-1015      0      0      0      0</t>
  </si>
  <si>
    <t>0   3030  -1658   -476      0</t>
  </si>
  <si>
    <t>121 -32738</t>
  </si>
  <si>
    <t>0      0  -2911  -1032   -436</t>
  </si>
  <si>
    <t>435   -191</t>
  </si>
  <si>
    <t>0      0  -1640      0  -1029</t>
  </si>
  <si>
    <t>0      0      0    125      0</t>
  </si>
  <si>
    <t>801  -1453</t>
  </si>
  <si>
    <t>-9   -106    -27   -162    580</t>
  </si>
  <si>
    <t>0      0   -178   -243    355</t>
  </si>
  <si>
    <t>-81    466</t>
  </si>
  <si>
    <t>22      0    397    -71      0</t>
  </si>
  <si>
    <t>-235   1116      0      0      0</t>
  </si>
  <si>
    <t>0      0      0   2086  -2449</t>
  </si>
  <si>
    <t>641  -9244</t>
  </si>
  <si>
    <t>7083   -595    785  -2292    -96</t>
  </si>
  <si>
    <t>018  -1110</t>
  </si>
  <si>
    <t>0   1403    423    372  -1338</t>
  </si>
  <si>
    <t>975     10</t>
  </si>
  <si>
    <t>227    163  -1319    836     33</t>
  </si>
  <si>
    <t>13  -1102</t>
  </si>
  <si>
    <t>-729    472     -4    -92   -114</t>
  </si>
  <si>
    <t>159   -401</t>
  </si>
  <si>
    <t>-669    567    269    235    195</t>
  </si>
  <si>
    <t>481    526</t>
  </si>
  <si>
    <t>450   -404 -38203   -111    120</t>
  </si>
  <si>
    <t>0      0    -13     11      0</t>
  </si>
  <si>
    <t>-291      0      0   -245      0</t>
  </si>
  <si>
    <t>0    223 -28777     24    -64</t>
  </si>
  <si>
    <t>188   -615</t>
  </si>
  <si>
    <t>0      0      0      0    258</t>
  </si>
  <si>
    <t>0   -151</t>
  </si>
  <si>
    <t>0      0   -676 -32507      0</t>
  </si>
  <si>
    <t>-1181   -275    -80      0      0</t>
  </si>
  <si>
    <t>504     72</t>
  </si>
  <si>
    <t>176   -250    491    495    497</t>
  </si>
  <si>
    <t>452      0   1453    395   -440</t>
  </si>
  <si>
    <t>0  -1971</t>
  </si>
  <si>
    <t>1522      0    800   1746     21</t>
  </si>
  <si>
    <t>0      0    388    867      0</t>
  </si>
  <si>
    <t>729   -479</t>
  </si>
  <si>
    <t>0      0      0      0   1303</t>
  </si>
  <si>
    <t>0  11322</t>
  </si>
  <si>
    <t>-1676 -39560     45   -219    373</t>
  </si>
  <si>
    <t>102   -421</t>
  </si>
  <si>
    <t>0      0     -4    272      0</t>
  </si>
  <si>
    <t>65     60   -128      0      0</t>
  </si>
  <si>
    <t>9826    444    123      0   -856</t>
  </si>
  <si>
    <t>650    421</t>
  </si>
  <si>
    <t>1317   1002    349  -1055  -1009</t>
  </si>
  <si>
    <t>0    712</t>
  </si>
  <si>
    <t>0   -647      0   -990      0</t>
  </si>
  <si>
    <t>0      0    633      0   3635</t>
  </si>
  <si>
    <t>888   -517</t>
  </si>
  <si>
    <t>139   -976</t>
  </si>
  <si>
    <t>-164      0      0      0      0</t>
  </si>
  <si>
    <t>926      0</t>
  </si>
  <si>
    <t>232    339      0      0      0</t>
  </si>
  <si>
    <t>-607    509   -127   -273   -374</t>
  </si>
  <si>
    <t>100   -197</t>
  </si>
  <si>
    <t>2      0      0     -8      0</t>
  </si>
  <si>
    <t>467    228</t>
  </si>
  <si>
    <t>0  -1805      0   -347     42</t>
  </si>
  <si>
    <t>-2112      0      0      0      0</t>
  </si>
  <si>
    <t>0    549</t>
  </si>
  <si>
    <t>13932  -4750  -6820   9341   -933</t>
  </si>
  <si>
    <t>862   2450</t>
  </si>
  <si>
    <t>-16   -879    850      0   -629</t>
  </si>
  <si>
    <t>181   -361</t>
  </si>
  <si>
    <t>-338  -2157   -424    656   -132</t>
  </si>
  <si>
    <t>980   -388</t>
  </si>
  <si>
    <t>-655    314   -657  -1366   -793</t>
  </si>
  <si>
    <t>125    421</t>
  </si>
  <si>
    <t>-116   -155     87   -640    857</t>
  </si>
  <si>
    <t>195    238</t>
  </si>
  <si>
    <t>416    353    336    485  44799</t>
  </si>
  <si>
    <t>237 -38454</t>
  </si>
  <si>
    <t>0      0      1      0      0</t>
  </si>
  <si>
    <t>0      0      0      0   -294</t>
  </si>
  <si>
    <t>0    105    599    139      0</t>
  </si>
  <si>
    <t>366 -28820</t>
  </si>
  <si>
    <t>-670      0     56      0      0</t>
  </si>
  <si>
    <t>0      0   -127      0    -84</t>
  </si>
  <si>
    <t>-220      0   -115     72      0</t>
  </si>
  <si>
    <t>0   -717</t>
  </si>
  <si>
    <t>0      0      0      0  -1202</t>
  </si>
  <si>
    <t>298    -75</t>
  </si>
  <si>
    <t>94      0    205    -76    156</t>
  </si>
  <si>
    <t>173    522</t>
  </si>
  <si>
    <t>0   1557</t>
  </si>
  <si>
    <t>-1722 -40602    142    -42    474</t>
  </si>
  <si>
    <t>0   -274</t>
  </si>
  <si>
    <t>0     36     83      0      0</t>
  </si>
  <si>
    <t>230     18    -94      0      0</t>
  </si>
  <si>
    <t>10705    228     96      0  -2548</t>
  </si>
  <si>
    <t>781    573</t>
  </si>
  <si>
    <t>-195   3319      0    161      0</t>
  </si>
  <si>
    <t>0   -204</t>
  </si>
  <si>
    <t>0      0    140      0  -1029</t>
  </si>
  <si>
    <t>385   -588</t>
  </si>
  <si>
    <t>0      0   2115      0   9442</t>
  </si>
  <si>
    <t>743    224</t>
  </si>
  <si>
    <t>441      0      0      0   1050</t>
  </si>
  <si>
    <t>961    451</t>
  </si>
  <si>
    <t>706      0      0     60      0</t>
  </si>
  <si>
    <t>0    800</t>
  </si>
  <si>
    <t>-520      0   -358 -39328      0</t>
  </si>
  <si>
    <t>0  -1268      0      0    219</t>
  </si>
  <si>
    <t>345      0   7144  -1646   -693</t>
  </si>
  <si>
    <t>361   -173</t>
  </si>
  <si>
    <t>-272     -8      0      0      0</t>
  </si>
  <si>
    <t>-84    467   -111    451     93</t>
  </si>
  <si>
    <t>-14      0      0      0      0</t>
  </si>
  <si>
    <t>0      0      0      0  -2132</t>
  </si>
  <si>
    <t>840     35   -606  -3564  -3964</t>
  </si>
  <si>
    <t>254  -6522</t>
  </si>
  <si>
    <t>2610    182  -1135   -681  -3905</t>
  </si>
  <si>
    <t>631    801</t>
  </si>
  <si>
    <t>818  -2227   -251    176   1222</t>
  </si>
  <si>
    <t>666   -139</t>
  </si>
  <si>
    <t>-111     85    740  -1181   -305</t>
  </si>
  <si>
    <t>160    935</t>
  </si>
  <si>
    <t>-58    210   -162   -283   -136</t>
  </si>
  <si>
    <t>814   -338</t>
  </si>
  <si>
    <t>165    135    491    472    323</t>
  </si>
  <si>
    <t>370    314</t>
  </si>
  <si>
    <t>-46 -34776    -65     -8     44</t>
  </si>
  <si>
    <t>0    133    -33      0      0</t>
  </si>
  <si>
    <t>0      0   -416      0    341</t>
  </si>
  <si>
    <t>329 -27117    -39   -130   -370</t>
  </si>
  <si>
    <t>0      0      0    169      0</t>
  </si>
  <si>
    <t>0   -748 -30607      0    -57</t>
  </si>
  <si>
    <t>-275    -74      0      0    452</t>
  </si>
  <si>
    <t>71      0</t>
  </si>
  <si>
    <t>-247    426    456    441      0</t>
  </si>
  <si>
    <t>0   1327    403   -370      0</t>
  </si>
  <si>
    <t>581 -38033</t>
  </si>
  <si>
    <t>0   -124  -1267  -1510    143</t>
  </si>
  <si>
    <t>0    -25      2      0     39</t>
  </si>
  <si>
    <t>81    -69</t>
  </si>
  <si>
    <t>0      0      0   1161      0</t>
  </si>
  <si>
    <t>627    268</t>
  </si>
  <si>
    <t>37278     83   -196    412    -96</t>
  </si>
  <si>
    <t>404    955</t>
  </si>
  <si>
    <t>0     45    239      0     81</t>
  </si>
  <si>
    <t>4   -135      0      0      0</t>
  </si>
  <si>
    <t>467    109      0  -1167 -41174</t>
  </si>
  <si>
    <t>4208   1808  -1109   -959      0</t>
  </si>
  <si>
    <t>355      0   -370      0      0</t>
  </si>
  <si>
    <t>0    808      0   4534  -1613</t>
  </si>
  <si>
    <t>0      0      0      0  -1985</t>
  </si>
  <si>
    <t>011   -433</t>
  </si>
  <si>
    <t>0      0      0      0  -1902</t>
  </si>
  <si>
    <t>0  -1249</t>
  </si>
  <si>
    <t>174      0      0      0      0</t>
  </si>
  <si>
    <t>26      0</t>
  </si>
  <si>
    <t>1049     35    159    -58     38</t>
  </si>
  <si>
    <t>302   -130</t>
  </si>
  <si>
    <t>0      0      0      0   -176</t>
  </si>
  <si>
    <t>-94    317</t>
  </si>
  <si>
    <t>0      0     82      0    430</t>
  </si>
  <si>
    <t>70      0</t>
  </si>
  <si>
    <t>-1823      0   -276   -513      0</t>
  </si>
  <si>
    <t>390  -1652</t>
  </si>
  <si>
    <t>-5333 -17077   9051   -883    951</t>
  </si>
  <si>
    <t>611    281</t>
  </si>
  <si>
    <t>-5015     22      0   -904   -640</t>
  </si>
  <si>
    <t>629  -1863</t>
  </si>
  <si>
    <t>688   -584</t>
  </si>
  <si>
    <t>-923   -829    104   -276    -69</t>
  </si>
  <si>
    <t>166   -174</t>
  </si>
  <si>
    <t>604     85  -1715    787    393</t>
  </si>
  <si>
    <t>415    145</t>
  </si>
  <si>
    <t>497    482    579  41037  48467</t>
  </si>
  <si>
    <t>133   -837</t>
  </si>
  <si>
    <t>-847      0      0   -468      0</t>
  </si>
  <si>
    <t>283      0    105   1004    109</t>
  </si>
  <si>
    <t>0    298</t>
  </si>
  <si>
    <t>-267   -513      0     84      0</t>
  </si>
  <si>
    <t>0      0      0    -72      0</t>
  </si>
  <si>
    <t>0    -84      0    -15     94</t>
  </si>
  <si>
    <t>985   -214</t>
  </si>
  <si>
    <t>393     30      0     74    -87</t>
  </si>
  <si>
    <t>150   -161</t>
  </si>
  <si>
    <t>550      0</t>
  </si>
  <si>
    <t>0   -890 -34179    342     59</t>
  </si>
  <si>
    <t>275      0</t>
  </si>
  <si>
    <t>114      0     34   -225      0</t>
  </si>
  <si>
    <t>-133    120      7   -127      0</t>
  </si>
  <si>
    <t>0   7909    135    125      0</t>
  </si>
  <si>
    <t>996 -33551</t>
  </si>
  <si>
    <t>-64   -149    603      0    190</t>
  </si>
  <si>
    <t>51      0      0    -68      0</t>
  </si>
  <si>
    <t>31     66</t>
  </si>
  <si>
    <t>0      0      0    875      0</t>
  </si>
  <si>
    <t>481    316</t>
  </si>
  <si>
    <t>35686    243      0      0      0</t>
  </si>
  <si>
    <t>411    868</t>
  </si>
  <si>
    <t>0    436      0      0    -26</t>
  </si>
  <si>
    <t>0   -749</t>
  </si>
  <si>
    <t>-1648   -391      0  -1045 -33972</t>
  </si>
  <si>
    <t>1415   1050   -865   -634   -668</t>
  </si>
  <si>
    <t>630      0</t>
  </si>
  <si>
    <t>-1408      0   -641      0      0</t>
  </si>
  <si>
    <t>307    996</t>
  </si>
  <si>
    <t>0   1555      0   3444   -828</t>
  </si>
  <si>
    <t>311  -6503</t>
  </si>
  <si>
    <t>-610   -440   -638      0      0</t>
  </si>
  <si>
    <t>76    -24    529     12    426</t>
  </si>
  <si>
    <t>153    450      0      0      0</t>
  </si>
  <si>
    <t>0   1159</t>
  </si>
  <si>
    <t>0    833   -358    -22  -2074</t>
  </si>
  <si>
    <t>949  -3265</t>
  </si>
  <si>
    <t>830   -501   -165  -2176  -1513</t>
  </si>
  <si>
    <t>712  -1218</t>
  </si>
  <si>
    <t>750  -3221</t>
  </si>
  <si>
    <t>646  -1928</t>
  </si>
  <si>
    <t>-274   -298   -326   -312   1663</t>
  </si>
  <si>
    <t>-15    520</t>
  </si>
  <si>
    <t>41     29     -2    129    351</t>
  </si>
  <si>
    <t>189    137</t>
  </si>
  <si>
    <t>43052  43013  34747    142 -15403</t>
  </si>
  <si>
    <t>-5    140</t>
  </si>
  <si>
    <t>77      0      0      0    -15</t>
  </si>
  <si>
    <t>0      0    -18      0      0</t>
  </si>
  <si>
    <t>-149    -45      0   -678 -16248</t>
  </si>
  <si>
    <t>112    399</t>
  </si>
  <si>
    <t>201      0      0      0      0</t>
  </si>
  <si>
    <t>0   -936</t>
  </si>
  <si>
    <t>698      0    324      0      0</t>
  </si>
  <si>
    <t>-1164    560      0      0  -1192</t>
  </si>
  <si>
    <t>0      0  -1798   -243    -70</t>
  </si>
  <si>
    <t>882    621    524    928  -2640</t>
  </si>
  <si>
    <t>103   1039</t>
  </si>
  <si>
    <t>0      0   1144      0    287</t>
  </si>
  <si>
    <t>636   -599</t>
  </si>
  <si>
    <t>64     72    445      0   1554</t>
  </si>
  <si>
    <t>368   -374</t>
  </si>
  <si>
    <t>-60      0      0      0   -138</t>
  </si>
  <si>
    <t>-90      0      0      0      0</t>
  </si>
  <si>
    <t>0    594</t>
  </si>
  <si>
    <t>60      0   -856 -17778   -135</t>
  </si>
  <si>
    <t>137    189</t>
  </si>
  <si>
    <t>0     99      0      0   -120</t>
  </si>
  <si>
    <t>-89      0    -31    -15     25</t>
  </si>
  <si>
    <t>728      0   3642    144    128</t>
  </si>
  <si>
    <t>0   -394</t>
  </si>
  <si>
    <t>0      0   2214   1467    334</t>
  </si>
  <si>
    <t>458   -480</t>
  </si>
  <si>
    <t>0     50      0   -189      0</t>
  </si>
  <si>
    <t>0      0      0      0    391</t>
  </si>
  <si>
    <t>0   1383</t>
  </si>
  <si>
    <t>244 -18067      0      0      0</t>
  </si>
  <si>
    <t>-228     13   -193      0      0</t>
  </si>
  <si>
    <t>0      0      3      5      0</t>
  </si>
  <si>
    <t>2906   -883    -58    665     27</t>
  </si>
  <si>
    <t>7   -194</t>
  </si>
  <si>
    <t>-118    -38    289      0      0</t>
  </si>
  <si>
    <t>0      0      0  -1184      0</t>
  </si>
  <si>
    <t>962   -657</t>
  </si>
  <si>
    <t>0      0   -818      0      0</t>
  </si>
  <si>
    <t>192   -491</t>
  </si>
  <si>
    <t>-8859  -2838  -2931  -1555   7054</t>
  </si>
  <si>
    <t>238   -107   -341  -1320    124</t>
  </si>
  <si>
    <t>284   -162</t>
  </si>
  <si>
    <t>-365   -746    362   -550   -570</t>
  </si>
  <si>
    <t>777    285</t>
  </si>
  <si>
    <t>-16   -298    443   -366   -528</t>
  </si>
  <si>
    <t>937    617</t>
  </si>
  <si>
    <t>346    297    181    171    185</t>
  </si>
  <si>
    <t>211  20330</t>
  </si>
  <si>
    <t>17828    388 -18875    183     36</t>
  </si>
  <si>
    <t>0      0      1    -17      0</t>
  </si>
  <si>
    <t>13      0      0    330      0</t>
  </si>
  <si>
    <t>352      0</t>
  </si>
  <si>
    <t>0   -705 -28991     29   -530</t>
  </si>
  <si>
    <t>359   -189</t>
  </si>
  <si>
    <t>0      0      0      0    208</t>
  </si>
  <si>
    <t>-288      0      0      0      0</t>
  </si>
  <si>
    <t>0      0   -714 -18444      0</t>
  </si>
  <si>
    <t>558      0</t>
  </si>
  <si>
    <t>-1735   -161    -17      0      0</t>
  </si>
  <si>
    <t>131    -15</t>
  </si>
  <si>
    <t>65   -283   -388    -13   -412</t>
  </si>
  <si>
    <t>840      0   1187     73    143</t>
  </si>
  <si>
    <t>0   -402</t>
  </si>
  <si>
    <t>-683      0  -5886  -1657  -2543</t>
  </si>
  <si>
    <t>379      0</t>
  </si>
  <si>
    <t>0      0    517   -427      0</t>
  </si>
  <si>
    <t>362  -4592</t>
  </si>
  <si>
    <t>0      0      0      0    690</t>
  </si>
  <si>
    <t>0   5162</t>
  </si>
  <si>
    <t>-990 -21699   -125   -108    327</t>
  </si>
  <si>
    <t>294   1705</t>
  </si>
  <si>
    <t>0      0    -72    153      0</t>
  </si>
  <si>
    <t>285     96   -268      0      0</t>
  </si>
  <si>
    <t>4582    162    109      0   -515</t>
  </si>
  <si>
    <t>981    198</t>
  </si>
  <si>
    <t>2256   2276    533   -550   -553</t>
  </si>
  <si>
    <t>0    251</t>
  </si>
  <si>
    <t>0   -475      0   -742      0</t>
  </si>
  <si>
    <t>0      0    508      0   1666</t>
  </si>
  <si>
    <t>075   -276</t>
  </si>
  <si>
    <t>085   -975</t>
  </si>
  <si>
    <t>-317      0      0      0      0</t>
  </si>
  <si>
    <t>266      0</t>
  </si>
  <si>
    <t>230    259      0      0      0</t>
  </si>
  <si>
    <t>0    -99</t>
  </si>
  <si>
    <t>-375    542   -450    100    -70</t>
  </si>
  <si>
    <t>410   1538</t>
  </si>
  <si>
    <t>193   -170</t>
  </si>
  <si>
    <t>1035      0      0      9      0</t>
  </si>
  <si>
    <t>291   -274</t>
  </si>
  <si>
    <t>0  -1237      0  -4112  -2198</t>
  </si>
  <si>
    <t>-1060      0      0      0      0</t>
  </si>
  <si>
    <t>0    524</t>
  </si>
  <si>
    <t>-4911  -1795  -3496   2937   -563</t>
  </si>
  <si>
    <t>509   -609</t>
  </si>
  <si>
    <t>-1363  -2039   6234      0   -756</t>
  </si>
  <si>
    <t>249   -464</t>
  </si>
  <si>
    <t>-502  -1311   -339     90   -150</t>
  </si>
  <si>
    <t>131   -281</t>
  </si>
  <si>
    <t>-408    134   -645   -803  -1058</t>
  </si>
  <si>
    <t>22   -316</t>
  </si>
  <si>
    <t>-339   1519  -1100  -1490     87</t>
  </si>
  <si>
    <t>102     80</t>
  </si>
  <si>
    <t>235    308    185    198  22687</t>
  </si>
  <si>
    <t>097  27229</t>
  </si>
  <si>
    <t>467 -15057     36   -534    500</t>
  </si>
  <si>
    <t>0     19    -12      0      0</t>
  </si>
  <si>
    <t>0      0    111      0   -130</t>
  </si>
  <si>
    <t>0    -56</t>
  </si>
  <si>
    <t>-478 -22443   -858   -353     97</t>
  </si>
  <si>
    <t>0      0      0     80      0</t>
  </si>
  <si>
    <t>0   -396 -15005      0   -209</t>
  </si>
  <si>
    <t>-148    -30      0      0    142</t>
  </si>
  <si>
    <t>-150   -178     82   -138      0</t>
  </si>
  <si>
    <t>0    808     92    -11      0</t>
  </si>
  <si>
    <t>744 -17996</t>
  </si>
  <si>
    <t>0   1160    407   -461     85</t>
  </si>
  <si>
    <t>0    -35    -48      0    -64</t>
  </si>
  <si>
    <t>253      3</t>
  </si>
  <si>
    <t>0      0      0    636      0</t>
  </si>
  <si>
    <t>855     89</t>
  </si>
  <si>
    <t>17775    320  -1634  -1569  -6694</t>
  </si>
  <si>
    <t>714  -1878</t>
  </si>
  <si>
    <t>0  -1055    250      0     -3</t>
  </si>
  <si>
    <t>107   1047      0      0      0</t>
  </si>
  <si>
    <t>426   -495      0   -368 -18872</t>
  </si>
  <si>
    <t>1505    448   -521   -476      0</t>
  </si>
  <si>
    <t>-328      0   -521      0      0</t>
  </si>
  <si>
    <t>0    408      0   1226   -864</t>
  </si>
  <si>
    <t>225      0</t>
  </si>
  <si>
    <t>0      0      0      0  -1410</t>
  </si>
  <si>
    <t>781   -330</t>
  </si>
  <si>
    <t>0      0      0      0   -961</t>
  </si>
  <si>
    <t>0   -614</t>
  </si>
  <si>
    <t>203      0</t>
  </si>
  <si>
    <t>715   -163    260    150   2235</t>
  </si>
  <si>
    <t>347    362</t>
  </si>
  <si>
    <t>0      0      0      0    -76</t>
  </si>
  <si>
    <t>-15    288</t>
  </si>
  <si>
    <t>0      0     70      0    253</t>
  </si>
  <si>
    <t>525      0</t>
  </si>
  <si>
    <t>-713      0  -1570   -376      0</t>
  </si>
  <si>
    <t>553   -226</t>
  </si>
  <si>
    <t>-4703  -2570   2614   -458    -48</t>
  </si>
  <si>
    <t>579   4650</t>
  </si>
  <si>
    <t>-1936   5025      0   -398    -95</t>
  </si>
  <si>
    <t>513  -1045</t>
  </si>
  <si>
    <t>149    -63</t>
  </si>
  <si>
    <t>-223    482   -394  -1050    240</t>
  </si>
  <si>
    <t>466   -359</t>
  </si>
  <si>
    <t>-897   2169  -1322    -98     44</t>
  </si>
  <si>
    <t>42     14</t>
  </si>
  <si>
    <t>92    153    270  18156  21617</t>
  </si>
  <si>
    <t>337  20246</t>
  </si>
  <si>
    <t>209 -20431   -274     43    458</t>
  </si>
  <si>
    <t>0     71      9      0      0</t>
  </si>
  <si>
    <t>0      0    118      0   -142</t>
  </si>
  <si>
    <t>0     55</t>
  </si>
  <si>
    <t>392      0</t>
  </si>
  <si>
    <t>0      0      0    -36      0</t>
  </si>
  <si>
    <t>168      0</t>
  </si>
  <si>
    <t>0   -491 -20240      0   -258</t>
  </si>
  <si>
    <t>-71      7      0      0    179</t>
  </si>
  <si>
    <t>-113   -140    112    -17      0</t>
  </si>
  <si>
    <t>0    778    158     11      0</t>
  </si>
  <si>
    <t>918 -24570</t>
  </si>
  <si>
    <t>0   1014    -44   -468    198</t>
  </si>
  <si>
    <t>0     37</t>
  </si>
  <si>
    <t>0    -54    -17      0    -48</t>
  </si>
  <si>
    <t>0      0      0    779      0</t>
  </si>
  <si>
    <t>341    123</t>
  </si>
  <si>
    <t>23923    -31   -139    314     47</t>
  </si>
  <si>
    <t>860   1121</t>
  </si>
  <si>
    <t>0    -68    157      0     74</t>
  </si>
  <si>
    <t>-8   -155      0      0      0</t>
  </si>
  <si>
    <t>236    155      0    304 -26294</t>
  </si>
  <si>
    <t>109      0</t>
  </si>
  <si>
    <t>-1320  -1546  -2034  -1003      0</t>
  </si>
  <si>
    <t>-846      0     54      0      0</t>
  </si>
  <si>
    <t>0    219      0   1592   -571</t>
  </si>
  <si>
    <t>047      0</t>
  </si>
  <si>
    <t>0      0      0      0  -1542</t>
  </si>
  <si>
    <t>726   -288</t>
  </si>
  <si>
    <t>0      0      0      0  -1305</t>
  </si>
  <si>
    <t>0   -862</t>
  </si>
  <si>
    <t>30      0      0      0      0</t>
  </si>
  <si>
    <t>-76      0</t>
  </si>
  <si>
    <t>1113   -204      9   -151    325</t>
  </si>
  <si>
    <t>341    159</t>
  </si>
  <si>
    <t>-51    348</t>
  </si>
  <si>
    <t>0      0     -5      0    294</t>
  </si>
  <si>
    <t>181      0</t>
  </si>
  <si>
    <t>-1268      0  -2349    342      0</t>
  </si>
  <si>
    <t>555   -208</t>
  </si>
  <si>
    <t>-2359  -6843   3317   -504   -155</t>
  </si>
  <si>
    <t>470   5639</t>
  </si>
  <si>
    <t>11760   5210      0   -476   -294</t>
  </si>
  <si>
    <t>421   -895</t>
  </si>
  <si>
    <t>280   -398</t>
  </si>
  <si>
    <t>139     86</t>
  </si>
  <si>
    <t>-540   -815   1520     89     66</t>
  </si>
  <si>
    <t>106     45</t>
  </si>
  <si>
    <t>164     79    189  24461  29575</t>
  </si>
  <si>
    <t>640  31279</t>
  </si>
  <si>
    <t>15573    489 -22088   -227   -185</t>
  </si>
  <si>
    <t>0      0     26     88      0</t>
  </si>
  <si>
    <t>-163      0      0    481      0</t>
  </si>
  <si>
    <t>495      0</t>
  </si>
  <si>
    <t>0     67 -29507   -556   -446</t>
  </si>
  <si>
    <t>291  -1065</t>
  </si>
  <si>
    <t>0      0      0      0    -84</t>
  </si>
  <si>
    <t>208      0      0      0      0</t>
  </si>
  <si>
    <t>0      0  -1041 -22312      0</t>
  </si>
  <si>
    <t>885      0</t>
  </si>
  <si>
    <t>-2941   -273    -38      0      0</t>
  </si>
  <si>
    <t>45    -22</t>
  </si>
  <si>
    <t>1   -564   -864   -361   -902</t>
  </si>
  <si>
    <t>1310      0   2011     35    545</t>
  </si>
  <si>
    <t>0   -867</t>
  </si>
  <si>
    <t>146      0   2749   2442   -544</t>
  </si>
  <si>
    <t>72      0</t>
  </si>
  <si>
    <t>0      0    -84   -139      0</t>
  </si>
  <si>
    <t>0      0      0      0    750</t>
  </si>
  <si>
    <t>0   5695</t>
  </si>
  <si>
    <t>420   2450</t>
  </si>
  <si>
    <t>0      0   -499    194      0</t>
  </si>
  <si>
    <t>96      0</t>
  </si>
  <si>
    <t>-24     57   -126      0      0</t>
  </si>
  <si>
    <t>4587    222    204      0   -581</t>
  </si>
  <si>
    <t>879    225</t>
  </si>
  <si>
    <t>3784   3991    530   -535   -536</t>
  </si>
  <si>
    <t>0   -614      0   -781      0</t>
  </si>
  <si>
    <t>0      0    547      0   1959</t>
  </si>
  <si>
    <t>142   -179</t>
  </si>
  <si>
    <t>142  -1802</t>
  </si>
  <si>
    <t>-1519      0      0      0      0</t>
  </si>
  <si>
    <t>785      0</t>
  </si>
  <si>
    <t>2136   -110      0      0      0</t>
  </si>
  <si>
    <t>-2168   4391    662    614    300</t>
  </si>
  <si>
    <t>063   -337</t>
  </si>
  <si>
    <t>351    -48</t>
  </si>
  <si>
    <t>309      0      0     65      0</t>
  </si>
  <si>
    <t>398   -366</t>
  </si>
  <si>
    <t>0   -192      0  -8341  -7682</t>
  </si>
  <si>
    <t>-383      0      0      0      0</t>
  </si>
  <si>
    <t>0    683</t>
  </si>
  <si>
    <t>-1849  -2057  -3709   1048   -631</t>
  </si>
  <si>
    <t>569   -150</t>
  </si>
  <si>
    <t>-913   -490   2362      0  -1808</t>
  </si>
  <si>
    <t>342  -1352</t>
  </si>
  <si>
    <t>240   -870</t>
  </si>
  <si>
    <t>190    254</t>
  </si>
  <si>
    <t>-64  -1018  -1130  -1896   1308</t>
  </si>
  <si>
    <t>9     40</t>
  </si>
  <si>
    <t>141     73    176    106  25567</t>
  </si>
  <si>
    <t>107  31212</t>
  </si>
  <si>
    <t>23093  18427  12951    328 -30849</t>
  </si>
  <si>
    <t>261    -60</t>
  </si>
  <si>
    <t>-15      0      0      0    199</t>
  </si>
  <si>
    <t>250      0</t>
  </si>
  <si>
    <t>0      0    -74      0      0</t>
  </si>
  <si>
    <t>-3      5      0     34 -26256</t>
  </si>
  <si>
    <t>91      0      0      0      0</t>
  </si>
  <si>
    <t>110      0    102      0      0</t>
  </si>
  <si>
    <t>-151    282      0      0   1348</t>
  </si>
  <si>
    <t>963      0</t>
  </si>
  <si>
    <t>0      0    696     13     71</t>
  </si>
  <si>
    <t>1272   1266    129   2146    471</t>
  </si>
  <si>
    <t>840   -891</t>
  </si>
  <si>
    <t>0      0  -1204      0   2845</t>
  </si>
  <si>
    <t>579   1664</t>
  </si>
  <si>
    <t>-774   -400    236      0   -690</t>
  </si>
  <si>
    <t>722  -2000</t>
  </si>
  <si>
    <t>813      0      0      0  -2736</t>
  </si>
  <si>
    <t>1523      0      0      0      0</t>
  </si>
  <si>
    <t>0   -217</t>
  </si>
  <si>
    <t>794      0   -539 -41325     19</t>
  </si>
  <si>
    <t>-53    331</t>
  </si>
  <si>
    <t>0     59      0      0     23</t>
  </si>
  <si>
    <t>-41      0</t>
  </si>
  <si>
    <t>11      0   -228   -141   -409</t>
  </si>
  <si>
    <t>201      0     43     93   -118</t>
  </si>
  <si>
    <t>0   -252</t>
  </si>
  <si>
    <t>0      0   2881   3594   2304</t>
  </si>
  <si>
    <t>364  -1267</t>
  </si>
  <si>
    <t>0     77      0   -719      0</t>
  </si>
  <si>
    <t>0      0      0      0    177</t>
  </si>
  <si>
    <t>0  -2739</t>
  </si>
  <si>
    <t>1043 -41350      0      0      0</t>
  </si>
  <si>
    <t>-729    -88      0      0      0</t>
  </si>
  <si>
    <t>0      0    178      9      0</t>
  </si>
  <si>
    <t>-314  -2544   -771   2549    581</t>
  </si>
  <si>
    <t>379    160</t>
  </si>
  <si>
    <t>-208   1305   -177      0      0</t>
  </si>
  <si>
    <t>0      0      0  -1130      0</t>
  </si>
  <si>
    <t>119  -2461</t>
  </si>
  <si>
    <t>0      0  -1750      0      0</t>
  </si>
  <si>
    <t>46   5477  -4479    740  -3177</t>
  </si>
  <si>
    <t>008    -82</t>
  </si>
  <si>
    <t>7120  -2547   2200   1500  -1924</t>
  </si>
  <si>
    <t>0    606</t>
  </si>
  <si>
    <t>-598   3190    268  -1840    237</t>
  </si>
  <si>
    <t>655    257</t>
  </si>
  <si>
    <t>345  -1327   2378   4058   -263</t>
  </si>
  <si>
    <t>837   -666</t>
  </si>
  <si>
    <t>204   -913   -459    438    -29</t>
  </si>
  <si>
    <t>744   1287</t>
  </si>
  <si>
    <t>558    138    -25     68     43</t>
  </si>
  <si>
    <t>-3  33244</t>
  </si>
  <si>
    <t>33630  18092  23723  17622  24683</t>
  </si>
  <si>
    <t>905    251</t>
  </si>
  <si>
    <t>154      0      0      6      0</t>
  </si>
  <si>
    <t>-162      0   -240      2    -32</t>
  </si>
  <si>
    <t>-260   -353      0     83      0</t>
  </si>
  <si>
    <t>0      0      0    148      0</t>
  </si>
  <si>
    <t>0     64      0    -28    275</t>
  </si>
  <si>
    <t>-370      0      0      0      0</t>
  </si>
  <si>
    <t>533    118</t>
  </si>
  <si>
    <t>-624   -108      0    197    -67</t>
  </si>
  <si>
    <t>118     69</t>
  </si>
  <si>
    <t>0   -388 -42209    -11    -73</t>
  </si>
  <si>
    <t>-24      0    -19     14      0</t>
  </si>
  <si>
    <t>74   -248   -214   -600      0</t>
  </si>
  <si>
    <t>0    412     27   -155      0</t>
  </si>
  <si>
    <t>905 -42781</t>
  </si>
  <si>
    <t>-303    153    682      0    557</t>
  </si>
  <si>
    <t>3061      0      0  -1349      0</t>
  </si>
  <si>
    <t>268    818</t>
  </si>
  <si>
    <t>0      0      0   -160      0</t>
  </si>
  <si>
    <t>15   1214</t>
  </si>
  <si>
    <t>49283    515      0      0      0</t>
  </si>
  <si>
    <t>179   3052</t>
  </si>
  <si>
    <t>0    316      0      0     21</t>
  </si>
  <si>
    <t>0   -974</t>
  </si>
  <si>
    <t>-2868  -1009      0   1130 -41423</t>
  </si>
  <si>
    <t>-22      0</t>
  </si>
  <si>
    <t>-2582      0  -1605      0      0</t>
  </si>
  <si>
    <t>0  -1286      0    -84  -2528</t>
  </si>
  <si>
    <t>896   2457</t>
  </si>
  <si>
    <t>285   -415    274      0      0</t>
  </si>
  <si>
    <t>-1037   -344    659   -198    421</t>
  </si>
  <si>
    <t>224    -23      0      0      0</t>
  </si>
  <si>
    <t>0  -1644</t>
  </si>
  <si>
    <t>0    378     62    -54   4137</t>
  </si>
  <si>
    <t>444  -4950</t>
  </si>
  <si>
    <t>-1    707    204   7358   2116</t>
  </si>
  <si>
    <t>172   1452</t>
  </si>
  <si>
    <t>4362 -15121   -401    868    134</t>
  </si>
  <si>
    <t>744  -1696</t>
  </si>
  <si>
    <t>-1436   -258    438   1976  -1354</t>
  </si>
  <si>
    <t>286   -220</t>
  </si>
  <si>
    <t>-354    234    626    272   -814</t>
  </si>
  <si>
    <t>964     74</t>
  </si>
  <si>
    <t>763   2075    941    972    -53</t>
  </si>
  <si>
    <t>39759  43012  37098  33701  19604</t>
  </si>
  <si>
    <t>704  19341</t>
  </si>
  <si>
    <t>408 -30221     73    -49    211</t>
  </si>
  <si>
    <t>0   -406    301      0      0</t>
  </si>
  <si>
    <t>0      0    120      0   -160</t>
  </si>
  <si>
    <t>0   -250</t>
  </si>
  <si>
    <t>14 -25857    -31    -42   -237</t>
  </si>
  <si>
    <t>0      0      0     13      0</t>
  </si>
  <si>
    <t>0    621 -42878      0    198</t>
  </si>
  <si>
    <t>271    611      0      0    228</t>
  </si>
  <si>
    <t>2081   -429   -224   -365      0</t>
  </si>
  <si>
    <t>0   2178   2687    622      0</t>
  </si>
  <si>
    <t>375 -41435</t>
  </si>
  <si>
    <t>0    558    -32     78     58</t>
  </si>
  <si>
    <t>0      3</t>
  </si>
  <si>
    <t>0    -17    164      0    135</t>
  </si>
  <si>
    <t>0      0      0    192      0</t>
  </si>
  <si>
    <t>226     49</t>
  </si>
  <si>
    <t>40539     -6    -15     14     14</t>
  </si>
  <si>
    <t>420     -4</t>
  </si>
  <si>
    <t>0     22     29      0    -12</t>
  </si>
  <si>
    <t>-42     74      0      0      0</t>
  </si>
  <si>
    <t>239     16      0    122 -51376</t>
  </si>
  <si>
    <t>1153   -397   -685   -566      0</t>
  </si>
  <si>
    <t>-9241      0  -7696      0      0</t>
  </si>
  <si>
    <t>0   -258      0  -3161  -1276</t>
  </si>
  <si>
    <t>303      0</t>
  </si>
  <si>
    <t>0      0      0      0  -3542</t>
  </si>
  <si>
    <t>989   -577</t>
  </si>
  <si>
    <t>0      0      0      0  -1582</t>
  </si>
  <si>
    <t>0  -1201</t>
  </si>
  <si>
    <t>-32      0      0      0      0</t>
  </si>
  <si>
    <t>2290    370    116    266    218</t>
  </si>
  <si>
    <t>238    531</t>
  </si>
  <si>
    <t>0      0      0      0    -68</t>
  </si>
  <si>
    <t>161    192</t>
  </si>
  <si>
    <t>0      0     55      0    202</t>
  </si>
  <si>
    <t>-222      0  -1234   -407      0</t>
  </si>
  <si>
    <t>499   -164</t>
  </si>
  <si>
    <t>-772  -7427   2859    -13    -39</t>
  </si>
  <si>
    <t>586    466</t>
  </si>
  <si>
    <t>-2779  -1202      0    457   2451</t>
  </si>
  <si>
    <t>293 -18328</t>
  </si>
  <si>
    <t>3937   4377    511    496   2382</t>
  </si>
  <si>
    <t>048    294</t>
  </si>
  <si>
    <t>131    119   4932   -181    917</t>
  </si>
  <si>
    <t>165   -491</t>
  </si>
  <si>
    <t>-198   -366   -902   1172    298</t>
  </si>
  <si>
    <t>862   1366</t>
  </si>
  <si>
    <t>-309    244     12  31328  38240</t>
  </si>
  <si>
    <t>169  39891</t>
  </si>
  <si>
    <t>17062  25923  25700  49051  49171</t>
  </si>
  <si>
    <t>9 -29950</t>
  </si>
  <si>
    <t>0      0    -79      0      0</t>
  </si>
  <si>
    <t>0    203</t>
  </si>
  <si>
    <t>0    -59     90      2      0</t>
  </si>
  <si>
    <t>167 -25288</t>
  </si>
  <si>
    <t>-101      0     58      0      0</t>
  </si>
  <si>
    <t>0      0    -73      0     29</t>
  </si>
  <si>
    <t>-62      0   -718    356      0</t>
  </si>
  <si>
    <t>0  -1510</t>
  </si>
  <si>
    <t>0      0      0      0  -1660</t>
  </si>
  <si>
    <t>618   1594</t>
  </si>
  <si>
    <t>519      0     43   1140     99</t>
  </si>
  <si>
    <t>529    437</t>
  </si>
  <si>
    <t>0      0      0      0    614</t>
  </si>
  <si>
    <t>0    460</t>
  </si>
  <si>
    <t>195 -41460     56    244    114</t>
  </si>
  <si>
    <t>0   1806</t>
  </si>
  <si>
    <t>0    188   -374      0      0</t>
  </si>
  <si>
    <t>6      6   -218      0      0</t>
  </si>
  <si>
    <t>353   -228     -9      0    -93</t>
  </si>
  <si>
    <t>294    -89</t>
  </si>
  <si>
    <t>1803   1931      0     67      0</t>
  </si>
  <si>
    <t>0   -302</t>
  </si>
  <si>
    <t>0      0    -39      0    141</t>
  </si>
  <si>
    <t>16     43</t>
  </si>
  <si>
    <t>0      0    -44      0   -237</t>
  </si>
  <si>
    <t>-22    126</t>
  </si>
  <si>
    <t>425      0      0      0   3683</t>
  </si>
  <si>
    <t>094   2164</t>
  </si>
  <si>
    <t>-1      0      0    113      0</t>
  </si>
  <si>
    <t>799      0</t>
  </si>
  <si>
    <t>-834      0   3235 -42589      0</t>
  </si>
  <si>
    <t>0  -8285      0      0   1097</t>
  </si>
  <si>
    <t>-2102      0   -879  -1724  -1426</t>
  </si>
  <si>
    <t>508   -157</t>
  </si>
  <si>
    <t>-1821   -768      0      0      0</t>
  </si>
  <si>
    <t>-269   3120   -159   2033    -56</t>
  </si>
  <si>
    <t>232      0      0      0      0</t>
  </si>
  <si>
    <t>0      0      0      0     61</t>
  </si>
  <si>
    <t>427    398      8   4177   1690</t>
  </si>
  <si>
    <t>603  -1641</t>
  </si>
  <si>
    <t>469    421    402   1746   1474</t>
  </si>
  <si>
    <t>709     29</t>
  </si>
  <si>
    <t>2354   -251   3108   1251   1827</t>
  </si>
  <si>
    <t>577   2983</t>
  </si>
  <si>
    <t>2105   1338   1342   -685   2718</t>
  </si>
  <si>
    <t>962   1246</t>
  </si>
  <si>
    <t>-282   -515   -281    160    534</t>
  </si>
  <si>
    <t>492   -464</t>
  </si>
  <si>
    <t>-108    137   2626    267    187</t>
  </si>
  <si>
    <t>6    185</t>
  </si>
  <si>
    <t>37522  34794  35346  16411  21596</t>
  </si>
  <si>
    <t>190  23909</t>
  </si>
  <si>
    <t>44081    326 -32220   -286    -20</t>
  </si>
  <si>
    <t>0      0    -32     67      0</t>
  </si>
  <si>
    <t>-42      0      0     68      0</t>
  </si>
  <si>
    <t>-46      0</t>
  </si>
  <si>
    <t>0     92 -27780   -135   -253</t>
  </si>
  <si>
    <t>196   -367</t>
  </si>
  <si>
    <t>0      0      0      0     72</t>
  </si>
  <si>
    <t>-26      0      0      0      0</t>
  </si>
  <si>
    <t>0    202</t>
  </si>
  <si>
    <t>0      0    139 -43834      0</t>
  </si>
  <si>
    <t>481      0</t>
  </si>
  <si>
    <t>2    137    156      0      0</t>
  </si>
  <si>
    <t>101    -45</t>
  </si>
  <si>
    <t>0    -55    -54   -174    -81</t>
  </si>
  <si>
    <t>-283      0     27   -276     67</t>
  </si>
  <si>
    <t>0    -21</t>
  </si>
  <si>
    <t>275      0    110   1275    206</t>
  </si>
  <si>
    <t>0      0      1     69      0</t>
  </si>
  <si>
    <t>524    671</t>
  </si>
  <si>
    <t>0      0      0      0   -454</t>
  </si>
  <si>
    <t>0   -662</t>
  </si>
  <si>
    <t>25 -48868  -1002   -978    172</t>
  </si>
  <si>
    <t>312  -1253</t>
  </si>
  <si>
    <t>0      0    110     65      0</t>
  </si>
  <si>
    <t>728      0</t>
  </si>
  <si>
    <t>737    788   -694      0      0</t>
  </si>
  <si>
    <t>-136   3027   1377      0    369</t>
  </si>
  <si>
    <t>072    496</t>
  </si>
  <si>
    <t>2173   3314   2457  -1486  -1376</t>
  </si>
  <si>
    <t>0    152</t>
  </si>
  <si>
    <t>0   -857      0  -1363      0</t>
  </si>
  <si>
    <t>0      0   -143      0  -3664</t>
  </si>
  <si>
    <t>604  -1225</t>
  </si>
  <si>
    <t>581  -1454</t>
  </si>
  <si>
    <t>26      0      0      0      0</t>
  </si>
  <si>
    <t>437   -287      0      0      0</t>
  </si>
  <si>
    <t>0  -1725</t>
  </si>
  <si>
    <t>-756   3960   1008    830    621</t>
  </si>
  <si>
    <t>503    107</t>
  </si>
  <si>
    <t>107   -174</t>
  </si>
  <si>
    <t>-302      0      0    142      0</t>
  </si>
  <si>
    <t>360   -384</t>
  </si>
  <si>
    <t>0  -2421      0   -291    280</t>
  </si>
  <si>
    <t>-1753      0      0      0      0</t>
  </si>
  <si>
    <t>0    244</t>
  </si>
  <si>
    <t>6003   7023  -1297  -5773   -127</t>
  </si>
  <si>
    <t>53   1486</t>
  </si>
  <si>
    <t>8199   3172  -9171      0    856</t>
  </si>
  <si>
    <t>243   -281</t>
  </si>
  <si>
    <t>256  -1400   1263  -1852    273</t>
  </si>
  <si>
    <t>035    627</t>
  </si>
  <si>
    <t>622   -119   1290   -647    635</t>
  </si>
  <si>
    <t>-2    435</t>
  </si>
  <si>
    <t>-294   -489   -303  -1690   1410</t>
  </si>
  <si>
    <t>294    367</t>
  </si>
  <si>
    <t>225    104    325    153  33881</t>
  </si>
  <si>
    <t>286  40102</t>
  </si>
  <si>
    <t>23623  18027  25476  28034  59875</t>
  </si>
  <si>
    <t>513  56476</t>
  </si>
  <si>
    <t>110    -23    205      0      0</t>
  </si>
  <si>
    <t>63      0</t>
  </si>
  <si>
    <t>23      0      0      0      0</t>
  </si>
  <si>
    <t>58      0    -48      0    -74</t>
  </si>
  <si>
    <t>211    -88</t>
  </si>
  <si>
    <t>-91   -178   -130   -338      0</t>
  </si>
  <si>
    <t>89      0</t>
  </si>
  <si>
    <t>0     55      0      0      0</t>
  </si>
  <si>
    <t>-28      0</t>
  </si>
  <si>
    <t>0      0      0    135      0</t>
  </si>
  <si>
    <t>-59    348</t>
  </si>
  <si>
    <t>41727      0   -283      0      0</t>
  </si>
  <si>
    <t>0      0    -44    -42      0</t>
  </si>
  <si>
    <t>-83   -262      0      0      0</t>
  </si>
  <si>
    <t>-268     41      0   -149 -47737</t>
  </si>
  <si>
    <t>462    608</t>
  </si>
  <si>
    <t>1542    263    374      0   -286</t>
  </si>
  <si>
    <t>2772      0   1768     27     16</t>
  </si>
  <si>
    <t>62      0</t>
  </si>
  <si>
    <t>0   -247      0   2079   2386</t>
  </si>
  <si>
    <t>415      0</t>
  </si>
  <si>
    <t>17    174     51    375    381</t>
  </si>
  <si>
    <t>36      0    147      0      0</t>
  </si>
  <si>
    <t>16      0</t>
  </si>
  <si>
    <t>198      0</t>
  </si>
  <si>
    <t>0   -621 -59752   -209      0</t>
  </si>
  <si>
    <t>-850  -1080      0     93      0</t>
  </si>
  <si>
    <t>693      0      0      0      0</t>
  </si>
  <si>
    <t>0   -497   1002   1186      0</t>
  </si>
  <si>
    <t>746 -43277</t>
  </si>
  <si>
    <t>0      0  -3416  -1674   -622</t>
  </si>
  <si>
    <t>788    -77</t>
  </si>
  <si>
    <t>0      0  -2560      0  -1610</t>
  </si>
  <si>
    <t>0      0      0  -1531      0</t>
  </si>
  <si>
    <t>392  -3099</t>
  </si>
  <si>
    <t>382    340    389   -149    -74</t>
  </si>
  <si>
    <t>0      0     12     51   -138</t>
  </si>
  <si>
    <t>124      0    239      7      0</t>
  </si>
  <si>
    <t>-1021  -1059      0      0      0</t>
  </si>
  <si>
    <t>0      0      0    -56    184</t>
  </si>
  <si>
    <t>81    626</t>
  </si>
  <si>
    <t>-814     59     44    999    151</t>
  </si>
  <si>
    <t>804   5861</t>
  </si>
  <si>
    <t>0    783   -797   1655  -3173</t>
  </si>
  <si>
    <t>718   1205</t>
  </si>
  <si>
    <t>3881    359  -1732    379   2003</t>
  </si>
  <si>
    <t>882   -736</t>
  </si>
  <si>
    <t>2076    -72     41     88    214</t>
  </si>
  <si>
    <t>381  -1177</t>
  </si>
  <si>
    <t>-1818    965     34    149     67</t>
  </si>
  <si>
    <t>663    101</t>
  </si>
  <si>
    <t>110  33840  39692  41252  37941</t>
  </si>
  <si>
    <t>926  18644</t>
  </si>
  <si>
    <t>27670  53749  55334  52563  52534</t>
  </si>
  <si>
    <t>695    552</t>
  </si>
  <si>
    <t>123      0      0    153      0</t>
  </si>
  <si>
    <t>206      0</t>
  </si>
  <si>
    <t>-31      0    -29   -340    -77</t>
  </si>
  <si>
    <t>0     79</t>
  </si>
  <si>
    <t>-101   -100      0     -7      0</t>
  </si>
  <si>
    <t>35      0</t>
  </si>
  <si>
    <t>0     30      0   -114     34</t>
  </si>
  <si>
    <t>277     59</t>
  </si>
  <si>
    <t>-8     25      0     93    -67</t>
  </si>
  <si>
    <t>41     17</t>
  </si>
  <si>
    <t>286      0</t>
  </si>
  <si>
    <t>0   -336 -47395   -955   -463</t>
  </si>
  <si>
    <t>796      0  -1601   -649      0</t>
  </si>
  <si>
    <t>1123     35     34   1291      0</t>
  </si>
  <si>
    <t>0   2975   2312    685      0</t>
  </si>
  <si>
    <t>250 -42633</t>
  </si>
  <si>
    <t>-179    250    511      0     29</t>
  </si>
  <si>
    <t>89      0      0    -52      0</t>
  </si>
  <si>
    <t>28     13</t>
  </si>
  <si>
    <t>0      0      0     45      0</t>
  </si>
  <si>
    <t>103   -125</t>
  </si>
  <si>
    <t>50922    505      0      0      0</t>
  </si>
  <si>
    <t>167   3402</t>
  </si>
  <si>
    <t>0     90      0      0     84</t>
  </si>
  <si>
    <t>0   -989</t>
  </si>
  <si>
    <t>-3095  -1034      0    165 -48196</t>
  </si>
  <si>
    <t>-641    291  -1231  -1471   -946</t>
  </si>
  <si>
    <t>-1809      0   -327      0      0</t>
  </si>
  <si>
    <t>088  -1323</t>
  </si>
  <si>
    <t>0   -185      0   1214    181</t>
  </si>
  <si>
    <t>578   6049</t>
  </si>
  <si>
    <t>730    352    367      0      0</t>
  </si>
  <si>
    <t>-134    -30    286     -3     30</t>
  </si>
  <si>
    <t>2      0</t>
  </si>
  <si>
    <t>92   -500      0      0      0</t>
  </si>
  <si>
    <t>0  -1731</t>
  </si>
  <si>
    <t>469      0</t>
  </si>
  <si>
    <t>0    236     53    -25   -216</t>
  </si>
  <si>
    <t>587   -176</t>
  </si>
  <si>
    <t>19    -65</t>
  </si>
  <si>
    <t>1700   -265  -3096     95    674</t>
  </si>
  <si>
    <t>261  -2386</t>
  </si>
  <si>
    <t>-2334    -54    701   -490  -2110</t>
  </si>
  <si>
    <t>136    161</t>
  </si>
  <si>
    <t>168    180    349    306  -1307</t>
  </si>
  <si>
    <t>-53    901</t>
  </si>
  <si>
    <t>229    255    225    503    261</t>
  </si>
  <si>
    <t>165    625</t>
  </si>
  <si>
    <t>42383  41052  38377  36922  19381</t>
  </si>
  <si>
    <t>879  19041</t>
  </si>
  <si>
    <t>54324  51719  52285  59793  52244</t>
  </si>
  <si>
    <t>182 -31925</t>
  </si>
  <si>
    <t>0      0     69      0      0</t>
  </si>
  <si>
    <t>0      0      0      0    -28</t>
  </si>
  <si>
    <t>0    -83   -225   -126      0</t>
  </si>
  <si>
    <t>38 -27075</t>
  </si>
  <si>
    <t>-345      0     85      0      0</t>
  </si>
  <si>
    <t>0      0    -32      0      2</t>
  </si>
  <si>
    <t>120      0     47    323      0</t>
  </si>
  <si>
    <t>0    -37</t>
  </si>
  <si>
    <t>0      0      0      0   -327</t>
  </si>
  <si>
    <t>93    168</t>
  </si>
  <si>
    <t>-62      0    -21   -169     -8</t>
  </si>
  <si>
    <t>202   -103</t>
  </si>
  <si>
    <t>0      0      0      0     14</t>
  </si>
  <si>
    <t>0    370</t>
  </si>
  <si>
    <t>81 -44306   -217     50    322</t>
  </si>
  <si>
    <t>0    299</t>
  </si>
  <si>
    <t>0    -64   -172      0      0</t>
  </si>
  <si>
    <t>0     -1</t>
  </si>
  <si>
    <t>54     12    119      0      0</t>
  </si>
  <si>
    <t>-164   -529   -228      0   -653</t>
  </si>
  <si>
    <t>207   1514</t>
  </si>
  <si>
    <t>-431   1559      0    398      0</t>
  </si>
  <si>
    <t>0   -734</t>
  </si>
  <si>
    <t>0      0     32      0   -361</t>
  </si>
  <si>
    <t>0      0    260      0   1186</t>
  </si>
  <si>
    <t>888    606</t>
  </si>
  <si>
    <t>542      0      0      0   2375</t>
  </si>
  <si>
    <t>695   2302</t>
  </si>
  <si>
    <t>-390      0      0  -1559      0</t>
  </si>
  <si>
    <t>1506      0   1647 -43503      0</t>
  </si>
  <si>
    <t>0  -1610      0      0    271</t>
  </si>
  <si>
    <t>-9      0</t>
  </si>
  <si>
    <t>-1366      0   -220  -3118  -1010</t>
  </si>
  <si>
    <t>645     87</t>
  </si>
  <si>
    <t>-299   -142      0      0      0</t>
  </si>
  <si>
    <t>-26    715    -25    572     66</t>
  </si>
  <si>
    <t>-119      0      0      0      0</t>
  </si>
  <si>
    <t>0      0      0      0  -1290</t>
  </si>
  <si>
    <t>136    136     20    288   1102</t>
  </si>
  <si>
    <t>434   2505</t>
  </si>
  <si>
    <t>972    179   2747   2653   5533</t>
  </si>
  <si>
    <t>876  -5686</t>
  </si>
  <si>
    <t>-535  -2914    644    612    548</t>
  </si>
  <si>
    <t>098    728</t>
  </si>
  <si>
    <t>451    849   1975  -1559    517</t>
  </si>
  <si>
    <t>692  -1107</t>
  </si>
  <si>
    <t>11    308    374  -1099   -279</t>
  </si>
  <si>
    <t>118    -87</t>
  </si>
  <si>
    <t>103    192    656    186    311</t>
  </si>
  <si>
    <t>64    184</t>
  </si>
  <si>
    <t>39588  38069  34964  18318  22800</t>
  </si>
  <si>
    <t>096  26859</t>
  </si>
  <si>
    <t>54187  52538  61004  53293  57318</t>
  </si>
  <si>
    <t>434 -32082</t>
  </si>
  <si>
    <t>0      0    219      0      0</t>
  </si>
  <si>
    <t>0      0      0      0   -183</t>
  </si>
  <si>
    <t>0    -44   -301    -69      0</t>
  </si>
  <si>
    <t>77 -27600</t>
  </si>
  <si>
    <t>-13      0    -20      0      0</t>
  </si>
  <si>
    <t>0      0    -11      0     17</t>
  </si>
  <si>
    <t>36      0    122      5      0</t>
  </si>
  <si>
    <t>0   -484</t>
  </si>
  <si>
    <t>0      0      0      0   -193</t>
  </si>
  <si>
    <t>108    159</t>
  </si>
  <si>
    <t>38      0    103     -3     50</t>
  </si>
  <si>
    <t>66     34</t>
  </si>
  <si>
    <t>0      0      0      0    244</t>
  </si>
  <si>
    <t>-125 -43537   -225    -79    694</t>
  </si>
  <si>
    <t>0   -294</t>
  </si>
  <si>
    <t>0      1   -191      0      0</t>
  </si>
  <si>
    <t>0    -10</t>
  </si>
  <si>
    <t>-38    -14   -183      0      0</t>
  </si>
  <si>
    <t>189   -139    -44      0   -188</t>
  </si>
  <si>
    <t>311   -583</t>
  </si>
  <si>
    <t>-1653   -957      0   1039      0</t>
  </si>
  <si>
    <t>0   -841</t>
  </si>
  <si>
    <t>0      0    244      0     57</t>
  </si>
  <si>
    <t>209   1382</t>
  </si>
  <si>
    <t>0      0   -109      0   3799</t>
  </si>
  <si>
    <t>463    513</t>
  </si>
  <si>
    <t>443      0      0      0   1508</t>
  </si>
  <si>
    <t>955   2156</t>
  </si>
  <si>
    <t>72      0      0     96      0</t>
  </si>
  <si>
    <t>826      0</t>
  </si>
  <si>
    <t>-1043      0    303 -46932      0</t>
  </si>
  <si>
    <t>0  -1452      0      0  -1140</t>
  </si>
  <si>
    <t>-361      0   -491    -73   1044</t>
  </si>
  <si>
    <t>600   1260</t>
  </si>
  <si>
    <t>497    165      0      0      0</t>
  </si>
  <si>
    <t>-57    795    -74    590     -5</t>
  </si>
  <si>
    <t>-492      0      0      0      0</t>
  </si>
  <si>
    <t>282      0</t>
  </si>
  <si>
    <t>0      0      0      0   -483</t>
  </si>
  <si>
    <t>248    120    234    343    434</t>
  </si>
  <si>
    <t>260  -3153</t>
  </si>
  <si>
    <t>-134   -211   -398    132   -444</t>
  </si>
  <si>
    <t>229    670</t>
  </si>
  <si>
    <t>2572  -2389    499    220   1834</t>
  </si>
  <si>
    <t>782    820</t>
  </si>
  <si>
    <t>322    135   1269  -1600    482</t>
  </si>
  <si>
    <t>529    695</t>
  </si>
  <si>
    <t>333    275    212  -1231     77</t>
  </si>
  <si>
    <t>114    775</t>
  </si>
  <si>
    <t>232    170    647    317    116</t>
  </si>
  <si>
    <t>433    235</t>
  </si>
  <si>
    <t>42119  38235  36804  18877  23244</t>
  </si>
  <si>
    <t>852  25508</t>
  </si>
  <si>
    <t>51437  53912  60361  57061  49267</t>
  </si>
  <si>
    <t>318   -187</t>
  </si>
  <si>
    <t>-125      0      0    253      0</t>
  </si>
  <si>
    <t>269      0</t>
  </si>
  <si>
    <t>-131      0    343   -343   -242</t>
  </si>
  <si>
    <t>0    118</t>
  </si>
  <si>
    <t>-455  -1064      0    128      0</t>
  </si>
  <si>
    <t>0      0      0   -221      0</t>
  </si>
  <si>
    <t>0     37      0    -22    195</t>
  </si>
  <si>
    <t>765      0      0      0      0</t>
  </si>
  <si>
    <t>333   -309</t>
  </si>
  <si>
    <t>577    252      0    128    122</t>
  </si>
  <si>
    <t>330    152</t>
  </si>
  <si>
    <t>0  -1565 -65767   -115   -213</t>
  </si>
  <si>
    <t>363      0</t>
  </si>
  <si>
    <t>205      0    -28   -189      0</t>
  </si>
  <si>
    <t>-362    275    166   -125      0</t>
  </si>
  <si>
    <t>0  12554    668    225      0</t>
  </si>
  <si>
    <t>036 -64195</t>
  </si>
  <si>
    <t>-177   -791   1256      0    336</t>
  </si>
  <si>
    <t>252      0      0   -139      0</t>
  </si>
  <si>
    <t>197    159</t>
  </si>
  <si>
    <t>0      0      0   1166      0</t>
  </si>
  <si>
    <t>325    914</t>
  </si>
  <si>
    <t>71351    486      0      0      0</t>
  </si>
  <si>
    <t>522   2051</t>
  </si>
  <si>
    <t>0    554      0      0     33</t>
  </si>
  <si>
    <t>0  -1519</t>
  </si>
  <si>
    <t>-2597   -780      0   -282 -64112</t>
  </si>
  <si>
    <t>-2619  -1264   -524   -613     71</t>
  </si>
  <si>
    <t>149      0</t>
  </si>
  <si>
    <t>-3064      0  -1961      0      0</t>
  </si>
  <si>
    <t>25   -466</t>
  </si>
  <si>
    <t>0   -587      0   8710  -2163</t>
  </si>
  <si>
    <t>412   4207</t>
  </si>
  <si>
    <t>395      7    285      0      0</t>
  </si>
  <si>
    <t>-253    -80   1102    -73    893</t>
  </si>
  <si>
    <t>288      0</t>
  </si>
  <si>
    <t>679   1951      0      0      0</t>
  </si>
  <si>
    <t>0   1482</t>
  </si>
  <si>
    <t>0   1912    973   1023   2260</t>
  </si>
  <si>
    <t>907   2830</t>
  </si>
  <si>
    <t>1192   1816   1032   1728   3557</t>
  </si>
  <si>
    <t>744   2094</t>
  </si>
  <si>
    <t>617    681  -3304   -566   -537</t>
  </si>
  <si>
    <t>367  -3784</t>
  </si>
  <si>
    <t>671   -648</t>
  </si>
  <si>
    <t>-32    534    495    468   -695</t>
  </si>
  <si>
    <t>149    724</t>
  </si>
  <si>
    <t>161    127    135    538    634</t>
  </si>
  <si>
    <t>368    477</t>
  </si>
  <si>
    <t>64874  65156  61019  53905  28761</t>
  </si>
  <si>
    <t>135  28151</t>
  </si>
  <si>
    <t>56179  54755  54463  60770  59043</t>
  </si>
  <si>
    <t>384  58982</t>
  </si>
  <si>
    <t>-320   -153    152      0      0</t>
  </si>
  <si>
    <t>79      0      0      0      0</t>
  </si>
  <si>
    <t>116      0   -138      0    139</t>
  </si>
  <si>
    <t>182   -193</t>
  </si>
  <si>
    <t>-51   -182   -312   -840      0</t>
  </si>
  <si>
    <t>0    226      0      0      0</t>
  </si>
  <si>
    <t>157      0</t>
  </si>
  <si>
    <t>0      0      0     23      0</t>
  </si>
  <si>
    <t>174    240</t>
  </si>
  <si>
    <t>57751      0    194      0      0</t>
  </si>
  <si>
    <t>0      0    418    128      0</t>
  </si>
  <si>
    <t>124    -31</t>
  </si>
  <si>
    <t>555    224      0      0      0</t>
  </si>
  <si>
    <t>1024   -154      0  -1301 -67237</t>
  </si>
  <si>
    <t>-555  -1233    184      0     -2</t>
  </si>
  <si>
    <t>-43      0</t>
  </si>
  <si>
    <t>-584      0   -355    157     77</t>
  </si>
  <si>
    <t>0    721      0   9508    631</t>
  </si>
  <si>
    <t>-174     45   -144   -216   1576</t>
  </si>
  <si>
    <t>336      0    238      0      0</t>
  </si>
  <si>
    <t>051      0</t>
  </si>
  <si>
    <t>0   -979 -75312    516      0</t>
  </si>
  <si>
    <t>-1583  -1483      0    558      0</t>
  </si>
  <si>
    <t>0     53</t>
  </si>
  <si>
    <t>-1902      0      0      0      0</t>
  </si>
  <si>
    <t>0   2311  -2749   -914      0</t>
  </si>
  <si>
    <t>181 -66067</t>
  </si>
  <si>
    <t>0      0  -2657  -1511   -676</t>
  </si>
  <si>
    <t>773    -28</t>
  </si>
  <si>
    <t>0      0  -3206      0  -2079</t>
  </si>
  <si>
    <t>0      0      0   -664      0</t>
  </si>
  <si>
    <t>220  -2380</t>
  </si>
  <si>
    <t>402    231    333   -262     10</t>
  </si>
  <si>
    <t>0      0   -244    -77   1159</t>
  </si>
  <si>
    <t>-35    956</t>
  </si>
  <si>
    <t>131      0    575   1124      0</t>
  </si>
  <si>
    <t>-1054  -2432      0      0      0</t>
  </si>
  <si>
    <t>0      0      0   1495    658</t>
  </si>
  <si>
    <t>612    968</t>
  </si>
  <si>
    <t>-2154  -1358    880   1461    809</t>
  </si>
  <si>
    <t>531   2897</t>
  </si>
  <si>
    <t>0    -23   1105   1140  -3063</t>
  </si>
  <si>
    <t>327    237</t>
  </si>
  <si>
    <t>498    506  -2973   -161    218</t>
  </si>
  <si>
    <t>220  -2334</t>
  </si>
  <si>
    <t>-1651    358   -222    430    341</t>
  </si>
  <si>
    <t>343   -769</t>
  </si>
  <si>
    <t>-1320   1247    159    116    152</t>
  </si>
  <si>
    <t>602    535</t>
  </si>
  <si>
    <t>430  50874  61111  61287  57793</t>
  </si>
  <si>
    <t>385  27718</t>
  </si>
  <si>
    <t>39601  58266  58356  57508  56746</t>
  </si>
  <si>
    <t>258  61661</t>
  </si>
  <si>
    <t>98003      5 -50706   -275   -130</t>
  </si>
  <si>
    <t>0      0     94     76      0</t>
  </si>
  <si>
    <t>-157      0      0    106      0</t>
  </si>
  <si>
    <t>0     70 -42984    -47   -133</t>
  </si>
  <si>
    <t>264   -713</t>
  </si>
  <si>
    <t>0      0      0      0    187</t>
  </si>
  <si>
    <t>39      0      0      0      0</t>
  </si>
  <si>
    <t>0      0  -1025 -57646      0</t>
  </si>
  <si>
    <t>-1291   -175     48      0      0</t>
  </si>
  <si>
    <t>337    101</t>
  </si>
  <si>
    <t>193    -12    447    443    155</t>
  </si>
  <si>
    <t>443      0   1394   1018    -96</t>
  </si>
  <si>
    <t>0  -1116</t>
  </si>
  <si>
    <t>262      0     90   -399  -1032</t>
  </si>
  <si>
    <t>0      0   -101   -598      0</t>
  </si>
  <si>
    <t>344    124</t>
  </si>
  <si>
    <t>0      0      0      0    620</t>
  </si>
  <si>
    <t>0   7888</t>
  </si>
  <si>
    <t>-1508 -64526   -192   -153    127</t>
  </si>
  <si>
    <t>111    -54</t>
  </si>
  <si>
    <t>0      0    -74    279      0</t>
  </si>
  <si>
    <t>95     66      3      0      0</t>
  </si>
  <si>
    <t>6996    806    206      0   -803</t>
  </si>
  <si>
    <t>546    495</t>
  </si>
  <si>
    <t>2105   3054   1576  -1510  -1412</t>
  </si>
  <si>
    <t>0    507</t>
  </si>
  <si>
    <t>0  -1417      0  -1850      0</t>
  </si>
  <si>
    <t>0      0    423      0   1524</t>
  </si>
  <si>
    <t>561   -894</t>
  </si>
  <si>
    <t>614  -1451</t>
  </si>
  <si>
    <t>-36      0      0      0      0</t>
  </si>
  <si>
    <t>041      0</t>
  </si>
  <si>
    <t>218   -209      0      0      0</t>
  </si>
  <si>
    <t>0   -673</t>
  </si>
  <si>
    <t>-671   3317    589    390    202</t>
  </si>
  <si>
    <t>303   -303</t>
  </si>
  <si>
    <t>224    -69</t>
  </si>
  <si>
    <t>-82      0      0    121      0</t>
  </si>
  <si>
    <t>505    838</t>
  </si>
  <si>
    <t>0   -811      0  -1220  -2431</t>
  </si>
  <si>
    <t>-1036      0      0      0      0</t>
  </si>
  <si>
    <t>0   1268</t>
  </si>
  <si>
    <t>1445   1290  -3248  -1455  -1140</t>
  </si>
  <si>
    <t>710   1228</t>
  </si>
  <si>
    <t>3074   1532  -5230      0     97</t>
  </si>
  <si>
    <t>122   1136</t>
  </si>
  <si>
    <t>447  -2888    -31    663    649</t>
  </si>
  <si>
    <t>609    -73</t>
  </si>
  <si>
    <t>-196     30     86  -1249    275</t>
  </si>
  <si>
    <t>246    397</t>
  </si>
  <si>
    <t>165    358    -19  -1315   1189</t>
  </si>
  <si>
    <t>170    111</t>
  </si>
  <si>
    <t>283    344    273    375  46242</t>
  </si>
  <si>
    <t>233  55385</t>
  </si>
  <si>
    <t>30698  24918  33625  36171  54477</t>
  </si>
  <si>
    <t>556  54408</t>
  </si>
  <si>
    <t>57823  57643  57387  94896  98439</t>
  </si>
  <si>
    <t>877 -50094</t>
  </si>
  <si>
    <t>0      0    235      0      0</t>
  </si>
  <si>
    <t>0      0      0      0   -215</t>
  </si>
  <si>
    <t>0    311   -384   -228      0</t>
  </si>
  <si>
    <t>914 -42161</t>
  </si>
  <si>
    <t>-1262      0    125      0      0</t>
  </si>
  <si>
    <t>0      0   -207      0     19</t>
  </si>
  <si>
    <t>82      0   -101    -31      0</t>
  </si>
  <si>
    <t>0  -1362</t>
  </si>
  <si>
    <t>0      0      0      0  -1638</t>
  </si>
  <si>
    <t>378    -29</t>
  </si>
  <si>
    <t>276      0    230     91    363</t>
  </si>
  <si>
    <t>148    905</t>
  </si>
  <si>
    <t>0      0      0      0    697</t>
  </si>
  <si>
    <t>0   2227</t>
  </si>
  <si>
    <t>0   -404</t>
  </si>
  <si>
    <t>0   -177    133      0      0</t>
  </si>
  <si>
    <t>0   -297</t>
  </si>
  <si>
    <t>304    210    -34      0      0</t>
  </si>
  <si>
    <t>12521    890    294      0  -2645</t>
  </si>
  <si>
    <t>912   -389</t>
  </si>
  <si>
    <t>-753   1802      0    382      0</t>
  </si>
  <si>
    <t>0      0   -132      0    218</t>
  </si>
  <si>
    <t>170      9</t>
  </si>
  <si>
    <t>0      0   2270      0  11383</t>
  </si>
  <si>
    <t>167    354</t>
  </si>
  <si>
    <t>517      0      0      0   1576</t>
  </si>
  <si>
    <t>314    986</t>
  </si>
  <si>
    <t>723      0      0      7      0</t>
  </si>
  <si>
    <t>0   1307</t>
  </si>
  <si>
    <t>-766      0  -1527 -63429      0</t>
  </si>
  <si>
    <t>-811    591    340    605   2044</t>
  </si>
  <si>
    <t>0  -2049      0      0    524</t>
  </si>
  <si>
    <t>775      0   8204  -1346    704</t>
  </si>
  <si>
    <t>400   1042</t>
  </si>
  <si>
    <t>362   -342      0      0      0</t>
  </si>
  <si>
    <t>-204   1089   -139    906   -364</t>
  </si>
  <si>
    <t>-4557      0      0      0      0</t>
  </si>
  <si>
    <t>601      0</t>
  </si>
  <si>
    <t>0      0      0      0    797</t>
  </si>
  <si>
    <t>1643   -369   -266  -4558  -4834</t>
  </si>
  <si>
    <t>051  -9768</t>
  </si>
  <si>
    <t>789 -10360</t>
  </si>
  <si>
    <t>527  -6682</t>
  </si>
  <si>
    <t>840  -9954</t>
  </si>
  <si>
    <t>2587   2486   2207    955   1607</t>
  </si>
  <si>
    <t>257   1635</t>
  </si>
  <si>
    <t>2101   1672   2419   2460   1904</t>
  </si>
  <si>
    <t>287   1739</t>
  </si>
  <si>
    <t>63713  59826  53146  28245  34456</t>
  </si>
  <si>
    <t>558  37424</t>
  </si>
  <si>
    <t>53405  52781  59570  57564  58078</t>
  </si>
  <si>
    <t>614  57605</t>
  </si>
  <si>
    <t>706 -50115   -421   -190     64</t>
  </si>
  <si>
    <t>0    196     65      0      0</t>
  </si>
  <si>
    <t>0      0    129      0   -118</t>
  </si>
  <si>
    <t>655 -42266   -207   -314   -466</t>
  </si>
  <si>
    <t>030      0</t>
  </si>
  <si>
    <t>0      0      0    218      0</t>
  </si>
  <si>
    <t>49      0</t>
  </si>
  <si>
    <t>0  -1077 -54029      0    -14</t>
  </si>
  <si>
    <t>-291     11      0      0    441</t>
  </si>
  <si>
    <t>-65    445    516     85      0</t>
  </si>
  <si>
    <t>0   1750   1263    -71      0</t>
  </si>
  <si>
    <t>838 -63233</t>
  </si>
  <si>
    <t>0    174   -267  -1431    202</t>
  </si>
  <si>
    <t>0   -164</t>
  </si>
  <si>
    <t>0   -188   -646      0   -360</t>
  </si>
  <si>
    <t>147     90</t>
  </si>
  <si>
    <t>0      0      0   1474      0</t>
  </si>
  <si>
    <t>440    763</t>
  </si>
  <si>
    <t>61733   -298   -198   -105   -165</t>
  </si>
  <si>
    <t>-32   1987</t>
  </si>
  <si>
    <t>0    249    361      0    309</t>
  </si>
  <si>
    <t>95     64      0      0      0</t>
  </si>
  <si>
    <t>962    225      0   -990 -69994</t>
  </si>
  <si>
    <t>3352   1397  -1611  -1497      0</t>
  </si>
  <si>
    <t>756      0</t>
  </si>
  <si>
    <t>-1454      0  -1860      0      0</t>
  </si>
  <si>
    <t>0   1009      0   2407  -2624</t>
  </si>
  <si>
    <t>936      0</t>
  </si>
  <si>
    <t>0      0      0      0   -911</t>
  </si>
  <si>
    <t>986    658</t>
  </si>
  <si>
    <t>0      0      0      0  -3295</t>
  </si>
  <si>
    <t>0  -2271</t>
  </si>
  <si>
    <t>-453      0      0      0      0</t>
  </si>
  <si>
    <t>5204    988    768    515    329</t>
  </si>
  <si>
    <t>316   -478</t>
  </si>
  <si>
    <t>0      0      0      0   -379</t>
  </si>
  <si>
    <t>108   1349</t>
  </si>
  <si>
    <t>0      0    262      0   1263</t>
  </si>
  <si>
    <t>769      0</t>
  </si>
  <si>
    <t>-409      0  -1509  -3284      0</t>
  </si>
  <si>
    <t>365   -891</t>
  </si>
  <si>
    <t>-8197 -12814  -2439  -1275    919</t>
  </si>
  <si>
    <t>798   -660</t>
  </si>
  <si>
    <t>-4910  -7165      0  -8895  -9678</t>
  </si>
  <si>
    <t>673 -12281</t>
  </si>
  <si>
    <t>13363  -7883 -11280  -8355 -11950</t>
  </si>
  <si>
    <t>306  -9427</t>
  </si>
  <si>
    <t>11521 -11590 -12008   1301    978</t>
  </si>
  <si>
    <t>445   1307</t>
  </si>
  <si>
    <t>1155    699   -855   1983   1641</t>
  </si>
  <si>
    <t>539   1274</t>
  </si>
  <si>
    <t>1647   1287   1561  49743  59907</t>
  </si>
  <si>
    <t>886  56752</t>
  </si>
  <si>
    <t>26584  36096  39293  56953  57024</t>
  </si>
  <si>
    <t>115  55076</t>
  </si>
  <si>
    <t>60216  59887  95985  97460  96317</t>
  </si>
  <si>
    <t>415    665</t>
  </si>
  <si>
    <t>124      0      0    170      0</t>
  </si>
  <si>
    <t>-114      0    -84   -138   -141</t>
  </si>
  <si>
    <t>0    579</t>
  </si>
  <si>
    <t>-419   -925      0    106      0</t>
  </si>
  <si>
    <t>0      0      0   -116      0</t>
  </si>
  <si>
    <t>0     40      0   -263    134</t>
  </si>
  <si>
    <t>-67      0      0      0      0</t>
  </si>
  <si>
    <t>512   -286</t>
  </si>
  <si>
    <t>399    110      0    103   -229</t>
  </si>
  <si>
    <t>169   -143</t>
  </si>
  <si>
    <t>0  -1647 -61669   -203   -238</t>
  </si>
  <si>
    <t>167      0   -155    581      0</t>
  </si>
  <si>
    <t>-367     85     50    -49      0</t>
  </si>
  <si>
    <t>0   8029    688    145      0</t>
  </si>
  <si>
    <t>978 -60219</t>
  </si>
  <si>
    <t>-137    149   1820      0    266</t>
  </si>
  <si>
    <t>267      0      0   -107      0</t>
  </si>
  <si>
    <t>83     75</t>
  </si>
  <si>
    <t>0      0      0   1535      0</t>
  </si>
  <si>
    <t>182    858</t>
  </si>
  <si>
    <t>68927    551      0      0      0</t>
  </si>
  <si>
    <t>379   3324</t>
  </si>
  <si>
    <t>0    779      0      0     49</t>
  </si>
  <si>
    <t>0  -1380</t>
  </si>
  <si>
    <t>-2591   -987      0   -879 -64974</t>
  </si>
  <si>
    <t>-907   -882    886    533    735</t>
  </si>
  <si>
    <t>845      0</t>
  </si>
  <si>
    <t>-3283      0  -2334      0      0</t>
  </si>
  <si>
    <t>989   -477</t>
  </si>
  <si>
    <t>0    -38      0   4392  -1315</t>
  </si>
  <si>
    <t>780   5254</t>
  </si>
  <si>
    <t>246   -479   -445      0      0</t>
  </si>
  <si>
    <t>-335    -43   1519     26   1337</t>
  </si>
  <si>
    <t>1166  -2180      0      0      0</t>
  </si>
  <si>
    <t>0   -622</t>
  </si>
  <si>
    <t>319      0</t>
  </si>
  <si>
    <t>0   1229  -1169  -1383  -9223</t>
  </si>
  <si>
    <t>939 -10112</t>
  </si>
  <si>
    <t>772  -1272  -1035  -6551  -6233</t>
  </si>
  <si>
    <t>228  -6774</t>
  </si>
  <si>
    <t>11584 -11576 -14472  -9627  -9483</t>
  </si>
  <si>
    <t>170 -15377</t>
  </si>
  <si>
    <t>13872  -7391 -10680 -10661 -10230</t>
  </si>
  <si>
    <t>558 -13096</t>
  </si>
  <si>
    <t>471   1022    878    805   -816</t>
  </si>
  <si>
    <t>548    729</t>
  </si>
  <si>
    <t>1306   1200   1028   1584   1575</t>
  </si>
  <si>
    <t>185   1329</t>
  </si>
  <si>
    <t>55136  55065  52605  47362  25331</t>
  </si>
  <si>
    <t>669  24770</t>
  </si>
  <si>
    <t>53822  53691  52405  57692  56910</t>
  </si>
  <si>
    <t>617  56989</t>
  </si>
  <si>
    <t>96698  94828  98439   1089 -45348</t>
  </si>
  <si>
    <t>530   -101</t>
  </si>
  <si>
    <t>185      0      0      0    228</t>
  </si>
  <si>
    <t>0      0   -397      0      0</t>
  </si>
  <si>
    <t>75      0</t>
  </si>
  <si>
    <t>-297   -142      0    984 -38114</t>
  </si>
  <si>
    <t>213   -460</t>
  </si>
  <si>
    <t>93      0      0      0      0</t>
  </si>
  <si>
    <t>0    308</t>
  </si>
  <si>
    <t>-139      0     44      0      0</t>
  </si>
  <si>
    <t>-129   -118      0      0  -2520</t>
  </si>
  <si>
    <t>006      0</t>
  </si>
  <si>
    <t>0      0  -1033   -106     97</t>
  </si>
  <si>
    <t>-126   -144    180    -35    787</t>
  </si>
  <si>
    <t>548   -196</t>
  </si>
  <si>
    <t>0      0    -17      0   1895</t>
  </si>
  <si>
    <t>261     68</t>
  </si>
  <si>
    <t>-250   -382   -897      0    -53</t>
  </si>
  <si>
    <t>226  -1181</t>
  </si>
  <si>
    <t>213      0      0      0   -384</t>
  </si>
  <si>
    <t>19      0      0      0      0</t>
  </si>
  <si>
    <t>0  -1803</t>
  </si>
  <si>
    <t>243      0   -988 -53572   -282</t>
  </si>
  <si>
    <t>0    267      0      0    106</t>
  </si>
  <si>
    <t>447      0</t>
  </si>
  <si>
    <t>-142      0    363    176    124</t>
  </si>
  <si>
    <t>-1375      0  10518    953    270</t>
  </si>
  <si>
    <t>0  -2624</t>
  </si>
  <si>
    <t>0      0   1545   2389   1088</t>
  </si>
  <si>
    <t>171  -1154</t>
  </si>
  <si>
    <t>0    -69      0  -1520      0</t>
  </si>
  <si>
    <t>0      0      0      0  -1347</t>
  </si>
  <si>
    <t>0   4075</t>
  </si>
  <si>
    <t>-737 -58555      0      0      0</t>
  </si>
  <si>
    <t>1172   1069   3248      0      0</t>
  </si>
  <si>
    <t>0      0    892   -907      0</t>
  </si>
  <si>
    <t>7146   -528   1468   6212   1549</t>
  </si>
  <si>
    <t>436   1843</t>
  </si>
  <si>
    <t>-95   1518   -666      0      0</t>
  </si>
  <si>
    <t>844      0</t>
  </si>
  <si>
    <t>0      0      0   1822      0</t>
  </si>
  <si>
    <t>123  -1753</t>
  </si>
  <si>
    <t>0      0   1002      0      0</t>
  </si>
  <si>
    <t>786  -1429</t>
  </si>
  <si>
    <t>0 -13487</t>
  </si>
  <si>
    <t>12219 -13454 -18670 -17886 -11879</t>
  </si>
  <si>
    <t>521 -13914</t>
  </si>
  <si>
    <t>15327 -12302 -12784 -17856 -18778</t>
  </si>
  <si>
    <t>700  -7075</t>
  </si>
  <si>
    <t>11310 -15340  -9177  -9726 -10142</t>
  </si>
  <si>
    <t>637 -10639</t>
  </si>
  <si>
    <t>575  48214</t>
  </si>
  <si>
    <t>49041  25913  31608  25205  34351</t>
  </si>
  <si>
    <t>530  49936</t>
  </si>
  <si>
    <t>54551  52498  53065  52627  52512</t>
  </si>
  <si>
    <t>276  87733</t>
  </si>
  <si>
    <t>89543    910 -45795   -472   -104</t>
  </si>
  <si>
    <t>158      0</t>
  </si>
  <si>
    <t>0      0    204    107      0</t>
  </si>
  <si>
    <t>-367      0      0     80      0</t>
  </si>
  <si>
    <t>0    755 -38557   -249   -274</t>
  </si>
  <si>
    <t>500   -889</t>
  </si>
  <si>
    <t>0      0      0      0    229</t>
  </si>
  <si>
    <t>52      0      0      0      0</t>
  </si>
  <si>
    <t>0   -109</t>
  </si>
  <si>
    <t>0      0  -1548 -47502      0</t>
  </si>
  <si>
    <t>-1401   -177     65      0      0</t>
  </si>
  <si>
    <t>343     77</t>
  </si>
  <si>
    <t>84   -235    369    282   -243</t>
  </si>
  <si>
    <t>115      0   1546    932    114</t>
  </si>
  <si>
    <t>0   -732</t>
  </si>
  <si>
    <t>-229      0    506    459  -1028</t>
  </si>
  <si>
    <t>0      0   -268   -511      0</t>
  </si>
  <si>
    <t>278    322</t>
  </si>
  <si>
    <t>0      0      0      0   -781</t>
  </si>
  <si>
    <t>0   8852</t>
  </si>
  <si>
    <t>46    359</t>
  </si>
  <si>
    <t>0      0    494    344      0</t>
  </si>
  <si>
    <t>246     84    110      0      0</t>
  </si>
  <si>
    <t>7967    758    125      0  -1766</t>
  </si>
  <si>
    <t>159    490</t>
  </si>
  <si>
    <t>2366   3445   1379  -1372  -1321</t>
  </si>
  <si>
    <t>0  -1392      0  -1699      0</t>
  </si>
  <si>
    <t>0      0   -578      0   2288</t>
  </si>
  <si>
    <t>210   -922</t>
  </si>
  <si>
    <t>430   -433</t>
  </si>
  <si>
    <t>4183      0      0      0      0</t>
  </si>
  <si>
    <t>1314   -780      0      0      0</t>
  </si>
  <si>
    <t>0  -2285</t>
  </si>
  <si>
    <t>1677   6352   1449   1444   1460</t>
  </si>
  <si>
    <t>-14    226</t>
  </si>
  <si>
    <t>-685      0      0    693      0</t>
  </si>
  <si>
    <t>109   8122</t>
  </si>
  <si>
    <t>0   -218      0  -1782  -3765</t>
  </si>
  <si>
    <t>0   1266</t>
  </si>
  <si>
    <t>16992 -17332 -20765  -2572  -1118</t>
  </si>
  <si>
    <t>933  -2516</t>
  </si>
  <si>
    <t>10334 -10884  -7316      0 -16619</t>
  </si>
  <si>
    <t>712 -19945</t>
  </si>
  <si>
    <t>22526 -22010 -14733 -21751 -16422</t>
  </si>
  <si>
    <t>803 -11561</t>
  </si>
  <si>
    <t>15442 -22000 -22443 -20821  -4572</t>
  </si>
  <si>
    <t>850  -9282</t>
  </si>
  <si>
    <t>638  -5548</t>
  </si>
  <si>
    <t>-4475  -5239  -3866  -4872  46007</t>
  </si>
  <si>
    <t>578  55368</t>
  </si>
  <si>
    <t>30640  24583  33528  36870  52633</t>
  </si>
  <si>
    <t>692  51750</t>
  </si>
  <si>
    <t>56197  55633  55304  89067  90291</t>
  </si>
  <si>
    <t>187  92711</t>
  </si>
  <si>
    <t>1982   -148  -1113  -1215  -1638</t>
  </si>
  <si>
    <t>0    394   -265      0      0</t>
  </si>
  <si>
    <t>0      0    276      0   -231</t>
  </si>
  <si>
    <t>894    271   -982  -2004   1169</t>
  </si>
  <si>
    <t>917      0</t>
  </si>
  <si>
    <t>0 -21201  -2107      0   2295</t>
  </si>
  <si>
    <t>4066   2674      0      0  -2027</t>
  </si>
  <si>
    <t>1149   1516    401   1879      0</t>
  </si>
  <si>
    <t>0   2217   2069    -90      0</t>
  </si>
  <si>
    <t>712    941</t>
  </si>
  <si>
    <t>0  -2479   2860  -1405    -26</t>
  </si>
  <si>
    <t>0    661</t>
  </si>
  <si>
    <t>0   -159   -139      0   -234</t>
  </si>
  <si>
    <t>231   -232</t>
  </si>
  <si>
    <t>0      0      0   1293      0</t>
  </si>
  <si>
    <t>198    539</t>
  </si>
  <si>
    <t>232   -545   -260    186  -1211</t>
  </si>
  <si>
    <t>477   4172</t>
  </si>
  <si>
    <t>0 -37974   -302      0    163</t>
  </si>
  <si>
    <t>29   -314      0      0      0</t>
  </si>
  <si>
    <t>535   -154      0   5847   2635</t>
  </si>
  <si>
    <t>-68      0</t>
  </si>
  <si>
    <t>2430   -777   -373   -566      0</t>
  </si>
  <si>
    <t>-156      0   -263      0      0</t>
  </si>
  <si>
    <t>0    744      0   1709    393</t>
  </si>
  <si>
    <t>0      0      0      0   8673</t>
  </si>
  <si>
    <t>537   4748</t>
  </si>
  <si>
    <t>0      0      0      0   2346</t>
  </si>
  <si>
    <t>0    774</t>
  </si>
  <si>
    <t>234      0      0      0      0</t>
  </si>
  <si>
    <t>5196   3496   3003   2544   3699</t>
  </si>
  <si>
    <t>619  -2813</t>
  </si>
  <si>
    <t>0      0      0      0     29</t>
  </si>
  <si>
    <t>50    256</t>
  </si>
  <si>
    <t>0      0   1525      0   4254</t>
  </si>
  <si>
    <t>095      0</t>
  </si>
  <si>
    <t>-590      0   -757  -3938      0</t>
  </si>
  <si>
    <t>395    208</t>
  </si>
  <si>
    <t>3392   3119    932    166   1162</t>
  </si>
  <si>
    <t>585    -50</t>
  </si>
  <si>
    <t>2256    334      0   2753   2457</t>
  </si>
  <si>
    <t>314   2189</t>
  </si>
  <si>
    <t>2641   2027   2923 -15060   2390</t>
  </si>
  <si>
    <t>515   2209</t>
  </si>
  <si>
    <t>3191   3029   1572  -1471     34</t>
  </si>
  <si>
    <t>111  -1160</t>
  </si>
  <si>
    <t>332   -153   -198  -1099  -1396</t>
  </si>
  <si>
    <t>185   -906</t>
  </si>
  <si>
    <t>-703   -748   -617     48    239</t>
  </si>
  <si>
    <t>212     88</t>
  </si>
  <si>
    <t>263    193    955   -455   -417</t>
  </si>
  <si>
    <t>238    872</t>
  </si>
  <si>
    <t>377    465   -178   -130   -122</t>
  </si>
  <si>
    <t>278  -1354</t>
  </si>
  <si>
    <t>-5418   -778   -950   1214    927</t>
  </si>
  <si>
    <t>0   -205    -59      0      0</t>
  </si>
  <si>
    <t>0      0    129      0     95</t>
  </si>
  <si>
    <t>0    843</t>
  </si>
  <si>
    <t>-213    180    -78   -638   -156</t>
  </si>
  <si>
    <t>0      0      0    -55      0</t>
  </si>
  <si>
    <t>0  -1403   -132      0   2261</t>
  </si>
  <si>
    <t>675   -443      0      0    479</t>
  </si>
  <si>
    <t>331      0</t>
  </si>
  <si>
    <t>-1073   -133    144    542      0</t>
  </si>
  <si>
    <t>0     28   -770    718      0</t>
  </si>
  <si>
    <t>916  -1493</t>
  </si>
  <si>
    <t>0   1949   2942   3066    284</t>
  </si>
  <si>
    <t>0   -160    203      0   -278</t>
  </si>
  <si>
    <t>258    708</t>
  </si>
  <si>
    <t>256   -350</t>
  </si>
  <si>
    <t>-672  -2058   7157   6967   1676</t>
  </si>
  <si>
    <t>513   1844</t>
  </si>
  <si>
    <t>0    657    394      0    165</t>
  </si>
  <si>
    <t>70   -775      0      0      0</t>
  </si>
  <si>
    <t>-273   1137      0   -581   -184</t>
  </si>
  <si>
    <t>969      0</t>
  </si>
  <si>
    <t>348     31    527    197      0</t>
  </si>
  <si>
    <t>-97      0</t>
  </si>
  <si>
    <t>128      0   -484      0      0</t>
  </si>
  <si>
    <t>0     49      0   -123   -164</t>
  </si>
  <si>
    <t>60      0</t>
  </si>
  <si>
    <t>882    440</t>
  </si>
  <si>
    <t>0      0      0      0   -182</t>
  </si>
  <si>
    <t>12368      0      0      0      0</t>
  </si>
  <si>
    <t>-1047   3125 -12268 -11310  -2633</t>
  </si>
  <si>
    <t>887  -4306</t>
  </si>
  <si>
    <t>0      0      0      0    593</t>
  </si>
  <si>
    <t>147    387</t>
  </si>
  <si>
    <t>0      0 -47588      0  -1586</t>
  </si>
  <si>
    <t>057      0</t>
  </si>
  <si>
    <t>-1235      0   -534   -239      0</t>
  </si>
  <si>
    <t>122    855</t>
  </si>
  <si>
    <t>4190   1139   4022  -6004    109</t>
  </si>
  <si>
    <t>332      7</t>
  </si>
  <si>
    <t>457  -1565      0    858   1388</t>
  </si>
  <si>
    <t>358    959</t>
  </si>
  <si>
    <t>685    266    345   3323    646</t>
  </si>
  <si>
    <t>99    456</t>
  </si>
  <si>
    <t>-100    -59    356  -3340  -3421</t>
  </si>
  <si>
    <t>936  -2636</t>
  </si>
  <si>
    <t>-104   -487   -901  -2103   1976</t>
  </si>
  <si>
    <t>828   1062</t>
  </si>
  <si>
    <t>420   1177    435   -121    117</t>
  </si>
  <si>
    <t>205    177</t>
  </si>
  <si>
    <t>-124     88    355    171    124</t>
  </si>
  <si>
    <t>484    177</t>
  </si>
  <si>
    <t>-1358    -94   -257   -584    445</t>
  </si>
  <si>
    <t>0      0    139   -156      0</t>
  </si>
  <si>
    <t>52      0      0    -47      0</t>
  </si>
  <si>
    <t>0   -265   -236    274   -304</t>
  </si>
  <si>
    <t>599   1136</t>
  </si>
  <si>
    <t>0      0      0      0     48</t>
  </si>
  <si>
    <t>166      0      0      0      0</t>
  </si>
  <si>
    <t>0    514</t>
  </si>
  <si>
    <t>0      0   -557   -495      0</t>
  </si>
  <si>
    <t>-3763  -1127    152      0      0</t>
  </si>
  <si>
    <t>356   -150</t>
  </si>
  <si>
    <t>1774      0   1044  -1320     63</t>
  </si>
  <si>
    <t>0   3834</t>
  </si>
  <si>
    <t>468      0    700   3490  -1652</t>
  </si>
  <si>
    <t>372      0</t>
  </si>
  <si>
    <t>0      0    214    199      0</t>
  </si>
  <si>
    <t>73   -294</t>
  </si>
  <si>
    <t>0      0      0      0  -3177</t>
  </si>
  <si>
    <t>0  -1185</t>
  </si>
  <si>
    <t>2387     31    548   1015   1111</t>
  </si>
  <si>
    <t>879   1236</t>
  </si>
  <si>
    <t>0      0   -360  -2844      0</t>
  </si>
  <si>
    <t>-296   -242    390      0      0</t>
  </si>
  <si>
    <t>-68  -2058   -500      0   4651</t>
  </si>
  <si>
    <t>852   -136</t>
  </si>
  <si>
    <t>386   2191  -1192   -421    332</t>
  </si>
  <si>
    <t>0    -19</t>
  </si>
  <si>
    <t>0      0      0   -142      0</t>
  </si>
  <si>
    <t>0      0  -4792      0  -1930</t>
  </si>
  <si>
    <t>704    213</t>
  </si>
  <si>
    <t>880  -3110</t>
  </si>
  <si>
    <t>-1550      0      0      0      0</t>
  </si>
  <si>
    <t>482    158      0      0      0</t>
  </si>
  <si>
    <t>0  -1995</t>
  </si>
  <si>
    <t>645   -599   1128    942    359</t>
  </si>
  <si>
    <t>904   1673</t>
  </si>
  <si>
    <t>690    109</t>
  </si>
  <si>
    <t>-982      0      0     75      0</t>
  </si>
  <si>
    <t>250   2109</t>
  </si>
  <si>
    <t>0   -612      0   -813  -3168</t>
  </si>
  <si>
    <t>-297      0      0      0      0</t>
  </si>
  <si>
    <t>-318    198   -207    812   -642</t>
  </si>
  <si>
    <t>748    295</t>
  </si>
  <si>
    <t>-415    -92   -736      0   -726</t>
  </si>
  <si>
    <t>146    149</t>
  </si>
  <si>
    <t>94    160    128    238    116</t>
  </si>
  <si>
    <t>231    230</t>
  </si>
  <si>
    <t>50     13    -14    196    132</t>
  </si>
  <si>
    <t>893   -775</t>
  </si>
  <si>
    <t>365  -2051</t>
  </si>
  <si>
    <t>-1355  -2397  -1006  -2249    272</t>
  </si>
  <si>
    <t>469    482</t>
  </si>
  <si>
    <t>338    121    269    385    -83</t>
  </si>
  <si>
    <t>-61     24</t>
  </si>
  <si>
    <t>-36    -28     42    455    403</t>
  </si>
  <si>
    <t>342    162</t>
  </si>
  <si>
    <t>173  11443    539  -1911   -784</t>
  </si>
  <si>
    <t>629   -205</t>
  </si>
  <si>
    <t>197      0      0      0   -166</t>
  </si>
  <si>
    <t>414      0</t>
  </si>
  <si>
    <t>0      0   1416      0      0</t>
  </si>
  <si>
    <t>503    273      0   -904   -754</t>
  </si>
  <si>
    <t>998   -767</t>
  </si>
  <si>
    <t>-699      0      0      0      0</t>
  </si>
  <si>
    <t>0   -128</t>
  </si>
  <si>
    <t>373      0   -428      0      0</t>
  </si>
  <si>
    <t>1485  -3153      0      0   6907</t>
  </si>
  <si>
    <t>0      0   7257    272   -480</t>
  </si>
  <si>
    <t>1483   2009    610   1536   1530</t>
  </si>
  <si>
    <t>688   2370</t>
  </si>
  <si>
    <t>0      0  -7133      0  -2021</t>
  </si>
  <si>
    <t>473  -1676</t>
  </si>
  <si>
    <t>705   2986   2356      0  -3485</t>
  </si>
  <si>
    <t>812   -170</t>
  </si>
  <si>
    <t>2243      0      0      0    -68</t>
  </si>
  <si>
    <t>-47      0      0      0      0</t>
  </si>
  <si>
    <t>0   1282</t>
  </si>
  <si>
    <t>-456      0     54     57     46</t>
  </si>
  <si>
    <t>746   1343</t>
  </si>
  <si>
    <t>0    158      0      0   2186</t>
  </si>
  <si>
    <t>74      0    -90    240     60</t>
  </si>
  <si>
    <t>1299      0  -1035    622   -197</t>
  </si>
  <si>
    <t>0   1342</t>
  </si>
  <si>
    <t>0      0  -2222  -9559   -117</t>
  </si>
  <si>
    <t>184   -224</t>
  </si>
  <si>
    <t>0    -24      0   -216      0</t>
  </si>
  <si>
    <t>-95      0</t>
  </si>
  <si>
    <t>0      0      0      0   1665</t>
  </si>
  <si>
    <t>0    838</t>
  </si>
  <si>
    <t>743   1711      0      0      0</t>
  </si>
  <si>
    <t>-101   -588   4643      0      0</t>
  </si>
  <si>
    <t>0      0    -45   -804      0</t>
  </si>
  <si>
    <t>-2816    134  -1338   -157  -2020</t>
  </si>
  <si>
    <t>723  -5634</t>
  </si>
  <si>
    <t>363  -1341   1110      0      0</t>
  </si>
  <si>
    <t>793      0</t>
  </si>
  <si>
    <t>0      0      0    543      0</t>
  </si>
  <si>
    <t>399  13356</t>
  </si>
  <si>
    <t>0      0    611      0      0</t>
  </si>
  <si>
    <t>515   1907   1230    880     78</t>
  </si>
  <si>
    <t>022    -33</t>
  </si>
  <si>
    <t>-3195   2704   1406    -56  12074</t>
  </si>
  <si>
    <t>0   1924</t>
  </si>
  <si>
    <t>824    718    236    108    627</t>
  </si>
  <si>
    <t>-61    679</t>
  </si>
  <si>
    <t>195    -33    926    816    933</t>
  </si>
  <si>
    <t>390  -1401</t>
  </si>
  <si>
    <t>3199   5770  -3985   -376   -410</t>
  </si>
  <si>
    <t>275  -1404</t>
  </si>
  <si>
    <t>4260   1570   1109   4256    460</t>
  </si>
  <si>
    <t>338    495</t>
  </si>
  <si>
    <t>-328    721    918    907    844</t>
  </si>
  <si>
    <t>874    745</t>
  </si>
  <si>
    <t>493    410     91    310    -34</t>
  </si>
  <si>
    <t>439    309</t>
  </si>
  <si>
    <t>280   -779   -733  -7937   3979</t>
  </si>
  <si>
    <t>867  -1079</t>
  </si>
  <si>
    <t>648      0      0    -71      0</t>
  </si>
  <si>
    <t>124      0   -165    745    530</t>
  </si>
  <si>
    <t>0   -902</t>
  </si>
  <si>
    <t>-1006  -1231      0    238      0</t>
  </si>
  <si>
    <t>0      0      0   -199      0</t>
  </si>
  <si>
    <t>0    -69      0    161   1001</t>
  </si>
  <si>
    <t>-5370      0      0      0      0</t>
  </si>
  <si>
    <t>764   -175</t>
  </si>
  <si>
    <t>354    285      0  -1258  -1564</t>
  </si>
  <si>
    <t>520   -683</t>
  </si>
  <si>
    <t>0 -12896   1159   -623  -3968</t>
  </si>
  <si>
    <t>810      0</t>
  </si>
  <si>
    <t>690      0   -724  15024      0</t>
  </si>
  <si>
    <t>311    886    241    284      0</t>
  </si>
  <si>
    <t>0  -4037    554   -612      0</t>
  </si>
  <si>
    <t>015   1350</t>
  </si>
  <si>
    <t>560   1649  -3169      0    211</t>
  </si>
  <si>
    <t>-81      0      0    273      0</t>
  </si>
  <si>
    <t>547    149</t>
  </si>
  <si>
    <t>0      0      0 -15347      0</t>
  </si>
  <si>
    <t>004    168</t>
  </si>
  <si>
    <t>-1272    801      0      0      0</t>
  </si>
  <si>
    <t>695   2051</t>
  </si>
  <si>
    <t>0   7694      0      0   -226</t>
  </si>
  <si>
    <t>0    268</t>
  </si>
  <si>
    <t>-1566   -495      0 -14941    197</t>
  </si>
  <si>
    <t>-4060   1573   -815  -2037  -1464</t>
  </si>
  <si>
    <t>-1520      0   -335      0      0</t>
  </si>
  <si>
    <t>274    808</t>
  </si>
  <si>
    <t>0 -17549      0  -2391  -1521</t>
  </si>
  <si>
    <t>949   -412</t>
  </si>
  <si>
    <t>-788  -5419   3702      0      0</t>
  </si>
  <si>
    <t>726      0</t>
  </si>
  <si>
    <t>-992  18665      0      0      0</t>
  </si>
  <si>
    <t>0    999</t>
  </si>
  <si>
    <t>0    215   -421    -87  -1687</t>
  </si>
  <si>
    <t>117  -3155</t>
  </si>
  <si>
    <t>-470   -242    126  -2734  -3764</t>
  </si>
  <si>
    <t>355  -2557</t>
  </si>
  <si>
    <t>-829  -1195   -502   1221   5105</t>
  </si>
  <si>
    <t>831   -346</t>
  </si>
  <si>
    <t>-221  -1381   -994   -468   3540</t>
  </si>
  <si>
    <t>699   -352</t>
  </si>
  <si>
    <t>15085 -15067 -15032 -15784 -15279</t>
  </si>
  <si>
    <t>621  -9449</t>
  </si>
  <si>
    <t>38575  35366  25387  38280  41426</t>
  </si>
  <si>
    <t>882  40232</t>
  </si>
  <si>
    <t>794    646    970    124    123</t>
  </si>
  <si>
    <t>87     87</t>
  </si>
  <si>
    <t>767    253     28    521    483</t>
  </si>
  <si>
    <t>328    367</t>
  </si>
  <si>
    <t>535    162    591    626   5597</t>
  </si>
  <si>
    <t>592 -40292</t>
  </si>
  <si>
    <t>245     59</t>
  </si>
  <si>
    <t>0      0  -1113      0      0</t>
  </si>
  <si>
    <t>0    -75</t>
  </si>
  <si>
    <t>0   -242    277    709      0</t>
  </si>
  <si>
    <t>266    451</t>
  </si>
  <si>
    <t>-1286      0    587      0      0</t>
  </si>
  <si>
    <t>0      0    161      0   -262</t>
  </si>
  <si>
    <t>672      0   -316    374      0</t>
  </si>
  <si>
    <t>0  -9015</t>
  </si>
  <si>
    <t>0      0      0      0 -10606</t>
  </si>
  <si>
    <t>889   4487</t>
  </si>
  <si>
    <t>408      0    403   1812     52</t>
  </si>
  <si>
    <t>929   3986</t>
  </si>
  <si>
    <t>0      0      0      0   9678</t>
  </si>
  <si>
    <t>0  23853</t>
  </si>
  <si>
    <t>-416   3654   -145   -524   -449</t>
  </si>
  <si>
    <t>0  -1910</t>
  </si>
  <si>
    <t>0    157 -44403      0      0</t>
  </si>
  <si>
    <t>0    -15</t>
  </si>
  <si>
    <t>-126     92   -364      0      0</t>
  </si>
  <si>
    <t>2706    -80   -186      0      9</t>
  </si>
  <si>
    <t>287   -219</t>
  </si>
  <si>
    <t>-2107   5018      0   -133      0</t>
  </si>
  <si>
    <t>0 -44720</t>
  </si>
  <si>
    <t>0      0    130      0    245</t>
  </si>
  <si>
    <t>236   -430</t>
  </si>
  <si>
    <t>0      0   6816      0   1571</t>
  </si>
  <si>
    <t>113   -111</t>
  </si>
  <si>
    <t>369      0      0      0  -1623</t>
  </si>
  <si>
    <t>721  -1308</t>
  </si>
  <si>
    <t>34026      0      0   -153      0</t>
  </si>
  <si>
    <t>0   4534</t>
  </si>
  <si>
    <t>-136      0  -2214   -126      0</t>
  </si>
  <si>
    <t>544   3450   3067   1934 -29735</t>
  </si>
  <si>
    <t>0    807      0      0   1706</t>
  </si>
  <si>
    <t>5985      0   3726    701   2871</t>
  </si>
  <si>
    <t>535    244</t>
  </si>
  <si>
    <t>68  -2886      0      0      0</t>
  </si>
  <si>
    <t>655      0      0      0      0</t>
  </si>
  <si>
    <t>0      0      0      0    295</t>
  </si>
  <si>
    <t>1294    813   -131   3431   2221</t>
  </si>
  <si>
    <t>606   2460</t>
  </si>
  <si>
    <t>-216     43  -3701   1638    967</t>
  </si>
  <si>
    <t>756   2721</t>
  </si>
  <si>
    <t>1640   1450   1650 -17958   2130</t>
  </si>
  <si>
    <t>967   1615</t>
  </si>
  <si>
    <t>1080   1535   1813 -11219    -15</t>
  </si>
  <si>
    <t>699   1661</t>
  </si>
  <si>
    <t>619    460    709   -225  -1124</t>
  </si>
  <si>
    <t>513   1000</t>
  </si>
  <si>
    <t>164    -25</t>
  </si>
  <si>
    <t>-226    578   -102      3    276</t>
  </si>
  <si>
    <t>304    200</t>
  </si>
  <si>
    <t>331     19</t>
  </si>
  <si>
    <t>0   -719    299   -195   -336</t>
  </si>
  <si>
    <t>0      0    -35    102      0</t>
  </si>
  <si>
    <t>-7758      0      0   1197      0</t>
  </si>
  <si>
    <t>980      0</t>
  </si>
  <si>
    <t>0  -1098     41    530    907</t>
  </si>
  <si>
    <t>877   1132</t>
  </si>
  <si>
    <t>0      0      0      0   -249</t>
  </si>
  <si>
    <t>0   -540</t>
  </si>
  <si>
    <t>0      0    287   -569      0</t>
  </si>
  <si>
    <t>042      0</t>
  </si>
  <si>
    <t>808     12   -344      0      0</t>
  </si>
  <si>
    <t>268   -207</t>
  </si>
  <si>
    <t>81   -622    429    271    -79</t>
  </si>
  <si>
    <t>5      0    559   -167    757</t>
  </si>
  <si>
    <t>0   -407</t>
  </si>
  <si>
    <t>4185      0   1671   1842   2469</t>
  </si>
  <si>
    <t>45      0</t>
  </si>
  <si>
    <t>0      0   -192    200      0</t>
  </si>
  <si>
    <t>430   1223</t>
  </si>
  <si>
    <t>0      0      0      0   -103</t>
  </si>
  <si>
    <t>0    697</t>
  </si>
  <si>
    <t>146    205  -2197   4308   4328</t>
  </si>
  <si>
    <t>841   1384</t>
  </si>
  <si>
    <t>0      0    845    311      0</t>
  </si>
  <si>
    <t>515    450   -734      0      0</t>
  </si>
  <si>
    <t>-1057   -197   1209      0    463</t>
  </si>
  <si>
    <t>141  -1312</t>
  </si>
  <si>
    <t>541    374    334    231    192</t>
  </si>
  <si>
    <t>0    324</t>
  </si>
  <si>
    <t>0     15      0   -286      0</t>
  </si>
  <si>
    <t>0      0    -77      0    391</t>
  </si>
  <si>
    <t>5    354</t>
  </si>
  <si>
    <t>518     91</t>
  </si>
  <si>
    <t>173      0      0      0      0</t>
  </si>
  <si>
    <t>259      0</t>
  </si>
  <si>
    <t>-72  -3449      0      0      0</t>
  </si>
  <si>
    <t>0    -91</t>
  </si>
  <si>
    <t>-97   -696    663    520    878</t>
  </si>
  <si>
    <t>094   -230</t>
  </si>
  <si>
    <t>245   -150</t>
  </si>
  <si>
    <t>-906      0      0    713      0</t>
  </si>
  <si>
    <t>221   -437</t>
  </si>
  <si>
    <t>0  -1217      0   -692  -1693</t>
  </si>
  <si>
    <t>48648      0      0      0      0</t>
  </si>
  <si>
    <t>0   4312</t>
  </si>
  <si>
    <t>-193   -178  -1908  -9418  15534</t>
  </si>
  <si>
    <t>103   -630</t>
  </si>
  <si>
    <t>-998  -1282   4391      0   -226</t>
  </si>
  <si>
    <t>908   -767</t>
  </si>
  <si>
    <t>-270   -175   -202   -368   1515</t>
  </si>
  <si>
    <t>214   -196</t>
  </si>
  <si>
    <t>264    386    538     89    296</t>
  </si>
  <si>
    <t>602   2187</t>
  </si>
  <si>
    <t>352   -323</t>
  </si>
  <si>
    <t>-298   -188   -248   -139    937</t>
  </si>
  <si>
    <t>881    879</t>
  </si>
  <si>
    <t>197    127    403     40   1256</t>
  </si>
  <si>
    <t>246    821</t>
  </si>
  <si>
    <t>282    554    252  -1212   -305</t>
  </si>
  <si>
    <t>-435    199 -31125    -83   -501</t>
  </si>
  <si>
    <t>759      0</t>
  </si>
  <si>
    <t>0   -825</t>
  </si>
  <si>
    <t>-1055      0      0   -262      0</t>
  </si>
  <si>
    <t>819      0   -510    825    440</t>
  </si>
  <si>
    <t>0   5834</t>
  </si>
  <si>
    <t>-8776   1075      0   -240      0</t>
  </si>
  <si>
    <t>0      0      0  -1321      0</t>
  </si>
  <si>
    <t>0   -691      0  -1125  -1925</t>
  </si>
  <si>
    <t>5672      0      0      0      0</t>
  </si>
  <si>
    <t>391    528</t>
  </si>
  <si>
    <t>705    653      0    316   4626</t>
  </si>
  <si>
    <t>825   3859</t>
  </si>
  <si>
    <t>0   1181   2294   -507   -818</t>
  </si>
  <si>
    <t>555      0</t>
  </si>
  <si>
    <t>-145      0   -344   6317      0</t>
  </si>
  <si>
    <t>-602   1379    -73   -567      0</t>
  </si>
  <si>
    <t>0  -2285   -445   -196      0</t>
  </si>
  <si>
    <t>300   -441</t>
  </si>
  <si>
    <t>2562    513 -26887      0   -151</t>
  </si>
  <si>
    <t>137      0      0    -52      0</t>
  </si>
  <si>
    <t>570   -175</t>
  </si>
  <si>
    <t>0      0      0  -3262      0</t>
  </si>
  <si>
    <t>273   -215</t>
  </si>
  <si>
    <t>1397   -302      0      0      0</t>
  </si>
  <si>
    <t>725 -20956</t>
  </si>
  <si>
    <t>0   4072      0      0    -46</t>
  </si>
  <si>
    <t>0   -598</t>
  </si>
  <si>
    <t>-148     86      0   2519   -553</t>
  </si>
  <si>
    <t>26177   1124    234    105    376</t>
  </si>
  <si>
    <t>346      0</t>
  </si>
  <si>
    <t>-658      0   -406      0      0</t>
  </si>
  <si>
    <t>227   -111</t>
  </si>
  <si>
    <t>0  -3107      0    986   -897</t>
  </si>
  <si>
    <t>634  -2043</t>
  </si>
  <si>
    <t>-1657   -764  17712      0      0</t>
  </si>
  <si>
    <t>140     15    -65    -58    123</t>
  </si>
  <si>
    <t>1476   -448      0      0      0</t>
  </si>
  <si>
    <t>0    225</t>
  </si>
  <si>
    <t>0    144  -2042    394   2027</t>
  </si>
  <si>
    <t>597  -2545</t>
  </si>
  <si>
    <t>12502   4576   2126   2867   5964</t>
  </si>
  <si>
    <t>090   7251</t>
  </si>
  <si>
    <t>88    132    572   1055    465</t>
  </si>
  <si>
    <t>410    551</t>
  </si>
  <si>
    <t>493    954    335     -1    591</t>
  </si>
  <si>
    <t>211   -512</t>
  </si>
  <si>
    <t>32  -1166   -530   -785   -294</t>
  </si>
  <si>
    <t>083   4151</t>
  </si>
  <si>
    <t>301    200    267   -247     95</t>
  </si>
  <si>
    <t>29    133</t>
  </si>
  <si>
    <t>415  -3755</t>
  </si>
  <si>
    <t>-109   -104   1627  -1318  -1152</t>
  </si>
  <si>
    <t>375  -1388</t>
  </si>
  <si>
    <t>894  -5043</t>
  </si>
  <si>
    <t>4053      0 -13929   3533      0</t>
  </si>
  <si>
    <t>214  22926</t>
  </si>
  <si>
    <t>0      0    302      0      0</t>
  </si>
  <si>
    <t>0   -121</t>
  </si>
  <si>
    <t>0      0      0      0    271</t>
  </si>
  <si>
    <t>0     24    167    -38      0</t>
  </si>
  <si>
    <t>494  18037</t>
  </si>
  <si>
    <t>1508      0   -247      0      0</t>
  </si>
  <si>
    <t>0      0    246      0     86</t>
  </si>
  <si>
    <t>134      0    494     96      0</t>
  </si>
  <si>
    <t>0   4913</t>
  </si>
  <si>
    <t>0      0      0      0   5918</t>
  </si>
  <si>
    <t>457  -1333</t>
  </si>
  <si>
    <t>-349      0   -541  -1103   -575</t>
  </si>
  <si>
    <t>546  -3139</t>
  </si>
  <si>
    <t>0      0      0      0  -4676</t>
  </si>
  <si>
    <t>0 -11108</t>
  </si>
  <si>
    <t>2893  17272   -181    246   -755</t>
  </si>
  <si>
    <t>0   1333</t>
  </si>
  <si>
    <t>0   -108  15819      0      0</t>
  </si>
  <si>
    <t>0    252</t>
  </si>
  <si>
    <t>-398   -163    352      0      0</t>
  </si>
  <si>
    <t>22407    -27    -68      0   3006</t>
  </si>
  <si>
    <t>470    226</t>
  </si>
  <si>
    <t>1971  -3396      0   -254      0</t>
  </si>
  <si>
    <t>0  16104</t>
  </si>
  <si>
    <t>0      0    148      0   -232</t>
  </si>
  <si>
    <t>227    461</t>
  </si>
  <si>
    <t>0      0  -5000      0 -20419</t>
  </si>
  <si>
    <t>473   -210</t>
  </si>
  <si>
    <t>67      0      0      0   1550</t>
  </si>
  <si>
    <t>497   2895</t>
  </si>
  <si>
    <t>11188      0      0     57      0</t>
  </si>
  <si>
    <t>0  -2814</t>
  </si>
  <si>
    <t>-296      0   3430  16955      0</t>
  </si>
  <si>
    <t>-411  -1319  -1420   -691  10472</t>
  </si>
  <si>
    <t>0    -85      0      0   -775</t>
  </si>
  <si>
    <t>-4265      0 -16284   -819  -1363</t>
  </si>
  <si>
    <t>387    261</t>
  </si>
  <si>
    <t>-313    994      0      0      0</t>
  </si>
  <si>
    <t>398    267    268    137   1097</t>
  </si>
  <si>
    <t>-561      0      0      0      0</t>
  </si>
  <si>
    <t>0      0      0      0   2251</t>
  </si>
  <si>
    <t>-2790    295    392   3425   5605</t>
  </si>
  <si>
    <t>215   5691</t>
  </si>
  <si>
    <t>117   -333   5970   2798    898</t>
  </si>
  <si>
    <t>186   -587</t>
  </si>
  <si>
    <t>1252   1304   1652   8581   2102</t>
  </si>
  <si>
    <t>210   1566</t>
  </si>
  <si>
    <t>1150   1654   1637   5562   2456</t>
  </si>
  <si>
    <t>043   2010</t>
  </si>
  <si>
    <t>344    360    478    112    847</t>
  </si>
  <si>
    <t>125   -131</t>
  </si>
  <si>
    <t>625   -369</t>
  </si>
  <si>
    <t>44648 -40699 -31765 -17465 -21775</t>
  </si>
  <si>
    <t>833 -22049</t>
  </si>
  <si>
    <t>-559   -333   6747    624  -2492</t>
  </si>
  <si>
    <t>928  -2059</t>
  </si>
  <si>
    <t>47424 -35993 -30672 -44158 -33857</t>
  </si>
  <si>
    <t>399    675</t>
  </si>
  <si>
    <t>0 -33338  -2237      0   7462</t>
  </si>
  <si>
    <t>persons</t>
  </si>
  <si>
    <t>Survey</t>
  </si>
  <si>
    <t>Model</t>
  </si>
  <si>
    <t>ratio</t>
  </si>
  <si>
    <t>Stops by Destination Purpose (DON'T USE)</t>
  </si>
  <si>
    <t>12 branches/v1.8 version 1828  (SACOG2000)</t>
  </si>
  <si>
    <t>version 4                              8:21:35 on 26 Jun 12</t>
  </si>
  <si>
    <t>4197219E+05  -.604486497067E+05  -.321831544626E+05</t>
  </si>
  <si>
    <t>1561  -4872 -12810  13822  -1674  -7440   6372  25945</t>
  </si>
  <si>
    <t>0      0      0      0      0      0      0      0</t>
  </si>
  <si>
    <t>3137   5041   5910    558      0      0      0      0</t>
  </si>
  <si>
    <t>0      0      0 -26066  -4132 -12339  -6961   9380</t>
  </si>
  <si>
    <t>-175      0      0      0  -6748   -491  -8214  -2854</t>
  </si>
  <si>
    <t>0   3601      0      0      0  16425      0      0</t>
  </si>
  <si>
    <t>3753  -4058    430    264      0      0  -2867      0</t>
  </si>
  <si>
    <t>1804    235      0      0      0      0      0      0</t>
  </si>
  <si>
    <t>7763  -1595  -2366  -6857      0      0   -455      0</t>
  </si>
  <si>
    <t>-593  -2164      0      0      0      0      0      0</t>
  </si>
  <si>
    <t>0      0      0      0  -6981  46889    692    451</t>
  </si>
  <si>
    <t>0   -791      0      0      0     61    284      0</t>
  </si>
  <si>
    <t>0      0      0    971      0      0 -97457      0</t>
  </si>
  <si>
    <t>0      0      0    659   3964    143      4    438</t>
  </si>
  <si>
    <t>37      0      0      0   -186    586      0      0</t>
  </si>
  <si>
    <t>0      0   -226      0      0 -31640      0  31397</t>
  </si>
  <si>
    <t>2944   3037   2337   2447      0      0   3686      0</t>
  </si>
  <si>
    <t>2960  -3815      0      0      0      0      0      0</t>
  </si>
  <si>
    <t>0    417      0    -16      0    376 -34558  -4878</t>
  </si>
  <si>
    <t>8751      0      0  -5470      0      0      0   3093</t>
  </si>
  <si>
    <t>0      0      0      0      0   6779      0      0</t>
  </si>
  <si>
    <t>347      0     53 -13253      0      0      0      0</t>
  </si>
  <si>
    <t>0      0      0   5483 -14960  -2992  21916  17511</t>
  </si>
  <si>
    <t>-325      0      0      0    937  -1184      0      0</t>
  </si>
  <si>
    <t>0      0   -244      0      0   6580      0  -6563</t>
  </si>
  <si>
    <t>2341    542      0     45  26187    -27  -3739  -3037</t>
  </si>
  <si>
    <t>124      0      0      0     66     64      0      0</t>
  </si>
  <si>
    <t>0      0    239      0      0   1369      0  -1345</t>
  </si>
  <si>
    <t>309     16      0  15659  -2043  11828   2853 -10523</t>
  </si>
  <si>
    <t>0    233      0      0      0   -823    530      0</t>
  </si>
  <si>
    <t>0      0      0    540      0      0  -7369      0</t>
  </si>
  <si>
    <t>238    364  -1017      0 -68514 -12889  -2616  12359</t>
  </si>
  <si>
    <t>7865      0      0    191      0      0      0   -868</t>
  </si>
  <si>
    <t>0      0      0      0      0    228      0      0</t>
  </si>
  <si>
    <t>7180      0    306    713   -718      0 -72122 -13186</t>
  </si>
  <si>
    <t>4826   3267 -21171 -16959      0      0    393      0</t>
  </si>
  <si>
    <t>1079   1243      0      0      0      0      0      0</t>
  </si>
  <si>
    <t>0  -6529      0   6485      0    217   1223   -735</t>
  </si>
  <si>
    <t>4166  65663  70171  -2017  12063   2361 -17832 -14780</t>
  </si>
  <si>
    <t>137      0      0      0   -894   1069      0      0</t>
  </si>
  <si>
    <t>0      0   -262      0      0  -4028      0   3885</t>
  </si>
  <si>
    <t>943   -683      0 -63562 -11388  51027  53390  63202</t>
  </si>
  <si>
    <t>0      0      0      0    -56   -292    -12   -319</t>
  </si>
  <si>
    <t>0   -265      0      0      0   -201    148      0</t>
  </si>
  <si>
    <t>0      0      0    237      0      0    741      0</t>
  </si>
  <si>
    <t>26    -86   -120      0 -14632  -3579   2179    159</t>
  </si>
  <si>
    <t>0   -330   1602   -187   -632   -418      0      0</t>
  </si>
  <si>
    <t>0      0   -281   3731      0      0      0      0</t>
  </si>
  <si>
    <t>177      0      0  -2714      0   2809      0    108</t>
  </si>
  <si>
    <t>0  -5909  -1822  -2404   6675   6789   6933      0</t>
  </si>
  <si>
    <t>2072   -308   5431   3518      0      0    -99      0</t>
  </si>
  <si>
    <t>12   -176      0      0      0      0      0      0</t>
  </si>
  <si>
    <t>0    356      0   -372      0    -38    150   1075</t>
  </si>
  <si>
    <t>7712 -25609   9643  21112  16044      0   4806      0</t>
  </si>
  <si>
    <t>0      0  -1837      0      0      0      0      0</t>
  </si>
  <si>
    <t>0      0      0      0   -137    182     60  -1547</t>
  </si>
  <si>
    <t>0    235      0      0      0     49    135      0</t>
  </si>
  <si>
    <t>0      0      0     86      0      0    687      0</t>
  </si>
  <si>
    <t>4    -34    -11      0 -21453  -5960  -2159  16995</t>
  </si>
  <si>
    <t>0   -133      0      0      0      0      0   6848</t>
  </si>
  <si>
    <t>0  27561      0      0      0      0      0      0</t>
  </si>
  <si>
    <t>0      0      0  -1151    354   -247    938   -123</t>
  </si>
  <si>
    <t>734      0      0      0    532     -2      0      0</t>
  </si>
  <si>
    <t>0      0    301      0      0  -1719      0   2117</t>
  </si>
  <si>
    <t>-51    180      0 -24131   -646   5598   7910  14287</t>
  </si>
  <si>
    <t>7575      0      0      0      0      0  -4095      0</t>
  </si>
  <si>
    <t>2400      0  -8227      0      0      0      0      0</t>
  </si>
  <si>
    <t>0      0      0      0    471   -425     97    272</t>
  </si>
  <si>
    <t>0   -407      0      0      0   -228   -155      0</t>
  </si>
  <si>
    <t>0      0      0   -211      0      0   1457      0</t>
  </si>
  <si>
    <t>804   -212   -143      0  -3309 -13628   1720   2301</t>
  </si>
  <si>
    <t>0    989      0      0      0      0      0  -1039</t>
  </si>
  <si>
    <t>0    629      0  -2197      0      0      0      0</t>
  </si>
  <si>
    <t>0  -2203   1682     81  -4131  -3398      0      0</t>
  </si>
  <si>
    <t>0      0    -98     98      0      0      0      0</t>
  </si>
  <si>
    <t>-127      0      0     75      0   -114      0      5</t>
  </si>
  <si>
    <t>0 -20789  -3370   5769    851   1050    580      0</t>
  </si>
  <si>
    <t>0      0      0      0  -1390      0      0      0</t>
  </si>
  <si>
    <t>3688      0      0      0      0      0  -1635      0</t>
  </si>
  <si>
    <t>1621   -157   -320      0      0    619      0      0</t>
  </si>
  <si>
    <t>1596      0      0      0      0      0      0    823</t>
  </si>
  <si>
    <t>186      0   -260      0   -496  -1711   -775      0</t>
  </si>
  <si>
    <t>257    -50  -3836  -3761      0   -148      0      0</t>
  </si>
  <si>
    <t>0   1461      0      0      0  -1242      0   -134</t>
  </si>
  <si>
    <t>0      0      0    186      0    794     -6      0</t>
  </si>
  <si>
    <t>0175    164     30    891      0      0     -5      0</t>
  </si>
  <si>
    <t>32    204      0      0      0      0      0      0</t>
  </si>
  <si>
    <t>0   -187      0    222      0   -369    -96    108</t>
  </si>
  <si>
    <t>5013    128    969   1538   3204      0     64      0</t>
  </si>
  <si>
    <t>0      0  -1384      0      0      0    976      0</t>
  </si>
  <si>
    <t>0      0      0      0   -456      0    435    -68</t>
  </si>
  <si>
    <t>1247      0      0      0      0      0      0      0</t>
  </si>
  <si>
    <t>0      0      0      0  -2750   -384  -1036    209</t>
  </si>
  <si>
    <t>0   -281      0      0      0   2195  -2760      0</t>
  </si>
  <si>
    <t>0      0      0   -549      0      0   -170      0</t>
  </si>
  <si>
    <t>752   1214    733      0   -806   -677   -314   -812</t>
  </si>
  <si>
    <t>0    275      0      0      0      0      0  -1113</t>
  </si>
  <si>
    <t>0   1104      0    337      0      0      0      0</t>
  </si>
  <si>
    <t>0   1293    778      0      0 -14766  -7448      0</t>
  </si>
  <si>
    <t>0      0      0      0  -2194    785  -1218   -606</t>
  </si>
  <si>
    <t>0    -75      0      0      0   1094  -1400      0</t>
  </si>
  <si>
    <t>0      0      0   -903      0      0    242      0</t>
  </si>
  <si>
    <t>208   1273    598      0    476   -426   -735  -1695</t>
  </si>
  <si>
    <t>0    280      0      0      0      0      0     28</t>
  </si>
  <si>
    <t>0    -56      0    329      0      0      0      0</t>
  </si>
  <si>
    <t>0   4245    875      0      0  18896   5861      0</t>
  </si>
  <si>
    <t>0      0      0   -497    -39    101    290    336</t>
  </si>
  <si>
    <t>27      0      0      0    546   -562      0      0</t>
  </si>
  <si>
    <t>0      0    103      0      0    157      0   -320</t>
  </si>
  <si>
    <t>231    191      0     76     61    237    155   -227</t>
  </si>
  <si>
    <t>-36      0      0      0      0      0      0      0</t>
  </si>
  <si>
    <t>-136      0     47      0      0      0      0      0</t>
  </si>
  <si>
    <t>-441    193      0      0   1546    217      0  -8119</t>
  </si>
  <si>
    <t>0      0  -2153   -446    -38    109    110    330</t>
  </si>
  <si>
    <t>-80      0      0      0    434   -341      0      0</t>
  </si>
  <si>
    <t>0      0     81      0      0      6      0    -77</t>
  </si>
  <si>
    <t>179    125      0     93      6    210    313     65</t>
  </si>
  <si>
    <t>198      0      0      0      0      0     58      0</t>
  </si>
  <si>
    <t>-116      0     28      0      0      0      0      0</t>
  </si>
  <si>
    <t>-394    -70      0      0  -1900  -1304      0  -7296</t>
  </si>
  <si>
    <t>0      0  -3423  23961      0      0      0      0</t>
  </si>
  <si>
    <t>-295    307    266   -228      0      0   -246      0</t>
  </si>
  <si>
    <t>240   -480      0      0      0      0      0      0</t>
  </si>
  <si>
    <t>0    -70      0    -13      0    141    182    -83</t>
  </si>
  <si>
    <t>-264    352   -253   -111     28      0    -52      0</t>
  </si>
  <si>
    <t>0      0   -107      0      0      0   -268      0</t>
  </si>
  <si>
    <t>0      0      0      0    312      0    235     20</t>
  </si>
  <si>
    <t>7831  -4716      0 -10396      0      0      0      0</t>
  </si>
  <si>
    <t>8414      0      0   2016    176   -823   -561   -536</t>
  </si>
  <si>
    <t>170      0      0      0  -1168   1158      0      0</t>
  </si>
  <si>
    <t>0      0     65      0      0     77      0     24</t>
  </si>
  <si>
    <t>-765   -365      0    -98   -108   -594   -317   -217</t>
  </si>
  <si>
    <t>83      0      0      0      0      0   -196      0</t>
  </si>
  <si>
    <t>535      0    173      0      0      0      0      0</t>
  </si>
  <si>
    <t>114    258      0      0  -1008  -1269      0  12117</t>
  </si>
  <si>
    <t>0      0   3292   1689  -4329      0      0 -35258</t>
  </si>
  <si>
    <t>0      0      0      0  -1344     14    -93    -84</t>
  </si>
  <si>
    <t>0   -126      0      0      0    338  -1307      0</t>
  </si>
  <si>
    <t>0      0      0    331      0      0   -408      0</t>
  </si>
  <si>
    <t>1053    433    295      0   -725   -140   -269    -16</t>
  </si>
  <si>
    <t>0    119      0      0      0      0      0    334</t>
  </si>
  <si>
    <t>0    274      0    212      0      0      0      0</t>
  </si>
  <si>
    <t>0    195    358      0      0  -4043  -1871      0</t>
  </si>
  <si>
    <t>0      0      0   4570  -5106  -2792      0      0</t>
  </si>
  <si>
    <t>0   -467    156    259    -22  -1017      0      0</t>
  </si>
  <si>
    <t>0      0   -834   -243      0      0      0      0</t>
  </si>
  <si>
    <t>-244      0      0   -458      0    722      0   1365</t>
  </si>
  <si>
    <t>0   -154   -257    -13   -894   -799   -472      0</t>
  </si>
  <si>
    <t>0      0      0      0   -898      0      0      0</t>
  </si>
  <si>
    <t>-32      0      0      0      0      0     94      0</t>
  </si>
  <si>
    <t>0      0 -12455  -8224      0  19580      0      0</t>
  </si>
  <si>
    <t>0935   1584  -2641      0      0   1901   1516      0</t>
  </si>
  <si>
    <t>-31    174   -112   -200      0      0    -30      0</t>
  </si>
  <si>
    <t>-142    416      0      0      0      0      0      0</t>
  </si>
  <si>
    <t>0   -229      0    342      0    684      3     23</t>
  </si>
  <si>
    <t>-88   -169   -354   -315   -290      0     -4      0</t>
  </si>
  <si>
    <t>0      0   -243      0      0      0   -150      0</t>
  </si>
  <si>
    <t>0      0      0      0   -170      0    149    259</t>
  </si>
  <si>
    <t>2278  -1218      0   2025      0      0      0      0</t>
  </si>
  <si>
    <t>3051      0      0   7436  -7559      0   7923   7501</t>
  </si>
  <si>
    <t>-33   -202  -1033      0      0    183      0      0</t>
  </si>
  <si>
    <t>684      0      0      0      0      0      0     84</t>
  </si>
  <si>
    <t>-279      0    480      0    713   -521     23      0</t>
  </si>
  <si>
    <t>-193   -667   -532   -284      0    144      0      0</t>
  </si>
  <si>
    <t>0   -646      0      0      0    718      0    228</t>
  </si>
  <si>
    <t>0      0      0    170      0    476    434      0</t>
  </si>
  <si>
    <t>6517      0  12499      0      0      0      0   9456</t>
  </si>
  <si>
    <t>0      0   8851  -7750      0   7382  20407 -25964</t>
  </si>
  <si>
    <t>-93    551   -704      0      0    -16      0      0</t>
  </si>
  <si>
    <t>-146      0      0      0      0      0      0   -410</t>
  </si>
  <si>
    <t>238      0   -267      0    131      9    196      0</t>
  </si>
  <si>
    <t>-85   -646  -1645    140      0    -12      0      0</t>
  </si>
  <si>
    <t>0    403      0      0      0   2152      0    -47</t>
  </si>
  <si>
    <t>0      0      0    326      0   1135   -132      0</t>
  </si>
  <si>
    <t>4805      0  13508      0      0      0      0  12303</t>
  </si>
  <si>
    <t>0      0   1811   3355      0 -13353   5566  -3157</t>
  </si>
  <si>
    <t>-370   -109    199   -627      0      0    189      0</t>
  </si>
  <si>
    <t>-90    101      0      0      0      0      0      0</t>
  </si>
  <si>
    <t>0    -15      0     31      0    218   -236   -125</t>
  </si>
  <si>
    <t>-624    216   -534   -751    -99      0     35      0</t>
  </si>
  <si>
    <t>0      0   -301      0      0      0    121      0</t>
  </si>
  <si>
    <t>0      0      0      0     61      0    630    261</t>
  </si>
  <si>
    <t>5244  -4175      0  13680      0      0      0      0</t>
  </si>
  <si>
    <t>3647      0      0    491   -965      0 -22093  -1652</t>
  </si>
  <si>
    <t>6903   -258   -180     39    -86  -1141      0      0</t>
  </si>
  <si>
    <t>0      0    491   -690      0      0      0      0</t>
  </si>
  <si>
    <t>191      0      0     58      0    -90      0    -75</t>
  </si>
  <si>
    <t>0   -488   -511   -185   -932   -756   -400      0</t>
  </si>
  <si>
    <t>0      0      0      0  -1066      0      0      0</t>
  </si>
  <si>
    <t>133      0      0      0      0      0    433      0</t>
  </si>
  <si>
    <t>0      0 -17352  -8872      0  27910      0      0</t>
  </si>
  <si>
    <t>4708   -286    495      0      0   1969   -541      0</t>
  </si>
  <si>
    <t>5757  14044  16085  20403      0      0      0      0</t>
  </si>
  <si>
    <t>0      0      0      0  -1598   -661   -774    270</t>
  </si>
  <si>
    <t>0   -537      0      0      0   1073   -558      0</t>
  </si>
  <si>
    <t>0      0      0   -523      0      0    -63      0</t>
  </si>
  <si>
    <t>332    828    461      0  -1353    112   -228    119</t>
  </si>
  <si>
    <t>0     11      0      0      0      0      0  -1284</t>
  </si>
  <si>
    <t>0   1073      0    -59      0      0      0      0</t>
  </si>
  <si>
    <t>0  -1225   -912      0      0 -90958  13287      0</t>
  </si>
  <si>
    <t>0      0      0 -28345  -6544  -2432      0      0</t>
  </si>
  <si>
    <t>0   1328   5307   1642   4704   -326   1450   8955</t>
  </si>
  <si>
    <t>0      0      0    393   -746     56     39  -1052</t>
  </si>
  <si>
    <t>26      0      0      0    -62   -518      0      0</t>
  </si>
  <si>
    <t>0      0    561      0      0     94      0   -122</t>
  </si>
  <si>
    <t>-37   -129      0   2041    554   -183  -1076  -1545</t>
  </si>
  <si>
    <t>-268      0      0      0      0      0   2176      0</t>
  </si>
  <si>
    <t>1513      0   -500      0      0      0      0      0</t>
  </si>
  <si>
    <t>1029   -393      0      0  16869 -73264      0   2481</t>
  </si>
  <si>
    <t>0      0 -12982  -3421  -1943      0      0   3135</t>
  </si>
  <si>
    <t>-371   3849     41   2568   4609   1289   3379      0</t>
  </si>
  <si>
    <t>0      0 -17437      0   -944   -377   -401    -32</t>
  </si>
  <si>
    <t>0    -25      0      0      0    968  -1028      0</t>
  </si>
  <si>
    <t>0      0      0   -115      0      0   -248      0</t>
  </si>
  <si>
    <t>195  -1570    379      0   -335   -417   -107     11</t>
  </si>
  <si>
    <t>0     34      0      0      0      0      0   -422</t>
  </si>
  <si>
    <t>0    317      0    175      0      0      0      0</t>
  </si>
  <si>
    <t>0    302  -1083      0      0  -4774  -2984      0</t>
  </si>
  <si>
    <t>0      0      0  -1444 -10064  -4730      0      0</t>
  </si>
  <si>
    <t>0  -4401  -2578  -2849   -611  -1202    132   1492</t>
  </si>
  <si>
    <t>0      0      0   -305      0    135   -224    -14</t>
  </si>
  <si>
    <t>817      0      0    -47      0      0      0    143</t>
  </si>
  <si>
    <t>0      0      0      0      0   -353      0      0</t>
  </si>
  <si>
    <t>-211      0   -181    365   -283      0     78    368</t>
  </si>
  <si>
    <t>559     65      0   -191      0      0      0      0</t>
  </si>
  <si>
    <t>0      0      0   -426      0   -299      0      0</t>
  </si>
  <si>
    <t>0    -44      0   -571   -294      0      0  -3682</t>
  </si>
  <si>
    <t>1939      0      0      0      0 -12975   1638   1016</t>
  </si>
  <si>
    <t>4246  -2556      0   2490   5943  -3171  -1794  -3956</t>
  </si>
  <si>
    <t>0      0      0      0      0  -5508      0  -1980</t>
  </si>
  <si>
    <t>0      0      0   4947    873   1560   1072   1003</t>
  </si>
  <si>
    <t>352      0      0      0     80   -315      0      0</t>
  </si>
  <si>
    <t>0      0   -141      0      0   -357      0   -441</t>
  </si>
  <si>
    <t>2562   -466      0    675    405    392    234    384</t>
  </si>
  <si>
    <t>-338      0      0      0      0      0   -158      0</t>
  </si>
  <si>
    <t>154      0    -44      0      0      0      0      0</t>
  </si>
  <si>
    <t>30  -1003      0      0   2855    924      0   2253</t>
  </si>
  <si>
    <t>0      0    272    962    201      0      0   -648</t>
  </si>
  <si>
    <t>-60   1058    -35    861    568     67   1191      0</t>
  </si>
  <si>
    <t>0      0    569      0  -1444    -25    347      0</t>
  </si>
  <si>
    <t>-456   -173   -388      0      0     40      0      0</t>
  </si>
  <si>
    <t>-346      0      0      0      0      0      0   -442</t>
  </si>
  <si>
    <t>64      0   -277      0     76  -1110   -665      0</t>
  </si>
  <si>
    <t>-65   -392   -535     49      0    -19      0      0</t>
  </si>
  <si>
    <t>0   -145      0      0      0   -223      0   -157</t>
  </si>
  <si>
    <t>0      0      0   -699      0      2   -255      0</t>
  </si>
  <si>
    <t>0687      0   -374      0      0      0      0    675</t>
  </si>
  <si>
    <t>0      0    124     18      0    164    113    -26</t>
  </si>
  <si>
    <t>93    657      0      0      0      0      0   1851</t>
  </si>
  <si>
    <t>-217    317      0  -1619  -3664     47   8675    -43</t>
  </si>
  <si>
    <t>0   -174      0      0      0   -504    -77      0</t>
  </si>
  <si>
    <t>0      0      0   -141      0      0   -241      0</t>
  </si>
  <si>
    <t>126   1187    500      0  -1452    -99   -231    614</t>
  </si>
  <si>
    <t>0    -32      0      0      0      0      0   -159</t>
  </si>
  <si>
    <t>0    675      0   -118      0      0      0      0</t>
  </si>
  <si>
    <t>0      5    892      0      0    707    140      0</t>
  </si>
  <si>
    <t>0      0      0   -733    202     10      0      0</t>
  </si>
  <si>
    <t>0    120     54     74    -92   -332   -588     84</t>
  </si>
  <si>
    <t>0      0      0   -323      0     80    -88   -205</t>
  </si>
  <si>
    <t>6629 -12515   -160    428    637    364      0      0</t>
  </si>
  <si>
    <t>0      0  -1283   1539      0      0      0      0</t>
  </si>
  <si>
    <t>890      0      0   -184      0    200      0    303</t>
  </si>
  <si>
    <t>0  -3199     94   -292   1289   2489   1538      0</t>
  </si>
  <si>
    <t>0      0      0      0    237      0      0      0</t>
  </si>
  <si>
    <t>196      0      0      0      0      0   -169      0</t>
  </si>
  <si>
    <t>0      0   1837     89      0  -2992      0      0</t>
  </si>
  <si>
    <t>1871    885   -119      0      0     49    384      0</t>
  </si>
  <si>
    <t>77   -800   -957  -1570  -2457      0      0      0</t>
  </si>
  <si>
    <t>-823      0    385    569    189      0 -16566 -13769</t>
  </si>
  <si>
    <t>-319    729    483    850      0      0   -975      0</t>
  </si>
  <si>
    <t>1169    723      0      0      0      0      0      0</t>
  </si>
  <si>
    <t>0    -75      0     40      0   -109   6451   2412</t>
  </si>
  <si>
    <t>32   -100   1242   2139   1307      0    -40      0</t>
  </si>
  <si>
    <t>0      0   -296      0      0      0    667      0</t>
  </si>
  <si>
    <t>0      0      0      0   -157      0   -264   1231</t>
  </si>
  <si>
    <t>1212    629      0  -2856      0      0      0      0</t>
  </si>
  <si>
    <t>124      0      0    -76   -361      0    937    598</t>
  </si>
  <si>
    <t>-339      9   2399      0      0      0      0      0</t>
  </si>
  <si>
    <t>50    145    127      0 -10150  -8077  23996  42001</t>
  </si>
  <si>
    <t>185   -529  10917      0      0   -566      0      0</t>
  </si>
  <si>
    <t>691      0      0      0      0      0      0     53</t>
  </si>
  <si>
    <t>-980      0   1063      0    218   2421    726      0</t>
  </si>
  <si>
    <t>366  10479   1791    525      0   -147      0      0</t>
  </si>
  <si>
    <t>0   -439      0      0      0    -43      0    610</t>
  </si>
  <si>
    <t>0      0      0    -90      0   -841  -3731      0</t>
  </si>
  <si>
    <t>1708      0  -1918      0      0      0      0  -3405</t>
  </si>
  <si>
    <t>0      0   -641    -92      0   -215  -1645   -206</t>
  </si>
  <si>
    <t>1785  -2249      0      0      0      0      0  -1280</t>
  </si>
  <si>
    <t>-203   1449      0  -7644  -6203   8198  21654  11901</t>
  </si>
  <si>
    <t>509    -96    532   2821      0      0   -836      0</t>
  </si>
  <si>
    <t>-814   1224      0      0      0      0      0      0</t>
  </si>
  <si>
    <t>0   -475      0    537      0    159   3768    987</t>
  </si>
  <si>
    <t>1776   -399   3010   6692      6      0   -296      0</t>
  </si>
  <si>
    <t>0      0   -959      0      0      0   1279      0</t>
  </si>
  <si>
    <t>0      0      0      0   -960      0  -2502  -5088</t>
  </si>
  <si>
    <t>4465  -4049      0  -5263      0      0      0      0</t>
  </si>
  <si>
    <t>131      0      0   -604   -222      0   -284  -3520</t>
  </si>
  <si>
    <t>7306  -4345  -4906      0      0      0      0      0</t>
  </si>
  <si>
    <t>7889   -368   3859      0  -9743  -7146  10675  32007</t>
  </si>
  <si>
    <t>5101  -7066    661   -795   -270    -84      0      0</t>
  </si>
  <si>
    <t>0      0   -508   1108      0      0      0      0</t>
  </si>
  <si>
    <t>-823      0      0    -46      0     58      0    216</t>
  </si>
  <si>
    <t>0   -346    635   -747    771    817   3507      0</t>
  </si>
  <si>
    <t>0      0      0      0    -97      0      0      0</t>
  </si>
  <si>
    <t>486      0      0      0      0      0    780      0</t>
  </si>
  <si>
    <t>0      0   1712   1102      0   -490      0      0</t>
  </si>
  <si>
    <t>6771   -167   -613      0      0    -45    826      0</t>
  </si>
  <si>
    <t>-66   -705  -1040  -1028  -1052      0      0      0</t>
  </si>
  <si>
    <t>2530      0   -941   -315    825      0  -8284  -5348</t>
  </si>
  <si>
    <t>9448      0  20796  30491    -42   -109     -9    381</t>
  </si>
  <si>
    <t>0    192      0      0      0     67    125      0</t>
  </si>
  <si>
    <t>0      0      0   -134      0      0   -104      0</t>
  </si>
  <si>
    <t>-23     93     99      0    294    -33    457    -21</t>
  </si>
  <si>
    <t>0   -744      0      0      0      0      0     -7</t>
  </si>
  <si>
    <t>0   -393      0     47      0      0      0      0</t>
  </si>
  <si>
    <t>0    -77    -78      0      0   -318   -125      0</t>
  </si>
  <si>
    <t>0      0      0   -101  -7792    833      0      0</t>
  </si>
  <si>
    <t>0    286   -323     57   -353    687     50   -152</t>
  </si>
  <si>
    <t>0      0      0    563      0    265    943   -469</t>
  </si>
  <si>
    <t>4885  -2637  -7642  -4700      0   1540    674  -2459</t>
  </si>
  <si>
    <t>0      0      0   -504   -198    286     58     12</t>
  </si>
  <si>
    <t>3880      0      0      0     90      6      0      0</t>
  </si>
  <si>
    <t>0      0   -337      0      0    -15      0     89</t>
  </si>
  <si>
    <t>-265   -202      0    -31     -3   -206    -86     53</t>
  </si>
  <si>
    <t>-920      0      0      0      0      0   -110      0</t>
  </si>
  <si>
    <t>102      0     86      0      0      0      0      0</t>
  </si>
  <si>
    <t>-35     45      0      0    -61    -98      0   -132</t>
  </si>
  <si>
    <t>0      0    108    439   2543      0      0     16</t>
  </si>
  <si>
    <t>30    138      1     43   -153   -144    240      0</t>
  </si>
  <si>
    <t>0      0    -38      0    -27   -201    287      0</t>
  </si>
  <si>
    <t>3974   7531   4536      0  -1264   -551   2437  18510</t>
  </si>
  <si>
    <t>152    239    -57    499      0      0     63      0</t>
  </si>
  <si>
    <t>-26   -131      0      0      0      0      0      0</t>
  </si>
  <si>
    <t>0   -121      0     70      0   -142    154     97</t>
  </si>
  <si>
    <t>-119    181    636   -255    170      0   -281      0</t>
  </si>
  <si>
    <t>0      0    -68      0      0      0    194      0</t>
  </si>
  <si>
    <t>0      0      0      0    136      0    107     85</t>
  </si>
  <si>
    <t>6772   6599      0  -1013      0      0      0      0</t>
  </si>
  <si>
    <t>2255      0      0    871   -138      0   -493  -1030</t>
  </si>
  <si>
    <t>1864   -461   -510      0      0      0      0      0</t>
  </si>
  <si>
    <t>8800  -1830   -596      0    276  -2929   1779   2779</t>
  </si>
  <si>
    <t>8969  -2636    517  11072      0  -2890      0      0</t>
  </si>
  <si>
    <t>0      0      0   -699    109   -456   -331    211</t>
  </si>
  <si>
    <t>137      0      0      0    455   6771      0      0</t>
  </si>
  <si>
    <t>0      0     -3      0      0   -303      0    359</t>
  </si>
  <si>
    <t>-107     88      0   -387    -32   -199    241    296</t>
  </si>
  <si>
    <t>-51      0      0      0      0      0   4138      0</t>
  </si>
  <si>
    <t>-298      0    180      0      0      0      0      0</t>
  </si>
  <si>
    <t>-60    264      0      0    962    235      0     79</t>
  </si>
  <si>
    <t>0      0   -533     14    -87      0      0    269</t>
  </si>
  <si>
    <t>6224    383   -245   -690     48   1324   -120      0</t>
  </si>
  <si>
    <t>0      0   -229      0    -88   -742   -353      0</t>
  </si>
  <si>
    <t>4961   1038  -9360      0    553    -42   1014   -803</t>
  </si>
  <si>
    <t>340      0      0      0   -201    331    371    121</t>
  </si>
  <si>
    <t>0     -1      0      0      0  -2110     24      0</t>
  </si>
  <si>
    <t>0      0      0   -169      0      0    -81      0</t>
  </si>
  <si>
    <t>470    150   -339      0    581    324     84   -344</t>
  </si>
  <si>
    <t>0    -21      0      0      0      0      0    -81</t>
  </si>
  <si>
    <t>0   -235      0    -94      0      0      0      0</t>
  </si>
  <si>
    <t>0    144   -158      0      0   2323   1262      0</t>
  </si>
  <si>
    <t>0      0      0   -675   -433    -74      0      0</t>
  </si>
  <si>
    <t>0    290  -4404    -53  -2039   -678   -777   -873</t>
  </si>
  <si>
    <t>0      0      0  -1026      0   -575  -2350  -1338</t>
  </si>
  <si>
    <t>4839  -6402  13464  -8086      0   8667  12056  10968</t>
  </si>
  <si>
    <t>2811    401      0      0      0 -17388      0      0</t>
  </si>
  <si>
    <t>263      8   -384   -675      0      0    -10      0</t>
  </si>
  <si>
    <t>2029   -524      0      0      0      0      0      0</t>
  </si>
  <si>
    <t>0    -56      0    325      0    442   -225    451</t>
  </si>
  <si>
    <t>203   -611   -262   -172   -146      0   -100      0</t>
  </si>
  <si>
    <t>0      0    156      0      0      0    474      0</t>
  </si>
  <si>
    <t>0      0      0      0   -215      0     81    320</t>
  </si>
  <si>
    <t>1216    932      0    337      0      0      0      0</t>
  </si>
  <si>
    <t>-221      0      0     20    -89      0   -399  -1265</t>
  </si>
  <si>
    <t>-709   -624   -953      0      0      0      0      0</t>
  </si>
  <si>
    <t>-392  -1257   -194      0  -6621  -5738   8201  17004</t>
  </si>
  <si>
    <t>9661  13111  13032   2896      0  -2086    364      0</t>
  </si>
  <si>
    <t>4879  17180      0  -2042   -451     40   2089   -100</t>
  </si>
  <si>
    <t>-309      0      0      0   -199     88      0      0</t>
  </si>
  <si>
    <t>0      0   -287      0      0     78      0    -84</t>
  </si>
  <si>
    <t>1366    876      0     62   -306    277    799    963</t>
  </si>
  <si>
    <t>81      0      0      0      0      0   -604      0</t>
  </si>
  <si>
    <t>5729      0    518      0      0      0      0      0</t>
  </si>
  <si>
    <t>266  -2220      0      0    724    219      0   -828</t>
  </si>
  <si>
    <t>0      0   -437    657    -83      0      0     27</t>
  </si>
  <si>
    <t>446   -132     71   -118  -1249  -1256  -1553      0</t>
  </si>
  <si>
    <t>0      0  -1014      0   -287    418    516      0</t>
  </si>
  <si>
    <t>4763  25078   5059      0  12640  25602  19410  -7354</t>
  </si>
  <si>
    <t>4570      0      0      0  -8599  10126      0   9336</t>
  </si>
  <si>
    <t>55    261    112      0      0   -168      0      0</t>
  </si>
  <si>
    <t>-214      0      0      0      0      0      0   -104</t>
  </si>
  <si>
    <t>7      0    -60      0     41    234    169      0</t>
  </si>
  <si>
    <t>350     -7   -121    -66      0    -86      0      0</t>
  </si>
  <si>
    <t>0   -424      0      0      0   -410      0   -210</t>
  </si>
  <si>
    <t>0      0      0   -225      0    -29   -316      0</t>
  </si>
  <si>
    <t>164      0  -1098      0      0      0      0   -733</t>
  </si>
  <si>
    <t>0      0     43    152      0   1861    -66    949</t>
  </si>
  <si>
    <t>7937  -1834      0      0      0      0      0   -355</t>
  </si>
  <si>
    <t>339    214      0  -5446  -3777   5941  22469   1381</t>
  </si>
  <si>
    <t>6581  15027    251      0   5168    756      0      0</t>
  </si>
  <si>
    <t>3100      0   3790  19853   -249    119   -139    -23</t>
  </si>
  <si>
    <t>0     58      0      0      0     53    402      0</t>
  </si>
  <si>
    <t>0      0      0   -187      0      0    -99      0</t>
  </si>
  <si>
    <t>162     69     67      0   -515      4    -84    358</t>
  </si>
  <si>
    <t>0     -8      0      0      0      0      0    355</t>
  </si>
  <si>
    <t>0    638      0    982      0      0      0      0</t>
  </si>
  <si>
    <t>0    -73    177      0      0   1544    720      0</t>
  </si>
  <si>
    <t>0      0      0  -1391   -205   -224      0      0</t>
  </si>
  <si>
    <t>0   -259  -1679   -287  -1125  -1518  -2112  -8124</t>
  </si>
  <si>
    <t>0      0      0   -932      0   -245    164   -171</t>
  </si>
  <si>
    <t>8510  -2946  29043 -17219      0  14455  21656  20038</t>
  </si>
  <si>
    <t>2582  -4344      0      0      0   6226  21480      0</t>
  </si>
  <si>
    <t>8363      0      0      0      0      0      0      0</t>
  </si>
  <si>
    <t>0   -100   -521  -1077  -1043  -1252      0      0</t>
  </si>
  <si>
    <t>0      0    127   -390      0      0      0      0</t>
  </si>
  <si>
    <t>433      0      0    479      0    320      0    574</t>
  </si>
  <si>
    <t>0   1046    -58   -375   -790   -703   -926      0</t>
  </si>
  <si>
    <t>0      0      0      0      2      0      0      0</t>
  </si>
  <si>
    <t>-112      0      0      0      0      0   1283      0</t>
  </si>
  <si>
    <t>0      0   4909  -2099      0    758      0      0</t>
  </si>
  <si>
    <t>1776   -621    -62      0      0    944    572      0</t>
  </si>
  <si>
    <t>224   -408    184    902    567      0      0      0</t>
  </si>
  <si>
    <t>2116      0   3016    266   -547      0 -89976   5128</t>
  </si>
  <si>
    <t>-147      0    366    467  -1360   2359      0     51</t>
  </si>
  <si>
    <t>0      0   -749   1572      0   1591     28   -990</t>
  </si>
  <si>
    <t>595    158    182      0      0    -72      0      0</t>
  </si>
  <si>
    <t>-46      0      0      0      0      0      0    623</t>
  </si>
  <si>
    <t>-56      0    346      0   -421    -97    190      0</t>
  </si>
  <si>
    <t>82    139    290   -144      0     69      0      0</t>
  </si>
  <si>
    <t>0     56      0      0      0     60      0     92</t>
  </si>
  <si>
    <t>0      0      0    854      0    -92   -244      0</t>
  </si>
  <si>
    <t>1532      0    547      0      0      0      0   -886</t>
  </si>
  <si>
    <t>0      0   -390   -137      0     46    463    -28</t>
  </si>
  <si>
    <t>314     80      0      0      0      0      0  -1194</t>
  </si>
  <si>
    <t>481    -75      0   7133 -70252   2878   1568    682</t>
  </si>
  <si>
    <t>1054  -1398    794      0  -1315 -14460      0      0</t>
  </si>
  <si>
    <t>2754      0   3254    679  -2034   2447      0      0</t>
  </si>
  <si>
    <t>0  -4488      0  -2273   -337   -399   -113    -85</t>
  </si>
  <si>
    <t>-123      0      0      0   -134    247      0      0</t>
  </si>
  <si>
    <t>0      0    -52      0      0     51      0    -69</t>
  </si>
  <si>
    <t>2708     64      0   -926   -257   -204    -80    163</t>
  </si>
  <si>
    <t>39      0      0      0      0      0     54      0</t>
  </si>
  <si>
    <t>55      0     19      0      0      0      0      0</t>
  </si>
  <si>
    <t>-14   1777      0      0   -486   -279      0   -134</t>
  </si>
  <si>
    <t>0      0    158    865    199      0      0   -258</t>
  </si>
  <si>
    <t>482    175    114    130    136    153   -273      0</t>
  </si>
  <si>
    <t>0      0    499      0    159  -7754    921      0</t>
  </si>
  <si>
    <t>134   -442  -1126      0    957   1829    432  -7868</t>
  </si>
  <si>
    <t>4072      0      0      0   -827    640      0    933</t>
  </si>
  <si>
    <t>2157      0      0      0      0      0   -582      0</t>
  </si>
  <si>
    <t>-203     95   -113   -402      0      0    -39      0</t>
  </si>
  <si>
    <t>-5     98      0      0      0      0      0      0</t>
  </si>
  <si>
    <t>0     11      0    -37      0    -84   -420   3077</t>
  </si>
  <si>
    <t>-88    -72   -195   -118   -147      0   -145      0</t>
  </si>
  <si>
    <t>0      0     18      0      0      0      5      0</t>
  </si>
  <si>
    <t>0      0      0      0     98      0    -20    429</t>
  </si>
  <si>
    <t>-55    109      0   -459      0      0      0      0</t>
  </si>
  <si>
    <t>-54      0      0    131   -363      0    -97   -589</t>
  </si>
  <si>
    <t>406    190   -332      0      0      0      0      0</t>
  </si>
  <si>
    <t>308   1046  -7316      0  -5780  -5934   1832   1010</t>
  </si>
  <si>
    <t>9935 -15489 -17476   6905      0  -1375   6200      0</t>
  </si>
  <si>
    <t>1152   2937      0  -5636  -7876  -3448   -516      0</t>
  </si>
  <si>
    <t>0      0   -193      0   1588  -8619      0      0</t>
  </si>
  <si>
    <t>0      0      0      0   2083    982    896    391</t>
  </si>
  <si>
    <t>0     98      0      0      0   -139    142      0</t>
  </si>
  <si>
    <t>0      0      0   -554      0      0   -148      0</t>
  </si>
  <si>
    <t>-460   -667    -55      0    571    507   -336     -7</t>
  </si>
  <si>
    <t>0   -291      0      0      0      0      0    -50</t>
  </si>
  <si>
    <t>0    363      0    -27      0      0      0      0</t>
  </si>
  <si>
    <t>0    510  -1487      0      0   1804   1556      0</t>
  </si>
  <si>
    <t>0      0      0    617    870    249      0      0</t>
  </si>
  <si>
    <t>0   -123    216   -173    278   -170   -429     38</t>
  </si>
  <si>
    <t>0      0      0   1867      0  -1841   -279    519</t>
  </si>
  <si>
    <t>4757   1106   1752   1133      0    -76    638  -1239</t>
  </si>
  <si>
    <t>-122  -1049      0      0      0   -187    139      0</t>
  </si>
  <si>
    <t>-102    537      0      0      0      0      0  -4121</t>
  </si>
  <si>
    <t>334   1830      0    765  34500   -170    191   -138</t>
  </si>
  <si>
    <t>-137      0      0      0    -72   -136      0      0</t>
  </si>
  <si>
    <t>0      0   -500      0      0   -103      0    -73</t>
  </si>
  <si>
    <t>39   -149      0    486  29697    246     44   -151</t>
  </si>
  <si>
    <t>0      0      0      0      0      0   -154      0</t>
  </si>
  <si>
    <t>-42      0     98      0      0      0      0      0</t>
  </si>
  <si>
    <t>-455   -750      0      0  -1257  39409      0    121</t>
  </si>
  <si>
    <t>0      0  -2418    -34    -98      0      0   -227</t>
  </si>
  <si>
    <t>107    204   -126     72   -351   -210    411      0</t>
  </si>
  <si>
    <t>0      0    811      0   1198   -376    173      0</t>
  </si>
  <si>
    <t>546    591    134      0     86    -38  -3190    549</t>
  </si>
  <si>
    <t>-452      0      0      0     17    582      0    379</t>
  </si>
  <si>
    <t>723      0      0      0      0      0   3962      0</t>
  </si>
  <si>
    <t>1740      0  -4175  -2827    154   6464    705    448</t>
  </si>
  <si>
    <t>-119      0      0      0   -900    146      0      0</t>
  </si>
  <si>
    <t>0      0    -55      0      0   -411      0    466</t>
  </si>
  <si>
    <t>894    328      0  -1263   -161   1076    981   1128</t>
  </si>
  <si>
    <t>-31      0      0      0      0      0     79      0</t>
  </si>
  <si>
    <t>-114      0   -151      0      0      0      0      0</t>
  </si>
  <si>
    <t>-135    441      0      0    673    271      0   -682</t>
  </si>
  <si>
    <t>0      0    240    282    199      0      0   -121</t>
  </si>
  <si>
    <t>-265     51     30   -195   -142   -371    109      0</t>
  </si>
  <si>
    <t>0      0   -412      0    -62   -403   -528      0</t>
  </si>
  <si>
    <t>7574  -2362  -2144      0   -342   -402    215    559</t>
  </si>
  <si>
    <t>-83      0      0      0     23    183      0   -104</t>
  </si>
  <si>
    <t>670      0      0      0      0      0  -1021      0</t>
  </si>
  <si>
    <t>1162      0  -2763  -3225 -10019      2   1155   1238</t>
  </si>
  <si>
    <t>0   -422      0      0      0  -2154    107      0</t>
  </si>
  <si>
    <t>0      0      0    648      0      0   -410      0</t>
  </si>
  <si>
    <t>185   6361   2768      0  -3066   -213   1580   1837</t>
  </si>
  <si>
    <t>0     -3      0      0      0      0      0    134</t>
  </si>
  <si>
    <t>0    536      0    158      0      0      0      0</t>
  </si>
  <si>
    <t>0   -214   1022      0      0    257   -245      0</t>
  </si>
  <si>
    <t>0      0      0    723    675   -117      0      0</t>
  </si>
  <si>
    <t>0    179   -132    166   -241     81   -448  -1298</t>
  </si>
  <si>
    <t>0      0      0   -115      0    365    674    352</t>
  </si>
  <si>
    <t>-648  -2474 -11841  -3069      0  -1428  -2281   -286</t>
  </si>
  <si>
    <t>-78   -160      0      0      0   -168   -921      0</t>
  </si>
  <si>
    <t>2712  -3598      0      0      0      0      0  -1010</t>
  </si>
  <si>
    <t>-535  -1320      0  -4520  -4760  24955  -9215   -135</t>
  </si>
  <si>
    <t>1300      0      0   -344      0      0      0  -2070</t>
  </si>
  <si>
    <t>0      0      0      0      0   1100      0      0</t>
  </si>
  <si>
    <t>253      0    -77   5577   2317      0  -2484    -99</t>
  </si>
  <si>
    <t>2340    647      0    -57      0      0      0      0</t>
  </si>
  <si>
    <t>0      0      0   -356      0   -289      0      0</t>
  </si>
  <si>
    <t>0   -512      0   -452    629      0      0   1075</t>
  </si>
  <si>
    <t>2797      0      0      0      0   -930    916    237</t>
  </si>
  <si>
    <t>-54   -952      0    132    540     80   -158      7</t>
  </si>
  <si>
    <t>0      0      0      0      0   -514      0   -174</t>
  </si>
  <si>
    <t>0   1894   -343  -2228  -2451  -2332      0    207</t>
  </si>
  <si>
    <t>911      0    166   -665      0      0      0    650</t>
  </si>
  <si>
    <t>-235    180    838   2877      0      0      0      0</t>
  </si>
  <si>
    <t>0   1325   -230   -984      0  -4556  -3559  23198</t>
  </si>
  <si>
    <t>-15    578   4820    597      0      0   -133      0</t>
  </si>
  <si>
    <t>-924    -93      0      0      0      0      0      0</t>
  </si>
  <si>
    <t>0   -924      0    990      0    274   2650    945</t>
  </si>
  <si>
    <t>-33   9683   1771    597    799      0    120      0</t>
  </si>
  <si>
    <t>0      0    -41      0      0      0  -4138      0</t>
  </si>
  <si>
    <t>0      0      0      0    -65      0     29  -3922</t>
  </si>
  <si>
    <t>548    203      0    299      0      0      0      0</t>
  </si>
  <si>
    <t>36      0      0    110    -92      0   -203    325</t>
  </si>
  <si>
    <t>971    668    312      0      0      0      0      0</t>
  </si>
  <si>
    <t>-315   -286   -348      0     99   -995    140    336</t>
  </si>
  <si>
    <t>-699  -1635    758    721      0    212    225      0</t>
  </si>
  <si>
    <t>57   -128      0    278    862    586    238      0</t>
  </si>
  <si>
    <t>0      0   -456      0   1374   -392   -547      0</t>
  </si>
  <si>
    <t>3936  19088  19546  -3250    -88    477    189  10942</t>
  </si>
  <si>
    <t>-232      0      0      0   -152    263      0      0</t>
  </si>
  <si>
    <t>0      0     66      0      0  -1231      0   1233</t>
  </si>
  <si>
    <t>1770    729      0    146   -176   3074  10497   1639</t>
  </si>
  <si>
    <t>-27      0      0      0      0      0   -329      0</t>
  </si>
  <si>
    <t>-983      0    580      0      0      0      0      0</t>
  </si>
  <si>
    <t>1544  -3888      0      0    293   1549      0  -2212</t>
  </si>
  <si>
    <t>0      0  -2819    572    351      0      0   -858</t>
  </si>
  <si>
    <t>-185  -1627   -271  -1409  -1298  -1443  -2220      0</t>
  </si>
  <si>
    <t>0      0   -505      0  -1980     17   1478      0</t>
  </si>
  <si>
    <t>-24   -366    478      0   8026   -393     14   -176</t>
  </si>
  <si>
    <t>231      0      0      0    259   -239      0    -98</t>
  </si>
  <si>
    <t>-647      0      0      0      0      0   -873      0</t>
  </si>
  <si>
    <t>814      0  -1585    808   7796  15523  11761  21642</t>
  </si>
  <si>
    <t>325   1176   3240      0      0   -298      0      0</t>
  </si>
  <si>
    <t>474      0      0      0      0      0      0    440</t>
  </si>
  <si>
    <t>-649      0    802      0     -5   2042    723      0</t>
  </si>
  <si>
    <t>2580   2252   5737   -610      0    -26      0      0</t>
  </si>
  <si>
    <t>0   -682      0      0      0    118      0    772</t>
  </si>
  <si>
    <t>0      0      0   -949      0  -3759  -4919      0</t>
  </si>
  <si>
    <t>5313      0  -4994      0      0      0      0 -13365</t>
  </si>
  <si>
    <t>0      0   -717   -523      0   -206  -3194   -470</t>
  </si>
  <si>
    <t>3421  -4286      0      0      0      0      0   6949</t>
  </si>
  <si>
    <t>75   3426      0    614   1957   -137   -727    744</t>
  </si>
  <si>
    <t>5155    769    166      0     51  -2421      0      0</t>
  </si>
  <si>
    <t>-224      0    -92  -2615  -1170  -1138      0      0</t>
  </si>
  <si>
    <t>0   -106      0  -2741   -143   1355      0 -16922</t>
  </si>
  <si>
    <t>8979  13576  21991  29039      0      0      0      0</t>
  </si>
  <si>
    <t>0    -11   -108    -67   -150     45      0      0</t>
  </si>
  <si>
    <t>0      0    -57    105      0      0      0      0</t>
  </si>
  <si>
    <t>31      0      0    -17      0    -89      0   -152</t>
  </si>
  <si>
    <t>0     79    -65    -59      6    -31     34      0</t>
  </si>
  <si>
    <t>0      0      0      0    140      0      0      0</t>
  </si>
  <si>
    <t>-10      0      0      0      0      0   -579      0</t>
  </si>
  <si>
    <t>0      0   -243   -240      0    236      0      0</t>
  </si>
  <si>
    <t>-507  -4876    276      0      0    962   -138      0</t>
  </si>
  <si>
    <t>146   -201    312     76   -114      0      0      0</t>
  </si>
  <si>
    <t>444      0    223    623    150      0    904    875</t>
  </si>
  <si>
    <t>797      0   -309    -42   -120 -18942      0   -698</t>
  </si>
  <si>
    <t>0      0    -56   -605      0   -611   1345    164</t>
  </si>
  <si>
    <t>0      0      0      0    138      0   -398   1761</t>
  </si>
  <si>
    <t>7908  -5274  -3981  -9220  -6480  -6417   -512   -395</t>
  </si>
  <si>
    <t>146    -37    540      0      0    129      0      0</t>
  </si>
  <si>
    <t>-56      0      0      0      0      0      0     59</t>
  </si>
  <si>
    <t>-153      0    115      0   -112    584    189      0</t>
  </si>
  <si>
    <t>429    719      0    638      0   -302      0      0</t>
  </si>
  <si>
    <t>0    -43      0      0      0    126      0    188</t>
  </si>
  <si>
    <t>0      0      0    148      0    409   -268      0</t>
  </si>
  <si>
    <t>7017      0  -1341      0      0      0      0   6036</t>
  </si>
  <si>
    <t>0      0   1669   -275      0   -396  -1111    -65</t>
  </si>
  <si>
    <t>-528   -742      0      0      0      0      0  -8517</t>
  </si>
  <si>
    <t>1762    -78      0   -520   -788   -191   -486   -753</t>
  </si>
  <si>
    <t>1701    325  -2353      0   -244  17208      0      0</t>
  </si>
  <si>
    <t>93      0      7   -470   -340    825      0      0</t>
  </si>
  <si>
    <t>0  -2301      0  -1436  -1237   -868      0   1043</t>
  </si>
  <si>
    <t>6613   6591   4004  10778  -7449      0  12370      0</t>
  </si>
  <si>
    <t>-224     87     76     66      0      0   -375      0</t>
  </si>
  <si>
    <t>-60   -218      0      0      0      0      0      0</t>
  </si>
  <si>
    <t>0     81      0   -198      0    -39   -173    -12</t>
  </si>
  <si>
    <t>-91   -153   -225   -235   -393      0    163      0</t>
  </si>
  <si>
    <t>0      0   -256      0      0      0   -186      0</t>
  </si>
  <si>
    <t>0      0      0      0     39      0    -67     96</t>
  </si>
  <si>
    <t>238    -36      0    523      0      0      0      0</t>
  </si>
  <si>
    <t>140      0      0  -6219   1383      0    -93   -304</t>
  </si>
  <si>
    <t>-116    124   -268      0      0      0      0      0</t>
  </si>
  <si>
    <t>98    547  -1830      0   -870    -87      2    653</t>
  </si>
  <si>
    <t>174    194    742     -7      0   1059   -497      0</t>
  </si>
  <si>
    <t>577    133      0    412    206    158    333      0</t>
  </si>
  <si>
    <t>0      0    895      0    -94   -259    161      0</t>
  </si>
  <si>
    <t>2210  -4537   2812  -2132   1244   2831      0 -18905</t>
  </si>
  <si>
    <t>0824      0      0      0      0      0      0      0</t>
  </si>
  <si>
    <t>0      0      0      0   -428   -327   -750   -602</t>
  </si>
  <si>
    <t>0     -5      0      0      0   4667    208      0</t>
  </si>
  <si>
    <t>0      0      0    -88      0      0     94      0</t>
  </si>
  <si>
    <t>-66   -485    -38      0    526    -15   -440   -461</t>
  </si>
  <si>
    <t>0   -196      0      0      0      0      0   -728</t>
  </si>
  <si>
    <t>0   -192      0    -87      0      0      0      0</t>
  </si>
  <si>
    <t>0    -90    -58      0      0   -660   -473      0</t>
  </si>
  <si>
    <t>0      0      0   -217    457     68      0      0</t>
  </si>
  <si>
    <t>0    459     16    345   -141    138    107    225</t>
  </si>
  <si>
    <t>0      0      0    208      0    391    902    253</t>
  </si>
  <si>
    <t>-733   -203   1222   -464      0    757    989   1382</t>
  </si>
  <si>
    <t>-190     -5      0      0      0   1440   2331      0</t>
  </si>
  <si>
    <t>41   1906      0      0      0      0      0   -203</t>
  </si>
  <si>
    <t>-156   -284      0  -2058  -1925  -8328 -17777  -7348</t>
  </si>
  <si>
    <t>5875      0  -4270      0      0    122  -2199      0</t>
  </si>
  <si>
    <t>81     27    -65   -102      0      0   -160      0</t>
  </si>
  <si>
    <t>-144   -469      0      0      0      0      0      0</t>
  </si>
  <si>
    <t>0    -73      0    181      0    270   -223    188</t>
  </si>
  <si>
    <t>149   -157   -276   -354   -478      0    -65      0</t>
  </si>
  <si>
    <t>0      0   -257      0      0      0   -402      0</t>
  </si>
  <si>
    <t>0      0      0      0   -471      0   -104    144</t>
  </si>
  <si>
    <t>-79    125      0    150      0      0      0      0</t>
  </si>
  <si>
    <t>117      0      0   -285    -17      0    130    -98</t>
  </si>
  <si>
    <t>-105    507   -176      0      0      0      0      0</t>
  </si>
  <si>
    <t>-17   -135     79      0    114   -216    -62      6</t>
  </si>
  <si>
    <t>62    119    470     21      0    166    -43      0</t>
  </si>
  <si>
    <t>519    536      0  -1140    -81    451   -311      0</t>
  </si>
  <si>
    <t>0      0   -189      0    308      2    532      0</t>
  </si>
  <si>
    <t>4023   4035   2203   3956   4161   4333      0  -1607</t>
  </si>
  <si>
    <t>-147   4684      0   9513      0      0      0      0</t>
  </si>
  <si>
    <t>0      0      0      0   1173   -217    -13   -139</t>
  </si>
  <si>
    <t>0    -90      0      0      0    202    278      0</t>
  </si>
  <si>
    <t>0      0      0   -104      0      0    367      0</t>
  </si>
  <si>
    <t>-68   -586    181      0   -770   -249  -2677     -2</t>
  </si>
  <si>
    <t>0    179      0      0      0      0      0    -54</t>
  </si>
  <si>
    <t>0   7539      0    298      0      0      0      0</t>
  </si>
  <si>
    <t>0    -46   -375      0      0   -518   -144      0</t>
  </si>
  <si>
    <t>0      0      0     73    271    -33      0      0</t>
  </si>
  <si>
    <t>0   -206   -141    105   -225   1123   -657   -934</t>
  </si>
  <si>
    <t>0      0      0    213      0     93    639    481</t>
  </si>
  <si>
    <t>-63   -369  -2242     22      0   -892  -2279   -825</t>
  </si>
  <si>
    <t>-125   -689      0      0      0   -366   -276      0</t>
  </si>
  <si>
    <t>2418  -3177      0      0      0      0      0   -285</t>
  </si>
  <si>
    <t>402   1121      0   -379   -425  -2887  10665  -5791</t>
  </si>
  <si>
    <t>7792      0  -6082      0      0   4029   3782      0</t>
  </si>
  <si>
    <t>0  -2643      0   1063    -44    -18    -91     58</t>
  </si>
  <si>
    <t>-142      0      0      0    322    740      0      0</t>
  </si>
  <si>
    <t>0      0     46      0      0     11      0    -95</t>
  </si>
  <si>
    <t>-606   -183      0    242     39   -213   -226   -184</t>
  </si>
  <si>
    <t>-54      0      0      0      0      0    359      0</t>
  </si>
  <si>
    <t>-348      0   -337      0      0      0      0      0</t>
  </si>
  <si>
    <t>-200    194      0      0     14    -98      0   -618</t>
  </si>
  <si>
    <t>0      0    -17     84     -6      0      0    -32</t>
  </si>
  <si>
    <t>530   -204    803   -427   -607  -4515  -1003      0</t>
  </si>
  <si>
    <t>0      0    184      0    135    280    115      0</t>
  </si>
  <si>
    <t>-620  -2651    818      0  -1203  -1653   -589    129</t>
  </si>
  <si>
    <t>-372      0      0      0    522   -307      0   -217</t>
  </si>
  <si>
    <t>4386      0      0      0      0      0    463      0</t>
  </si>
  <si>
    <t>288      0   -991   -537   1134  15472  -5649  -7817</t>
  </si>
  <si>
    <t>0   -300      0      0   1262    686      0   1784</t>
  </si>
  <si>
    <t>9215      0  18090   1351     90     62    134    125</t>
  </si>
  <si>
    <t>117      0      0      0    -86   -253      0      0</t>
  </si>
  <si>
    <t>0      0    -93      0      0    -23      0    -76</t>
  </si>
  <si>
    <t>-746   -240      0   -795   -163   -124    429    638</t>
  </si>
  <si>
    <t>-41      0      0      0      0      0     19      0</t>
  </si>
  <si>
    <t>837      0   1180      0      0      0      0      0</t>
  </si>
  <si>
    <t>-280    514      0      0   -189    101      0  -1703</t>
  </si>
  <si>
    <t>0      0    -95      0    -24      0      0   -492</t>
  </si>
  <si>
    <t>125  -1017    -52   -718   -700   -929  -4558      0</t>
  </si>
  <si>
    <t>0      0     39      0    -49    919    246      0</t>
  </si>
  <si>
    <t>750  -3781   2884      0  -1410  -2217   -762   -375</t>
  </si>
  <si>
    <t>978      0      0      0   -321  -1988      0  -1708</t>
  </si>
  <si>
    <t>7245      0      0      0      0      0   -283      0</t>
  </si>
  <si>
    <t>-289      0  -2935  -3059  -3483  22294 -19139  -1884</t>
  </si>
  <si>
    <t>0   1896      0      0  -3706   2454      0 -13000</t>
  </si>
  <si>
    <t>4800      0  21322  27268      0      0      0      0</t>
  </si>
  <si>
    <t>0      0      0      0   2051   -605   -520   -439</t>
  </si>
  <si>
    <t>0     59      0      0      0    161   -462      0</t>
  </si>
  <si>
    <t>0      0      0    828      0      0    297      0</t>
  </si>
  <si>
    <t>448  -1459   -772      0   1010    -88    -94   -626</t>
  </si>
  <si>
    <t>0    326      0      0      0      0      0     -8</t>
  </si>
  <si>
    <t>0   -432      0   -114      0      0      0      0</t>
  </si>
  <si>
    <t>0   -456    611      0      0   5960  -2607      0</t>
  </si>
  <si>
    <t>0      0      0  -2532   -738    -41      0      0</t>
  </si>
  <si>
    <t>0    432    383    286    109    649   1018   1271</t>
  </si>
  <si>
    <t>0      0      0    638      0   3391    230   -894</t>
  </si>
  <si>
    <t>4086   -211    791    425      0   -161  -1674   -188</t>
  </si>
  <si>
    <t>150  -1505      0      0      0     10   -140      0</t>
  </si>
  <si>
    <t>700    309      0      0      0      0      0  11463</t>
  </si>
  <si>
    <t>-61   -717      0 -90953   5695  -3023  -8503  -5299</t>
  </si>
  <si>
    <t>2603      0   4289      0      0 -17271   1276      0</t>
  </si>
  <si>
    <t>0  -1458      0  -2778  -3441  -2717      0      0</t>
  </si>
  <si>
    <t>5273    155   -409   -243      0      0    134      0</t>
  </si>
  <si>
    <t>131     79      0      0      0      0      0      0</t>
  </si>
  <si>
    <t>0    204      0     70      0   -493  -1212   -357</t>
  </si>
  <si>
    <t>4543   -788   -446   -186   -407      0     14      0</t>
  </si>
  <si>
    <t>0      0    202      0      0      0     46      0</t>
  </si>
  <si>
    <t>0      0      0      0    765      0    556    579</t>
  </si>
  <si>
    <t>470   -506      0   -270      0      0      0      0</t>
  </si>
  <si>
    <t>421      0      0    328   -265      0   -101     56</t>
  </si>
  <si>
    <t>715    328     -7      0      0      0      0      0</t>
  </si>
  <si>
    <t>-768    316   -109      0   5882   6576   -151    245</t>
  </si>
  <si>
    <t>115    607   4276     13      0    102  -1720      0</t>
  </si>
  <si>
    <t>-93   -461      0   -333    540    972     69      0</t>
  </si>
  <si>
    <t>0      0  -4870      0 -10701    417  -1312      0</t>
  </si>
  <si>
    <t>-823  -6993  -4484  -6145  -6702  14699      0   3230</t>
  </si>
  <si>
    <t>6070  -1267      0  -1706      0      0  -1808      0</t>
  </si>
  <si>
    <t>1987      0      0      0      0      0  -4360      0</t>
  </si>
  <si>
    <t>-205     10     10      0      0    -17      0      0</t>
  </si>
  <si>
    <t>212      0      0      0      0      0      0    -11</t>
  </si>
  <si>
    <t>-41      0     19      0     57   1188    334      0</t>
  </si>
  <si>
    <t>69     93    282    -67      0     22      0      0</t>
  </si>
  <si>
    <t>0     96      0      0      0   -123      0     31</t>
  </si>
  <si>
    <t>0      0      0     65      0     97   1610      0</t>
  </si>
  <si>
    <t>-469      0    -33      0      0      0      0     54</t>
  </si>
  <si>
    <t>0      0    -34    131      0    192     59    189</t>
  </si>
  <si>
    <t>284   -160      0      0      0      0      0    376</t>
  </si>
  <si>
    <t>4784    595      0     26     39   -150     95   -150</t>
  </si>
  <si>
    <t>-46    162   1629      0   -162  -1443      0      0</t>
  </si>
  <si>
    <t>-185      0    -90    314    356   -407      0      0</t>
  </si>
  <si>
    <t>0    275      0    101 -15110   2337      0  -5426</t>
  </si>
  <si>
    <t>890   -979   2984   1432   2379      0  -7014      0</t>
  </si>
  <si>
    <t>5202      0   -168      0      0   -820      0  -2176</t>
  </si>
  <si>
    <t>0      0      0      0      0    778      0    377</t>
  </si>
  <si>
    <t>-106    -24   -216      0      0   -175      0      0</t>
  </si>
  <si>
    <t>-28      0      0      0      0      0      0   -125</t>
  </si>
  <si>
    <t>33      0    -84      0   -116    640   1685      0</t>
  </si>
  <si>
    <t>141    -77    -32    317      0    -68      0      0</t>
  </si>
  <si>
    <t>0   -181      0      0      0     -8      0    123</t>
  </si>
  <si>
    <t>0      0      0    329      0    224     17      0</t>
  </si>
  <si>
    <t>-2      0    -41      0      0      0      0   -108</t>
  </si>
  <si>
    <t>0      0  -1595    275      0      2   -462    192</t>
  </si>
  <si>
    <t>150   -259      0      0      0      0      0     52</t>
  </si>
  <si>
    <t>868  -4163      0    944   1415   -901   -596   -683</t>
  </si>
  <si>
    <t>2147   1161   -963      0    382  -1071      0      0</t>
  </si>
  <si>
    <t>-398      0    674   1067    420    -99      0      0</t>
  </si>
  <si>
    <t>0     77      0  -1145   2189 -16218      0 -10514</t>
  </si>
  <si>
    <t>5603   6498   2693  -4684  -6621      0    945      0</t>
  </si>
  <si>
    <t>8682      0   4017      0      0  -3385      0  -4585</t>
  </si>
  <si>
    <t>0      0      0      0      0   2679      0   3546</t>
  </si>
  <si>
    <t>0   2896    525   1326    764    699      0      0</t>
  </si>
  <si>
    <t>0      0    -77   -194      0      0      0      0</t>
  </si>
  <si>
    <t>490      0      0   -175      0    -97      0   -268</t>
  </si>
  <si>
    <t>0    930    474    186    146    587    535      0</t>
  </si>
  <si>
    <t>0      0      0      0    -71      0      0      0</t>
  </si>
  <si>
    <t>-69      0      0      0      0      0   -486      0</t>
  </si>
  <si>
    <t>0      0   9336   -567      0   2456      0      0</t>
  </si>
  <si>
    <t>-987    819    795      0      0   -305   -578      0</t>
  </si>
  <si>
    <t>48    742    525    114   1030      0      0      0</t>
  </si>
  <si>
    <t>798      0    488    -65    329      0   6475  -4303</t>
  </si>
  <si>
    <t>1886      0    -92  -1188   -979    655      0   -242</t>
  </si>
  <si>
    <t>0      0   -142    100      0    348    135   -133</t>
  </si>
  <si>
    <t>0      0      0      0   4260      0   5695   -198</t>
  </si>
  <si>
    <t>8595  -3330    492   1728   1386    -76   -566     18</t>
  </si>
  <si>
    <t>0      0  -2318   -235      0    357      0      0</t>
  </si>
  <si>
    <t>92   -131   -151      0      0      0      0      0</t>
  </si>
  <si>
    <t>4324   -380    544      0    -77  38990   -149    -53</t>
  </si>
  <si>
    <t>0   -242      0      0      0    244   -138      0</t>
  </si>
  <si>
    <t>0      0      0   -125      0      0    -84      0</t>
  </si>
  <si>
    <t>127     88    186      0    155  32888    -36    -15</t>
  </si>
  <si>
    <t>0   -126      0      0      0      0      0    -31</t>
  </si>
  <si>
    <t>0     64      0    -52      0      0      0      0</t>
  </si>
  <si>
    <t>0    410   -321      0      0  -1362  48636      0</t>
  </si>
  <si>
    <t>0      0      0    -46    677    549      0      0</t>
  </si>
  <si>
    <t>0    -29    385    -60     61    -83      2    292</t>
  </si>
  <si>
    <t>0      0      0   1145      0    155   -152    474</t>
  </si>
  <si>
    <t>1852     60   -317    903      0    116    401    482</t>
  </si>
  <si>
    <t>-231  -1418      0      0      0    -60    254      0</t>
  </si>
  <si>
    <t>-64     83      0      0      0      0      0   1262</t>
  </si>
  <si>
    <t>-145    664      0   1864  51433    -22   -542    789</t>
  </si>
  <si>
    <t>-187      0    133      0      0  -1639     90      0</t>
  </si>
  <si>
    <t>0    -24      0    -25    -34   -106      0      0</t>
  </si>
  <si>
    <t>0  -1477      0     36   -554    285      0   6548</t>
  </si>
  <si>
    <t>2841     46      5      0      0     48      0      0</t>
  </si>
  <si>
    <t>-3      0      0      0      0      0      0    207</t>
  </si>
  <si>
    <t>-129      0    181      0   -147   -683   -289      0</t>
  </si>
  <si>
    <t>-199    -43     79     -4      0     28      0      0</t>
  </si>
  <si>
    <t>0    -41      0      0      0     86      0    -19</t>
  </si>
  <si>
    <t>0      0      0     66      0    -10    313      0</t>
  </si>
  <si>
    <t>-445      0     71      0      0      0      0    109</t>
  </si>
  <si>
    <t>0      0   -364    794      0   -349   -165    -25</t>
  </si>
  <si>
    <t>-26   -342      0      0      0      0      0    -79</t>
  </si>
  <si>
    <t>-130   -207      0    385     59  -2872    -56  -1442</t>
  </si>
  <si>
    <t>-130   -190     30      0    -74    -67      0      0</t>
  </si>
  <si>
    <t>289      0    -43   -139   -205     20      0      0</t>
  </si>
  <si>
    <t>0   -449      0   -450   -114   -300      0     65</t>
  </si>
  <si>
    <t>-522  -1716   -190   -179   -158      0      8      0</t>
  </si>
  <si>
    <t>-104      0     43      0      0     93      0    -78</t>
  </si>
  <si>
    <t>0      0      0      0      0   -145      0    -67</t>
  </si>
  <si>
    <t>0  -3475  -2349      0      0      0      0      0</t>
  </si>
  <si>
    <t>0      0      0      0  -1265  -1687     46   -985</t>
  </si>
  <si>
    <t>0   -153      0      0      0   -234    231      0</t>
  </si>
  <si>
    <t>0      0      0     -8      0      0    452      0</t>
  </si>
  <si>
    <t>266    606    683      0    384  -2167    350   7161</t>
  </si>
  <si>
    <t>0   -446      0      0      0      0      0   -250</t>
  </si>
  <si>
    <t>0    187      0    178      0      0      0      0</t>
  </si>
  <si>
    <t>0    201  -2436      0      0    166      0      0</t>
  </si>
  <si>
    <t>0      0      0  -3550    181    210      0      0</t>
  </si>
  <si>
    <t>0    -65  -1926   -207  -1513  -1235  -1016  -1740</t>
  </si>
  <si>
    <t>0      0      0   -256      0  -1952   -232   1546</t>
  </si>
  <si>
    <t>1063    137    524    425      0  13018    988  -1477</t>
  </si>
  <si>
    <t>-69    298      0      0      0    151   -537      0</t>
  </si>
  <si>
    <t>8    261      0      0      0      0      0   -533</t>
  </si>
  <si>
    <t>-93    813      0   -129  -1544    192    313    330</t>
  </si>
  <si>
    <t>2431      0    -84      0      0    564    -35      0</t>
  </si>
  <si>
    <t>0     63      0     11    177    409      0      0</t>
  </si>
  <si>
    <t>0   -705      0   -150    -43     82      0  -7767</t>
  </si>
  <si>
    <t>0      0      0  -1644  -1427     57   -420    326</t>
  </si>
  <si>
    <t>-184      0      0      0   -413    397      0      0</t>
  </si>
  <si>
    <t>0      0    -44      0      0    -44      0    100</t>
  </si>
  <si>
    <t>968    879      0    594  -1367   -292   1630   3840</t>
  </si>
  <si>
    <t>-635      0      0      0      0      0   -522      0</t>
  </si>
  <si>
    <t>705      0    243      0      0      0      0      0</t>
  </si>
  <si>
    <t>1175  -3317      0      0  -5009  -5815      0  -3906</t>
  </si>
  <si>
    <t>0      0 -12054   -624     52      0      0   -585</t>
  </si>
  <si>
    <t>-33  -3273   -369  -2522  -5641  -2584  -3256      0</t>
  </si>
  <si>
    <t>0      0   5316      0   6442   -441   3254      0</t>
  </si>
  <si>
    <t>305    638    305      0    121  16076  -2171   -290</t>
  </si>
  <si>
    <t>1164      0      0      0    262   -369      0   -162</t>
  </si>
  <si>
    <t>433      0      0      0      0      0   -855      0</t>
  </si>
  <si>
    <t>1443      0    605  -2018    298    382    258  -1622</t>
  </si>
  <si>
    <t>0    -53      0      0  -1259    -70      0   -378</t>
  </si>
  <si>
    <t>119      0   -189    355    603      0      0      0</t>
  </si>
  <si>
    <t>2142      0   -454    113    339      0  -8525  -8077</t>
  </si>
  <si>
    <t>0      0  31291  -2122   -761   -410   -631  -1327</t>
  </si>
  <si>
    <t>-181      0      0      0    -81     93      0      0</t>
  </si>
  <si>
    <t>0      0   -724      0      0     91      0    -66</t>
  </si>
  <si>
    <t>1399   1235      0    692  -1014   -582    -36   -363</t>
  </si>
  <si>
    <t>-145      0      0      0      0      0    -92      0</t>
  </si>
  <si>
    <t>4      0    189      0      0      0      0      0</t>
  </si>
  <si>
    <t>1058   -958      0      0     93   -389      0    646</t>
  </si>
  <si>
    <t>0      0  -5636   -342   -373      0      0   -134</t>
  </si>
  <si>
    <t>151   -987     27   -525   -129    239     75      0</t>
  </si>
  <si>
    <t>0      0  -1034      0  -1817   -309    794      0</t>
  </si>
  <si>
    <t>-348   -494  -1852      0  -1687  -2228  -7412    -81</t>
  </si>
  <si>
    <t>967      0      0      0     61   -393      0   -452</t>
  </si>
  <si>
    <t>-122      0      0      0      0      0  -1019      0</t>
  </si>
  <si>
    <t>1957      0   1011  -3346    340   1103   -789   -379</t>
  </si>
  <si>
    <t>0   -236      0      0    711    111      0   -421</t>
  </si>
  <si>
    <t>123      0    237    518    896      0      0      0</t>
  </si>
  <si>
    <t>2437      0   1983     75    230      0  -6870  -6124</t>
  </si>
  <si>
    <t>0      0  15707  22459  -1054    809    173   -455</t>
  </si>
  <si>
    <t>0   1009      0      0      0     21    -70      0</t>
  </si>
  <si>
    <t>0      0      0   -113      0      0    177      0</t>
  </si>
  <si>
    <t>71    924     84      0     42    627    229    108</t>
  </si>
  <si>
    <t>0     11      0      0      0      0      0     19</t>
  </si>
  <si>
    <t>0    178      0     24      0      0      0      0</t>
  </si>
  <si>
    <t>0    614   -149      0      0     54   1010      0</t>
  </si>
  <si>
    <t>0      0      0   -181  -5904  -1613      0      0</t>
  </si>
  <si>
    <t>0     86   -151     51   -273    278     52     51</t>
  </si>
  <si>
    <t>0      0      0    388      0    248    810   -384</t>
  </si>
  <si>
    <t>1221    130    259     82      0   -223   -127    -99</t>
  </si>
  <si>
    <t>386  -1234      0      0      0     44   -446      0</t>
  </si>
  <si>
    <t>27     51      0      0      0      0      0    -20</t>
  </si>
  <si>
    <t>911   -535      0    773    950     42    462     89</t>
  </si>
  <si>
    <t>213      0  -5094      0      0   -455    -61      0</t>
  </si>
  <si>
    <t>0     40      0    249     40     51      0      0</t>
  </si>
  <si>
    <t>0   -426      0    281    487   -251      0 -11856</t>
  </si>
  <si>
    <t>0      0      0   3270   3908   -312   -930    766</t>
  </si>
  <si>
    <t>-62      0      0   1119      0      0      0      7</t>
  </si>
  <si>
    <t>0      0      0      0      0     79      0      0</t>
  </si>
  <si>
    <t>-36      0     41    542    108      0    -89    606</t>
  </si>
  <si>
    <t>45     66      0    973      0      0      0      0</t>
  </si>
  <si>
    <t>0      0      0     26      0     29      0      0</t>
  </si>
  <si>
    <t>0   -517      0    368    -54      0      0    315</t>
  </si>
  <si>
    <t>471      0      0      0      0    -47  -1578  -7242</t>
  </si>
  <si>
    <t>127    -60      0     50    151    180    -67     34</t>
  </si>
  <si>
    <t>0      0      0      0      0    201      0    210</t>
  </si>
  <si>
    <t>0    108    873   -118   -635   -423      0   -215</t>
  </si>
  <si>
    <t>931      0   2748     17      0      0      0    -38</t>
  </si>
  <si>
    <t>-157   -191   -150     -2      0      0      0      0</t>
  </si>
  <si>
    <t>0     99    125    -91      0    225    781   -130</t>
  </si>
  <si>
    <t>-4    -74     68      0    316      0      0    237</t>
  </si>
  <si>
    <t>25      0      0     -1      0    -86   -103     60</t>
  </si>
  <si>
    <t>0      0      0     -6      0    246     36   -190</t>
  </si>
  <si>
    <t>5074  -1968      0      0      0    619    957  -1468</t>
  </si>
  <si>
    <t>0      0      0    234   -262    -75    -71   -137</t>
  </si>
  <si>
    <t>16      0      0      0    -38   -133      0      0</t>
  </si>
  <si>
    <t>0      0    108      0      0     29      0    -50</t>
  </si>
  <si>
    <t>-296   -173      0     59   -226      1    168   -333</t>
  </si>
  <si>
    <t>-85      0      0      0      0      0    -13      0</t>
  </si>
  <si>
    <t>-161      0     87      0      0      0      0      0</t>
  </si>
  <si>
    <t>-423    -11      0      0   4856   3383      0   -667</t>
  </si>
  <si>
    <t>0      0   3689  -2756  -2051      0      0    609</t>
  </si>
  <si>
    <t>-317   -731   -130   -311  -1241   -260   -670      0</t>
  </si>
  <si>
    <t>0      0  -4996      0  -4828  -1232   -560      0</t>
  </si>
  <si>
    <t>-39    -61   -247      0    216   -765    906  -1562</t>
  </si>
  <si>
    <t>2745      0      0      0      6   -175      0    -73</t>
  </si>
  <si>
    <t>91      0      0      0      0      0  -1376      0</t>
  </si>
  <si>
    <t>-696      0  -1841   -496    -64    -54   -314    119</t>
  </si>
  <si>
    <t>0   -822      0      0  16080   -284      0    -23</t>
  </si>
  <si>
    <t>-73      0   -246   -139    109      0      0      0</t>
  </si>
  <si>
    <t>-288      0  -2123   -683   -342      0 -16051 -15298</t>
  </si>
  <si>
    <t>0      0   8062  -4122  -2612  16257   7657      0</t>
  </si>
  <si>
    <t>0   -135     89     -5   -222   -376      0      0</t>
  </si>
  <si>
    <t>0      0  -2109    255      0      0      0      0</t>
  </si>
  <si>
    <t>-239      0      0      7      0     83      0    142</t>
  </si>
  <si>
    <t>0    264     46     13    -86   -159   -343      0</t>
  </si>
  <si>
    <t>0      0      0      0   -268      0      0      0</t>
  </si>
  <si>
    <t>45      0      0      0      0      0    119      0</t>
  </si>
  <si>
    <t>0      0    528    -59      0   -227      0      0</t>
  </si>
  <si>
    <t>-529    232    -18      0      0    -41    219      0</t>
  </si>
  <si>
    <t>389    -88     37     81    -68      0      0      0</t>
  </si>
  <si>
    <t>-447      0     95    -71   -204      0    766     38</t>
  </si>
  <si>
    <t>-244      0   -165   -286   -853     98      0    -97</t>
  </si>
  <si>
    <t>0      0    738   -232      0   -110    -38    123</t>
  </si>
  <si>
    <t>0      0      0      0   -550      0    -79   -158</t>
  </si>
  <si>
    <t>380     -1    -44    468    453     63   -121   -234</t>
  </si>
  <si>
    <t>0      0    141      8      0  -3045      0      0</t>
  </si>
  <si>
    <t>231    170    452      0      0      0      0      0</t>
  </si>
  <si>
    <t>14   -335   -418      0 -12434  -9825  -5609      0</t>
  </si>
  <si>
    <t>3868  17489  16747  -4277   -277      0   -712      0</t>
  </si>
  <si>
    <t>-43    -19    -66      0      0    -15      0      0</t>
  </si>
  <si>
    <t>-75      0      0      0      0      0      0    -48</t>
  </si>
  <si>
    <t>-154      0    289      0    391     47    -42      0</t>
  </si>
  <si>
    <t>40   -161   -205   -305      0    -72      0      0</t>
  </si>
  <si>
    <t>0    207      0      0      0   -368      0   -125</t>
  </si>
  <si>
    <t>0      0      0    -81      0     46   -168      0</t>
  </si>
  <si>
    <t>1646      0   -616      0      0      0      0   -596</t>
  </si>
  <si>
    <t>0      0   -162    221      0    140  -4803    235</t>
  </si>
  <si>
    <t>155    479      0      0      0      0      0  -1041</t>
  </si>
  <si>
    <t>1627   -677      0    312   1248    253     50   1295</t>
  </si>
  <si>
    <t>33   -787   -393      0     -6      2      0      0</t>
  </si>
  <si>
    <t>1217      0   -524   -111    -80    -18      0      0</t>
  </si>
  <si>
    <t>0   -444      0   -341    140   -240      0     -9</t>
  </si>
  <si>
    <t>96   1756    115   -119    175      0   -230      0</t>
  </si>
  <si>
    <t>-134      0   -916      0      0   -144      0    -97</t>
  </si>
  <si>
    <t>0      0      0      0      0    -82      0    -92</t>
  </si>
  <si>
    <t>0  -7437  -3647  -7839      0      0      0   8582</t>
  </si>
  <si>
    <t>3242    180      0    930      0      0  25157      0</t>
  </si>
  <si>
    <t>915   -298    107    126      0      0     78      0</t>
  </si>
  <si>
    <t>307    413      0      0      0      0      0      0</t>
  </si>
  <si>
    <t>0   -193      0    321      0    260   -514     66</t>
  </si>
  <si>
    <t>895   -239   -237   -257   -332      0    -67      0</t>
  </si>
  <si>
    <t>0      0   -103      0      0      0   -172      0</t>
  </si>
  <si>
    <t>0      0      0      0    -80      0     20     40</t>
  </si>
  <si>
    <t>1152   1687      0   -245      0      0      0      0</t>
  </si>
  <si>
    <t>-333      0      0   -138    271      0    328  -1669</t>
  </si>
  <si>
    <t>86     98     66      0      0      0      0      0</t>
  </si>
  <si>
    <t>-252   -894    -12      0    470   1451    -68    -41</t>
  </si>
  <si>
    <t>-385   -128   -726   -406      0    -18     36      0</t>
  </si>
  <si>
    <t>222   -280      0  -1645   -188    -78    -87      0</t>
  </si>
  <si>
    <t>0      0   -557      0   -327    130    573      0</t>
  </si>
  <si>
    <t>122    -15    -75     32   -143    -11      0   -192</t>
  </si>
  <si>
    <t>43   -106      0   -746      0      0    275      0</t>
  </si>
  <si>
    <t>50      0      0      0      0      0   -140      0</t>
  </si>
  <si>
    <t>90      0  -7093  -3431   4614      0      0      0</t>
  </si>
  <si>
    <t>9826   3620    978      0    272      0      0  23816</t>
  </si>
  <si>
    <t>0      0      0    499   -320   -721   -477   -764</t>
  </si>
  <si>
    <t>-177      0      0      0    111   -215      0      0</t>
  </si>
  <si>
    <t>0      0     81      0      0    262      0     75</t>
  </si>
  <si>
    <t>60   -480      0    753    -97   -233   -532   -464</t>
  </si>
  <si>
    <t>224      0      0      0      0      0    -43      0</t>
  </si>
  <si>
    <t>-318      0    -68      0      0      0      0      0</t>
  </si>
  <si>
    <t>19    -71      0      0   1568   -947      0    606</t>
  </si>
  <si>
    <t>0      0  -1365   -228     50      0      0    865</t>
  </si>
  <si>
    <t>211   -265    234   -431    121    674    527      0</t>
  </si>
  <si>
    <t>0      0   2502      0   1226    375   -496      0</t>
  </si>
  <si>
    <t>-579   -501   -440      0   -547  -1039   -836    327</t>
  </si>
  <si>
    <t>1753      0      0      0     57   -389      0   -611</t>
  </si>
  <si>
    <t>-104      0      0      0      0      0   7081      0</t>
  </si>
  <si>
    <t>-183      0  -4901   2679   -684   -804   -748   -354</t>
  </si>
  <si>
    <t>0    413      0      0  -2331    580      0   -214</t>
  </si>
  <si>
    <t>-116      0   -256    153    -84      0      0      0</t>
  </si>
  <si>
    <t>9221      0  -3284    237     45      0 -77928    699</t>
  </si>
  <si>
    <t>0      0   1803   2986   1190  -1028   -989      0</t>
  </si>
  <si>
    <t>0    413      0   1681      0   2064      0      0</t>
  </si>
  <si>
    <t>0      0      0      0      0      0    312  -1703</t>
  </si>
  <si>
    <t>625      0      0    259      0      0      0    -13</t>
  </si>
  <si>
    <t>0      0      0      0      0    471      0      0</t>
  </si>
  <si>
    <t>26      0   -822   -494    329      0     34  -1145</t>
  </si>
  <si>
    <t>-45   -393      0     37      0      0      0      0</t>
  </si>
  <si>
    <t>0      0      0     -2      0      9      0      0</t>
  </si>
  <si>
    <t>0    655      0  -1017   -116      0      0   1117</t>
  </si>
  <si>
    <t>529      0      0      0      0   -421    484    334</t>
  </si>
  <si>
    <t>-917    -36      0    110    291    -14    269    400</t>
  </si>
  <si>
    <t>0      0      0      0      0   -894      0    329</t>
  </si>
  <si>
    <t>0   2698   5036   -172    234    -82      0   -370</t>
  </si>
  <si>
    <t>-65      0    122   -883      0      0      0    121</t>
  </si>
  <si>
    <t>-141     31     99    -62      0      0      0      0</t>
  </si>
  <si>
    <t>0  -4943    202   -161      0  -2584   3313    -16</t>
  </si>
  <si>
    <t>278    -41   -153      0     20      0      0  -1912</t>
  </si>
  <si>
    <t>94      0      0    103      0     86    109     62</t>
  </si>
  <si>
    <t>0      0      0   3191      0  -2260    154   -264</t>
  </si>
  <si>
    <t>1597   3211      0      0      0   2466   2616    476</t>
  </si>
  <si>
    <t>0 -10234      0      0   1520      0   2765      0</t>
  </si>
  <si>
    <t>0      0      0      0      0      0      0   2217</t>
  </si>
  <si>
    <t>1575    213     -4    -84      0      0   -277      0</t>
  </si>
  <si>
    <t>-22    187      0      0      0      0      0      0</t>
  </si>
  <si>
    <t>0    -91      0     38      0     22  -4548    604</t>
  </si>
  <si>
    <t>1342    -92    -28    176     28      0     -1      0</t>
  </si>
  <si>
    <t>0      0     62      0      0      0     50      0</t>
  </si>
  <si>
    <t>0      0      0      0      2      0   -168    134</t>
  </si>
  <si>
    <t>359   1955      0     43      0      0      0      0</t>
  </si>
  <si>
    <t>383      0      0    -44     44      0    215    311</t>
  </si>
  <si>
    <t>88     93     59      0      0      0      0      0</t>
  </si>
  <si>
    <t>213  -5578    656      0    429   1944    179    248</t>
  </si>
  <si>
    <t>-82    200    160    764      0   -260   -785      0</t>
  </si>
  <si>
    <t>35    401      0    208     99     75     68      0</t>
  </si>
  <si>
    <t>0      0    326      0    600  -7988   1096      0</t>
  </si>
  <si>
    <t>143    -95     46   -189   -163    202      0    464</t>
  </si>
  <si>
    <t>-530    -12      0     82      0      0     42      0</t>
  </si>
  <si>
    <t>-120      0      0      0      0      0     38      0</t>
  </si>
  <si>
    <t>596      0  -6099  -1425    345      0      0      0</t>
  </si>
  <si>
    <t>-350  -7237  -2587      0   4528      0      0   1151</t>
  </si>
  <si>
    <t>0    720      0      0      0      0      0      0</t>
  </si>
  <si>
    <t>2247      0  -2316   1750    679   -233    -37    218</t>
  </si>
  <si>
    <t>71      0      0      0   -128    -14      0      0</t>
  </si>
  <si>
    <t>0      0     -5      0      0    108      0   -138</t>
  </si>
  <si>
    <t>575  -4799      0     33    337      9   -163    -82</t>
  </si>
  <si>
    <t>-15      0      0      0      0      0    -68      0</t>
  </si>
  <si>
    <t>249      0      3      0      0      0      0      0</t>
  </si>
  <si>
    <t>57    -48      0      0    196    785      0   -161</t>
  </si>
  <si>
    <t>0      0    859   -422   -272      0      0   -107</t>
  </si>
  <si>
    <t>51   -249    107    334     62   -190   -241      0</t>
  </si>
  <si>
    <t>0      0    436      0    277    867  -6021      0</t>
  </si>
  <si>
    <t>-184    142      1      0    614   1487   1890   -500</t>
  </si>
  <si>
    <t>-574      0      0      0     57    -49      0    649</t>
  </si>
  <si>
    <t>137      0      0      0      0      0     74      0</t>
  </si>
  <si>
    <t>9446      0    229   1191   -222   -241   -182    -94</t>
  </si>
  <si>
    <t>0   -227      0      0   -264     87      0   -217</t>
  </si>
  <si>
    <t>191      0    234    -85   -139      0      0      0</t>
  </si>
  <si>
    <t>194      0   -454    788  -4438      0 -13170  -9615</t>
  </si>
  <si>
    <t>0      0  -8911 -13516 -17328   6916   4837      0</t>
  </si>
  <si>
    <t>0   4469      0   4299      0  -4681      0      0</t>
  </si>
  <si>
    <t>0      0      0      0   1798      0   3413  -8964</t>
  </si>
  <si>
    <t>0      0      0      0   1067   -226   1383    755</t>
  </si>
  <si>
    <t>0     64      0      0      0   -226     31      0</t>
  </si>
  <si>
    <t>0      0      0    470      0      0   -195      0</t>
  </si>
  <si>
    <t>-335   -645    183      0    152   -842    165   1064</t>
  </si>
  <si>
    <t>0   -748      0      0      0      0      0    -58</t>
  </si>
  <si>
    <t>0    540      0   -132      0      0      0      0</t>
  </si>
  <si>
    <t>0    584  -1872      0      0   5623    246      0</t>
  </si>
  <si>
    <t>0      0      0   1719     70     77      0      0</t>
  </si>
  <si>
    <t>0    125    436    -29    353    -57   -372    312</t>
  </si>
  <si>
    <t>0      0      0   -385      0  -2382   -583    173</t>
  </si>
  <si>
    <t>3913   1092   2099   1806      0    343   -143    969</t>
  </si>
  <si>
    <t>192   1764      0      0      0     53    117      0</t>
  </si>
  <si>
    <t>-206      1      0      0      0      0      0  -4969</t>
  </si>
  <si>
    <t>-600    182      0   7866  -5335    847   1650   1371</t>
  </si>
  <si>
    <t>-638      0    -82      0      0   1469   -437      0</t>
  </si>
  <si>
    <t>0     -7      0     36   -299    -35      0      0</t>
  </si>
  <si>
    <t>0  -2857      0   4833   -382    352      0   9323</t>
  </si>
  <si>
    <t>0      0      0   -530  -1640    251    317    344</t>
  </si>
  <si>
    <t>0      0    526      0    271      0    341      0</t>
  </si>
  <si>
    <t>0      0      0      0      0  -3634      0   4365</t>
  </si>
  <si>
    <t>0     84  34083    333     59    966      0      0</t>
  </si>
  <si>
    <t>0      0    -78    -91      0      0      0      0</t>
  </si>
  <si>
    <t>111      0      0    -53      0     33      0   -257</t>
  </si>
  <si>
    <t>0    -71  29531    326    459   -477  -1020      0</t>
  </si>
  <si>
    <t>0      0      0      0    -69      0      0      0</t>
  </si>
  <si>
    <t>-92      0      0      0      0      0   -627      0</t>
  </si>
  <si>
    <t>0      0    326  36762      0   -373      0      0</t>
  </si>
  <si>
    <t>2128     98     33      0      0    147   -340      0</t>
  </si>
  <si>
    <t>-85   -317   -618   -419   -168      0      0      0</t>
  </si>
  <si>
    <t>-196      0   2945   -486    204      0   -296  42548</t>
  </si>
  <si>
    <t>713      0   1999   2239    237     65      0    170</t>
  </si>
  <si>
    <t>0      0     82    323      0    213    146    -76</t>
  </si>
  <si>
    <t>0      0      0      0     82      0  -1697   -420</t>
  </si>
  <si>
    <t>1378  42299    261     69    464     58   1738   2108</t>
  </si>
  <si>
    <t>0      0    245     49      0    -42      0      0</t>
  </si>
  <si>
    <t>42   -134    -46      0      0      0      0      0</t>
  </si>
  <si>
    <t>2336   -469    179      0   -505  46814   -269      0</t>
  </si>
  <si>
    <t>315   -323  -2413   1476   1209      0    576      0</t>
  </si>
  <si>
    <t>0   1283      0   1520      0      0      0      0</t>
  </si>
  <si>
    <t>0      0    -39      0   6908   2135   1207      0</t>
  </si>
  <si>
    <t>0      0      0      0    634   2002   -843   -507</t>
  </si>
  <si>
    <t>0   -157      0      0      0   -241    353      0</t>
  </si>
  <si>
    <t>0      0      0     88      0      0    103      0</t>
  </si>
  <si>
    <t>-4     89   -356      0    994   4169   -745   -916</t>
  </si>
  <si>
    <t>0   -401      0      0      0      0      0   -409</t>
  </si>
  <si>
    <t>0    455      0    -46      0      0      0      0</t>
  </si>
  <si>
    <t>0  -3177  -1931      0      0  -8480  -1792      0</t>
  </si>
  <si>
    <t>0      0      0 -15804   -729    320      0      0</t>
  </si>
  <si>
    <t>0   -511  -3384   -768  -2863  -7450  -3394  -4617</t>
  </si>
  <si>
    <t>0      0      0  11031      0   9367   -106   3684</t>
  </si>
  <si>
    <t>4100   -276     -2     24      0  -2939  24650  -1311</t>
  </si>
  <si>
    <t>32  -4607      0      0      0    179    358      0</t>
  </si>
  <si>
    <t>-3    198      0      0      0      0      0   1990</t>
  </si>
  <si>
    <t>485    720      0    457   4015    -81     71    232</t>
  </si>
  <si>
    <t>2825      0     81      0      0  -4105    -69      0</t>
  </si>
  <si>
    <t>0     21      0   -665    373     19      0      0</t>
  </si>
  <si>
    <t>0   -118      0   -565    324    741      0   -974</t>
  </si>
  <si>
    <t>0      0      0   -586  19119  -1341    157    355</t>
  </si>
  <si>
    <t>0      0   -113      0    147      0    -30      0</t>
  </si>
  <si>
    <t>0      0      0      0      0   1135      0  -2735</t>
  </si>
  <si>
    <t>0 -20906 -15379      0      0      0      0      0</t>
  </si>
  <si>
    <t>1865  -1498  -2826      0      0   -202      0      0</t>
  </si>
  <si>
    <t>-23      0      0      0      0      0      0   -771</t>
  </si>
  <si>
    <t>503      0   -454      0     23   1129    -26      0</t>
  </si>
  <si>
    <t>1497  -2380  -1553   -767      0    165      0      0</t>
  </si>
  <si>
    <t>0    -17      0      0      0   -399      0    168</t>
  </si>
  <si>
    <t>0      0      0   1920      0   -111    -33      0</t>
  </si>
  <si>
    <t>2099      0   -604      0      0      0      0  -2162</t>
  </si>
  <si>
    <t>0      0    158    960      0   -146    135   -224</t>
  </si>
  <si>
    <t>497   -106      0      0      0      0      0    990</t>
  </si>
  <si>
    <t>-62     43      0  -1917   3000  -1169  -2101  -2360</t>
  </si>
  <si>
    <t>3096  -3520    151      0    162   -718      0      0</t>
  </si>
  <si>
    <t>-179      0   -341  -1523   -234   -471      0      0</t>
  </si>
  <si>
    <t>0   2006      0  -1448    640    999      0  -1286</t>
  </si>
  <si>
    <t>808   -412   -651  -3227   -841      0   -306      0</t>
  </si>
  <si>
    <t>393      0     -8      0      0     -3      0     49</t>
  </si>
  <si>
    <t>0      0      0      0      0    849      0   1591</t>
  </si>
  <si>
    <t>0  -1528   3080    227      0      0      0  -3280</t>
  </si>
  <si>
    <t>-13    119      0    210      0      0   -832      0</t>
  </si>
  <si>
    <t>-702      0      0      0      0      0      0      0</t>
  </si>
  <si>
    <t>0  -2286    312   1887      0 -21074 -11160      0</t>
  </si>
  <si>
    <t>0      0  24446   -419    591   -111    435   -419</t>
  </si>
  <si>
    <t>-113      0      0      0    114     73      0      0</t>
  </si>
  <si>
    <t>0      0    135      0      0     -1      0    -67</t>
  </si>
  <si>
    <t>332     79      0   -120    524    291   -293   -170</t>
  </si>
  <si>
    <t>68      0      0      0      0      0     35      0</t>
  </si>
  <si>
    <t>257      0    -17      0      0      0      0      0</t>
  </si>
  <si>
    <t>89    282      0      0  -1574    746      0    950</t>
  </si>
  <si>
    <t>0      0   -486  -1867   -313      0      0    304</t>
  </si>
  <si>
    <t>183    176    174    115    965    280    327      0</t>
  </si>
  <si>
    <t>0      0   1257      0    645    864    -45      0</t>
  </si>
  <si>
    <t>-68    378    -29      0   -642   -509   -235  -3589</t>
  </si>
  <si>
    <t>3324      0      0      0     52   -288      0   -203</t>
  </si>
  <si>
    <t>27      0      0      0      0      0    -11      0</t>
  </si>
  <si>
    <t>-16      0    303   1297    153    643    219    764</t>
  </si>
  <si>
    <t>0  -5977      0      0  -3254     91      0    369</t>
  </si>
  <si>
    <t>107      0    553     92      4      0      0      0</t>
  </si>
  <si>
    <t>-25      0    606    974     20      0    509   2303</t>
  </si>
  <si>
    <t>0      0   -592   -711   -158  -7425  -1659      0</t>
  </si>
  <si>
    <t>0    244      0   -227      0   -219      0      0</t>
  </si>
  <si>
    <t>0      0      0      0    316      0    641   1071</t>
  </si>
  <si>
    <t>5258  -1966      0      0      0      0      0    699</t>
  </si>
  <si>
    <t>626     -1     22     67      0      0   -173      0</t>
  </si>
  <si>
    <t>5     53      0      0      0      0      0      0</t>
  </si>
  <si>
    <t>0    -55      0     60      0     32    276    -26</t>
  </si>
  <si>
    <t>497     52     70   -148    -17      0    257      0</t>
  </si>
  <si>
    <t>0      0     73      0      0      0      0      0</t>
  </si>
  <si>
    <t>0      0      0      0   -791      0     48    132</t>
  </si>
  <si>
    <t>-880    831      0    929      0      0      0      0</t>
  </si>
  <si>
    <t>2986      0      0    174    119      0    211    225</t>
  </si>
  <si>
    <t>403    248    168      0      0      0      0      0</t>
  </si>
  <si>
    <t>511    589     46      0      3   1209      2     96</t>
  </si>
  <si>
    <t>217   -355   -330    387      0      3  -2415      0</t>
  </si>
  <si>
    <t>51   -146      0   -130    -18     51    -44      0</t>
  </si>
  <si>
    <t>0      0    439      0    513    282     89      0</t>
  </si>
  <si>
    <t>-15    -48   -157     73    201    -59      0    569</t>
  </si>
  <si>
    <t>2135   -251      0     52      0      0    110      0</t>
  </si>
  <si>
    <t>19      0      0      0      0      0    455      0</t>
  </si>
  <si>
    <t>95      0    722   2198    106      0      0      0</t>
  </si>
  <si>
    <t>-116  -1594  -8259      0  -1769      0      0      4</t>
  </si>
  <si>
    <t>0     -7      0      0      0      0      0      0</t>
  </si>
  <si>
    <t>428      0    424    635      5      0  -5242  -1944</t>
  </si>
  <si>
    <t>0      0      0  -1757  -2483  26029   -385     76</t>
  </si>
  <si>
    <t>706      0      0   1374      0      0      0     60</t>
  </si>
  <si>
    <t>0      0      0      0      0   -177      0      0</t>
  </si>
  <si>
    <t>129      0    210     54    -69      0    -83    192</t>
  </si>
  <si>
    <t>2    148      0     -7      0      0      0      0</t>
  </si>
  <si>
    <t>0      0      0     48      0      2      0      0</t>
  </si>
  <si>
    <t>0     69      0   -166    -17      0      0   -595</t>
  </si>
  <si>
    <t>119      0      0      0      0   -192    291    102</t>
  </si>
  <si>
    <t>-62    100      0    -12     96    -44     15    280</t>
  </si>
  <si>
    <t>0      0      0      0      0    455      0    213</t>
  </si>
  <si>
    <t>0    226    455     90    -91   -140      0   1271</t>
  </si>
  <si>
    <t>-763      0  -3931  -1354      0      0      0    -85</t>
  </si>
  <si>
    <t>43      9   -174    260      0      0      0      0</t>
  </si>
  <si>
    <t>0    461    -67    124      0    -66    348     79</t>
  </si>
  <si>
    <t>0    968   -344      0     43      0      0  -1307</t>
  </si>
  <si>
    <t>-71      0      0    -11      0     28    106    263</t>
  </si>
  <si>
    <t>0      0      0    123      0    317    110    230</t>
  </si>
  <si>
    <t>575    -38      0      0      0    883   -337    -45</t>
  </si>
  <si>
    <t>0   -639      0      0    -92      0      4      0</t>
  </si>
  <si>
    <t>0      0      0      0      0      0      0    -14</t>
  </si>
  <si>
    <t>120    228      0  -2111   -846      0      0      0</t>
  </si>
  <si>
    <t>5720  -2650  24103  27710  -1196    501    775    362</t>
  </si>
  <si>
    <t>0   -322      0      0      0    -23   -112      0</t>
  </si>
  <si>
    <t>0      0      0    247      0      0    -51      0</t>
  </si>
  <si>
    <t>-136    652    196      0   -300    274    475    114</t>
  </si>
  <si>
    <t>0    145      0      0      0      0      0      0</t>
  </si>
  <si>
    <t>0   -102      0     37      0      0      0      0</t>
  </si>
  <si>
    <t>0    244    470      0      0   9472   5284      0</t>
  </si>
  <si>
    <t>0      0      0   6660  -2444  -1711      0      0</t>
  </si>
  <si>
    <t>0   -321   -829    -31   -355   -904   -152   -335</t>
  </si>
  <si>
    <t>0      0      0 -10978      0  -5520  -1145   -199</t>
  </si>
  <si>
    <t>120    639    460   -382      0    135  -2711   1133</t>
  </si>
  <si>
    <t>59  21543      0      0      0     35   -171      0</t>
  </si>
  <si>
    <t>27    494      0      0      0      0      0  -2452</t>
  </si>
  <si>
    <t>-362      0      0  -2020    437    333    148   -617</t>
  </si>
  <si>
    <t>3492      0   -540      0      0  19002   -208      0</t>
  </si>
  <si>
    <t>0    -26      0   -112   -185    677      0      0</t>
  </si>
  <si>
    <t>0  -1119      0  -1897   -466    115      0  -1578</t>
  </si>
  <si>
    <t>0      0      0   -548  -2158    810   -586     66</t>
  </si>
  <si>
    <t>0      0     84      0     51      0    152      0</t>
  </si>
  <si>
    <t>0      0      0      0      0  -1425      0    -88</t>
  </si>
  <si>
    <t>0   7689   1451      0      0      0      0      0</t>
  </si>
  <si>
    <t>3186  -3161  -7835      0      0      0      0      0</t>
  </si>
  <si>
    <t>1834    815    160  -1528      0      0    153      0</t>
  </si>
  <si>
    <t>1409    655      0      0      0      0      0      0</t>
  </si>
  <si>
    <t>0   -145      0    335      0    542   -170   -297</t>
  </si>
  <si>
    <t>1322     59  -1047   -772   -393      0     54      0</t>
  </si>
  <si>
    <t>0      0    325      0      0      0   -620      0</t>
  </si>
  <si>
    <t>0      0      0      0   -137      0    440    137</t>
  </si>
  <si>
    <t>751   1727      0   -943      0      0      0      0</t>
  </si>
  <si>
    <t>-491      0      0    -91   -552      0   -643   4230</t>
  </si>
  <si>
    <t>-120    -87   -636      0      0      0      0      0</t>
  </si>
  <si>
    <t>564  -1324   -450      0    456   2123    231    -35</t>
  </si>
  <si>
    <t>2095   -824   -439    -16      0    266  -1330      0</t>
  </si>
  <si>
    <t>-217   7139      0    788   -220    -51   -267      0</t>
  </si>
  <si>
    <t>0      0   -220      0    186    165     12      0</t>
  </si>
  <si>
    <t>757     37   2103    454  -2100   -979      0   -343</t>
  </si>
  <si>
    <t>1224   -182      0   -817      0      0   -385      0</t>
  </si>
  <si>
    <t>1215      0      0      0      0      0    128      0</t>
  </si>
  <si>
    <t>-450      0    792   3027   -184      0      0      0</t>
  </si>
  <si>
    <t>-824   -163    191      0   -714      0      0     74</t>
  </si>
  <si>
    <t>0    -32      0      0      0      0      0      0</t>
  </si>
  <si>
    <t>-331      0    178    307    -80      0  -4040     14</t>
  </si>
  <si>
    <t>0      0      0   9039   9189   1446  -2284  -5063</t>
  </si>
  <si>
    <t>500    150  -1144      0      0     67      0      0</t>
  </si>
  <si>
    <t>-471      0      0      0      0      0      0    -75</t>
  </si>
  <si>
    <t>-105      0    270      0    434   -104    315      0</t>
  </si>
  <si>
    <t>21   -634   -407   -291      0    -44      0      0</t>
  </si>
  <si>
    <t>0   -130      0      0      0   -246      0    -76</t>
  </si>
  <si>
    <t>0      0      0   -150      0    293    135      0</t>
  </si>
  <si>
    <t>1045      0   -136      0      0      0      0    333</t>
  </si>
  <si>
    <t>0      0     58   -543      0    433    272   -456</t>
  </si>
  <si>
    <t>-24   -297      0      0      0      0      0   -189</t>
  </si>
  <si>
    <t>-672     -2      0    585   1113    771     93    690</t>
  </si>
  <si>
    <t>-517   -502     36      0    108   -499      0      0</t>
  </si>
  <si>
    <t>847      0   7074   -162    -45   -225      0      0</t>
  </si>
  <si>
    <t>0   -677      0    163    108    233      0    435</t>
  </si>
  <si>
    <t>-62    546    348  -1388   -761      0   -259      0</t>
  </si>
  <si>
    <t>-220      0   -700      0      0    788      0   -535</t>
  </si>
  <si>
    <t>0      0      0      0      0   -268      0    215</t>
  </si>
  <si>
    <t>0    719   1655   -279      0      0      0  -1400</t>
  </si>
  <si>
    <t>-205     68      0   -279      0      0    -13      0</t>
  </si>
  <si>
    <t>1888      0      0      0      0      0      0      0</t>
  </si>
  <si>
    <t>0    183     97    497      0  -2917   -355      0</t>
  </si>
  <si>
    <t>0      0   6068   5952   1260  -1028  -2670  -2325</t>
  </si>
  <si>
    <t>0      0  14457      0      0      0      0      0</t>
  </si>
  <si>
    <t>183    757   -187   -946      0      0    150      0</t>
  </si>
  <si>
    <t>68   -233      0      0      0      0      0      0</t>
  </si>
  <si>
    <t>0    -37      0     54      0    -57   -280   -231</t>
  </si>
  <si>
    <t>-69    -90   -809   -271   -198      0     76      0</t>
  </si>
  <si>
    <t>0      0    -92      0      0      0   -912      0</t>
  </si>
  <si>
    <t>0      0      0      0    -84      0     60    445</t>
  </si>
  <si>
    <t>-152    590      0  -3353      0      0      0      0</t>
  </si>
  <si>
    <t>175      0      0    115   -646      0    -74   -172</t>
  </si>
  <si>
    <t>-943    500   -128      0      0      0      0      0</t>
  </si>
  <si>
    <t>-51    223   -365      0    240    717    832   -566</t>
  </si>
  <si>
    <t>1936     -2   -356    -70      0    579  -1240      0</t>
  </si>
  <si>
    <t>-457   -825      0   -742  -1360    -98  -2815      0</t>
  </si>
  <si>
    <t>0      0     -7      0    -10   -131     72      0</t>
  </si>
  <si>
    <t>566   -669   3169    -11  -1560    217      0   -227</t>
  </si>
  <si>
    <t>-934     34      0    568      0      0   -666      0</t>
  </si>
  <si>
    <t>4738      0      0      0      0      0    -69      0</t>
  </si>
  <si>
    <t>41      0    239    751   -567      0      0      0</t>
  </si>
  <si>
    <t>-338     49    -18      0   -606      0      0   -134</t>
  </si>
  <si>
    <t>0     18      0      0      0      0      0      0</t>
  </si>
  <si>
    <t>-73      0    212    114     89      0  -5835  -3291</t>
  </si>
  <si>
    <t>0      0      0  11591  11695   1043    223  -5942</t>
  </si>
  <si>
    <t>0      0      0  12530      0   9722      0      0</t>
  </si>
  <si>
    <t>936    -60     -3      0      0    -72      0      0</t>
  </si>
  <si>
    <t>106      0      0      0      0      0      0   3786</t>
  </si>
  <si>
    <t>242      0   -217      0  -1003   -714   -341      0</t>
  </si>
  <si>
    <t>93   -193   -384   -198      0    128      0      0</t>
  </si>
  <si>
    <t>0     23      0      0      0   -261      0     33</t>
  </si>
  <si>
    <t>0      0      0    -42      0   -129    -27      0</t>
  </si>
  <si>
    <t>407      0  -3053      0      0      0      0  -1069</t>
  </si>
  <si>
    <t>0      0   -362    260      0   -338   -475    -84</t>
  </si>
  <si>
    <t>-472   -394      0      0      0      0      0   -308</t>
  </si>
  <si>
    <t>299   -724      0    908   1062   2406  -4192  -3922</t>
  </si>
  <si>
    <t>1273  -2253   -130      0    -27   -204      0      0</t>
  </si>
  <si>
    <t>-460      0    326   -891   -588    188      0      0</t>
  </si>
  <si>
    <t>0   -203      0   -344    230   -516      0    -39</t>
  </si>
  <si>
    <t>2830  -2639   -568   -583   -330      0   -103      0</t>
  </si>
  <si>
    <t>-240      0   -230      0      0    193      0   -150</t>
  </si>
  <si>
    <t>0      0      0      0      0    454      0    291</t>
  </si>
  <si>
    <t>0    114    211   1462      0      0      0    -97</t>
  </si>
  <si>
    <t>-352    -63      0     26      0      0   -380      0</t>
  </si>
  <si>
    <t>407      0      0      0      0      0      0      0</t>
  </si>
  <si>
    <t>0   -167    157   -380      0  -1159   -921      0</t>
  </si>
  <si>
    <t>0      0   2006   2055    729   -929   -913  -1058</t>
  </si>
  <si>
    <t>0      0  -1161      0  -3193      0      0  -4231</t>
  </si>
  <si>
    <t>-471   -407   -700      0      0    232      0      0</t>
  </si>
  <si>
    <t>-304      0      0      0      0      0      0     27</t>
  </si>
  <si>
    <t>219      0    163      0    331   -641   -496      0</t>
  </si>
  <si>
    <t>-105   -940  -2329  -2014      0    571      0      0</t>
  </si>
  <si>
    <t>0    -70      0      0      0   -435      0     -8</t>
  </si>
  <si>
    <t>0      0      0   1330      0   -589    788      0</t>
  </si>
  <si>
    <t>1445      0    956      0      0      0      0  -3752</t>
  </si>
  <si>
    <t>0      0    975    348      0    293    -40    253</t>
  </si>
  <si>
    <t>862    785      0      0      0      0      0   3302</t>
  </si>
  <si>
    <t>483   -670      0  -5517   2557   -613   -587   -255</t>
  </si>
  <si>
    <t>-949  -2183    525      0    232  -4462      0      0</t>
  </si>
  <si>
    <t>-265      0   -398   -338    229   -240      0      0</t>
  </si>
  <si>
    <t>0  13781      0  -1423     30    -84      0  -3539</t>
  </si>
  <si>
    <t>-727   -558     59   -300   1309      0    407      0</t>
  </si>
  <si>
    <t>554      0   -208      0      0   -127      0   -199</t>
  </si>
  <si>
    <t>0      0      0      0      0  11219      0  -3782</t>
  </si>
  <si>
    <t>0   3069   3295   -392      0      0      0     35</t>
  </si>
  <si>
    <t>313    229      0  -1796      0      0   -373      0</t>
  </si>
  <si>
    <t>-491      0      0      0      0      0      0      0</t>
  </si>
  <si>
    <t>0  -3877    419    -48      0 -89024  -3923      0</t>
  </si>
  <si>
    <t>0      0  21614  19309  -2724   -562  -1376 -20417</t>
  </si>
  <si>
    <t>0      0   2945      0   2337      0      0   3051</t>
  </si>
  <si>
    <t>3972     -1    -10   -888      0      0   -342      0</t>
  </si>
  <si>
    <t>-16    100      0      0      0      0      0      0</t>
  </si>
  <si>
    <t>0     49      0    -10      0    428    341    185</t>
  </si>
  <si>
    <t>3804   -134   -173   1068   1760      0   -255      0</t>
  </si>
  <si>
    <t>0      0     12      0      0      0     14      0</t>
  </si>
  <si>
    <t>0      0      0      0    825      0    495   -768</t>
  </si>
  <si>
    <t>-956   1583      0    452      0      0      0      0</t>
  </si>
  <si>
    <t>200      0      0   -433    252      0     54    411</t>
  </si>
  <si>
    <t>763    353    330      0      0      0      0      0</t>
  </si>
  <si>
    <t>3652    184   -137      0   1037   -802    -65   -615</t>
  </si>
  <si>
    <t>1909  -2268    -34    -68      0     68  -2922      0</t>
  </si>
  <si>
    <t>-60   -289      0   -254   -172    138   -225      0</t>
  </si>
  <si>
    <t>0      0   -172      0    200     77     82      0</t>
  </si>
  <si>
    <t>-4    -49   -148    -21  -1645  -2628      0   -121</t>
  </si>
  <si>
    <t>2376   -172      0    -38      0      0    -38      0</t>
  </si>
  <si>
    <t>-8      0      0      0      0      0  -1856      0</t>
  </si>
  <si>
    <t>-184      0   1016   2580   -317      0      0      0</t>
  </si>
  <si>
    <t>738    -86     92      0  -2060      0      0   -275</t>
  </si>
  <si>
    <t>0   -343      0      0      0      0      0      0</t>
  </si>
  <si>
    <t>-105      0  -7312    239   -224      0  -6471 -73694</t>
  </si>
  <si>
    <t>0      0      0  22711  15271  -2262  -1044  -1868</t>
  </si>
  <si>
    <t>0      0      0   1169      0   1750      0      0</t>
  </si>
  <si>
    <t>0      0      0      0   7710      0  -1591   1376</t>
  </si>
  <si>
    <t>-159      0      0   -277      0      0      0      3</t>
  </si>
  <si>
    <t>0      0      0      0      0    211      0      0</t>
  </si>
  <si>
    <t>-77      0      4    935     56      0   -410   1230</t>
  </si>
  <si>
    <t>-275   -252      0     70      0      0      0      0</t>
  </si>
  <si>
    <t>0      0      0     97      0     81      0      0</t>
  </si>
  <si>
    <t>0    103      0     -1   -720      0      0   -159</t>
  </si>
  <si>
    <t>-24      0      0      0      0   -316    611    423</t>
  </si>
  <si>
    <t>-13     23      0    322    198    149    119    163</t>
  </si>
  <si>
    <t>0      0      0      0      0    434      0    304</t>
  </si>
  <si>
    <t>0    174   2248   -206     31    163      0   -204</t>
  </si>
  <si>
    <t>583      0   -607  -1183      0      0      0    127</t>
  </si>
  <si>
    <t>112     67     18    325      0      0      0      0</t>
  </si>
  <si>
    <t>0    489  -3041    657      0    228   2212   -218</t>
  </si>
  <si>
    <t>-272   -263     54      0    941      0      0  -1223</t>
  </si>
  <si>
    <t>-47      0      0     81      0    216    120    241</t>
  </si>
  <si>
    <t>0      0      0    252      0    535  -5459    879</t>
  </si>
  <si>
    <t>3430   -177      0      0      0   -139    -70   -137</t>
  </si>
  <si>
    <t>0   -898      0      0    -66      0    153      0</t>
  </si>
  <si>
    <t>0      0      0      0      0      0      0    364</t>
  </si>
  <si>
    <t>6700   1138      0  -3060    794      0      0      0</t>
  </si>
  <si>
    <t>330  -2130 -10025  -4294   -995   2019      0      0</t>
  </si>
  <si>
    <t>-643      0    779      0      0   1603   -701      0</t>
  </si>
  <si>
    <t>0  -1851      0   -460   -619    384     74     46</t>
  </si>
  <si>
    <t>0   -155      0      0      0    -43     46      0</t>
  </si>
  <si>
    <t>0      0      0    124      0      0     11      0</t>
  </si>
  <si>
    <t>-49     37   1349      0   -130    585    300   1252</t>
  </si>
  <si>
    <t>0    -46      0      0      0      0      0    -21</t>
  </si>
  <si>
    <t>0    478      0    -38      0      0      0      0</t>
  </si>
  <si>
    <t>0   -155   -115      0      0   -486   1168      0</t>
  </si>
  <si>
    <t>0      0      0   -473    358    352      0      0</t>
  </si>
  <si>
    <t>0    -74   -329    267    -89    744   -138   -284</t>
  </si>
  <si>
    <t>0      0      0    736      0    350    772  -2481</t>
  </si>
  <si>
    <t>1372    -68     -1   -160      0   3517    185    273</t>
  </si>
  <si>
    <t>-141  -2380      0      0      0    -17   -190      0</t>
  </si>
  <si>
    <t>161    296      0      0      0      0      0    304</t>
  </si>
  <si>
    <t>916  -2967      0    246   1798   -340   -340   -452</t>
  </si>
  <si>
    <t>272      0    106      0      0  -2261     76      0</t>
  </si>
  <si>
    <t>0    503      0    680    -24    217      0      0</t>
  </si>
  <si>
    <t>0    351      0   -129   1264  -5242      0   1164</t>
  </si>
  <si>
    <t>0      0      0   3141   1037   1285   -185    -40</t>
  </si>
  <si>
    <t>0      0   -232      0   -325      0    471      0</t>
  </si>
  <si>
    <t>0      0      0      0      0    -20      0     88</t>
  </si>
  <si>
    <t>0  -8640  -5200      0      0      0      0      0</t>
  </si>
  <si>
    <t>2853    376  -3118  -1682      0      0      0      0</t>
  </si>
  <si>
    <t>5667      0      0    532   3250      0      0      0</t>
  </si>
  <si>
    <t>0   3181 -11713   6783   -869  -4651  -1431  -2473</t>
  </si>
  <si>
    <t>1040      0      0      0    887     31      0      0</t>
  </si>
  <si>
    <t>0      0  -2190      0      0    249      0   -256</t>
  </si>
  <si>
    <t>2705   -715      0   1562  -1327  -2591  -2672  -1642</t>
  </si>
  <si>
    <t>30      0      0      0      0      0    143      0</t>
  </si>
  <si>
    <t>35      0    -24      0      0      0      0      0</t>
  </si>
  <si>
    <t>723    292      0      0  -2833  -2113      0   1907</t>
  </si>
  <si>
    <t>0      0   2383   -669   -511      0      0   -174</t>
  </si>
  <si>
    <t>-37    344    277    261    698    495   -154      0</t>
  </si>
  <si>
    <t>0      0   2363      0    318    181    -64      0</t>
  </si>
  <si>
    <t>4669   -753  -4636      0  -4095  -1487   1144   -160</t>
  </si>
  <si>
    <t>2847      0      0      0      8     50      0   -645</t>
  </si>
  <si>
    <t>525      0      0      0      0      0   1462      0</t>
  </si>
  <si>
    <t>178      0    129  -2408  -3015    405  -3375  -1010</t>
  </si>
  <si>
    <t>0   -241      0      0  -2261    137      0    244</t>
  </si>
  <si>
    <t>-52      0     96    -90    368      0      0      0</t>
  </si>
  <si>
    <t>-86      0   1061    410    592      0  -1488  -2133</t>
  </si>
  <si>
    <t>0      0  -2613   -986   1657   -172    -57      0</t>
  </si>
  <si>
    <t>0    408      0   -574      0    220      0      0</t>
  </si>
  <si>
    <t>0      0      0      0   1098      0    675    116</t>
  </si>
  <si>
    <t>3532  -2480      0      0      0      0      0  13209</t>
  </si>
  <si>
    <t>2323  -8215 -15819      0      0      0      0  -2411</t>
  </si>
  <si>
    <t>0      0  -8455  -7921      0      0      0      0</t>
  </si>
  <si>
    <t>5896  -2309  -4590   2575   -195 -14996  -2092  -1594</t>
  </si>
  <si>
    <t>184      0      0      0   1601   1098      0      0</t>
  </si>
  <si>
    <t>0      0    741      0      0    473      0   -446</t>
  </si>
  <si>
    <t>-120   -266      0   1914    327  -2825  -2500  -2548</t>
  </si>
  <si>
    <t>148      0      0      0      0      0    407      0</t>
  </si>
  <si>
    <t>36      0    176      0      0      0      0      0</t>
  </si>
  <si>
    <t>104    372      0      0  -3464     10      0   1961</t>
  </si>
  <si>
    <t>0      0   2956  -1200  -1344      0      0  -1711</t>
  </si>
  <si>
    <t>165    591   -750   -318    683    861   -642      0</t>
  </si>
  <si>
    <t>0      0   1839      0   -632    195    622      0</t>
  </si>
  <si>
    <t>4092  -4360  -5221      0  -1695  -1304    368     -5</t>
  </si>
  <si>
    <t>1076      0      0      0   1057   1990      0  -1825</t>
  </si>
  <si>
    <t>416      0      0      0      0      0   2053      0</t>
  </si>
  <si>
    <t>-222      0  -1108    438 -23390  -5001  -5088  -2829</t>
  </si>
  <si>
    <t>0     11      0      0   -913    -59      0   2622</t>
  </si>
  <si>
    <t>1098      0    638    291   -257      0      0      0</t>
  </si>
  <si>
    <t>834      0    176     56   -223      0  -3076   -535</t>
  </si>
  <si>
    <t>0      0   -434    214   1537   -433   -159      0</t>
  </si>
  <si>
    <t>0   1829      0   1315      0   -677      0      0</t>
  </si>
  <si>
    <t>0      0      0      0   1289      0   -467     90</t>
  </si>
  <si>
    <t>3529  -1053      0      0      0      0      0   3434</t>
  </si>
  <si>
    <t>-248   -906  -3482      0      0      0      0   -929</t>
  </si>
  <si>
    <t>0      0  -3281  -3660      0      0      0      0</t>
  </si>
  <si>
    <t>-518   -503   -665  22150   -828     92  -7862  -5108</t>
  </si>
  <si>
    <t>0   -742      0      0      0   4274   1306      0</t>
  </si>
  <si>
    <t>0      0      0  -7516      0      0    757      0</t>
  </si>
  <si>
    <t>-364   2664    593      0   2864    494  -3624  -3458</t>
  </si>
  <si>
    <t>0     46      0      0      0      0      0     62</t>
  </si>
  <si>
    <t>0   -586      0    148      0      0      0      0</t>
  </si>
  <si>
    <t>0   -299    951      0      0  -6112   2166      0</t>
  </si>
  <si>
    <t>0      0      0   2600  -1136   -781      0      0</t>
  </si>
  <si>
    <t>0  -1544  -2293   -847  -1072  -1025     50  -1947</t>
  </si>
  <si>
    <t>0      0      0   2375      0  -2237    136     62</t>
  </si>
  <si>
    <t>3747  -3464 -23761 -11401      0  -2468  -2210    133</t>
  </si>
  <si>
    <t>297   -600      0      0      0   -594   -233      0</t>
  </si>
  <si>
    <t>-438    113      0      0      0      0      0   2332</t>
  </si>
  <si>
    <t>4   -306      0  -2212   1263  -3902 -23262 -10897</t>
  </si>
  <si>
    <t>2295      0    201      0      0   -310     79      0</t>
  </si>
  <si>
    <t>0   -818      0   -374     -1    -85      0      0</t>
  </si>
  <si>
    <t>0   -679      0   1111   -137    -95      0  -9869</t>
  </si>
  <si>
    <t>0      0      0    988   2544   4532  -1787  -1476</t>
  </si>
  <si>
    <t>0      0   1138      0    823      0    806      0</t>
  </si>
  <si>
    <t>0      0      0      0      0   1652      0   -406</t>
  </si>
  <si>
    <t>0  -8678  -2057      0      0      0      0      0</t>
  </si>
  <si>
    <t>1982  -2029   -215  -3665      0      0      0      0</t>
  </si>
  <si>
    <t>1513      0      0   5002   2828      0      0      0</t>
  </si>
  <si>
    <t>0   1091   -544   -188  14321  23300  -1672     84</t>
  </si>
  <si>
    <t>3674      0      0   -912      0      0      0   4419</t>
  </si>
  <si>
    <t>0      0      0      0      0  -7509      0      0</t>
  </si>
  <si>
    <t>-761      0   -213   3157    949      0   2604    427</t>
  </si>
  <si>
    <t>4107  -1128      0    104      0      0      0      0</t>
  </si>
  <si>
    <t>0      0      0    312      0    132      0      0</t>
  </si>
  <si>
    <t>0    846      0     20    948      0      0  -6492</t>
  </si>
  <si>
    <t>-137      0      0      0      0   5071  -2538  -1522</t>
  </si>
  <si>
    <t>-935   5522      0   -617   -797   -470   -113    198</t>
  </si>
  <si>
    <t>0      0      0      0      0   3091      0  -1913</t>
  </si>
  <si>
    <t>0  -3692   3223  -3906 -12383 -28833      0  -2263</t>
  </si>
  <si>
    <t>197      0    -21   -610      0      0      0   1782</t>
  </si>
  <si>
    <t>-60   -536   -500   1006      0      0      0      0</t>
  </si>
  <si>
    <t>0  -1061     43   -308      0  -1509   1443  -3849</t>
  </si>
  <si>
    <t>3693  -2851  -3141      0    117      0      0   -454</t>
  </si>
  <si>
    <t>2562      0      0   -499      0    619    291    -52</t>
  </si>
  <si>
    <t>0      0      0     11      0    865    -76   -384</t>
  </si>
  <si>
    <t>-335   1637      0      0      0    741   1666   4398</t>
  </si>
  <si>
    <t>0    527      0      0    922      0      4      0</t>
  </si>
  <si>
    <t>0      0      0      0      0      0      0   1881</t>
  </si>
  <si>
    <t>-110    187      0  -6559  -1624      0      0      0</t>
  </si>
  <si>
    <t>3600   9175   -665   -574   -341  -1696      0      0</t>
  </si>
  <si>
    <t>1552      0  -2644      0      0  -7110   1960      0</t>
  </si>
  <si>
    <t>0   1112      0    720   -653   -369  15930  24506</t>
  </si>
  <si>
    <t>-169  -4125 -14452  -2892      0      0   -572      0</t>
  </si>
  <si>
    <t>2220    848      0      0      0      0      0      0</t>
  </si>
  <si>
    <t>0   2132      0  -2199      0      8   2198   1186</t>
  </si>
  <si>
    <t>1710 -16088  -6311  -6507  -3262      0   -366      0</t>
  </si>
  <si>
    <t>0      0    -83      0      0      0   4268      0</t>
  </si>
  <si>
    <t>0      0      0      0    755      0    -22  -3088</t>
  </si>
  <si>
    <t>1770     25      0   1860      0      0      0      0</t>
  </si>
  <si>
    <t>-864      0      0  -1780   4104      0    953   1305</t>
  </si>
  <si>
    <t>847   -862    975      0      0      0      0      0</t>
  </si>
  <si>
    <t>1062    691   -679      0  -2631   -311   1073   1366</t>
  </si>
  <si>
    <t>-454   -315   4079  -1266      0    595   -832      0</t>
  </si>
  <si>
    <t>302    457      0    821    604  -1099    352      0</t>
  </si>
  <si>
    <t>0      0   2395      0    -68    785      7      0</t>
  </si>
  <si>
    <t>3152  -4876  -5243 -26646  -6539  -7155      0    502</t>
  </si>
  <si>
    <t>1114     41      0   2439      0      0   -808      0</t>
  </si>
  <si>
    <t>-216      0      0      0      0      0     65      0</t>
  </si>
  <si>
    <t>-75      0  -1471   -404    684      0      0      0</t>
  </si>
  <si>
    <t>3019   -942   -378      0   -135      0      0    996</t>
  </si>
  <si>
    <t>0    361      0      0      0      0      0      0</t>
  </si>
  <si>
    <t>1432      0     50    456    104      0  -1503  -1082</t>
  </si>
  <si>
    <t>0      0      0   1616   7544  -1455   -252   -473</t>
  </si>
  <si>
    <t>0      0      0   -154      0  -1859      0      0</t>
  </si>
  <si>
    <t>0      0      0      0   1227      0    522    509</t>
  </si>
  <si>
    <t>5605  20888  21974    320    182  -3135  -4030 -19067</t>
  </si>
  <si>
    <t>-73      0      0      0    621   -230      0      0</t>
  </si>
  <si>
    <t>0      0  -2131      0      0   3058      0  -3133</t>
  </si>
  <si>
    <t>1165    229      0   8350   2437  -5559 -16659  -5841</t>
  </si>
  <si>
    <t>-153      0      0      0      0      0   -402      0</t>
  </si>
  <si>
    <t>769      0   -606      0      0      0      0      0</t>
  </si>
  <si>
    <t>46  -2566      0      0  -2298   -640      0   3777</t>
  </si>
  <si>
    <t>0      0   7419  -1164  -1103      0      0    339</t>
  </si>
  <si>
    <t>729   2755    240   2485   1814   2511   4392      0</t>
  </si>
  <si>
    <t>0      0   2233      0    398    378  -2892      0</t>
  </si>
  <si>
    <t>-860  -2507  -2403      0 -28448  -8503    998   -542</t>
  </si>
  <si>
    <t>2960      0      0      0   -321  -1106      0  -1076</t>
  </si>
  <si>
    <t>-588      0      0      0      0      0   3634      0</t>
  </si>
  <si>
    <t>592      0    108   -325  -1976  -3351  -3938  -7004</t>
  </si>
  <si>
    <t>0    187      0      0  -2940    -72      0  -2081</t>
  </si>
  <si>
    <t>1139      0   1063   -156    183      0      0      0</t>
  </si>
  <si>
    <t>1911      0   1863    105    555      0   -326   1031</t>
  </si>
  <si>
    <t>0      0 -22723  -6284    819   -712   -392      0</t>
  </si>
  <si>
    <t>0  -2560      0  -1658      0  -1445      0      0</t>
  </si>
  <si>
    <t>0      0      0      0   2335      0   -535    105</t>
  </si>
  <si>
    <t>2876  -2319      0      0      0      0      0   4240</t>
  </si>
  <si>
    <t>-684  -2218  -1233      0      0      0      0   2178</t>
  </si>
  <si>
    <t>0      0   3226    -29      0      0      0      0</t>
  </si>
  <si>
    <t>2308    -71  -5502  10814   9850  18179  16212  32732</t>
  </si>
  <si>
    <t>3200  -5215  -6420      0      0   -305      0      0</t>
  </si>
  <si>
    <t>-41      0      0      0      0      0      0  -3048</t>
  </si>
  <si>
    <t>1280      0  -1281      0     23   1006    157      0</t>
  </si>
  <si>
    <t>3631  -4847 -17462  -1468      0    476      0      0</t>
  </si>
  <si>
    <t>0    -45      0      0      0  -1109      0   -262</t>
  </si>
  <si>
    <t>0      0      0   1248      0    999    288      0</t>
  </si>
  <si>
    <t>2069      0   3485      0      0      0      0  14762</t>
  </si>
  <si>
    <t>0      0     18   2397      0   -139   2335    128</t>
  </si>
  <si>
    <t>3264   4243      0      0      0      0      0  -9172</t>
  </si>
  <si>
    <t>276  -3280      0  -2834   1211  -1243  -5124  -4466</t>
  </si>
  <si>
    <t>2123   1318   -472      0    254   2001      0      0</t>
  </si>
  <si>
    <t>-791      0  -1049  -1727   -463   -570      0      0</t>
  </si>
  <si>
    <t>0   1749      0  -1031   -257    588      0  -5971</t>
  </si>
  <si>
    <t>5028  -5123  -3862  -5938 -22511      0    116      0</t>
  </si>
  <si>
    <t>-166      0  -1980      0      0   -995      0   -601</t>
  </si>
  <si>
    <t>0      0      0      0      0   4954      0  -1331</t>
  </si>
  <si>
    <t>0  -3600   -206    240      0      0      0  -4118</t>
  </si>
  <si>
    <t>-791   -368      0   1655      0      0  -2236      0</t>
  </si>
  <si>
    <t>1260      0      0      0      0      0      0      0</t>
  </si>
  <si>
    <t>0   -477    -72    226      0  -8127    992      0</t>
  </si>
  <si>
    <t>0      0 -21286   7361   -214     59    531   2114</t>
  </si>
  <si>
    <t>0      0    392      0   -850      0      0    268</t>
  </si>
  <si>
    <t>0      0      0   5702      0  -2093   -158    733</t>
  </si>
  <si>
    <t>1226  18998  27563  35974      0      0      0      0</t>
  </si>
  <si>
    <t>0      0      0      0   2527    433   1935   1651</t>
  </si>
  <si>
    <t>0    248      0      0      0  -9010  -1370      0</t>
  </si>
  <si>
    <t>0      0      0    417      0      0   -121      0</t>
  </si>
  <si>
    <t>152   -439   -211      0  -1413   -118    934    960</t>
  </si>
  <si>
    <t>0    414      0      0      0      0      0    648</t>
  </si>
  <si>
    <t>0    360      0    -50      0      0      0      0</t>
  </si>
  <si>
    <t>0    168    451      0      0  -1161    563      0</t>
  </si>
  <si>
    <t>0      0      0   2089   -837    -79      0      0</t>
  </si>
  <si>
    <t>0   -168    158   -701    191    244    184   -357</t>
  </si>
  <si>
    <t>0      0      0   1467      0   -752   -371    239</t>
  </si>
  <si>
    <t>85    599   1127   1217      0    302    493   2623</t>
  </si>
  <si>
    <t>48      4      0      0      0   -514    -98      0</t>
  </si>
  <si>
    <t>459   -772      0      0      0      0      0   2048</t>
  </si>
  <si>
    <t>68    827      0    124    625   2404   4760   2342</t>
  </si>
  <si>
    <t>1490      0    306      0      0    215    446      0</t>
  </si>
  <si>
    <t>0  -2444      0    -27   -552   2180      0      0</t>
  </si>
  <si>
    <t>0    834      0    647    -69     79      0   1563</t>
  </si>
  <si>
    <t>0      0      0  -2924  -3562  -2143    336    104</t>
  </si>
  <si>
    <t>0      0 -19315      0  -5291      0  -5141      0</t>
  </si>
  <si>
    <t>0      0      0      0      0   1135      0   -413</t>
  </si>
  <si>
    <t>0  -1282   -488      0      0      0      0      0</t>
  </si>
  <si>
    <t>1200    -89    -69   -150      0      0      0      0</t>
  </si>
  <si>
    <t>432      0      0   -826    200      0      0      0</t>
  </si>
  <si>
    <t>0    846    199    971  -1018 -10654 -11379 -11334</t>
  </si>
  <si>
    <t>9557      0      0      0      0      0      0      0</t>
  </si>
  <si>
    <t>951    471   -252      0      0     22      0      0</t>
  </si>
  <si>
    <t>8759      0      0      0      0      0      0      8</t>
  </si>
  <si>
    <t>365      0   -359      0   -201    -49    -42      0</t>
  </si>
  <si>
    <t>119   -261   -174    142      0     48      0      0</t>
  </si>
  <si>
    <t>0  -7021      0      0      0    955      0     12</t>
  </si>
  <si>
    <t>0      0      0   -107      0     81    210      0</t>
  </si>
  <si>
    <t>1428      0   -929      0      0      0      0   -315</t>
  </si>
  <si>
    <t>0      0    363   -653      0 -24626   6721   -986</t>
  </si>
  <si>
    <t>588    294      0      0      0      0      0     64</t>
  </si>
  <si>
    <t>-407   -376      0     99   -299    997   -519   2038</t>
  </si>
  <si>
    <t>-106    162    -69      0     34    139      0      0</t>
  </si>
  <si>
    <t>4685      0  -1255   1684    584   -562      0      0</t>
  </si>
  <si>
    <t>0     91      0    294    183     18      0    400</t>
  </si>
  <si>
    <t>-232     56    393   -295   -364      0   -574      0</t>
  </si>
  <si>
    <t>885      0  -1045      0      0    298      0   -493</t>
  </si>
  <si>
    <t>0      0      0      0      0   -227      0     29</t>
  </si>
  <si>
    <t>0    282    125    137      0      0      0   -112</t>
  </si>
  <si>
    <t>-235   -224      0    218      0      0   -539      0</t>
  </si>
  <si>
    <t>-245      0      0      0      0      0      0      0</t>
  </si>
  <si>
    <t>0    -62   -234    109      0    -67   -219      0</t>
  </si>
  <si>
    <t>0      0    270   1064   -564   -533    199    -18</t>
  </si>
  <si>
    <t>0      0    786      0    -16      0      0   2283</t>
  </si>
  <si>
    <t>0      0      0    165      0    229   -336    167</t>
  </si>
  <si>
    <t>718  -7307    436   2306   1358      0      0      0</t>
  </si>
  <si>
    <t>0      0   9362    656   -608    715    692   1071</t>
  </si>
  <si>
    <t>145      0      0      0    697     61      0      0</t>
  </si>
  <si>
    <t>0      0    186      0      0   -159      0    -71</t>
  </si>
  <si>
    <t>-753    149      0  -1308   -647    708   1033   1072</t>
  </si>
  <si>
    <t>1      0      0      0      0      0    747      0</t>
  </si>
  <si>
    <t>302      0    448      0      0      0      0      0</t>
  </si>
  <si>
    <t>-290    172      0      0   -331   3015      0  -1339</t>
  </si>
  <si>
    <t>0      0   -473   -165    -32      0      0    529</t>
  </si>
  <si>
    <t>5215 -24985  -1734  -1829    -91    -75    714      0</t>
  </si>
  <si>
    <t>0      0   2022      0  -1575  -1113   -600      0</t>
  </si>
  <si>
    <t>1742  -1393   1461      0   -557   -772    617   -417</t>
  </si>
  <si>
    <t>490      0      0      0   4942 -24665      0  -3986</t>
  </si>
  <si>
    <t>-739      0      0      0      0      0   1225      0</t>
  </si>
  <si>
    <t>154      0   -218   -903    -21   1135  -1092    -11</t>
  </si>
  <si>
    <t>0    768      0      0    765    430      0  -1508</t>
  </si>
  <si>
    <t>1      0    877    139   4422      0      0      0</t>
  </si>
  <si>
    <t>-43      0     68   -163   1434      0    687  -1057</t>
  </si>
  <si>
    <t>0      0  -1206  -1230   -717   -127   -199      0</t>
  </si>
  <si>
    <t>0  -5768      0 -12984      0  -4220      0      0</t>
  </si>
  <si>
    <t>0      0      0      0    472      0   -693    202</t>
  </si>
  <si>
    <t>-31   -943      0      0      0      0      0  -1025</t>
  </si>
  <si>
    <t>227    438   1378      0      0      0      0 -26020</t>
  </si>
  <si>
    <t>0      0   1577    356      0      0      0      0</t>
  </si>
  <si>
    <t>447    200    600   -181  -8094   2417  -9897  -5611</t>
  </si>
  <si>
    <t>0      0      0      0      0      0      0  25428</t>
  </si>
  <si>
    <t>-90    241    429    358      0      0    550      0</t>
  </si>
  <si>
    <t>302    154      0      0      0      0      0      0</t>
  </si>
  <si>
    <t>0    -40      0     -2      0    -53   -426   -506</t>
  </si>
  <si>
    <t>-237    367    647    964    918      0     15      0</t>
  </si>
  <si>
    <t>0      0    159      0      0      0    888      0</t>
  </si>
  <si>
    <t>0      0      0      0    605      0     43     50</t>
  </si>
  <si>
    <t>322    886      0   -526      0      0      0      0</t>
  </si>
  <si>
    <t>-157      0      0      6    395      0   -969  -1104</t>
  </si>
  <si>
    <t>798    323   -124      0      0      0      0      0</t>
  </si>
  <si>
    <t>-220   -218    163      0   -308    -73    -52    385</t>
  </si>
  <si>
    <t>82    250    971   -102      0    188   -137      0</t>
  </si>
  <si>
    <t>572    -14      0   1116    -91  -2376   1178      0</t>
  </si>
  <si>
    <t>0      0    563      0     16   -239   -863      0</t>
  </si>
  <si>
    <t>1266  -1066   -594   -872  -1242  -1156      0     62</t>
  </si>
  <si>
    <t>-183   -133      0  -2938      0      0 -20742      0</t>
  </si>
  <si>
    <t>-345      0      0      0      0      0    488      0</t>
  </si>
  <si>
    <t>586      0    256    111    130      0      0      0</t>
  </si>
  <si>
    <t>570   -412   -589      0     29      0      0    -19</t>
  </si>
  <si>
    <t>0    104      0      0      0      0      0      0</t>
  </si>
  <si>
    <t>296      0    -48   -210   -816      0    -54   -178</t>
  </si>
  <si>
    <t>0      0      0    519   1551   -507   -836    211</t>
  </si>
  <si>
    <t>0      0      0    169      0    869      0      0</t>
  </si>
  <si>
    <t>0      0      0      0    444      0    249   -200</t>
  </si>
  <si>
    <t>1766   2503    520   2700   3782   2610      0      0</t>
  </si>
  <si>
    <t>0      0      0   8491   2800   6287    389   -489</t>
  </si>
  <si>
    <t>1113      0      0    -26      0      0      0   1271</t>
  </si>
  <si>
    <t>0      0      0      0      0    387      0      0</t>
  </si>
  <si>
    <t>-27      0   -166    -80   -942      0   -663   -399</t>
  </si>
  <si>
    <t>452   1046      0    259      0      0      0      0</t>
  </si>
  <si>
    <t>0      0      0   -217      0    242      0      0</t>
  </si>
  <si>
    <t>0    286      0   -205    -32      0      0   -553</t>
  </si>
  <si>
    <t>-898      0      0      0      0    576   -605   -400</t>
  </si>
  <si>
    <t>-129    806      0  -1832  -2346   6176 -24537   -299</t>
  </si>
  <si>
    <t>0      0      0      0      0   1370      0   -978</t>
  </si>
  <si>
    <t>0  -1022    287  -2247  -2226   -683      0   -874</t>
  </si>
  <si>
    <t>-459      0     24    169      0      0      0  -1006</t>
  </si>
  <si>
    <t>3734  -1109    362   -905      0      0      0      0</t>
  </si>
  <si>
    <t>0   -773     10    574      0   -841   -580   -100</t>
  </si>
  <si>
    <t>-35    828   1169      0    418      0      0    521</t>
  </si>
  <si>
    <t>-830      0      0    170      0    748    904   2997</t>
  </si>
  <si>
    <t>0      0      0    404      0    -71     26   -260</t>
  </si>
  <si>
    <t>-284   -961      0      0      0  -1059  -1027   -376</t>
  </si>
  <si>
    <t>0    309      0      0  -5113      0  -3744      0</t>
  </si>
  <si>
    <t>0      0      0      0      0      0      0   1115</t>
  </si>
  <si>
    <t>136    227      0   -727   -715      0      0      0</t>
  </si>
  <si>
    <t>-317   1679    -34    282    187    630      0      0</t>
  </si>
  <si>
    <t>4958      0 -28408      0      0    252    476      0</t>
  </si>
  <si>
    <t>0    622      0    155     55    766   4758   6850</t>
  </si>
  <si>
    <t>522   7884   7992      0      0      0      0      0</t>
  </si>
  <si>
    <t>0869   5916  21342 -20623    756    726     88  -1421</t>
  </si>
  <si>
    <t>0    664      0      0      0    -16   -237      0</t>
  </si>
  <si>
    <t>0      0      0    720      0      0   -577      0</t>
  </si>
  <si>
    <t>-18  -1166  -1936      0   1519    584   4374     40</t>
  </si>
  <si>
    <t>0   -253      0      0      0      0      0    723</t>
  </si>
  <si>
    <t>0 -14610      0   -198      0      0      0      0</t>
  </si>
  <si>
    <t>0   -431    -55      0      0    942    -32      0</t>
  </si>
  <si>
    <t>0      0      0   -356    742    211      0      0</t>
  </si>
  <si>
    <t>0   1955  -1228    856   -972 -18330    910    425</t>
  </si>
  <si>
    <t>0      0      0   -383      0   -743     18   -129</t>
  </si>
  <si>
    <t>540  -1086  -2874  -1143      0  -1815  -3070  -1794</t>
  </si>
  <si>
    <t>-196   -385      0      0      0   1966  -1479      0</t>
  </si>
  <si>
    <t>135   -439      0      0      0      0      0    976</t>
  </si>
  <si>
    <t>-178    429      0   -286   -204    579   -608   1001</t>
  </si>
  <si>
    <t>338      0    211      0      0    -95    -48      0</t>
  </si>
  <si>
    <t>0    581      0 -23699     67   -245      0      0</t>
  </si>
  <si>
    <t>0    661      0    -67    183    379      0   -572</t>
  </si>
  <si>
    <t>0      0      0    188   1663   1037  -1050   -122</t>
  </si>
  <si>
    <t>0      0    149      0     81      0    174      0</t>
  </si>
  <si>
    <t>0      0      0      0      0    666      0   -229</t>
  </si>
  <si>
    <t>0   -537   -265      0      0      0      0      0</t>
  </si>
  <si>
    <t>2006   -329   -535    245      0      0      0      0</t>
  </si>
  <si>
    <t>992      0      0   5780     51      0      0      0</t>
  </si>
  <si>
    <t>0    289  -1069  -2828   -863  -2527   4126  -1713</t>
  </si>
  <si>
    <t>4733      0      0      0      0      0      0      0</t>
  </si>
  <si>
    <t>6150  -3130   4244      0      0      0      0      0</t>
  </si>
  <si>
    <t>0      0      0      0  -1022    514   -979  -2189</t>
  </si>
  <si>
    <t>0   -537      0      0      0   1327    345      0</t>
  </si>
  <si>
    <t>0      0      0 -25792      0      0    -27      0</t>
  </si>
  <si>
    <t>-381   2465    781      0    -86    -91   -698   -106</t>
  </si>
  <si>
    <t>0   -541      0      0      0      0      0     64</t>
  </si>
  <si>
    <t>0    958      0   -331      0      0      0      0</t>
  </si>
  <si>
    <t>0    -21    428      0      0  -2564    791      0</t>
  </si>
  <si>
    <t>0      0      0   1679   -579   -436      0      0</t>
  </si>
  <si>
    <t>0   -606    310    121    743    193    491   -745</t>
  </si>
  <si>
    <t>0      0      0   1752      0  -1050   -290    651</t>
  </si>
  <si>
    <t>900   1372  -4392  -3660      0    -43   -112   1537</t>
  </si>
  <si>
    <t>248   -375      0      0      0   -106    695      0</t>
  </si>
  <si>
    <t>422    133      0      0      0      0      0   1443</t>
  </si>
  <si>
    <t>-246    234      0   -435    523   1287  -4787  -4144</t>
  </si>
  <si>
    <t>-809      0   -133      0      0   -182    116      0</t>
  </si>
  <si>
    <t>0   -100      0   -204    179   -274      0      0</t>
  </si>
  <si>
    <t>0   -202      0    300   -244    378      0  -3083</t>
  </si>
  <si>
    <t>0      0      0    332    536   1633   -183   -262</t>
  </si>
  <si>
    <t>0      0    121      0    235      0    577      0</t>
  </si>
  <si>
    <t>0      0      0      0      0   1245      0    -47</t>
  </si>
  <si>
    <t>0  -2847   -651      0      0      0      0      0</t>
  </si>
  <si>
    <t>-537   -366    123   -583      0      0      0      0</t>
  </si>
  <si>
    <t>1263      0      0    753 -14118      0      0      0</t>
  </si>
  <si>
    <t>0    544    -83     24   2231  -9640  25743  24191</t>
  </si>
  <si>
    <t>0053      0      0      0      0      0      0      0</t>
  </si>
  <si>
    <t>62    331  -3406   1841      0      0      0      0</t>
  </si>
  <si>
    <t>-138   -445   -537   -445      0      0    870      0</t>
  </si>
  <si>
    <t>52    252      0      0      0      0      0      0</t>
  </si>
  <si>
    <t>0     81      0   -311      0    -56   -853    521</t>
  </si>
  <si>
    <t>-130   -552   -320   -216    153      0   -620      0</t>
  </si>
  <si>
    <t>0      0    301      0      0      0    414      0</t>
  </si>
  <si>
    <t>0      0      0      0   -646      0    154  -1210</t>
  </si>
  <si>
    <t>7752    836      0   -425      0      0      0      0</t>
  </si>
  <si>
    <t>-915      0      0  -2688    106      0    271   -321</t>
  </si>
  <si>
    <t>-134  -1263   -158      0      0      0      0      0</t>
  </si>
  <si>
    <t>1081   -569     60      0  12292   -858   -565   -880</t>
  </si>
  <si>
    <t>-472  -1393   -112  -1844      0   -345   3078      0</t>
  </si>
  <si>
    <t>736   -345      0   -516   -237  -1175    590      0</t>
  </si>
  <si>
    <t>0      0 -10076      0    202   -397    800      0</t>
  </si>
  <si>
    <t>-307   -203   -882   -195   -396  -1643      0   -776</t>
  </si>
  <si>
    <t>2207  -3263      0   -376      0      0   -128      0</t>
  </si>
  <si>
    <t>889      0      0      0      0      0  -3392      0</t>
  </si>
  <si>
    <t>-282      0  12109   -793   -232      0      0      0</t>
  </si>
  <si>
    <t>-145  -1116   -794      0   2597      0      0   -448</t>
  </si>
  <si>
    <t>0   -604      0      0      0      0      0      0</t>
  </si>
  <si>
    <t>0323      0   -356     31    317      0  14866    -54</t>
  </si>
  <si>
    <t>0      0      0  -3473  -2382  -1974  -1820   -444</t>
  </si>
  <si>
    <t>0      0      0   -309      0   -586      0      0</t>
  </si>
  <si>
    <t>0      0      0      0 -12160      0   -679   -406</t>
  </si>
  <si>
    <t>2966   5389   3309   1801   6637   4665      0      0</t>
  </si>
  <si>
    <t>0      0      0   2735   -573   6916    216   7624</t>
  </si>
  <si>
    <t>0   1233      0  -7310  -1061   4333   3569   3525</t>
  </si>
  <si>
    <t>18      0      0      0  -1078   -160      0      0</t>
  </si>
  <si>
    <t>0      0   4267      0      0   -882      0    583</t>
  </si>
  <si>
    <t>556    222      0  -6258  -1327   2829   3239   3551</t>
  </si>
  <si>
    <t>32      0      0      0      0      0     82      0</t>
  </si>
  <si>
    <t>531      0    162      0      0      0      0      0</t>
  </si>
  <si>
    <t>39   1363      0      0  -8013   -539      0   2502</t>
  </si>
  <si>
    <t>0      0   -747   2234   1184      0      0    -72</t>
  </si>
  <si>
    <t>815    962    492    544    719  -1045   -386      0</t>
  </si>
  <si>
    <t>0      0  -3349      0    531    111   1108      0</t>
  </si>
  <si>
    <t>2745   9170   7640      0   2989   5575   2096    486</t>
  </si>
  <si>
    <t>258      0      0      0    119   1235      0   1995</t>
  </si>
  <si>
    <t>-102      0      0      0      0      0 -17188      0</t>
  </si>
  <si>
    <t>-339      0   3865    770   3470   8956   8514   3498</t>
  </si>
  <si>
    <t>0   -316      0      0    583     94      0   2754</t>
  </si>
  <si>
    <t>1485      0   1091    169   -583      0      0      0</t>
  </si>
  <si>
    <t>6076      0  -1647    569   -227      0  -8910    552</t>
  </si>
  <si>
    <t>0      0   1379   2343   -148   1543    926      0</t>
  </si>
  <si>
    <t>0   3354      0   1606      0   1658      0      0</t>
  </si>
  <si>
    <t>0      0      0      0 -11024      0   -179   1027</t>
  </si>
  <si>
    <t>3651    856      0      0      0      0      0  -2349</t>
  </si>
  <si>
    <t>920    498    906      0      0      0      0    861</t>
  </si>
  <si>
    <t>0      0   -906   -897      0      0      0      0</t>
  </si>
  <si>
    <t>-299   1698   -190  -8596 -12011 -33851 -27859 -14531</t>
  </si>
  <si>
    <t>0      0      0      0      0      0      0 -14226</t>
  </si>
  <si>
    <t>5374 -11169  -5913      0      0 -15311      0 -28708</t>
  </si>
  <si>
    <t>1023    -65  -1972      0      0   -294      0      0</t>
  </si>
  <si>
    <t>1129      0      0      0      0      0      0  -1777</t>
  </si>
  <si>
    <t>-36      0    -10      0    833   1156    583      0</t>
  </si>
  <si>
    <t>-424   -932   -757   -372      0    148      0      0</t>
  </si>
  <si>
    <t>0   -216      0      0      0    331      0     69</t>
  </si>
  <si>
    <t>0      0      0    281      0   1174    392      0</t>
  </si>
  <si>
    <t>4335      0  12919      0      0      0      0   5607</t>
  </si>
  <si>
    <t>0      0   -124   3623      0  -2081  -1757   -344</t>
  </si>
  <si>
    <t>-481  -5711      0      0      0      0      0    -75</t>
  </si>
  <si>
    <t>-271    486      0   2275  -1194   -724    202 -30637</t>
  </si>
  <si>
    <t>3187    707    228      0   -217    -55      0      0</t>
  </si>
  <si>
    <t>-284      0    425    220    -20    639      0      0</t>
  </si>
  <si>
    <t>0   -531      0    554     49   -136      0   1548</t>
  </si>
  <si>
    <t>1948 -30213    -20  -1759  -3048      0    136      0</t>
  </si>
  <si>
    <t>146      0      6      0      0    247      0     60</t>
  </si>
  <si>
    <t>0      0      0      0      0    149      0  -1094</t>
  </si>
  <si>
    <t>0   -543  -3847   4136      0      0      0   -555</t>
  </si>
  <si>
    <t>654    767      0    484      0      0  -1185      0</t>
  </si>
  <si>
    <t>30      0      0      0      0      0      0      0</t>
  </si>
  <si>
    <t>0    916    -20    222      0   -278   -896      0</t>
  </si>
  <si>
    <t>0      0   -976   2075    710    665    527   1682</t>
  </si>
  <si>
    <t>0      0  -5022      0  -1467      0      0  -9554</t>
  </si>
  <si>
    <t>0      0      0   -310      0     17   -510    441</t>
  </si>
  <si>
    <t>2235  11888   1927   2452   2212      0      0      0</t>
  </si>
  <si>
    <t>0      0    470    440   2316   -254    125   -770</t>
  </si>
  <si>
    <t>212      0    197  -1801      0      0      0      0</t>
  </si>
  <si>
    <t>2365   -630   2063 -20948      0      0     11      0</t>
  </si>
  <si>
    <t>383   -448      0      0      0      0      0      0</t>
  </si>
  <si>
    <t>0   -924      0    960      0     25    146     71</t>
  </si>
  <si>
    <t>584  -1182  -9487  -3261   -850      0    188      0</t>
  </si>
  <si>
    <t>0      0    886      0      0      0   -695      0</t>
  </si>
  <si>
    <t>0      0      0      0    236      0   3678   -403</t>
  </si>
  <si>
    <t>222  -3304      0   6237      0      0      0      0</t>
  </si>
  <si>
    <t>-965      0      0   1584    986      0    709   4472</t>
  </si>
  <si>
    <t>4101   3396   5127      0      0      0      0      0</t>
  </si>
  <si>
    <t>4368    183  -3242      0   1146    362   -811   -995</t>
  </si>
  <si>
    <t>8224  -8434   -108    -54      0     -7  -1215      0</t>
  </si>
  <si>
    <t>-151    599      0    174    883   -113   -697      0</t>
  </si>
  <si>
    <t>0      0   -211      0    973     40    473      0</t>
  </si>
  <si>
    <t>-343    202  -1946   1015 -35294  -8048      0   -132</t>
  </si>
  <si>
    <t>1372    -24      0     42      0      0    -73      0</t>
  </si>
  <si>
    <t>-478      0      0      0      0      0    827      0</t>
  </si>
  <si>
    <t>584      0   1403    640    152      0      0      0</t>
  </si>
  <si>
    <t>195    -59    161      0  -1169      0      0     63</t>
  </si>
  <si>
    <t>0    -39      0      0      0      0      0      0</t>
  </si>
  <si>
    <t>-563      0    777    106    925      0    498  -3811</t>
  </si>
  <si>
    <t>0      0      0  -1548   6195   1197   -348  -2517</t>
  </si>
  <si>
    <t>0      0      0   4731      0   2972      0      0</t>
  </si>
  <si>
    <t>0      0      0      0   -760      0   3935     46</t>
  </si>
  <si>
    <t>2370   1331   2319     -9  22423   5369      0      0</t>
  </si>
  <si>
    <t>0      0      0    -15    140  -1543     73   -936</t>
  </si>
  <si>
    <t>0    453      0    313  -1540      0      0      0</t>
  </si>
  <si>
    <t>0    338    769   -321    498  -4277      0      0</t>
  </si>
  <si>
    <t>0      0    484   -642      0      0      0      0</t>
  </si>
  <si>
    <t>-849      0      0   -459      0    419      0    484</t>
  </si>
  <si>
    <t>0    215  -4451    -31  -1161  -3786   1111      0</t>
  </si>
  <si>
    <t>0      0      0      0    750      0      0      0</t>
  </si>
  <si>
    <t>-244      0      0      0      0      0    426      0</t>
  </si>
  <si>
    <t>0      0   7518   9331      0   9413      0      0</t>
  </si>
  <si>
    <t>3198    989   -249      0      0    829   1124      0</t>
  </si>
  <si>
    <t>828   4125  10335   5164   6490      0      0      0</t>
  </si>
  <si>
    <t>0392      0 -15223    441  -4671      0   2241    775</t>
  </si>
  <si>
    <t>3261      0  -5597 -34146   1281   -232      0   -105</t>
  </si>
  <si>
    <t>0      0    -23    863      0    208    783   -256</t>
  </si>
  <si>
    <t>0      0      0      0  -1627      0   -343   -189</t>
  </si>
  <si>
    <t>3605  -3234   -276    368  -2676   1297  -6105 -33300</t>
  </si>
  <si>
    <t>0      0   2605   -106      0   -180      0      0</t>
  </si>
  <si>
    <t>-80   -451   -743      0      0      0      0      0</t>
  </si>
  <si>
    <t>4715    -60    616      0   1945    587    147      0</t>
  </si>
  <si>
    <t>7362 -35269   1870   -148     71      0   1322      0</t>
  </si>
  <si>
    <t>0   -472      0   -161      0      0      0      0</t>
  </si>
  <si>
    <t>0      0  -1479      0   -283   -136    463      0</t>
  </si>
  <si>
    <t>0      0      0      0      0 -42387    660    867</t>
  </si>
  <si>
    <t>4648      0      0      0      0   3463      0   2070</t>
  </si>
  <si>
    <t>684  -1189      0      0      0      0  -7526      0</t>
  </si>
  <si>
    <t>1036   6930   1577  -1055   1217    952   5026  19953</t>
  </si>
  <si>
    <t>0      0      0      0      0    181     82  -1639</t>
  </si>
  <si>
    <t>1944      0      0    164      0   2057   -711      0</t>
  </si>
  <si>
    <t>0  10354      0  21841      0      0      0      0</t>
  </si>
  <si>
    <t>75   -615    137   -636      0      0   -248      0</t>
  </si>
  <si>
    <t>185   -192      0      0      0      0      0      0</t>
  </si>
  <si>
    <t>0  -1170      0   1055      0   6409   1591    635</t>
  </si>
  <si>
    <t>102   -248   -516   -327   -352      0     95      0</t>
  </si>
  <si>
    <t>0      0     26      0      0      0     39      0</t>
  </si>
  <si>
    <t>0      0      0      0     95      0    610    117</t>
  </si>
  <si>
    <t>-22  -1663      0   5316      0      0      0      0</t>
  </si>
  <si>
    <t>-236      0      0    380   -210      0    -50    751</t>
  </si>
  <si>
    <t>909    582     24      0      0      0      0      0</t>
  </si>
  <si>
    <t>1217   -281    478      0     35   -919  -1973   3474</t>
  </si>
  <si>
    <t>38    240   2279   -119      0     44    -25      0</t>
  </si>
  <si>
    <t>-82    662      0   -543    964    565      0      0</t>
  </si>
  <si>
    <t>0      0   -397      0    347   -228    335      0</t>
  </si>
  <si>
    <t>2231   3547   -256    697   -125   -431      0   -202</t>
  </si>
  <si>
    <t>117    270      0    314      0      0   -148      0</t>
  </si>
  <si>
    <t>-489      0      0      0      0      0   -325      0</t>
  </si>
  <si>
    <t>745      0    127  -1090  -4454      0      0      0</t>
  </si>
  <si>
    <t>1584    700    426      0   -216      0      0   1280</t>
  </si>
  <si>
    <t>0  -1028      0      0      0      0      0      0</t>
  </si>
  <si>
    <t>-219      0    646   -211    724      0     20     48</t>
  </si>
  <si>
    <t>0      0      0   -754    120    280    296    229</t>
  </si>
  <si>
    <t>0      0      0   -290      0   -118      0      0</t>
  </si>
  <si>
    <t>0      0      0      0   -128      0     84    175</t>
  </si>
  <si>
    <t>2819  -3068   -697    300    579    166      0      0</t>
  </si>
  <si>
    <t>0      0      0   -124     28   -110    -56    557</t>
  </si>
  <si>
    <t>0    622      0    -10    961      0      0      0</t>
  </si>
  <si>
    <t>0   3507   5639      0      0      0      0      0</t>
  </si>
  <si>
    <t>1603   -646  -1952      0      0   1079      0      0</t>
  </si>
  <si>
    <t>1588      0      0      0      0      0      0  -8543</t>
  </si>
  <si>
    <t>1537      0 -20380      0 -29142  -2500   -688      0</t>
  </si>
  <si>
    <t>-259   -222   -188    -36      0     30      0      0</t>
  </si>
  <si>
    <t>0   -182      0      0      0     44      0     84</t>
  </si>
  <si>
    <t>0      0      0    -28      0  -1006    -77      0</t>
  </si>
  <si>
    <t>339      0   -995      0      0      0      0   -674</t>
  </si>
  <si>
    <t>0      0     71    695      0  -2376  -2866  -1512</t>
  </si>
  <si>
    <t>-423    273      0      0      0      0      0     32</t>
  </si>
  <si>
    <t>-861    389      0     54   1681  -1760  -1028   -397</t>
  </si>
  <si>
    <t>-763   -833    719      0   -452    -82      0      0</t>
  </si>
  <si>
    <t>2003      0  -2169   -400    104   -292      0      0</t>
  </si>
  <si>
    <t>0     48      0  -2709   -164    360      0   -171</t>
  </si>
  <si>
    <t>-293   -579  -1247   -316   -646      0   1003      0</t>
  </si>
  <si>
    <t>748      0      3      0      0  -1057      0    499</t>
  </si>
  <si>
    <t>0      0      0      0      0     52      0  -1839</t>
  </si>
  <si>
    <t>0   -101   1237  -1242      0      0      0   -887</t>
  </si>
  <si>
    <t>799   -135      0    153      0      0  -1016      0</t>
  </si>
  <si>
    <t>2091      0      0      0      0      0      0      0</t>
  </si>
  <si>
    <t>0  -3302   -219    197      0   -290     21      0</t>
  </si>
  <si>
    <t>0      0    -28    -94    313    -86   -265    -82</t>
  </si>
  <si>
    <t>0      0  -1509      0  -1375      0      0     56</t>
  </si>
  <si>
    <t>0      0      0     71      0   -561   -145    191</t>
  </si>
  <si>
    <t>423    372     36    160    130      0      0      0</t>
  </si>
  <si>
    <t>0      0   -249    531   1242     59    998     -5</t>
  </si>
  <si>
    <t>288      0   -452    476      0      0      0      0</t>
  </si>
  <si>
    <t>-703   -588      0      0      0      0      0      0</t>
  </si>
  <si>
    <t>0      0      0      0      0      0      0  -1449</t>
  </si>
  <si>
    <t>0      0      0  -9793 -82968   1879  14845   8363</t>
  </si>
  <si>
    <t>3632      0      0      0   4773    471      0      0</t>
  </si>
  <si>
    <t>0      0   4496      0      0  60311      0 -59217</t>
  </si>
  <si>
    <t>3056   5626      0  17157  -3574 -13712 -14269 -16968</t>
  </si>
  <si>
    <t>275      0      0      0      0      0  -2009      0</t>
  </si>
  <si>
    <t>2480      0   -213      0      0      0      0      0</t>
  </si>
  <si>
    <t>512  -2044      0      0   -470  -1396      0    425</t>
  </si>
  <si>
    <t>0      0     40    322    113      0      0      1</t>
  </si>
  <si>
    <t>-342   -306   -192   -227    818    124     11      0</t>
  </si>
  <si>
    <t>0      0    362      0   -256    -81    224      0</t>
  </si>
  <si>
    <t>-180     66   -138      0    209   -323     45     31</t>
  </si>
  <si>
    <t>-302      0      0      0   -183   -373      0   -335</t>
  </si>
  <si>
    <t>-77      0      0      0      0      0   -325      0</t>
  </si>
  <si>
    <t>199      0    274  -1609   -241     48   -259     16</t>
  </si>
  <si>
    <t>0    -21      0      0   -294    104      0    331</t>
  </si>
  <si>
    <t>-99      0    365     79     -3      0      0      0</t>
  </si>
  <si>
    <t>-363      0    299     52    164      0     62  -1733</t>
  </si>
  <si>
    <t>0      0    482   -307      5     48     37      0</t>
  </si>
  <si>
    <t>0   -190      0   -271      0    -87      0      0</t>
  </si>
  <si>
    <t>0      0      0      0   -175      0    384   -107</t>
  </si>
  <si>
    <t>480   -171      0      0      0      0      0   -920</t>
  </si>
  <si>
    <t>-373    -54   -748      0      0      0      0   -301</t>
  </si>
  <si>
    <t>0      0   -474    -11      0      0      0      0</t>
  </si>
  <si>
    <t>691   -233    -26    250    146   -158     37    209</t>
  </si>
  <si>
    <t>0      0      0      0      0      0      0   -417</t>
  </si>
  <si>
    <t>119     -3   -834      0      0   -607      0   -165</t>
  </si>
  <si>
    <t>0      0      0   1146      0  -1969    575      0</t>
  </si>
  <si>
    <t>0      0     70      0      0      0      0      0</t>
  </si>
  <si>
    <t>5408    -80    305  -1083      0      0    -79      0</t>
  </si>
  <si>
    <t>-30    -29      0      0      0      0      0      0</t>
  </si>
  <si>
    <t>0    639      0   -620      0    729      2     -5</t>
  </si>
  <si>
    <t>7639   -320   -567   -977    351      0   -128      0</t>
  </si>
  <si>
    <t>0      0     33      0      0      0    -28      0</t>
  </si>
  <si>
    <t>0      0      0      0  -1360      0  -4723    182</t>
  </si>
  <si>
    <t>70   -641      0    745      0      0      0      0</t>
  </si>
  <si>
    <t>77      0      0     53     38      0    -60    321</t>
  </si>
  <si>
    <t>1195    460    299      0      0      0      0      0</t>
  </si>
  <si>
    <t>1365     31   -179      0    341  -1521     -1   -303</t>
  </si>
  <si>
    <t>245  -2067      4    -17      0     57    -57      0</t>
  </si>
  <si>
    <t>56   -117      0    -64   -368    -11    -42      0</t>
  </si>
  <si>
    <t>0      0   -434      0    233     66     64      0</t>
  </si>
  <si>
    <t>-25    216   -213     95    417  -2112      0     32</t>
  </si>
  <si>
    <t>44     12      0    111      0      0    -32      0</t>
  </si>
  <si>
    <t>-8      0      0      0      0      0   -665      0</t>
  </si>
  <si>
    <t>80      0   -115  -1350    320      0      0      0</t>
  </si>
  <si>
    <t>971   -262   -135      0    -43      0      0   -100</t>
  </si>
  <si>
    <t>0    116      0      0      0      0      0      0</t>
  </si>
  <si>
    <t>-195      0    366     -1    -44      0    566   -544</t>
  </si>
  <si>
    <t>0      0      0  -2492     17   -517   -354   -164</t>
  </si>
  <si>
    <t>0      0      0    187      0    167      0      0</t>
  </si>
  <si>
    <t>0      0      0      0   -598      0   1078   -192</t>
  </si>
  <si>
    <t>82    222    372    448   -303   1020      0      0</t>
  </si>
  <si>
    <t>0      0      0    -39    -85    -92     58   -120</t>
  </si>
  <si>
    <t>0    103      0   -113    762      0      0      0</t>
  </si>
  <si>
    <t>0   -236   5995      0      0      0      0      0</t>
  </si>
  <si>
    <t>0      0      0      0  -1110   6712  -1350  -2450</t>
  </si>
  <si>
    <t>-884      0      0   -380      0      0      0   1854</t>
  </si>
  <si>
    <t>0      0      0      0      0   -598      0      0</t>
  </si>
  <si>
    <t>151      0   2237    817    464      0    337  -2468</t>
  </si>
  <si>
    <t>-865   -260      0     97      0      0      0      0</t>
  </si>
  <si>
    <t>0      0      0   -215      0    -11      0      0</t>
  </si>
  <si>
    <t>0     25      0   1142    265      0      0   7971</t>
  </si>
  <si>
    <t>8109      0      0      0      0   6417   1752   1620</t>
  </si>
  <si>
    <t>333  -4030      0   1767  -1875   -384  -3284  -3167</t>
  </si>
  <si>
    <t>0      0      0      0      0  -6116      0  12113</t>
  </si>
  <si>
    <t>0   1254  -6756   -379   -351  -3981      0   -985</t>
  </si>
  <si>
    <t>-52      0    120  -1612      0      0      0    152</t>
  </si>
  <si>
    <t>-148    146    599    139      0      0      0      0</t>
  </si>
  <si>
    <t>0    363     13     27      0   1064  -7001   -321</t>
  </si>
  <si>
    <t>11  -1003  -3488      0    -23      0      0  -1538</t>
  </si>
  <si>
    <t>-82      0      0   -120      0     97    567     12</t>
  </si>
  <si>
    <t>0      0      0   -352      0    339    106    200</t>
  </si>
  <si>
    <t>8812    299      0      0      0   -816  -2954    805</t>
  </si>
  <si>
    <t>0   -698      0      0   -379      0   -296      0</t>
  </si>
  <si>
    <t>0      0      0      0      0      0      0   -289</t>
  </si>
  <si>
    <t>-113     73      0   2167    644      0      0      0</t>
  </si>
  <si>
    <t>5864   -738  -2382  -1870  -1098  -4206      0      0</t>
  </si>
  <si>
    <t>590      0    383      0      0  -2460   -732      0</t>
  </si>
  <si>
    <t>0   -659      0   2261  -1472  -2078    711     26</t>
  </si>
  <si>
    <t>1101   1168   2237      0      0      0      0      0</t>
  </si>
  <si>
    <t>312  -1810  -2982   -486  -1455   2226      0      0</t>
  </si>
  <si>
    <t>-72     -9      0      0      0      0  15708      0</t>
  </si>
  <si>
    <t>0      0      0      0      0   6307      0      0</t>
  </si>
  <si>
    <t>0  -1703   6670   6378  -6611   -969  -1476    274</t>
  </si>
  <si>
    <t>0   -960      0      0      0   -735   1603      0</t>
  </si>
  <si>
    <t>0      0      0   -123      0      0    -72      0</t>
  </si>
  <si>
    <t>987   5397   2031      0  -1851  -1758    172    665</t>
  </si>
  <si>
    <t>0     28      0      0      0      0      0    134</t>
  </si>
  <si>
    <t>0     43      0     74      0      0      0      0</t>
  </si>
  <si>
    <t>0    573    630      0      0    621  -6925      0</t>
  </si>
  <si>
    <t>0      0      0   -574    -57    -95      0      0</t>
  </si>
  <si>
    <t>0   -686    433    224    411    748    586     84</t>
  </si>
  <si>
    <t>0      0      0    148      0     51   -651    -17</t>
  </si>
  <si>
    <t>9009   2201  28924  24496      0   7080  13563  16270</t>
  </si>
  <si>
    <t>1281  -2089      0      0      0   1419  -2864      0</t>
  </si>
  <si>
    <t>832   -471      0      0      0      0      0   -111</t>
  </si>
  <si>
    <t>2942    455      0   1538  -8062   -620   -740  -4047</t>
  </si>
  <si>
    <t>1175      0   -246      0      0  -1703    369      0</t>
  </si>
  <si>
    <t>0     64      0    190    536    503      0      0</t>
  </si>
  <si>
    <t>0    -43      0   1318   -859    229      0   2330</t>
  </si>
  <si>
    <t>0      0      0   -929  -1586   -770    -73     43</t>
  </si>
  <si>
    <t>0      0   -115      0   -987      0   -316      0</t>
  </si>
  <si>
    <t>0      0      0      0      0   -361      0    976</t>
  </si>
  <si>
    <t>0   3534    366      0      0      0      0      0</t>
  </si>
  <si>
    <t>2817  -2188  -1136  -5297      0      0      0      0</t>
  </si>
  <si>
    <t>84      0      0  -2136  -3050      0      0      0</t>
  </si>
  <si>
    <t>0   3061  -2201  -2226    595   -386 -10467  -8652</t>
  </si>
  <si>
    <t>1762      0      0      0      0      0      0      0</t>
  </si>
  <si>
    <t>1282    146   1558    716      0      0  -3032      0</t>
  </si>
  <si>
    <t>0      0      0      0   9597      0   1954   4770</t>
  </si>
  <si>
    <t>0      0      0   6943      0      0      0      0</t>
  </si>
  <si>
    <t>5937   5804  28618  -5377   -744   -448    343   -164</t>
  </si>
  <si>
    <t>-16      0      0      0  -1292    279      0      0</t>
  </si>
  <si>
    <t>0      0   -228      0      0   -325      0    359</t>
  </si>
  <si>
    <t>4273   2007      0  -1690  -2016   1165    721   1284</t>
  </si>
  <si>
    <t>-13      0      0      0      0      0     32      0</t>
  </si>
  <si>
    <t>-399      0     49      0      0      0      0      0</t>
  </si>
  <si>
    <t>424    416      0      0    224  -7679      0   2985</t>
  </si>
  <si>
    <t>0      0    631     65     26      0      0     15</t>
  </si>
  <si>
    <t>-162    751     46    748    949    732    226      0</t>
  </si>
  <si>
    <t>0      0    309      0    344   -511   -133      0</t>
  </si>
  <si>
    <t>-401  -1608  -3950      0  -1452  -2061    214   -281</t>
  </si>
  <si>
    <t>1922      0      0      0   -275   -472      0   -288</t>
  </si>
  <si>
    <t>444      0      0      0      0      0   -544      0</t>
  </si>
  <si>
    <t>-122      0  -2523 -13898   1527  27929  22872   9652</t>
  </si>
  <si>
    <t>0   1430      0      0   -541   -218      0  -1789</t>
  </si>
  <si>
    <t>1747      0  -2735  -1616  -2542      0      0      0</t>
  </si>
  <si>
    <t>-608      0 -10260   3209   3476      0   2083 -10865</t>
  </si>
  <si>
    <t>0      0  -1049  -1519    273    164    242      0</t>
  </si>
  <si>
    <t>0    302      0   -716      0   -257      0      0</t>
  </si>
  <si>
    <t>0      0      0      0   -257      0   1260   -602</t>
  </si>
  <si>
    <t>2939    373      0      0      0      0      0  -3710</t>
  </si>
  <si>
    <t>2252  -1212  -5457      0      0      0      0    371</t>
  </si>
  <si>
    <t>0      0  -2006  -2245      0      0      0      0</t>
  </si>
  <si>
    <t>3077  -2323  -2358   1049    -35  -8961  -7563  -1934</t>
  </si>
  <si>
    <t>0      0      0      0      0      0      0   -129</t>
  </si>
  <si>
    <t>1034   -852   1632      0      0  -3054      0     15</t>
  </si>
  <si>
    <t>0      0      0  10506      0   2529   4860      0</t>
  </si>
  <si>
    <t>0      0   6740      0      0      0      0      0</t>
  </si>
  <si>
    <t>6834  31133  30619  -1828   1631   1213   -207  -1150</t>
  </si>
  <si>
    <t>-115      0      0      0   -288     51      0      0</t>
  </si>
  <si>
    <t>0      0   -389      0      0    212      0   -103</t>
  </si>
  <si>
    <t>1827    300      0   -606   1413    255     32    266</t>
  </si>
  <si>
    <t>61      0      0      0      0      0     26      0</t>
  </si>
  <si>
    <t>24      0     35      0      0      0      0      0</t>
  </si>
  <si>
    <t>808    213      0      0   -141  -3702      0   3166</t>
  </si>
  <si>
    <t>0      0    866   -366   -342      0      0      0</t>
  </si>
  <si>
    <t>-132    -49    161    616    922    415   -292      0</t>
  </si>
  <si>
    <t>0      0    433      0   -206   -382     27      0</t>
  </si>
  <si>
    <t>443    623  -3511      0  -1026  -1552   -163   -433</t>
  </si>
  <si>
    <t>1658      0      0      0   -241   -430      0     96</t>
  </si>
  <si>
    <t>-19      0      0      0      0      0   -519      0</t>
  </si>
  <si>
    <t>369      0   1254  -4595   -149   1330  -3347     59</t>
  </si>
  <si>
    <t>0   -129      0      0  -1514    108      0    -34</t>
  </si>
  <si>
    <t>-2      0    251    148    161      0      0      0</t>
  </si>
  <si>
    <t>1086      0    226    106    423      0   -294 -26801</t>
  </si>
  <si>
    <t>0      0    790   6884   9733   6446   4957      0</t>
  </si>
  <si>
    <t>0   2292      0  -4536      0  -8113      0      0</t>
  </si>
  <si>
    <t>0      0      0      0   -204      0  -5927   3870</t>
  </si>
  <si>
    <t>2792   4152      0      0      0      0      0  -3853</t>
  </si>
  <si>
    <t>2540  -1402  -5222      0      0      0      0   -604</t>
  </si>
  <si>
    <t>0      0  -2783   -276      0      0      0      0</t>
  </si>
  <si>
    <t>2470  -2133  -2192  -1550   2153  -1698    416    444</t>
  </si>
  <si>
    <t>0      0      0      0      0      0      0    425</t>
  </si>
  <si>
    <t>-144   2128    303      0      0  -1100      0    757</t>
  </si>
  <si>
    <t>0      0      0  14131      0   2617   5112      0</t>
  </si>
  <si>
    <t>0      0   6006      0      0      0      0      0</t>
  </si>
  <si>
    <t>3528  26501  30292  31266 -11417   -347    192    406</t>
  </si>
  <si>
    <t>0    887      0      0      0   -241   -716      0</t>
  </si>
  <si>
    <t>0      0      0 -22103      0      0  -5772      0</t>
  </si>
  <si>
    <t>5915    508   -312      0    111     83    436    579</t>
  </si>
  <si>
    <t>0     99      0      0      0      0      0    -32</t>
  </si>
  <si>
    <t>0    -76      0    101      0      0      0      0</t>
  </si>
  <si>
    <t>0   -431   -150      0      0    759   2937      0</t>
  </si>
  <si>
    <t>0      0      0   -973   -396   -529      0      0</t>
  </si>
  <si>
    <t>0    613    509    -91   -509  -1058   -826    304</t>
  </si>
  <si>
    <t>0      0      0    761      0  -1762  -1378   -407</t>
  </si>
  <si>
    <t>3798    749   -763   1640      0    758     97  -1134</t>
  </si>
  <si>
    <t>1172    675      0      0      0    876   1821      0</t>
  </si>
  <si>
    <t>1148    279      0      0      0      0      0   2253</t>
  </si>
  <si>
    <t>1019   -680      0  -1007   3316   1153  -1744   1833</t>
  </si>
  <si>
    <t>378      0   -401      0      0    577   -297      0</t>
  </si>
  <si>
    <t>0    562      0   -961   -922    -30      0      0</t>
  </si>
  <si>
    <t>0   1759      0   -255  -1081   -940      0    147</t>
  </si>
  <si>
    <t>0      0      0   1097    981   -455   -514   -667</t>
  </si>
  <si>
    <t>0      0    614      0   2022      0   1151      0</t>
  </si>
  <si>
    <t>0      0      0      0      0   1074      0  -2120</t>
  </si>
  <si>
    <t>0   -547   2858      0      0      0      0      0</t>
  </si>
  <si>
    <t>-728   -533   -345  -1111      0      0      0      0</t>
  </si>
  <si>
    <t>270      0      0    828   2197      0      0      0</t>
  </si>
  <si>
    <t>0  -3223   -718  -1371  -8742  -1981   -661  -2053</t>
  </si>
  <si>
    <t>-651      0      0      0      0      0      0      0</t>
  </si>
  <si>
    <t>-641    192    -87    848      0      0  -1512      0</t>
  </si>
  <si>
    <t>0      0      0      0 -10952      0  -2429  -4922</t>
  </si>
  <si>
    <t>0      0      0  -6929      0      0      0      0</t>
  </si>
  <si>
    <t>8098  -3636 -17100 -22338 -23531 -16233  -5390    725</t>
  </si>
  <si>
    <t>1564      0      0  -2385      0      0      0   -441</t>
  </si>
  <si>
    <t>0      0      0      0      0  31516      0      0</t>
  </si>
  <si>
    <t>707      0  -2435   2995   1376      0     57    408</t>
  </si>
  <si>
    <t>-9    144      0   -234      0      0      0      0</t>
  </si>
  <si>
    <t>0      0      0    115      0   -195      0      0</t>
  </si>
  <si>
    <t>0   -361      0    441      0      0      0    569</t>
  </si>
  <si>
    <t>1108      0      0      0      0    760   -180    282</t>
  </si>
  <si>
    <t>76  -1083      0    918    343    603    308    -25</t>
  </si>
  <si>
    <t>0      0      0      0      0   -662      0   1827</t>
  </si>
  <si>
    <t>0    928  -1178    897   2095   1625      0    768</t>
  </si>
  <si>
    <t>-430      0   -886    378      0      0      0    108</t>
  </si>
  <si>
    <t>560    648    586   -408      0      0      0      0</t>
  </si>
  <si>
    <t>0   1634    430    171      0    866   -421    719</t>
  </si>
  <si>
    <t>653    459    573      0   -244      0      0    544</t>
  </si>
  <si>
    <t>-243      0      0    127      0     58    496   -833</t>
  </si>
  <si>
    <t>0      0      0  -1057      0    604    688    295</t>
  </si>
  <si>
    <t>1012    310      0      0      0    368    343    472</t>
  </si>
  <si>
    <t>0    136      0      0    117      0    413      0</t>
  </si>
  <si>
    <t>0      0      0      0      0      0      0   -580</t>
  </si>
  <si>
    <t>719    311      0    783     -7      0      0      0</t>
  </si>
  <si>
    <t>17    140   -159     51   -395    278      0      0</t>
  </si>
  <si>
    <t>201      0    320      0      0   -542   -315      0</t>
  </si>
  <si>
    <t>0   -640      0    391    309     95  -1266   -652</t>
  </si>
  <si>
    <t>362     93    -24      0      0      0      0      0</t>
  </si>
  <si>
    <t>84   -285   -348    -91   -422   -265      0      0</t>
  </si>
  <si>
    <t>1134   -319      0      0      0      0   1007      0</t>
  </si>
  <si>
    <t>0      0      0      0      0   1987      0      0</t>
  </si>
  <si>
    <t>0 -35745    180     -1    900    -89   -120   -644</t>
  </si>
  <si>
    <t>1736    154    538   1180      0      0   -370      0</t>
  </si>
  <si>
    <t>-206    102      0      0      0      0      0      0</t>
  </si>
  <si>
    <t>0  -4955      0   4916      0   -100   -113    -37</t>
  </si>
  <si>
    <t>2013   1562   2766   1471  -3565      0  -2860      0</t>
  </si>
  <si>
    <t>0      0   -115      0      0      0    360      0</t>
  </si>
  <si>
    <t>0      0      0      0 -34859      0 -12853  -1425</t>
  </si>
  <si>
    <t>1454    902      0  -1538      0      0      0      0</t>
  </si>
  <si>
    <t>1959      0      0   -645   -297      0   -585   -697</t>
  </si>
  <si>
    <t>1067   -685  -1282      0      0      0      0      0</t>
  </si>
  <si>
    <t>-994  -1111    567      0   -333    519    116    285</t>
  </si>
  <si>
    <t>1777   2501  -2135    655      0   -481    100      0</t>
  </si>
  <si>
    <t>117    158      0    177   -194    119     70      0</t>
  </si>
  <si>
    <t>0      0    156      0  -1003   -243    -70      0</t>
  </si>
  <si>
    <t>391    961    736     28   2529   3758      0    739</t>
  </si>
  <si>
    <t>18     45      0    202      0      0    274      0</t>
  </si>
  <si>
    <t>424      0      0      0      0      0    609      0</t>
  </si>
  <si>
    <t>-465      0   -326    -15    -58      0      0      0</t>
  </si>
  <si>
    <t>1637    581    518      0    283      0      0     79</t>
  </si>
  <si>
    <t>0     70      0      0      0      0      0      0</t>
  </si>
  <si>
    <t>63      0   -409   -156    -50      0   -285   2115</t>
  </si>
  <si>
    <t>0      0      0   3228  -4435   1500   1287     20</t>
  </si>
  <si>
    <t>0      0      0    -86      0    -72      0      0</t>
  </si>
  <si>
    <t>0      0      0      0    264      0  -2936   -928</t>
  </si>
  <si>
    <t>-312   -567   -668  -1557  -2259   -707      0      0</t>
  </si>
  <si>
    <t>0      0      0   -486   -225     90   -231     16</t>
  </si>
  <si>
    <t>0   -235      0   -394    887      0      0      0</t>
  </si>
  <si>
    <t>0    597  -2156      0      0      0      0      0</t>
  </si>
  <si>
    <t>0      0      0      0   -120  -2615   -222   -739</t>
  </si>
  <si>
    <t>-73    189   -183   -140 -60842     55     91    419</t>
  </si>
  <si>
    <t>-220      0      0      0    -90    -38      0      0</t>
  </si>
  <si>
    <t>0      0      9      0      0   1829      0  -1693</t>
  </si>
  <si>
    <t>140     79      0    998  -5959    194     50   -490</t>
  </si>
  <si>
    <t>-185      0      0      0      0      0    427      0</t>
  </si>
  <si>
    <t>-88      0   -213      0      0      0      0      0</t>
  </si>
  <si>
    <t>-442   -484      0      0   -618  -1871      0    116</t>
  </si>
  <si>
    <t>0      0   -744    195    141      0      0     17</t>
  </si>
  <si>
    <t>-283   -160   -168   -117   1015    132    -62      0</t>
  </si>
  <si>
    <t>0      0    451      0   -852     15     89      0</t>
  </si>
  <si>
    <t>144    -67   -139      0   2193    899    -61     12</t>
  </si>
  <si>
    <t>-110      0      0      0     75   -141      0    -52</t>
  </si>
  <si>
    <t>2      0      0      0      0      0   -380      0</t>
  </si>
  <si>
    <t>-6      0    112  -2460     95    -27   -153    -29</t>
  </si>
  <si>
    <t>0     34      0      0    -34    -16      0     -4</t>
  </si>
  <si>
    <t>-20      0    -67     21     46      0      0      0</t>
  </si>
  <si>
    <t>-404      0    271    104    -34      0   -313  -3053</t>
  </si>
  <si>
    <t>0      0   2521   1336     -1    -13      4      0</t>
  </si>
  <si>
    <t>0    -21      0    -81      0     12      0      0</t>
  </si>
  <si>
    <t>0      0      0      0   -197      0    318     33</t>
  </si>
  <si>
    <t>-495    879      0      0      0      0      0   2124</t>
  </si>
  <si>
    <t>-497     58  -1152      0      0      0      0   -521</t>
  </si>
  <si>
    <t>0      0  -1123    155      0      0      0      0</t>
  </si>
  <si>
    <t>-239   -315    342  -1970   -389    -98    -17     58</t>
  </si>
  <si>
    <t>0      0      0      0      0      0      0     70</t>
  </si>
  <si>
    <t>124     18    -56      0      0    -91      0   -348</t>
  </si>
  <si>
    <t>0      0      0    648      0  -5299  -5052      0</t>
  </si>
  <si>
    <t>0      0    512      0      0      0      0      0</t>
  </si>
  <si>
    <t>8119   7253   6368   6468   5685  -2471   -159    277</t>
  </si>
  <si>
    <t>189   4346   4124      0      0   -161      0      0</t>
  </si>
  <si>
    <t>-44      0      0      0      0      0      0    -37</t>
  </si>
  <si>
    <t>2040      0   2058      0     27   -131    125      0</t>
  </si>
  <si>
    <t>5196  15573  16588  14056      0   3876      0      0</t>
  </si>
  <si>
    <t>0   2418      0      0      0   8981      0   7643</t>
  </si>
  <si>
    <t>0      0      0   -915      0  -8194   3211      0</t>
  </si>
  <si>
    <t>1022      0    -14      0      0      0      0   -819</t>
  </si>
  <si>
    <t>0      0     11   -111      0    -99   -131   -148</t>
  </si>
  <si>
    <t>53   -126      0      0      0      0      0    285</t>
  </si>
  <si>
    <t>26     74      0    149  -1549    120    104     60</t>
  </si>
  <si>
    <t>941   -130     30      0    -44     62      0      0</t>
  </si>
  <si>
    <t>-216      0   -172    727     29     94      0      0</t>
  </si>
  <si>
    <t>0   -481      0    292     49      2      0    124</t>
  </si>
  <si>
    <t>515    332    564   1732    667      0    -11      0</t>
  </si>
  <si>
    <t>-65      0    -96      0      0    -84      0    366</t>
  </si>
  <si>
    <t>0      0      0      0      0   -488      0    286</t>
  </si>
  <si>
    <t>0   -325  -1429   -180      0      0      0   2998</t>
  </si>
  <si>
    <t>159     50      0     51      0      0     37      0</t>
  </si>
  <si>
    <t>-194      0      0      0      0      0      0      0</t>
  </si>
  <si>
    <t>0    307   -112     75      0   -160    571      0</t>
  </si>
  <si>
    <t>0      0   1016   -583   -423   -331     41   -710</t>
  </si>
  <si>
    <t>0      0   -476      0   -269      0      0   -811</t>
  </si>
  <si>
    <t>0      0      0     50      0     16   -261    284</t>
  </si>
  <si>
    <t>-842   -756  -2681  -4094  -1903      0      0      0</t>
  </si>
  <si>
    <t>0      0    291    -66    416    277    194   -695</t>
  </si>
  <si>
    <t>1      0   -388   1767      0      0      0      0</t>
  </si>
  <si>
    <t>3262  -3334      0      0      0      0      0      0</t>
  </si>
  <si>
    <t>0      0      0      0      0      0      0    323</t>
  </si>
  <si>
    <t>0      0      0   -159   3998  86964   4317   4331</t>
  </si>
  <si>
    <t>1370    -27    243   9008   -474  -2655    160   -432</t>
  </si>
  <si>
    <t>0   -305      0      0      0   -528    906      0</t>
  </si>
  <si>
    <t>0      0      0     19      0      0    416      0</t>
  </si>
  <si>
    <t>884    514    109      0  -1278   -610    419    869</t>
  </si>
  <si>
    <t>0    497      0      0      0      0      0  -3092</t>
  </si>
  <si>
    <t>0   2235      0    866      0      0      0      0</t>
  </si>
  <si>
    <t>0  -1529    538      0      0  -8916  -8069      0</t>
  </si>
  <si>
    <t>0      0      0  -3109    434   -246      0      0</t>
  </si>
  <si>
    <t>0   5195   5748   3367   6648  -7593   2484   8021</t>
  </si>
  <si>
    <t>0      0      0  11324      0 -18630   1931  -4373</t>
  </si>
  <si>
    <t>6276    283   -247  -1252      0   4272   7115    130</t>
  </si>
  <si>
    <t>33    545      0      0      0    228    178      0</t>
  </si>
  <si>
    <t>-112   -522      0      0      0      0      0   -355</t>
  </si>
  <si>
    <t>116    486      0     92  -5362     65   -255  -1400</t>
  </si>
  <si>
    <t>6343      0    130      0      0    790     70      0</t>
  </si>
  <si>
    <t>0    -43      0   -235     83   -271      0      0</t>
  </si>
  <si>
    <t>0    109      0  -1507    154    303      0     79</t>
  </si>
  <si>
    <t>0      0      0   5623   7914    692    214    174</t>
  </si>
  <si>
    <t>0      0   -142      0   -113      0    -55      0</t>
  </si>
  <si>
    <t>0      0      0      0      0    176      0     54</t>
  </si>
  <si>
    <t>0  -1638   4231      0      0      0      0      0</t>
  </si>
  <si>
    <t>2435  -1760   -515  -3982      0      0      0      0</t>
  </si>
  <si>
    <t>900      0      0  -3212    330      0      0      0</t>
  </si>
  <si>
    <t>0  -2174  -1006   -274  -5011   -967  -1636   -128</t>
  </si>
  <si>
    <t>5034      0      0      0      0      0      0      0</t>
  </si>
  <si>
    <t>5148  -1699  -4058   3160      0      0   -410      0</t>
  </si>
  <si>
    <t>0      0      0      0   6176      0 -13315 -22065</t>
  </si>
  <si>
    <t>0      0      0   2614      0      0      0      0</t>
  </si>
  <si>
    <t>4337   3495  55295  18527  19572  17482  -4316   -257</t>
  </si>
  <si>
    <t>7693  -1612  -2186    623   -455    310      0      0</t>
  </si>
  <si>
    <t>0      0   -319    276      0      0      0      0</t>
  </si>
  <si>
    <t>617      0      0    583      0   -540      0    534</t>
  </si>
  <si>
    <t>0  -2305    607    558  -1732   -600    296      0</t>
  </si>
  <si>
    <t>0      0      0      0   1033      0      0      0</t>
  </si>
  <si>
    <t>-887      0      0      0      0      0    329      0</t>
  </si>
  <si>
    <t>0      0    145  -7198      0    476      0      0</t>
  </si>
  <si>
    <t>2521    -19    203      0      0    -18   -246      0</t>
  </si>
  <si>
    <t>-213   -914    -84   -364   -995      0      0      0</t>
  </si>
  <si>
    <t>1587      0   2045   -501    481      0    691 -14258</t>
  </si>
  <si>
    <t>7340      0 -18538 -26336  -7576   -187      0    -17</t>
  </si>
  <si>
    <t>0      0   3060  -1784      0    911 -11632  -1058</t>
  </si>
  <si>
    <t>0      0      0      0    280      0   -746   2110</t>
  </si>
  <si>
    <t>-132  -5341   -337      4  -1483    674   3009   4753</t>
  </si>
  <si>
    <t>0      0   -968     90      0    -23      0      0</t>
  </si>
  <si>
    <t>931    200   -479      0      0      0      0      0</t>
  </si>
  <si>
    <t>1699   -537    177      0   1577 -10097   -265      0</t>
  </si>
  <si>
    <t>3701   4644    359    332    189      0   -433      0</t>
  </si>
  <si>
    <t>0   -142      0     22      0      0      0      0</t>
  </si>
  <si>
    <t>0      0    720      0    755   -327     66      0</t>
  </si>
  <si>
    <t>0      0      0      0      0   5932    317  -2212</t>
  </si>
  <si>
    <t>4357      0      0      0      0   -788      0   -122</t>
  </si>
  <si>
    <t>2860     17      0      0      0      0   3900      0</t>
  </si>
  <si>
    <t>-594  -5812  -3400  -6939  -5857    -69   3501    765</t>
  </si>
  <si>
    <t>0      0      0      0      0   -281     60    539</t>
  </si>
  <si>
    <t>3684      0      0  -2279      0     39  -1114      0</t>
  </si>
  <si>
    <t>0   4465      0  -6488 -14999      0      0      0</t>
  </si>
  <si>
    <t>2892      0      0      0      0      0    560   4030</t>
  </si>
  <si>
    <t>8683  21249  21115  -8341   -240   1270   9861   4983</t>
  </si>
  <si>
    <t>2762    399  -1355     -8      0      0     -5      0</t>
  </si>
  <si>
    <t>-165     10      0      0      0      0      0      0</t>
  </si>
  <si>
    <t>0    858      0   -868      0    484    575    155</t>
  </si>
  <si>
    <t>-844  -2311  -1009     -4   -574      0   -269      0</t>
  </si>
  <si>
    <t>0      0    346      0      0      0    873      0</t>
  </si>
  <si>
    <t>0      0      0      0    521      0   -277   5008</t>
  </si>
  <si>
    <t>-144  -6968      0    576      0      0      0      0</t>
  </si>
  <si>
    <t>172      0      0     10   -141      0   -297   -303</t>
  </si>
  <si>
    <t>-175   -320   -624      0      0      0      0      0</t>
  </si>
  <si>
    <t>1260   -152    359      0   1708  -6282   -244   -676</t>
  </si>
  <si>
    <t>3168   4579    220     59      0     55  -1089      0</t>
  </si>
  <si>
    <t>-80   -138      0   -221    880    147   -607      0</t>
  </si>
  <si>
    <t>0      0   -826      0   -326   -322    284      0</t>
  </si>
  <si>
    <t>2479   7723   4558 -20945 -20689 -27645      0   1018</t>
  </si>
  <si>
    <t>3176    131      0   1031      0      0   1277      0</t>
  </si>
  <si>
    <t>3330      0      0      0      0      0  -6485      0</t>
  </si>
  <si>
    <t>1367      0   1688  -9460   -180      0      0      0</t>
  </si>
  <si>
    <t>146    275    216      0   -544      0      0    137</t>
  </si>
  <si>
    <t>0     -4      0      0      0      0      0      0</t>
  </si>
  <si>
    <t>-536      0     27   -142     96      0   -137   3351</t>
  </si>
  <si>
    <t>0      0      0   5987    809  -2292  -1725   -393</t>
  </si>
  <si>
    <t>0      0      0   -611      0   -119      0      0</t>
  </si>
  <si>
    <t>0      0      0      0   1931      0  -1427  -1584</t>
  </si>
  <si>
    <t>1987  -4321  -3797   5999   5455   2032      0      0</t>
  </si>
  <si>
    <t>0      0      0   -749    156   -278    356   -361</t>
  </si>
  <si>
    <t>0  -1624      0    275   -678      0      0      0</t>
  </si>
  <si>
    <t>0  -5899 -13211      0      0      0      0      0</t>
  </si>
  <si>
    <t>0      0      0      0    486   4110   3607  18670</t>
  </si>
  <si>
    <t>0335  -8674    -61   -635   9782   6133  27699  23869</t>
  </si>
  <si>
    <t>385    106   2152      0      0    -12      0      0</t>
  </si>
  <si>
    <t>-70      0      0      0      0      0      0    313</t>
  </si>
  <si>
    <t>340      0   -302      0    409   -112     -1      0</t>
  </si>
  <si>
    <t>411  -1227   -187   -474      0    574      0      0</t>
  </si>
  <si>
    <t>0    161      0      0      0   -240      0   -259</t>
  </si>
  <si>
    <t>0      0      0    369      0  -1498   3141      0</t>
  </si>
  <si>
    <t>6050      0    701      0      0      0      0   -637</t>
  </si>
  <si>
    <t>0      0    -69    -17      0   -317   -794   -109</t>
  </si>
  <si>
    <t>-234   -654      0      0      0      0      0    834</t>
  </si>
  <si>
    <t>-222    391      0    559  -6395    275    478  -1211</t>
  </si>
  <si>
    <t>2333   1096    129      0     86  -1264      0      0</t>
  </si>
  <si>
    <t>-13      0    110    487    161      9      0      0</t>
  </si>
  <si>
    <t>0    439      0    599   -231    106      0   -669</t>
  </si>
  <si>
    <t>478  -1282    617    739    495      0    162      0</t>
  </si>
  <si>
    <t>9      0   -108      0      0     -9      0     71</t>
  </si>
  <si>
    <t>0      0      0      0      0   1417      0  -1248</t>
  </si>
  <si>
    <t>0   4088 -20685    630      0      0      0 -23715</t>
  </si>
  <si>
    <t>100   1203      0   -901      0      0   -471      0</t>
  </si>
  <si>
    <t>-582      0      0      0      0      0      0      0</t>
  </si>
  <si>
    <t>0  -1808   2504   -952      0    398   3031      0</t>
  </si>
  <si>
    <t>0      0   2770    219  -2100  -1731   -734  -4312</t>
  </si>
  <si>
    <t>0      0   -966      0   -155      0      0  -2415</t>
  </si>
  <si>
    <t>0      0      0   2021      0   -891  -1560   -814</t>
  </si>
  <si>
    <t>2580  -1520   -688   2936   2689      0      0      0</t>
  </si>
  <si>
    <t>0      0    581   -129   2066    -59    670    107</t>
  </si>
  <si>
    <t>1200      0    437   -945      0      0      0      0</t>
  </si>
  <si>
    <t>3374  -9396      0      0      0      0      0      0</t>
  </si>
  <si>
    <t>0      0      0      0      0      0      0   2423</t>
  </si>
  <si>
    <t>0      0      0    269   3206   1178  16122  19145</t>
  </si>
  <si>
    <t>5187   -210   -197   7032   -119  20484  22739  22748</t>
  </si>
  <si>
    <t>138    -97  -1237      0      0    358      0      0</t>
  </si>
  <si>
    <t>57      0      0      0      0      0      0    -69</t>
  </si>
  <si>
    <t>2473      0  -2488      0   -405   -599   -244      0</t>
  </si>
  <si>
    <t>1166   -692   1617   2334      0   1363      0      0</t>
  </si>
  <si>
    <t>0   -795      0      0      0    509      0   1509</t>
  </si>
  <si>
    <t>0      0      0   9214      0   8910   4170      0</t>
  </si>
  <si>
    <t>2400      0    304      0      0      0      0   5321</t>
  </si>
  <si>
    <t>0      0    194    232      0    886    611    186</t>
  </si>
  <si>
    <t>179    979      0      0      0      0      0  -1374</t>
  </si>
  <si>
    <t>-475   -373      0    541   5131   -182      4   1300</t>
  </si>
  <si>
    <t>2609   2139   -585      0    820   -451      0      0</t>
  </si>
  <si>
    <t>243      0    -42   -539   -308   -156      0      0</t>
  </si>
  <si>
    <t>0    623      0  -1071   -659   -111      0    589</t>
  </si>
  <si>
    <t>1017    816  -1082  -3598  -3039      0   -602      0</t>
  </si>
  <si>
    <t>-79      0    -37      0      0   -217      0   -722</t>
  </si>
  <si>
    <t>0      0      0      0      0    760      0  -1522</t>
  </si>
  <si>
    <t>0   1538   5354    206      0      0      0  -4003</t>
  </si>
  <si>
    <t>-726   -500      0   -538      0      0    121      0</t>
  </si>
  <si>
    <t>2      0      0      0      0      0      0      0</t>
  </si>
  <si>
    <t>0  -1134   -351    109      0   5849  -3100      0</t>
  </si>
  <si>
    <t>0      0 -17021   -722  -1396  -1179  -1551   -929</t>
  </si>
  <si>
    <t>0      0   1516      0    967      0      0   3097</t>
  </si>
  <si>
    <t>0      0      0  -3670      0   4298   -461  -3892</t>
  </si>
  <si>
    <t>220   -449   1991   3501   2283      0      0      0</t>
  </si>
  <si>
    <t>0      0     -1     77   -657    238   -445    842</t>
  </si>
  <si>
    <t>-127      0    233  -2219      0      0      0      0</t>
  </si>
  <si>
    <t>5391  24561      0      0      0      0      0      0</t>
  </si>
  <si>
    <t>0      0      0      0      0      0      0  -4151</t>
  </si>
  <si>
    <t>0      0      0  -1226    437   -839  -6179  -9436</t>
  </si>
  <si>
    <t>6226   1122 -47718 -13664  -7074 -33137 -34466 -33437</t>
  </si>
  <si>
    <t>0   -233  -1990    123    -37   -469      0      0</t>
  </si>
  <si>
    <t>0      0   -577    440      0      0      0      0</t>
  </si>
  <si>
    <t>313      0      0     73      0    -30      0    737</t>
  </si>
  <si>
    <t>0   -307  -2092    198   -213   -534    130      0</t>
  </si>
  <si>
    <t>0      0      0      0   -511      0      0      0</t>
  </si>
  <si>
    <t>56      0      0      0      0      0      0      0</t>
  </si>
  <si>
    <t>0      0  -7900 -24065      0  18052      0      0</t>
  </si>
  <si>
    <t>1028   8435   9757      0      0   9359   6561      0</t>
  </si>
  <si>
    <t>3300  16361   7795  11483  25197      0      0      0</t>
  </si>
  <si>
    <t>2095      0    259   5333  23726      0   1287  -5167</t>
  </si>
  <si>
    <t>536      0  -1007  -3964   -314   -709      0    790</t>
  </si>
  <si>
    <t>0      0    265     95      0     38   -650   -930</t>
  </si>
  <si>
    <t>0      0      0      0     66      0   -158   -864</t>
  </si>
  <si>
    <t>975  -5513    107   -553    583    157  -1145  -3938</t>
  </si>
  <si>
    <t>0      0  -1677   -893      0   -406      0      0</t>
  </si>
  <si>
    <t>-480   -496  -1550      0      0      0      0      0</t>
  </si>
  <si>
    <t>31   -546  -1128      0   1716  -7795     28      0</t>
  </si>
  <si>
    <t>-915  -3062     95   -785   -911      0  -1215      0</t>
  </si>
  <si>
    <t>0     62      0    -49      0      0      0      0</t>
  </si>
  <si>
    <t>0      0     40      0   -156   -533  -1317      0</t>
  </si>
  <si>
    <t>0      0      0      0      0  -6478  -1209  -3022</t>
  </si>
  <si>
    <t>5560      0      0      0      0   1086      0   1234</t>
  </si>
  <si>
    <t>1747     40      0      0      0      0     73      0</t>
  </si>
  <si>
    <t>3301  -2944   -294  -2285   -921   1407   1878   3027</t>
  </si>
  <si>
    <t>0      0      0      0      0    451  -3356  -7529</t>
  </si>
  <si>
    <t>780      0      0   -351      0  -1184    529      0</t>
  </si>
  <si>
    <t>0   -532      0   2962   6847      0      0      0</t>
  </si>
  <si>
    <t>437      0      0      0      0      0  -1060   3748</t>
  </si>
  <si>
    <t>1612  22580  21140    -75    340   -913   5425   3358</t>
  </si>
  <si>
    <t>5998  14659   1193      0   -610  -2288    295    192</t>
  </si>
  <si>
    <t>0    141      0      0      0    443  -1152      0</t>
  </si>
  <si>
    <t>0      0      0    921      0      0    -51      0</t>
  </si>
  <si>
    <t>469   -682   -191      0   -914  -2227    457    473</t>
  </si>
  <si>
    <t>0     -7      0      0      0      0      0   -487</t>
  </si>
  <si>
    <t>0    -66      0     76      0      0      0      0</t>
  </si>
  <si>
    <t>0    233   -174      0      0  -6751  -5923      0</t>
  </si>
  <si>
    <t>0      0      0   1165    793    322      0      0</t>
  </si>
  <si>
    <t>0   1151   1641   -117   1575    679    713   -760</t>
  </si>
  <si>
    <t>0      0      0   3027      0  -1138   5019   1413</t>
  </si>
  <si>
    <t>2708  -2204   1288  -1299      0  -1625  -1453  -2744</t>
  </si>
  <si>
    <t>188   -178      0      0      0  -2397 -10502      0</t>
  </si>
  <si>
    <t>548   1568      0      0      0      0      0   -628</t>
  </si>
  <si>
    <t>-11    699      0    800  -6510    754    254   1482</t>
  </si>
  <si>
    <t>-740      0    -75      0      0   -957    -77      0</t>
  </si>
  <si>
    <t>0    -77      0   -250   -116   -419      0      0</t>
  </si>
  <si>
    <t>0     -7      0   -266   -803   -101      0   1482</t>
  </si>
  <si>
    <t>0      0      0   -328   -633    -87     21     94</t>
  </si>
  <si>
    <t>0      0    161      0    -11      0   -187      0</t>
  </si>
  <si>
    <t>0      0      0      0      0   -114      0   -172</t>
  </si>
  <si>
    <t>0   2834   1930      0      0      0      0      0</t>
  </si>
  <si>
    <t>3648  -2909  -1782  -6100      0      0      0      0</t>
  </si>
  <si>
    <t>25      0      0  -1473   1018      0      0      0</t>
  </si>
  <si>
    <t>0   1549  -2730  -3269  -4802  -1731  -2860  -2385</t>
  </si>
  <si>
    <t>47      0      0      0      0      0      0      0</t>
  </si>
  <si>
    <t>2279    143   1773   1601      0      0  -1824      0</t>
  </si>
  <si>
    <t>0      0      0      0  -2167      0    540   1474</t>
  </si>
  <si>
    <t>0      0      0  -1168      0      0      0      0</t>
  </si>
  <si>
    <t>4074   4229  21850  47383  25016  25931  -1144   -366</t>
  </si>
  <si>
    <t>3896  17169  35731  18146  18393   -118      0  23413</t>
  </si>
  <si>
    <t>119     34    208      0      0    108      0      0</t>
  </si>
  <si>
    <t>-490      0      0      0      0      0      0    858</t>
  </si>
  <si>
    <t>-26      0     55      0    520   -677   -238      0</t>
  </si>
  <si>
    <t>296    133    235    310      0    -21      0      0</t>
  </si>
  <si>
    <t>0   -188      0      0      0    -65      0     77</t>
  </si>
  <si>
    <t>0      0      0    104      0    204    -85      0</t>
  </si>
  <si>
    <t>6178      0   -188      0      0      0      0   -134</t>
  </si>
  <si>
    <t>0      0  -1315    510      0    305    503    145</t>
  </si>
  <si>
    <t>915   -933      0      0      0      0      0   2850</t>
  </si>
  <si>
    <t>4907   1442      0   1155  -6634    755   -308   1774</t>
  </si>
  <si>
    <t>1158     -3   -213      0    323  -1023      0      0</t>
  </si>
  <si>
    <t>-156      0    -26   -331   -125   -821      0      0</t>
  </si>
  <si>
    <t>0     15      0   -265  -1060   -347      0    376</t>
  </si>
  <si>
    <t>3040  -3488  -1506   -337    207      0    644      0</t>
  </si>
  <si>
    <t>907      0   5278      0      0   -255      0   1449</t>
  </si>
  <si>
    <t>0      0      0      0      0    -67      0   -594</t>
  </si>
  <si>
    <t>0   1584 -10618   -105      0      0      0   -634</t>
  </si>
  <si>
    <t>20     95      0   -375      0      0    164      0</t>
  </si>
  <si>
    <t>-158      0      0      0      0      0      0      0</t>
  </si>
  <si>
    <t>0   -202   -473     32      0   2802   1940      0</t>
  </si>
  <si>
    <t>0      0  -3944  -1671  -3695  -2952  -1808  -6152</t>
  </si>
  <si>
    <t>0      0    244      0    577      0      0  -1484</t>
  </si>
  <si>
    <t>0      0      0    342      0   1493  -2750  -3391</t>
  </si>
  <si>
    <t>2270  -1740    408    897    871      0      0      0</t>
  </si>
  <si>
    <t>0      0  -2126     57  -1068   1081   -865   1240</t>
  </si>
  <si>
    <t>1540      0   -184  -2012      0      0      0      0</t>
  </si>
  <si>
    <t>882   1809      0      0      0      0      0      0</t>
  </si>
  <si>
    <t>0      0      0      0      0      0      0  -1007</t>
  </si>
  <si>
    <t>0      0      0   -342   4082   4506  23182  25039</t>
  </si>
  <si>
    <t>1081   -303   -125   5907   4051  17391  19092  34419</t>
  </si>
  <si>
    <t>0  25451  19290   -156    146    181    136    390</t>
  </si>
  <si>
    <t>62      0      0      0    -56   -323      0      0</t>
  </si>
  <si>
    <t>0      0    700      0      0    -20      0     24</t>
  </si>
  <si>
    <t>-520   -159      0   -723    199    377    397    318</t>
  </si>
  <si>
    <t>-17      0      0      0      0      0   -185      0</t>
  </si>
  <si>
    <t>62      0     43      0      0      0      0      0</t>
  </si>
  <si>
    <t>188    -37      0      0  -5102  -3293      0   -815</t>
  </si>
  <si>
    <t>0      0    -86    996    912      0      0     38</t>
  </si>
  <si>
    <t>240   2981     18   1715   -153     91      5      0</t>
  </si>
  <si>
    <t>0      0   2628      0   -717   3804    592      0</t>
  </si>
  <si>
    <t>149     45    825      0    -98   -660    272   -119</t>
  </si>
  <si>
    <t>-960      0      0      0   -155   -437      0   -159</t>
  </si>
  <si>
    <t>-120      0      0      0      0      0   -298      0</t>
  </si>
  <si>
    <t>-99      0    349  -3680   -193    221    591     17</t>
  </si>
  <si>
    <t>0     38      0      0   -802     -2      0     59</t>
  </si>
  <si>
    <t>0      0    111    -13    241      0      0      0</t>
  </si>
  <si>
    <t>-227      0   -323   -275    130      0   1077 -17616</t>
  </si>
  <si>
    <t>0      0  -2496  -2036  -3577    747    788      0</t>
  </si>
  <si>
    <t>0   1127      0 -13378      0  -7501      0      0</t>
  </si>
  <si>
    <t>0      0      0      0   -821      0  -1767   1091</t>
  </si>
  <si>
    <t>2557   4664      0      0      0      0      0  -3395</t>
  </si>
  <si>
    <t>2714  -1654  -5683      0      0      0      0   -691</t>
  </si>
  <si>
    <t>0      0  -1388    626      0      0      0      0</t>
  </si>
  <si>
    <t>1284  -2313  -2887  -3907    862  -1194  -1616   -266</t>
  </si>
  <si>
    <t>0      0      0      0      0      0      0    496</t>
  </si>
  <si>
    <t>-147   1943    712      0      0  -1361      0    438</t>
  </si>
  <si>
    <t>0      0      0  -2205      0    640   1317      0</t>
  </si>
  <si>
    <t>0      0   -912      0      0      0      0      0</t>
  </si>
  <si>
    <t>2974  20961  23790  23816  50913   -736   -160   -101</t>
  </si>
  <si>
    <t>5901  17992  17179  34917    -39      0  20620  23755</t>
  </si>
  <si>
    <t>1469    158    -59    122      0      0    -57      0</t>
  </si>
  <si>
    <t>-479    728      0      0      0      0      0      0</t>
  </si>
  <si>
    <t>0    141      0   -137      0    225   -111    -84</t>
  </si>
  <si>
    <t>1407    244    236     62    252      0     -2      0</t>
  </si>
  <si>
    <t>0      0     23      0      0      0   -151      0</t>
  </si>
  <si>
    <t>0      0      0      0    -62      0    188    -30</t>
  </si>
  <si>
    <t>2616 -14705      0  -2045      0      0      0      0</t>
  </si>
  <si>
    <t>-183      0      0   -523    980      0   1585    599</t>
  </si>
  <si>
    <t>1419    315   -963      0      0      0      0      0</t>
  </si>
  <si>
    <t>2527   1785   1093      0    -67  -4627   -117    633</t>
  </si>
  <si>
    <t>-207  -1258  -1139    461      0   -147  -1322      0</t>
  </si>
  <si>
    <t>-913  -2808      0  -1760    683    470    785      0</t>
  </si>
  <si>
    <t>0      0  -1289      0   -462    783    465      0</t>
  </si>
  <si>
    <t>323   -562    346    -21   -215  -1142      0    -77</t>
  </si>
  <si>
    <t>-932   -116      0   -642      0      0    115      0</t>
  </si>
  <si>
    <t>-543      0      0      0      0      0   -721      0</t>
  </si>
  <si>
    <t>-109      0   -295  -7101     71      0      0      0</t>
  </si>
  <si>
    <t>352     17     64      0   -427      0      0    -46</t>
  </si>
  <si>
    <t>0    499      0      0      0      0      0      0</t>
  </si>
  <si>
    <t>-463      0   -307   -292      0      0   1150   1948</t>
  </si>
  <si>
    <t>0      0      0  -2951   -715  -2689  -2173  -1360</t>
  </si>
  <si>
    <t>0      0      0   1576      0   1300      0      0</t>
  </si>
  <si>
    <t>0      0      0      0   -629      0    832  -1581</t>
  </si>
  <si>
    <t>-929   -524   -199    334     -5    246      0      0</t>
  </si>
  <si>
    <t>0      0      0    377  -1694  -4420  -1144  -3381</t>
  </si>
  <si>
    <t>0   -401      0   -780    768      0      0      0</t>
  </si>
  <si>
    <t>0    188   1659      0      0      0      0      0</t>
  </si>
  <si>
    <t>0      0      0      0    -22   3195   3292  37626</t>
  </si>
  <si>
    <t>8410    143   -100   -208   4647   2973  28978  14965</t>
  </si>
  <si>
    <t>704      0  23551  23855  22963  19766  -6238  -1698</t>
  </si>
  <si>
    <t>1058      0      0   -180      0      0      0   -983</t>
  </si>
  <si>
    <t>0      0      0      0      0    758      0      0</t>
  </si>
  <si>
    <t>241      0    417   3605   1767      0  -1870  -1549</t>
  </si>
  <si>
    <t>1690   1210      0   -350      0      0      0      0</t>
  </si>
  <si>
    <t>0      0      0    780      0    284      0      0</t>
  </si>
  <si>
    <t>0    -47      0     -2    345      0      0   5049</t>
  </si>
  <si>
    <t>1436      0      0      0      0     88  -2010   -696</t>
  </si>
  <si>
    <t>293   -119      0   -506  -1335     61  -1127  -1860</t>
  </si>
  <si>
    <t>0      0      0      0      0  -3510      0  -3295</t>
  </si>
  <si>
    <t>0 -13928 -21294  16908  41041  25908      0  19009</t>
  </si>
  <si>
    <t>4549      0  11677  45065      0      0      0   2610</t>
  </si>
  <si>
    <t>3681  18239  17562  23251      0      0      0      0</t>
  </si>
  <si>
    <t>0  -6533   7459  15582      0   1315  -4553   -905</t>
  </si>
  <si>
    <t>182      8   -844      0  -2694      0      0   6051</t>
  </si>
  <si>
    <t>1007      0      0     70      0  -1827  -2349  -3187</t>
  </si>
  <si>
    <t>0      0      0   -557      0   -734  -2731  -3026</t>
  </si>
  <si>
    <t>8335   -523      0      0      0    363    134   -574</t>
  </si>
  <si>
    <t>0   4890      0      0    -44      0    -68      0</t>
  </si>
  <si>
    <t>0      0      0      0      0      0      0  -1241</t>
  </si>
  <si>
    <t>1357  -1366      0   3877   2504      0      0      0</t>
  </si>
  <si>
    <t>3579  -3148  -4807  -3427  -2513   4283      0      0</t>
  </si>
  <si>
    <t>246      0    694      0      0  -2030   -993      0</t>
  </si>
  <si>
    <t>0  -2265      0   -719  -2779  -3941  -6389  -4935</t>
  </si>
  <si>
    <t>108  -3984  -2466      0      0      0      0      0</t>
  </si>
  <si>
    <t>393   -146  -1689    106  -2175  -1150      0      0</t>
  </si>
  <si>
    <t>858   2728      0      0      0      0  -4837      0</t>
  </si>
  <si>
    <t>0      0      0      0      0    782      0      0</t>
  </si>
  <si>
    <t>0   -828   2910   2877  15774  49203  16588  18374</t>
  </si>
  <si>
    <t>177   4536   3155  14703  27338  13286  13873   1506</t>
  </si>
  <si>
    <t>9823  22535  20661  15100      0  -2198    130    -10</t>
  </si>
  <si>
    <t>0    -12      0      0      0     24    148      0</t>
  </si>
  <si>
    <t>0      0      0    592      0      0     42      0</t>
  </si>
  <si>
    <t>373   -388   -222      0   -549  -2273    366     77</t>
  </si>
  <si>
    <t>0    -11      0      0      0      0      0    -41</t>
  </si>
  <si>
    <t>0   -220      0     -8      0      0      0      0</t>
  </si>
  <si>
    <t>0    194    192      0      0   1703  -7996      0</t>
  </si>
  <si>
    <t>0      0      0     49     54     76      0      0</t>
  </si>
  <si>
    <t>0      4    470   -109    278    138    173    719</t>
  </si>
  <si>
    <t>0      0      0   -116      0     45  -1230   -507</t>
  </si>
  <si>
    <t>6763    699   1722    634      0   -209   -635    321</t>
  </si>
  <si>
    <t>370  -2785      0      0      0     91     35      0</t>
  </si>
  <si>
    <t>619   -260      0      0      0      0      0    517</t>
  </si>
  <si>
    <t>3127   1271      0    724 -13078  -3317  -6697  -3840</t>
  </si>
  <si>
    <t>1173      0    121      0      0  -1069   -214      0</t>
  </si>
  <si>
    <t>0    -11      0   -390   1088   -558      0      0</t>
  </si>
  <si>
    <t>0   1545      0  -3145   1845   1025      0   2085</t>
  </si>
  <si>
    <t>0      0      0   -617  -1082   -101      3     88</t>
  </si>
  <si>
    <t>0      0    330      0    148      0     54      0</t>
  </si>
  <si>
    <t>0      0      0      0      0    161      0   -378</t>
  </si>
  <si>
    <t>0   2828   2575      0      0      0      0      0</t>
  </si>
  <si>
    <t>4053  -3265  -2061  -6896      0      0      0      0</t>
  </si>
  <si>
    <t>783      0      0  -1610   1092      0      0      0</t>
  </si>
  <si>
    <t>0   1217  -3198  -3791  -5165   -771   -445  -1474</t>
  </si>
  <si>
    <t>1558      0      0      0      0      0      0      0</t>
  </si>
  <si>
    <t>1165    883  -1040   1576      0      0  -1148      0</t>
  </si>
  <si>
    <t>0      0      0      0    261      0   1001   2082</t>
  </si>
  <si>
    <t>0      0      0   -569      0      0      0      0</t>
  </si>
  <si>
    <t>4131   4576  24311  25198  50996  26685   1425   -137</t>
  </si>
  <si>
    <t>4146  19714  19051  35623  19241   2372      0  26102</t>
  </si>
  <si>
    <t>8479  23620  17644   -198     41    323    107     30</t>
  </si>
  <si>
    <t>-67      0      0      0   -317     94      0      0</t>
  </si>
  <si>
    <t>0      0    562      0      0     44      0    -32</t>
  </si>
  <si>
    <t>-96   -125      0   -649    186    324    210    160</t>
  </si>
  <si>
    <t>-15      0      0      0      0      0     -7      0</t>
  </si>
  <si>
    <t>-49      0    -11      0      0      0      0      0</t>
  </si>
  <si>
    <t>263    265      0      0    842  -4304      0    540</t>
  </si>
  <si>
    <t>0      0    329     82     74      0      0    -87</t>
  </si>
  <si>
    <t>93   -369     61    -49    315    177    304      0</t>
  </si>
  <si>
    <t>0      0     -5      0   -139   -833   -307      0</t>
  </si>
  <si>
    <t>955    762    696      0   -610   -392    230    556</t>
  </si>
  <si>
    <t>2466      0      0      0   -131   1097      0    719</t>
  </si>
  <si>
    <t>-43      0      0      0      0      0   1668      0</t>
  </si>
  <si>
    <t>366      0    586  -3813   -192     37    134     64</t>
  </si>
  <si>
    <t>0    -23      0      0   -883    -41      0    -39</t>
  </si>
  <si>
    <t>5      0     37      9     63      0      0      0</t>
  </si>
  <si>
    <t>-347      0   -583   -735    -15      0    457 -21796</t>
  </si>
  <si>
    <t>0      0  -1030   1415   3102   -322   -214      0</t>
  </si>
  <si>
    <t>0   -145      0  -1273      0   -895      0      0</t>
  </si>
  <si>
    <t>0      0      0      0   -249      0  -2329   3450</t>
  </si>
  <si>
    <t>2710   4779      0      0      0      0      0  -3790</t>
  </si>
  <si>
    <t>2890  -1867  -6260      0      0      0      0   -153</t>
  </si>
  <si>
    <t>0      0  -1767    701      0      0      0      0</t>
  </si>
  <si>
    <t>999  -2627  -3191  -3986    550  -1420  -1273   -116</t>
  </si>
  <si>
    <t>0      0      0      0      0      0      0   1017</t>
  </si>
  <si>
    <t>-30   1080    766      0      0  -1193      0    240</t>
  </si>
  <si>
    <t>0      0      0   -295      0   1200   2148      0</t>
  </si>
  <si>
    <t>0      0     31      0      0      0      0      0</t>
  </si>
  <si>
    <t>3016  19798  23863  23638  55905   1518     76   -226</t>
  </si>
  <si>
    <t>6208  18298  17345  36041   1937      0  22358  28130</t>
  </si>
  <si>
    <t>9136  19182  26449    114  -1522    197   -114    -13</t>
  </si>
  <si>
    <t>-16      0      0      0   -625   1018      0      0</t>
  </si>
  <si>
    <t>0      0    415      0      0    133      0   -103</t>
  </si>
  <si>
    <t>-158   -121      0    -75  -1495    212    152    -59</t>
  </si>
  <si>
    <t>-14      0      0      0      0      0    139      0</t>
  </si>
  <si>
    <t>-173      0    -14      0      0      0      0      0</t>
  </si>
  <si>
    <t>232    -29      0      0   2710 -14800      0  -2118</t>
  </si>
  <si>
    <t>0      0   -195   -262   -341      0      0  -1084</t>
  </si>
  <si>
    <t>1211   -249   1286     48  -1723    467  -1281      0</t>
  </si>
  <si>
    <t>0      0  -1530      0   2641   1802   1215      0</t>
  </si>
  <si>
    <t>280   -141    357      0   -152   -997    302   -101</t>
  </si>
  <si>
    <t>1010      0      0      0    560   1566      0    975</t>
  </si>
  <si>
    <t>-410      0      0      0      0      0   -662      0</t>
  </si>
  <si>
    <t>-164      0  -1051  -5091   -475   1456     13   -171</t>
  </si>
  <si>
    <t>0    616      0      0  -1276    631      0   1427</t>
  </si>
  <si>
    <t>-396      0   1303    599   2165      0      0      0</t>
  </si>
  <si>
    <t>-603      0   -388    996    803      0     -6  -7114</t>
  </si>
  <si>
    <t>0      0   -154   -806    241     17     68      0</t>
  </si>
  <si>
    <t>0   -160      0    846      0    433      0      0</t>
  </si>
  <si>
    <t>0      0      0      0   -438      0   -322   -273</t>
  </si>
  <si>
    <t>1332   1751      0      0      0      0      0  -3111</t>
  </si>
  <si>
    <t>2155  -1338  -4801      0      0      0      0   2171</t>
  </si>
  <si>
    <t>0      0  -1289    712      0      0      0      0</t>
  </si>
  <si>
    <t>851  -1656  -2391  -3123   -840   -738     13    473</t>
  </si>
  <si>
    <t>0      0      0      0      0      0      0    -32</t>
  </si>
  <si>
    <t>1226  -4354   1819      0      0   -270      0   -841</t>
  </si>
  <si>
    <t>0      0      0  -1358      0    524   2073      0</t>
  </si>
  <si>
    <t>0      0   -517      0      0      0      0      0</t>
  </si>
  <si>
    <t>3280  36142  18541  20071  17501    419    -47   -250</t>
  </si>
  <si>
    <t>8550  14340  14515  12417    970      0  27088  21879</t>
  </si>
  <si>
    <t>3693  16226  22702  19623     29  -2221    354     52</t>
  </si>
  <si>
    <t>0    115      0      0      0    -86    130      0</t>
  </si>
  <si>
    <t>0      0      0    635      0      0      4      0</t>
  </si>
  <si>
    <t>357   -537   -202      0   -623  -2147    449    389</t>
  </si>
  <si>
    <t>0    -35      0      0      0      0      0     15</t>
  </si>
  <si>
    <t>0   -291      0    -13      0      0      0      0</t>
  </si>
  <si>
    <t>0    213     43      0      0   1428  -7460      0</t>
  </si>
  <si>
    <t>0      0      0      6     85     80      0      0</t>
  </si>
  <si>
    <t>0   -600    187     59   -106    144    133    697</t>
  </si>
  <si>
    <t>0      0      0   -184      0   -199  -1284   -498</t>
  </si>
  <si>
    <t>4030  -2178  -4257  -3393      0   -713    416    194</t>
  </si>
  <si>
    <t>563  -1162      0      0      0   2035  -1849      0</t>
  </si>
  <si>
    <t>761   -427      0      0      0      0      0   -385</t>
  </si>
  <si>
    <t>1125   1055      0  -2453  -6557    104    -19    683</t>
  </si>
  <si>
    <t>1134      0    737      0      0  -2117   -104      0</t>
  </si>
  <si>
    <t>0   -102      0    181    196   -659      0      0</t>
  </si>
  <si>
    <t>0    136      0    176   3712   1267      0   1744</t>
  </si>
  <si>
    <t>0      0      0   -535  -1134   -284    144    197</t>
  </si>
  <si>
    <t>0      0    266      0    -66      0   -119      0</t>
  </si>
  <si>
    <t>0      0      0      0      0   -272      0   -466</t>
  </si>
  <si>
    <t>0   3249   2363      0      0      0      0      0</t>
  </si>
  <si>
    <t>4018  -3180  -2027  -6545      0      0      0      0</t>
  </si>
  <si>
    <t>351      0      0  -1828   1115      0      0      0</t>
  </si>
  <si>
    <t>0   1286  -3232  -3699  -5305  -1678  -1554  -1646</t>
  </si>
  <si>
    <t>608      0      0      0      0      0      0      0</t>
  </si>
  <si>
    <t>434     92    890   1894      0      0  -1379      0</t>
  </si>
  <si>
    <t>0      0      0      0    -73      0    777   2034</t>
  </si>
  <si>
    <t>0      0      0   -534      0      0      0      0</t>
  </si>
  <si>
    <t>4037   4264  23249  49641  24579  26412   1466   -102</t>
  </si>
  <si>
    <t>3907  18663  36624  17812  19185   2276      0  25238</t>
  </si>
  <si>
    <t>7641  22489  34834  32706  29343  20988  -4811  -1819</t>
  </si>
  <si>
    <t>1334      0      0   -183      0      0      0   -275</t>
  </si>
  <si>
    <t>0      0      0      0      0    717      0      0</t>
  </si>
  <si>
    <t>218      0    255   2546   1350      0  -1671  -1921</t>
  </si>
  <si>
    <t>1602    736      0   -257      0      0      0      0</t>
  </si>
  <si>
    <t>0      0      0    162      0    289      0      0</t>
  </si>
  <si>
    <t>0   -274      0    -93    -19      0      0   4231</t>
  </si>
  <si>
    <t>1150      0      0      0      0   1857  -1474   -928</t>
  </si>
  <si>
    <t>-164   -288      0    -35   -621     95   -545  -1164</t>
  </si>
  <si>
    <t>0      0      0      0      0  -3474      0  -3610</t>
  </si>
  <si>
    <t>0   2109  -5153  -1018  -3019    107      0   -707</t>
  </si>
  <si>
    <t>2452      0    272   6298      0      0      0    446</t>
  </si>
  <si>
    <t>-122  -1474  -2225  -2649      0      0      0      0</t>
  </si>
  <si>
    <t>0   -401  -2869  -3612      0  -8378 -16659  15540</t>
  </si>
  <si>
    <t>1686  16440  13256      0   9436      0      0  47087</t>
  </si>
  <si>
    <t>0799      0      0   5853      0   8663  13622  15928</t>
  </si>
  <si>
    <t>0      0      0  -9204      0 -10951   7538  21638</t>
  </si>
  <si>
    <t>9176   -471      0      0      0    456      4    506</t>
  </si>
  <si>
    <t>0   6612      0      0   -112      0    180      0</t>
  </si>
  <si>
    <t>0      0      0      0      0      0      0  -1314</t>
  </si>
  <si>
    <t>-765   -735      0   3550   2233      0      0      0</t>
  </si>
  <si>
    <t>3871  -1511  -4807  -3400  -2070   3215      0      0</t>
  </si>
  <si>
    <t>-272      0    145      0      0  -1996   -378      0</t>
  </si>
  <si>
    <t>0  -1752      0   -409  -3119  -4633  -5630  -4461</t>
  </si>
  <si>
    <t>3362  -4221  -2350      0      0      0      0      0</t>
  </si>
  <si>
    <t>3012   -160    353  -1208    168    444      0      0</t>
  </si>
  <si>
    <t>67   2797      0      0      0      0  -4634      0</t>
  </si>
  <si>
    <t>0      0      0      0      0    569      0      0</t>
  </si>
  <si>
    <t>0   -220   3035   3415  16862  17407  47862  19170</t>
  </si>
  <si>
    <t>631   4673   3474  15340  14477  24838  14057   1073</t>
  </si>
  <si>
    <t>2749  35528  20769  16892  18775  35629  21942  17528</t>
  </si>
  <si>
    <t>6    262     89     37      0      0    -15      0</t>
  </si>
  <si>
    <t>-236     64      0      0      0      0      0      0</t>
  </si>
  <si>
    <t>0     32      0    -35      0    341   -185   -135</t>
  </si>
  <si>
    <t>69    285    228    165    351      0    -26      0</t>
  </si>
  <si>
    <t>0      0     -5      0      0      0    -34      0</t>
  </si>
  <si>
    <t>0      0      0      0     17      0    244    224</t>
  </si>
  <si>
    <t>400  -3806      0    547      0      0      0      0</t>
  </si>
  <si>
    <t>81      0      0   -136     48      0     89   -300</t>
  </si>
  <si>
    <t>301    200    343      0      0      0      0      0</t>
  </si>
  <si>
    <t>-173   -515   -256      0    875  -3464     -3     41</t>
  </si>
  <si>
    <t>-331   -978     69    -68      0    269   -882      0</t>
  </si>
  <si>
    <t>75   -480      0   -237     35     21   -135      0</t>
  </si>
  <si>
    <t>0      0   -465      0   -513  -1008   -187      0</t>
  </si>
  <si>
    <t>582    253    766   -184   -775   -529      0    538</t>
  </si>
  <si>
    <t>1897     63      0    205      0      0    -37      0</t>
  </si>
  <si>
    <t>-288      0      0      0      0      0    362      0</t>
  </si>
  <si>
    <t>553      0    329 -18378  -2242      0      0      0</t>
  </si>
  <si>
    <t>1798   -413   -363      0   -743      0      0   -853</t>
  </si>
  <si>
    <t>0  -1861      0      0      0      0      0      0</t>
  </si>
  <si>
    <t>-281      0  -1767   2773   1757      0   2480   4297</t>
  </si>
  <si>
    <t>0      0      0  -3454  -1283  -3201  -2578  -1627</t>
  </si>
  <si>
    <t>0      0      0   -261      0    209      0      0</t>
  </si>
  <si>
    <t>0      0      0      0   -178      0   1049  -2368</t>
  </si>
  <si>
    <t>444  -1267  -1324   -140    447   1184      0      0</t>
  </si>
  <si>
    <t>0      0      0    938   -196   2402    -30   1337</t>
  </si>
  <si>
    <t>0  -1134      0    437   -856      0      0      0</t>
  </si>
  <si>
    <t>0   1120   2007      0      0      0      0      0</t>
  </si>
  <si>
    <t>0      0      0      0    -84   3104   2860  18270</t>
  </si>
  <si>
    <t>8278    640     15   -168   4678   2707  14751  16653</t>
  </si>
  <si>
    <t>1236      0  20087  25371  25395  36468  17906  19415</t>
  </si>
  <si>
    <t>7422  23068  17350    336  -1099    261   -147     31</t>
  </si>
  <si>
    <t>18      0      0      0   -691    777      0      0</t>
  </si>
  <si>
    <t>0      0    300      0      0    117      0   -115</t>
  </si>
  <si>
    <t>-271   -175      0    -35  -1088    165    116    -50</t>
  </si>
  <si>
    <t>-14      0      0      0      0      0    147      0</t>
  </si>
  <si>
    <t>-275      0    -52      0      0      0      0      0</t>
  </si>
  <si>
    <t>197    -38      0      0   1759 -10300      0  -1245</t>
  </si>
  <si>
    <t>0      0      8     14    217      0      0   -411</t>
  </si>
  <si>
    <t>1055   2094    694   1276  -1735   -178   -622      0</t>
  </si>
  <si>
    <t>0      0   -629      0   1422   1628    623      0</t>
  </si>
  <si>
    <t>232    122    136      0     -4   -701    377    -44</t>
  </si>
  <si>
    <t>-700      0      0      0    460   1346      0   1061</t>
  </si>
  <si>
    <t>4      0      0      0      0      0   -205      0</t>
  </si>
  <si>
    <t>-143      0    684  -3794    259   -188    228    -38</t>
  </si>
  <si>
    <t>0    -33      0      0   -646    -75      0   -453</t>
  </si>
  <si>
    <t>206      0   -435     63   -310      0      0      0</t>
  </si>
  <si>
    <t>-188      0   -186   -206    -70      0   -882  -5417</t>
  </si>
  <si>
    <t>0      0   -637  -1907  -2399    924    658      0</t>
  </si>
  <si>
    <t>0    114      0  -6246      0  -3884      0      0</t>
  </si>
  <si>
    <t>0      0      0      0   -658      0   -524   1217</t>
  </si>
  <si>
    <t>1702   1416      0      0      0      0      0  -2375</t>
  </si>
  <si>
    <t>1750  -1057  -3683      0      0      0      0   1996</t>
  </si>
  <si>
    <t>0      0   -955    560      0      0      0      0</t>
  </si>
  <si>
    <t>739  -1469  -2005  -2569   -860   -608   -234    329</t>
  </si>
  <si>
    <t>0      0      0      0      0      0      0    179</t>
  </si>
  <si>
    <t>1214  -3607   1965      0      0   -205      0   -596</t>
  </si>
  <si>
    <t>0      0      0   -375      0    176   1715      0</t>
  </si>
  <si>
    <t>0      0   -235      0      0      0      0      0</t>
  </si>
  <si>
    <t>2494  24601  14870  15441  14803    148    -31   -166</t>
  </si>
  <si>
    <t>0054  11474  11328  10591    728      0  21592  17217</t>
  </si>
  <si>
    <t>6522  13023  18076  15548  19166  17423  13192  13997</t>
  </si>
  <si>
    <t>469    -12    191      0      0     77      0      0</t>
  </si>
  <si>
    <t>68      0      0      0      0      0      0    543</t>
  </si>
  <si>
    <t>3      0     -8      0    326   -567   -317      0</t>
  </si>
  <si>
    <t>349    266    275    313      0    -10      0      0</t>
  </si>
  <si>
    <t>0      4      0      0      0   -335      0      3</t>
  </si>
  <si>
    <t>0      0      0     29      0    186     32      0</t>
  </si>
  <si>
    <t>5997      0   1037      0      0      0      0    -91</t>
  </si>
  <si>
    <t>0      0     17   -136      0   -371     84     29</t>
  </si>
  <si>
    <t>168    528      0      0      0      0      0    -73</t>
  </si>
  <si>
    <t>1084   -445      0   1362  -9957   -685  -2353  -1047</t>
  </si>
  <si>
    <t>330    180    -59      0    279  -1073      0      0</t>
  </si>
  <si>
    <t>328      0   -477  -1562     35   -256      0      0</t>
  </si>
  <si>
    <t>0     77      0  -2401   1284    259      0    592</t>
  </si>
  <si>
    <t>939    657    -30   -270   -823      0    -37      0</t>
  </si>
  <si>
    <t>-14      0    208      0      0    -19      0   -151</t>
  </si>
  <si>
    <t>0      0      0      0      0    193      0   -171</t>
  </si>
  <si>
    <t>0  -9366  -9383   -290      0      0      0   -384</t>
  </si>
  <si>
    <t>866    225      0  -1778      0      0   -286      0</t>
  </si>
  <si>
    <t>1179      0      0      0      0      0      0      0</t>
  </si>
  <si>
    <t>0    -14   5176   2077      0   2644   2052      0</t>
  </si>
  <si>
    <t>0      0  -3676  -1763  -3301  -2583  -1634  -5260</t>
  </si>
  <si>
    <t>0      0    181      0    278      0      0  -1449</t>
  </si>
  <si>
    <t>0      0      0    148      0   1154  -2745  -3148</t>
  </si>
  <si>
    <t>1783  -1876   -203     28    417      0      0      0</t>
  </si>
  <si>
    <t>0      0   -155    534   -203    121    387   1855</t>
  </si>
  <si>
    <t>1182      0     66  -1246      0      0      0      0</t>
  </si>
  <si>
    <t>774   1785      0      0      0      0      0      0</t>
  </si>
  <si>
    <t>0      0      0      0      0      0      0   -138</t>
  </si>
  <si>
    <t>0      0      0    -20   3334   3578  19362  36995</t>
  </si>
  <si>
    <t>911    -44   -171   4958   3241  15483  27851  15635</t>
  </si>
  <si>
    <t>0  20770  35203  25100  22578  18537  26403  27523</t>
  </si>
  <si>
    <t>0599  20031  21917  13218     30  -1734    309    -60</t>
  </si>
  <si>
    <t>0     41      0      0      0    127     44      0</t>
  </si>
  <si>
    <t>0      0      0    528      0      0     37      0</t>
  </si>
  <si>
    <t>316   -662   -386      0   -518  -1781    311    111</t>
  </si>
  <si>
    <t>0     -6      0      0      0      0      0    -53</t>
  </si>
  <si>
    <t>0   -290      0     10      0      0      0      0</t>
  </si>
  <si>
    <t>0    196     56      0      0    872  -6366      0</t>
  </si>
  <si>
    <t>0      0      0     -2     63     82      0      0</t>
  </si>
  <si>
    <t>0     -6    380   -153    218     12    186    576</t>
  </si>
  <si>
    <t>0      0      0    -74      0     57   -895   -423</t>
  </si>
  <si>
    <t>5479    466    717    949      0   -467  -1087    -15</t>
  </si>
  <si>
    <t>318   -801      0      0      0     23     85      0</t>
  </si>
  <si>
    <t>-93    -79      0      0      0      0      0    144</t>
  </si>
  <si>
    <t>1536   -349      0    -13  -9599  -1086  -3541  -1522</t>
  </si>
  <si>
    <t>-72      0     55      0      0  -1271   -259      0</t>
  </si>
  <si>
    <t>0     68      0  -1185    408   -631      0      0</t>
  </si>
  <si>
    <t>0   1097      0  -2404   1855    356      0  -7164</t>
  </si>
  <si>
    <t>0      0      0    -11    395    260    806     50</t>
  </si>
  <si>
    <t>0      0  -1343      0   -381      0    -53      0</t>
  </si>
  <si>
    <t>0      0      0      0      0    199      0      1</t>
  </si>
  <si>
    <t>0   2141   2144      0      0      0      0      0</t>
  </si>
  <si>
    <t>3291  -2601  -1632  -5356      0      0      0      0</t>
  </si>
  <si>
    <t>602      0      0  -1222    805      0      0      0</t>
  </si>
  <si>
    <t>0   1041  -2755  -3231  -4246  -1002   -748  -1873</t>
  </si>
  <si>
    <t>1063      0      0      0      0      0      0      0</t>
  </si>
  <si>
    <t>-807    844   -803   1673      0      0   -975      0</t>
  </si>
  <si>
    <t>0      0      0      0   -120      0    648   1560</t>
  </si>
  <si>
    <t>0      0      0   -210      0      0      0      0</t>
  </si>
  <si>
    <t>3389   3725  19893  21408  36779  22595    730    -80</t>
  </si>
  <si>
    <t>3366  16067  16634  26168  15150   1630      0  21190</t>
  </si>
  <si>
    <t>2742  18983  19951  37222  24750  18519  26540  29571</t>
  </si>
  <si>
    <t>9662    -39     94     45   -102    112      0      0</t>
  </si>
  <si>
    <t>0      0   -509     74      0      0      0      0</t>
  </si>
  <si>
    <t>366      0      0     42      0    -20      0    263</t>
  </si>
  <si>
    <t>0   -365    -47    221    523    248    209      0</t>
  </si>
  <si>
    <t>0      0      0      0    -79      0      0      0</t>
  </si>
  <si>
    <t>49      0      0      0      0      0      5      0</t>
  </si>
  <si>
    <t>0      0   1798  -1492      0   -138      0      0</t>
  </si>
  <si>
    <t>660  -1614  -1494      0      0     85     70      0</t>
  </si>
  <si>
    <t>82   -433   -562   -161   -310      0      0      0</t>
  </si>
  <si>
    <t>1570      0  -1551  -1069   -998      0    560  -2445</t>
  </si>
  <si>
    <t>-93      0    148    -35     17  -1421      0    505</t>
  </si>
  <si>
    <t>0      0    222   -500      0   -249    -73    -10</t>
  </si>
  <si>
    <t>0      0      0      0  -1072      0  -1081  -1194</t>
  </si>
  <si>
    <t>-268  -2593     81    121    -39    -24    506   -232</t>
  </si>
  <si>
    <t>0      0   5144   -197      0   -625      0      0</t>
  </si>
  <si>
    <t>-46    -22    162      0      0      0      0      0</t>
  </si>
  <si>
    <t>1042   -635   -762      0 -18700 -22382   3797      0</t>
  </si>
  <si>
    <t>8583   7063   5405  16359  13182      0  38758      0</t>
  </si>
  <si>
    <t>0   9885      0   8770      0      0      0      0</t>
  </si>
  <si>
    <t>0      0  -1295      0  -4549   6587  16225      0</t>
  </si>
  <si>
    <t>0      0      0      0      0  -2018  -1211  -4064</t>
  </si>
  <si>
    <t>-809      0      0      0      0   -331      0    110</t>
  </si>
  <si>
    <t>1428    462      0      0      0      0   -918      0</t>
  </si>
  <si>
    <t>3629  -3032   -758   -167    -83     55  -1837   -419</t>
  </si>
  <si>
    <t>0      0      0      0      0  -3143   -164  -1145</t>
  </si>
  <si>
    <t>690      0      0   -504      0    579   -330      0</t>
  </si>
  <si>
    <t>0    240      0  -1232     40      0      0      0</t>
  </si>
  <si>
    <t>-44      0      0      0      0      0   -421   2203</t>
  </si>
  <si>
    <t>5883  16032  31054    970    285    135   3648   2382</t>
  </si>
  <si>
    <t>2008  17857    543      0  14087  18566  18564  25022</t>
  </si>
  <si>
    <t>0138  25815  13086  19380  16885  25813   8633  13442</t>
  </si>
  <si>
    <t>1367    111   -182    203      0      0    -43      0</t>
  </si>
  <si>
    <t>-436    808      0      0      0      0      0      0</t>
  </si>
  <si>
    <t>0    100      0   -103      0    272   -118    -64</t>
  </si>
  <si>
    <t>1232    133    211    360    394      0    -59      0</t>
  </si>
  <si>
    <t>0      0    210      0      0      0   -308      0</t>
  </si>
  <si>
    <t>0      0      0      0    -43      0     88   -172</t>
  </si>
  <si>
    <t>1150 -10956      0   -864      0      0      0      0</t>
  </si>
  <si>
    <t>586      0      0   -463   1116      0   1345    560</t>
  </si>
  <si>
    <t>1759    197    495      0      0      0      0      0</t>
  </si>
  <si>
    <t>-817   1825    702      0    190  -4796    193    146</t>
  </si>
  <si>
    <t>-78   -191    449    -48      0    262   -218      0</t>
  </si>
  <si>
    <t>536    950      0    602   -497      2   -109      0</t>
  </si>
  <si>
    <t>0      0   -752      0   -583   -328   -104      0</t>
  </si>
  <si>
    <t>237   -111    272   -180   -209   -644      0    -83</t>
  </si>
  <si>
    <t>-133   -104      0   -449      0      0    176      0</t>
  </si>
  <si>
    <t>-373      0      0      0      0      0   -696      0</t>
  </si>
  <si>
    <t>-109      0     -9  -7193     24      0      0      0</t>
  </si>
  <si>
    <t>438   -106    -83      0     21      0      0      5</t>
  </si>
  <si>
    <t>0    589      0      0      0      0      0      0</t>
  </si>
  <si>
    <t>-422      0   -376   -433   -129      0    684   2061</t>
  </si>
  <si>
    <t>0      0      0  -2872  -2974   -829   -747  -1053</t>
  </si>
  <si>
    <t>0      0      0  -4970      0  -2481      0      0</t>
  </si>
  <si>
    <t>0      0      0      0  -1219      0    276   -140</t>
  </si>
  <si>
    <t>-766   -630    -24    759    388    147      0      0</t>
  </si>
  <si>
    <t>0      0      0    272  -2390  -4083  -1318  -3206</t>
  </si>
  <si>
    <t>0   -288      0   -933   1574      0      0      0</t>
  </si>
  <si>
    <t>0   -222    834      0      0      0      0      0</t>
  </si>
  <si>
    <t>0      0      0      0     -4   3027   3085  30693</t>
  </si>
  <si>
    <t>8591    669    -49    -70   4481   2799  23725  14825</t>
  </si>
  <si>
    <t>1079      0  23842  21513  22514  20045  23492  17103</t>
  </si>
  <si>
    <t>2030  22738  17525  17907  16797  18704  19054  13544</t>
  </si>
  <si>
    <t>212   -101    132      0      0    -29      0      0</t>
  </si>
  <si>
    <t>45      0      0      0      0      0      0    354</t>
  </si>
  <si>
    <t>30      0    -42      0    428   -441   -241      0</t>
  </si>
  <si>
    <t>354    144    182     54      0     17      0      0</t>
  </si>
  <si>
    <t>0    -13      0      0      0   -381      0     42</t>
  </si>
  <si>
    <t>0      0      0     97      0    169     27      0</t>
  </si>
  <si>
    <t>7200      0   1343      0      0      0      0   -207</t>
  </si>
  <si>
    <t>0      0    -20   -180      0   -516    147     32</t>
  </si>
  <si>
    <t>115    365      0      0      0      0      0    154</t>
  </si>
  <si>
    <t>1187   -358      0   1506 -12177  -2723  -4064  -2415</t>
  </si>
  <si>
    <t>2049  -1952    647      0  -1330  -1688      0      0</t>
  </si>
  <si>
    <t>-796      0   -594  -2252      6   1424      0      0</t>
  </si>
  <si>
    <t>0    -47      0  -2118   2001    695      0    679</t>
  </si>
  <si>
    <t>1428    852    -19   -175   -414      0   -217      0</t>
  </si>
  <si>
    <t>-65      0    161      0      0    -33      0   -143</t>
  </si>
  <si>
    <t>0      0      0      0      0     87      0   -633</t>
  </si>
  <si>
    <t>0   1488 -10139     53      0      0      0   -337</t>
  </si>
  <si>
    <t>14    125      0   -302      0      0    254      0</t>
  </si>
  <si>
    <t>-251      0      0      0      0      0      0      0</t>
  </si>
  <si>
    <t>0   -427   -971    -86      0  -2563   1944      0</t>
  </si>
  <si>
    <t>0      0  -2402    998  -3187  -3051  -2645  -8246</t>
  </si>
  <si>
    <t>0      0   1564      0   1923      0      0  -2840</t>
  </si>
  <si>
    <t>0      0      0   1191      0   2156   3090  -1212</t>
  </si>
  <si>
    <t>1917  -1978    -21    366    436      0      0      0</t>
  </si>
  <si>
    <t>0      0   -377    694   -146     84    186   2221</t>
  </si>
  <si>
    <t>1214      0    199  -2111      0      0      0      0</t>
  </si>
  <si>
    <t>752   1515      0      0      0      0      0      0</t>
  </si>
  <si>
    <t>0      0      0      0      0      0      0    556</t>
  </si>
  <si>
    <t>0      0      0     24   4016   4241  23229  44741</t>
  </si>
  <si>
    <t>706     38   -364   6045   3894  19160  33453  19297</t>
  </si>
  <si>
    <t>0  24608  39853  30261  27644  21932  33130  32037</t>
  </si>
  <si>
    <t>5813  24179  26325  17139  36109  26335  19393  21638</t>
  </si>
  <si>
    <t>103   -139      4      0      0    -10      0      0</t>
  </si>
  <si>
    <t>39      0      0      0      0      0      0    309</t>
  </si>
  <si>
    <t>66      0    -70      0    404   -407   -233      0</t>
  </si>
  <si>
    <t>258    -86     20    190      0     14      0      0</t>
  </si>
  <si>
    <t>0    -67      0      0      0   -275      0     40</t>
  </si>
  <si>
    <t>0      0      0    139      0    190     96      0</t>
  </si>
  <si>
    <t>7582      0    613      0      0      0      0     -8</t>
  </si>
  <si>
    <t>0      0     12   -129      0    -14    359   -155</t>
  </si>
  <si>
    <t>157    489      0      0      0      0      0     44</t>
  </si>
  <si>
    <t>-994   -344      0    688  -6375    602    888   1129</t>
  </si>
  <si>
    <t>-654    229   -227      0    406   -993      0      0</t>
  </si>
  <si>
    <t>141      0      5   -114   -124   -491      0      0</t>
  </si>
  <si>
    <t>0    -90      0   -576  -1388   -208      0    721</t>
  </si>
  <si>
    <t>3701  -2233  -1397  -2231  -2008      0    976      0</t>
  </si>
  <si>
    <t>56      0   1256      0      0    347      0  -1038</t>
  </si>
  <si>
    <t>0      0      0      0      0    676      0   -933</t>
  </si>
  <si>
    <t>0   1273 -10292    -79      0      0      0   -583</t>
  </si>
  <si>
    <t>-1    103      0   -262      0      0    348      0</t>
  </si>
  <si>
    <t>15      0      0      0      0      0      0      0</t>
  </si>
  <si>
    <t>0   -462   -841    -68      0  -1009   2151      0</t>
  </si>
  <si>
    <t>0      0  -2988  -1133  -2998  -2891  -1721  -8033</t>
  </si>
  <si>
    <t>0      0    324      0    839      0      0  -3213</t>
  </si>
  <si>
    <t>0      0      0   -238      0   1930   2546   -854</t>
  </si>
  <si>
    <t>-713  -1773    484   1503   1269      0      0      0</t>
  </si>
  <si>
    <t>0      0  -1311    111  -1069    870  -1024   1834</t>
  </si>
  <si>
    <t>1015      0   -172  -2598      0      0      0      0</t>
  </si>
  <si>
    <t>873   1592      0      0      0      0      0      0</t>
  </si>
  <si>
    <t>0      0      0      0      0      0      0    396</t>
  </si>
  <si>
    <t>0      0      0     -6   4102   4423  23969  25908</t>
  </si>
  <si>
    <t>816     57   -337   6149   4013  19831  20595  32011</t>
  </si>
  <si>
    <t>0  25351  30292  40410  27840  22683  23564  48243</t>
  </si>
  <si>
    <t>2178  33590  26781  17635  26581  36372  19684  23468</t>
  </si>
  <si>
    <t>-921    265    122    129      0      0      1      0</t>
  </si>
  <si>
    <t>-329     52      0      0      0      0      0      0</t>
  </si>
  <si>
    <t>0      8      0    -14      0    436   -311   -111</t>
  </si>
  <si>
    <t>-846    355    184     99    280      0     10      0</t>
  </si>
  <si>
    <t>0      0     -5      0      0      0    -44      0</t>
  </si>
  <si>
    <t>0      0      0      0     27      0    229    118</t>
  </si>
  <si>
    <t>1027  -5535      0    608      0      0      0      0</t>
  </si>
  <si>
    <t>-149      0      0    -48     28      0     41   -267</t>
  </si>
  <si>
    <t>164     91    220      0      0      0      0      0</t>
  </si>
  <si>
    <t>-94   -789   -236      0    962  -5362      2    107</t>
  </si>
  <si>
    <t>-289   -636    316   -143      0    324   -469      0</t>
  </si>
  <si>
    <t>120   -254      0   -148     38     -2   -197      0</t>
  </si>
  <si>
    <t>0      0   -373      0   -544   -900   -126      0</t>
  </si>
  <si>
    <t>-172    221    132    162   -322   -840      0    -65</t>
  </si>
  <si>
    <t>-396    -75      0   -135      0      0      8      0</t>
  </si>
  <si>
    <t>-6      0      0      0      0      0   -206      0</t>
  </si>
  <si>
    <t>-11      0    869 -21164  -3026      0      0      0</t>
  </si>
  <si>
    <t>-917    788   1043      0   -461      0      0    227</t>
  </si>
  <si>
    <t>0   -967      0      0      0      0      0      0</t>
  </si>
  <si>
    <t>-427      0  -2302   2885    989      0  -1668   2682</t>
  </si>
  <si>
    <t>0      0      0  -1874   -195  -1251   -851   -915</t>
  </si>
  <si>
    <t>0      0      0   3348      0   2217      0      0</t>
  </si>
  <si>
    <t>0      0      0      0    996      0   1509   1615</t>
  </si>
  <si>
    <t>853  -1303  -1224   -322    556   1385      0      0</t>
  </si>
  <si>
    <t>0      0      0    960   -239   1466    -97    718</t>
  </si>
  <si>
    <t>0  -1131      0    144   -178      0      0      0</t>
  </si>
  <si>
    <t>0   1134   1646      0      0      0      0      0</t>
  </si>
  <si>
    <t>0      0      0      0   -173   3532   3417  20661</t>
  </si>
  <si>
    <t>8862   1302    135   -240   5450   3344  17401  19443</t>
  </si>
  <si>
    <t>1183      0  22754  28554  28651  36998  20287  22287</t>
  </si>
  <si>
    <t>0119  30166  22798  36858  15994  24988  25038  26075</t>
  </si>
  <si>
    <t>6570  -2051  23619   1057 -34498 -29805      0      0</t>
  </si>
  <si>
    <t>0      0    328   1896      0      0      0      0</t>
  </si>
  <si>
    <t>1788      0      0   1016      0  -1224      0   1056</t>
  </si>
  <si>
    <t>0 -35296  10375  24401  25607  33106  27388      0</t>
  </si>
  <si>
    <t>0      0      0      0   1177      0      0      0</t>
  </si>
  <si>
    <t>2182      0      0      0      0      0  -1266      0</t>
  </si>
  <si>
    <t>0      0   3013    858      0  -2089      0      0</t>
  </si>
  <si>
    <t>-697   -702   -177      0      0    321    -25      0</t>
  </si>
  <si>
    <t>36    -57   1162   -172   -737      0      0      0</t>
  </si>
  <si>
    <t>453      0   1645    255     31      0  -3001   -985</t>
  </si>
  <si>
    <t>1788      0   1415  -1423  -1052    186      0   -162</t>
  </si>
  <si>
    <t>0      0   -488    712      0    231   3804    338</t>
  </si>
  <si>
    <t>0      0      0      0   7141      0    394     97</t>
  </si>
  <si>
    <t>3013   -809   -519  -1565  -1184   4067   1848    902</t>
  </si>
  <si>
    <t>0      0    400     13      0    268      0      0</t>
  </si>
  <si>
    <t>2187   -104   -218      0      0      0      0      0</t>
  </si>
  <si>
    <t>-88    301    137      0   2361   -485   -294      0</t>
  </si>
  <si>
    <t>2518    478   -187     95   -181      0    527      0</t>
  </si>
  <si>
    <t>0    492      0    226      0      0      0      0</t>
  </si>
  <si>
    <t>0      0   4913      0    416   -531    366      0</t>
  </si>
  <si>
    <t>0      0      0      0      0   -171   -566   -139</t>
  </si>
  <si>
    <t>109      0      0      0      0    281      0    200</t>
  </si>
  <si>
    <t>1050    334      0      0      0      0   7951      0</t>
  </si>
  <si>
    <t>1295    -73   2174  11379  10109 -12026 -10211  -7418</t>
  </si>
  <si>
    <t>0      0      0      0      0  -1714   1561  -2407</t>
  </si>
  <si>
    <t>8083      0      0   6167      0   4514 -35770      0</t>
  </si>
  <si>
    <t>0   -483      0   1891    635      0      0      0</t>
  </si>
  <si>
    <t>-280      0      0      0      0      0     79 -27028</t>
  </si>
  <si>
    <t>2814   3506   1156  -2485    -54   -446 -19066 -11502</t>
  </si>
  <si>
    <t>1051  -1347  -5143      0  -3626   1715   1935    145</t>
  </si>
  <si>
    <t>2014     81  -1841   1586   1434    136  -1376   1186</t>
  </si>
  <si>
    <t>1527   1615   1908     88  -5014    180  -4381  -2693</t>
  </si>
  <si>
    <t>0   -711      0      0      0   5056  -2828      0</t>
  </si>
  <si>
    <t>0      0      0  -3983      0      0    395      0</t>
  </si>
  <si>
    <t>9   2887   1441      0   1438    368  -2099  -2222</t>
  </si>
  <si>
    <t>0    134      0      0      0      0      0   -329</t>
  </si>
  <si>
    <t>0    271      0    -31      0      0      0      0</t>
  </si>
  <si>
    <t>0    333    362      0      0 -10899   7534      0</t>
  </si>
  <si>
    <t>0      0      0   6009   1724   1368      0      0</t>
  </si>
  <si>
    <t>0   5247   2675   1282   -484    858    870   4216</t>
  </si>
  <si>
    <t>0      0      0  10015      0  -3945   5806   -485</t>
  </si>
  <si>
    <t>488    579  -5336  -5737      0  -2355  -5160  -2314</t>
  </si>
  <si>
    <t>22    134      0      0      0   -757   2752      0</t>
  </si>
  <si>
    <t>41    -59      0      0      0      0      0  11776</t>
  </si>
  <si>
    <t>156    232      0  -3661   -100     73  -5851  -5841</t>
  </si>
  <si>
    <t>3374      0    106      0      0   -248     16      0</t>
  </si>
  <si>
    <t>0    630      0    -74    -71   -907      0      0</t>
  </si>
  <si>
    <t>0  10895      0    831    398     92      0   3598</t>
  </si>
  <si>
    <t>0      0      0   -739  -2118    414   -965   -614</t>
  </si>
  <si>
    <t>0      0     49      0   1726      0   2267      0</t>
  </si>
  <si>
    <t>0      0      0      0      0   8182      0    677</t>
  </si>
  <si>
    <t>0  -3982   -542      0      0      0      0      0</t>
  </si>
  <si>
    <t>1110   -565   -287   -588      0      0      0      0</t>
  </si>
  <si>
    <t>3828      0      0   -651    191      0      0      0</t>
  </si>
  <si>
    <t>0    654   -449    -79   3716   -357  20519  22604</t>
  </si>
  <si>
    <t>5705      0      0      0      0      0      0      0</t>
  </si>
  <si>
    <t>4519  -2246 -11505   -830      0      0  10574      0</t>
  </si>
  <si>
    <t>0      0      0      0   2486      0   2859   3266</t>
  </si>
  <si>
    <t>0      0      0   -156      0      0      0      0</t>
  </si>
  <si>
    <t>196    466 -19476  -2856  -1555  -2906  -2481    599</t>
  </si>
  <si>
    <t>-654 -11478    199    269  -1318    162      0 -13577</t>
  </si>
  <si>
    <t>3653  -4096  -1934   1384  -1128  -4085     96  -1613</t>
  </si>
  <si>
    <t>661   1767    529  -2321   1118   2180   -809  30628</t>
  </si>
  <si>
    <t>4777  -2826  -2779      0      0  -1382      0      0</t>
  </si>
  <si>
    <t>1903      0      0      0      0      0      0  -4166</t>
  </si>
  <si>
    <t>555      0   -468      0     33   7192   2474      0</t>
  </si>
  <si>
    <t>2148  -1620  -1068   -561      0     58      0      0</t>
  </si>
  <si>
    <t>0   -155      0      0      0    452      0    -94</t>
  </si>
  <si>
    <t>0      0      0    982      0    -37    839      0</t>
  </si>
  <si>
    <t>1056      0  -4381      0      0      0      0   -278</t>
  </si>
  <si>
    <t>0      0    476   1342      0   -540   1341    362</t>
  </si>
  <si>
    <t>778    112      0      0      0      0      0   2021</t>
  </si>
  <si>
    <t>471   -752      0  -8777  -3806   2243  18615  16851</t>
  </si>
  <si>
    <t>5369   9936    996      0   -886   -232      0      0</t>
  </si>
  <si>
    <t>1307      0  -1471   1108   -138    -22      0      0</t>
  </si>
  <si>
    <t>0   8645      0   1111   4691    641      0  -3508</t>
  </si>
  <si>
    <t>0369  -7238  -2602  -2814  -2416      0     79      0</t>
  </si>
  <si>
    <t>219      0   1014      0      0     97      0     99</t>
  </si>
  <si>
    <t>0      0      0      0      0  11312      0   1677</t>
  </si>
  <si>
    <t>0   4026   -162   2556      0      0      0   -179</t>
  </si>
  <si>
    <t>1286   -878      0   1062      0      0     91      0</t>
  </si>
  <si>
    <t>1320      0      0      0      0      0      0      0</t>
  </si>
  <si>
    <t>0    841  -1053    253      0  -4154   -769      0</t>
  </si>
  <si>
    <t>0      0    637   3485  -1471   -830   -244   -573</t>
  </si>
  <si>
    <t>0      0   1415      0    906      0      0    832</t>
  </si>
  <si>
    <t>0      0      0  13111      0    722   -465    -14</t>
  </si>
  <si>
    <t>2071  18513  12883  10587   5714      0      0      0</t>
  </si>
  <si>
    <t>0      0  -3754   1763  -3502     69  -3124  -1132</t>
  </si>
  <si>
    <t>0581      0   7865 -60900      0      0      0      0</t>
  </si>
  <si>
    <t>764    489      0      0      0      0      0      0</t>
  </si>
  <si>
    <t>0      0      0      0      0      0      0    -51</t>
  </si>
  <si>
    <t>0      0      0      8    715    633   3728   9946</t>
  </si>
  <si>
    <t>3327    775   -527    399   -159   2366   2971   1198</t>
  </si>
  <si>
    <t>0   3052   2200   2671    402  -2795   9697   5009</t>
  </si>
  <si>
    <t>151  -1208    144   1582    872   2998   1459   2140</t>
  </si>
  <si>
    <t>141  29761  47371  -7887   -343  -3901  -2870  -2608</t>
  </si>
  <si>
    <t>-577      0      0      0   1384    992      0      0</t>
  </si>
  <si>
    <t>0      0  -4182      0      0    471      0   -414</t>
  </si>
  <si>
    <t>6182   2396      0   1255     49  -1510  -1507   -958</t>
  </si>
  <si>
    <t>-1      0      0      0      0      0   -224      0</t>
  </si>
  <si>
    <t>154      0   -153      0      0      0      0      0</t>
  </si>
  <si>
    <t>-85    558      0      0   4145   -628      0  -3299</t>
  </si>
  <si>
    <t>0      0    750  -1256   -637      0      0    429</t>
  </si>
  <si>
    <t>-453   1595     25   2229    713    823    200      0</t>
  </si>
  <si>
    <t>0      0   2285      0   -249    465   -835      0</t>
  </si>
  <si>
    <t>646  -8700  -6926      0  -2170  -4638  -1524   -155</t>
  </si>
  <si>
    <t>88      0      0      0   -332   1090      0   1384</t>
  </si>
  <si>
    <t>347      0      0      0      0      0  12352      0</t>
  </si>
  <si>
    <t>-54      0  -2694  -2719   1136  15019  14783   4483</t>
  </si>
  <si>
    <t>0   1456      0      0    886   -635      0    333</t>
  </si>
  <si>
    <t>-768      0  -2487  -1754  -1927      0      0      0</t>
  </si>
  <si>
    <t>2628      0    797   5120   2461      0   3890  -1287</t>
  </si>
  <si>
    <t>0      0   -166   -993   1002  -1066   -705      0</t>
  </si>
  <si>
    <t>0    385      0   1036      0   1500      0      0</t>
  </si>
  <si>
    <t>0      0      0      0   8333      0    602   -835</t>
  </si>
  <si>
    <t>4121   -889      0      0      0      0      0    635</t>
  </si>
  <si>
    <t>-887   -365   -674      0      0      0      0   2016</t>
  </si>
  <si>
    <t>0      0    626    123      0      0      0      0</t>
  </si>
  <si>
    <t>927   -672   -153   4230    139  23220  19801  10922</t>
  </si>
  <si>
    <t>0      0      0      0      0      0      0  -4655</t>
  </si>
  <si>
    <t>1001  -6218   -783      0      0  10504      0   7848</t>
  </si>
  <si>
    <t>0      0      0  -3190      0   1193   1254      0</t>
  </si>
  <si>
    <t>0      0   -320      0      0      0      0      0</t>
  </si>
  <si>
    <t>685   2990  -2055   6143   2780  -3334    680   -344</t>
  </si>
  <si>
    <t>1816    862   1810   1399   -684      0   2709   1647</t>
  </si>
  <si>
    <t>2300  -1692   -262   1737  -4021   4526   7403   -820</t>
  </si>
  <si>
    <t>1307   2080   2120   2487   1640   1509  30465  49571</t>
  </si>
  <si>
    <t>-252  -2179  -2926  -2781      0      0   -379      0</t>
  </si>
  <si>
    <t>1991    760      0      0      0      0      0      0</t>
  </si>
  <si>
    <t>0    602      0   -506      0      8   3392    889</t>
  </si>
  <si>
    <t>-50  -1902  -1796  -1541   -914      0     90      0</t>
  </si>
  <si>
    <t>0      0   -192      0      0      0    448      0</t>
  </si>
  <si>
    <t>0      0      0      0    866      0     12    162</t>
  </si>
  <si>
    <t>4630   -495      0  -2548      0      0      0      0</t>
  </si>
  <si>
    <t>-856      0      0    443   1235      0   -108    725</t>
  </si>
  <si>
    <t>806    720    151      0      0      0      0      0</t>
  </si>
  <si>
    <t>-240    364   -692      0  -3724   -299    629  -5647</t>
  </si>
  <si>
    <t>1879  -3951  -1832   -361      0    152    238      0</t>
  </si>
  <si>
    <t>-294    572      0   1114    -97    -79    114      0</t>
  </si>
  <si>
    <t>0      0  11753      0    708    199    295      0</t>
  </si>
  <si>
    <t>-428  -6402  -5420  -2406  -2493  -1954      0     77</t>
  </si>
  <si>
    <t>-5    103      0    750      0      0    150      0</t>
  </si>
  <si>
    <t>-312      0      0      0      0      0   9897      0</t>
  </si>
  <si>
    <t>273      0  -3965  -1496  -5795      0      0      0</t>
  </si>
  <si>
    <t>6481   4683   3252      0  -1199      0      0   2730</t>
  </si>
  <si>
    <t>0  -5336      0      0      0      0      0      0</t>
  </si>
  <si>
    <t>2478      0    334   4833   -328      0  -2988   -871</t>
  </si>
  <si>
    <t>0      0      0    460   3265  -1690  -1047   -264</t>
  </si>
  <si>
    <t>0      0      0    773      0   1112      0      0</t>
  </si>
  <si>
    <t>0      0      0      0  12346      0    796   -876</t>
  </si>
  <si>
    <t>3283  25881  22425  11478  10395   6963      0      0</t>
  </si>
  <si>
    <t>0      0      0  -3315    711  -1886   -475  -2224</t>
  </si>
  <si>
    <t>0  10305      0   7059 -53997      0      0      0</t>
  </si>
  <si>
    <t>0   1150    734      0      0      0      0      0</t>
  </si>
  <si>
    <t>0      0      0      0    282    555    639   2319</t>
  </si>
  <si>
    <t>4419  -2967     70   -569    343    -75   1596    892</t>
  </si>
  <si>
    <t>-488      0   1766   1069   1775   1912   1660  -1448</t>
  </si>
  <si>
    <t>1221    874   -926   1282  -7839   5895   5014  -1417</t>
  </si>
  <si>
    <t>2650   1250  25835  42781  43456  45724  -6278     49</t>
  </si>
  <si>
    <t>3078      0      0  -2019      0      0      0   2123</t>
  </si>
  <si>
    <t>0      0      0      0      0  -2457      0      0</t>
  </si>
  <si>
    <t>-646      0    -64   4750   1174      0   1586    370</t>
  </si>
  <si>
    <t>1454  -1230      0    155      0      0      0      0</t>
  </si>
  <si>
    <t>0      0      0    639      0    -77      0      0</t>
  </si>
  <si>
    <t>0   1066      0   -272    247      0      0   5628</t>
  </si>
  <si>
    <t>3663      0      0      0      0   -643  -1324   -640</t>
  </si>
  <si>
    <t>508    853      0   -445    881    454   1335    747</t>
  </si>
  <si>
    <t>0      0      0      0      0   1582      0    -49</t>
  </si>
  <si>
    <t>0  -4331     28   2317  -6599  -5215      0  -1257</t>
  </si>
  <si>
    <t>84      0    -34    752      0      0      0   -376</t>
  </si>
  <si>
    <t>857     37   -123    182      0      0      0      0</t>
  </si>
  <si>
    <t>0    409    497    189      0  -3797   -501   1035</t>
  </si>
  <si>
    <t>2567  -1989  -1874      0    157      0      0    416</t>
  </si>
  <si>
    <t>946      0      0    229      0    667     -2   -163</t>
  </si>
  <si>
    <t>0      0      0  11664      0   1165    253     36</t>
  </si>
  <si>
    <t>847   2184      0      0      0    408   -975   -329</t>
  </si>
  <si>
    <t>0   1341      0      0     55      0    799      0</t>
  </si>
  <si>
    <t>0      0      0      0      0      0      0   8668</t>
  </si>
  <si>
    <t>1221    123      0  -3244  -1520      0      0      0</t>
  </si>
  <si>
    <t>-44   5522   1678   1366   -902   1641      0      0</t>
  </si>
  <si>
    <t>3038      0  -1979      0      0   -570   6509      0</t>
  </si>
  <si>
    <t>0   6994      0   4547   5475    763 -21274  -6122</t>
  </si>
  <si>
    <t>0152   9194   4574      0      0      0      0      0</t>
  </si>
  <si>
    <t>3785   1257  -2884   -482  -3475  -2736      0      0</t>
  </si>
  <si>
    <t>8187 -61052      0      0      0      0  -1619      0</t>
  </si>
  <si>
    <t>0      0      0      0      0  -2138      0      0</t>
  </si>
  <si>
    <t>0   -333    563    678   4819    544    142  -1172</t>
  </si>
  <si>
    <t>-819   1243    584   4935   4391   3577   1263  -2521</t>
  </si>
  <si>
    <t>3903   4307   1268   3478   1191   4720    882   3509</t>
  </si>
  <si>
    <t>1029   2107   3421   4318   2226  -2621   7641   6965</t>
  </si>
  <si>
    <t>8000  51649  51222  44156  -1565    448  -1144   2211</t>
  </si>
  <si>
    <t>0    -13      0      0      0   1269  -2134      0</t>
  </si>
  <si>
    <t>0      0      0   -327      0      0  -1103      0</t>
  </si>
  <si>
    <t>43    386    275      0  -5511   -504   2104   3107</t>
  </si>
  <si>
    <t>0    288      0      0      0      0      0   -179</t>
  </si>
  <si>
    <t>0    739      0    815      0      0      0      0</t>
  </si>
  <si>
    <t>0   -370   2833      0      0  10947    145      0</t>
  </si>
  <si>
    <t>0      0      0   4813   2443    818      0      0</t>
  </si>
  <si>
    <t>0   2882   2515    341   1103   -779   1142   3604</t>
  </si>
  <si>
    <t>0      0      0 -15732      0   5838   4599   -562</t>
  </si>
  <si>
    <t>-789  -1293  -2831  -2528      0   4603   9424  -1391</t>
  </si>
  <si>
    <t>-67   1476      0      0      0  -1220   -478      0</t>
  </si>
  <si>
    <t>184   -125      0      0      0      0      0   5694</t>
  </si>
  <si>
    <t>-203    130      0  -1640  -1323   -938  -1477  -1888</t>
  </si>
  <si>
    <t>0892      0    -17      0      0   1816    166      0</t>
  </si>
  <si>
    <t>0   -222      0     94   -214    254      0      0</t>
  </si>
  <si>
    <t>0   4125      0    723    162    254      0   1796</t>
  </si>
  <si>
    <t>0      0      0   4127   7891   -343   -217   -200</t>
  </si>
  <si>
    <t>0      0   -279      0   -226      0   -305      0</t>
  </si>
  <si>
    <t>0      0      0      0      0   3692      0    490</t>
  </si>
  <si>
    <t>0   -277   -887      0      0      0      0      0</t>
  </si>
  <si>
    <t>1190   -754   -128    802      0      0      0      0</t>
  </si>
  <si>
    <t>-662      0      0  -1272     -5      0      0      0</t>
  </si>
  <si>
    <t>0   1253   -664    653   -796   1873   5216   5192</t>
  </si>
  <si>
    <t>7882      0      0      0      0      0      0      0</t>
  </si>
  <si>
    <t>1811    788    423  -1334      0      0   1508      0</t>
  </si>
  <si>
    <t>0      0      0      0    334      0  -2885  -7893</t>
  </si>
  <si>
    <t>0      0      0   -145      0      0      0      0</t>
  </si>
  <si>
    <t>-390   -168 -12700    644   1595    884  -1368    114</t>
  </si>
  <si>
    <t>1798 -18753  -2187  -2009  -1889  -5515      0 -12911</t>
  </si>
  <si>
    <t>2647  -3305   1222   1497    678  -4205   1396   2586</t>
  </si>
  <si>
    <t>1317   1845   2017  -2096   1653   1935    792  28956</t>
  </si>
  <si>
    <t>5837  21740  25189  -1151   -309   -644   2859   1933</t>
  </si>
  <si>
    <t>-171      0      0      0    -74    342      0      0</t>
  </si>
  <si>
    <t>0      0   -336      0      0   -813      0    959</t>
  </si>
  <si>
    <t>1127    272      0  -8112  -1193   2706   1241   3140</t>
  </si>
  <si>
    <t>253      0      0      0      0      0   1145      0</t>
  </si>
  <si>
    <t>156      0   -197      0      0      0      0      0</t>
  </si>
  <si>
    <t>180   7708      0      0   -632    303      0  -4765</t>
  </si>
  <si>
    <t>0      0  -4369   -691   -105      0      0    478</t>
  </si>
  <si>
    <t>1088  -1205   -477  -1166   1246   -271  -2288      0</t>
  </si>
  <si>
    <t>0      0   5784      0   -501   -334    850      0</t>
  </si>
  <si>
    <t>3362   7225   6574      0 -17007 -20041  -5594     24</t>
  </si>
  <si>
    <t>-610      0      0      0    990  -1425      0    377</t>
  </si>
  <si>
    <t>1355      0      0      0      0      0   7031      0</t>
  </si>
  <si>
    <t>682      0   -701  -1193  -1500  -4924  -2736   5284</t>
  </si>
  <si>
    <t>0    139      0      0    -14     93      0   -284</t>
  </si>
  <si>
    <t>-337      0   1026     78   -555      0      0      0</t>
  </si>
  <si>
    <t>5253      0    770    -14     52      0   3388  -1051</t>
  </si>
  <si>
    <t>0      0   3197   5167    349   -158   -308      0</t>
  </si>
  <si>
    <t>0   -336      0    632      0     94      0      0</t>
  </si>
  <si>
    <t>0      0      0      0   4917      0    583   -752</t>
  </si>
  <si>
    <t>77  -2006      0      0      0      0      0   6480</t>
  </si>
  <si>
    <t>-479     67  -1385      0      0      0      0    165</t>
  </si>
  <si>
    <t>0      0   -449    104      0      0      0      0</t>
  </si>
  <si>
    <t>2764   -629    703      1    680   5450   3275 -19458</t>
  </si>
  <si>
    <t>0      0      0      0      0      0      0    952</t>
  </si>
  <si>
    <t>1072    158   -786      0      0   1810      0   3873</t>
  </si>
  <si>
    <t>0      0      0  -2717      0   4009    278      0</t>
  </si>
  <si>
    <t>0      0   -484      0      0      0      0      0</t>
  </si>
  <si>
    <t>579   1026   2320   1981   1950   -675   -230   1142</t>
  </si>
  <si>
    <t>2809  13898  -3962  -1658  -5482      0    823   2160</t>
  </si>
  <si>
    <t>2358   2836   6985   3313   1574   -132   1788   1555</t>
  </si>
  <si>
    <t>2628   2007    957   1959   2925   1275  29440  26049</t>
  </si>
  <si>
    <t>4327  28945  32696   -422    -63   -777   2279   1038</t>
  </si>
  <si>
    <t>-24      0      0      0      6    -46      0      0</t>
  </si>
  <si>
    <t>0      0   -356      0      0   -511      0    681</t>
  </si>
  <si>
    <t>608    157      0  -7803   -865    415   1738   3545</t>
  </si>
  <si>
    <t>27      0      0      0      0      0    728      0</t>
  </si>
  <si>
    <t>616      0   -282      0      0      0      0      0</t>
  </si>
  <si>
    <t>461   7387      0      0    473    181      0  -3318</t>
  </si>
  <si>
    <t>0      0  -3968   -784   -162      0      0    537</t>
  </si>
  <si>
    <t>-986   -857   -346   -945   1524      2  -1496      0</t>
  </si>
  <si>
    <t>0      0   4771      0   -133   -118    495      0</t>
  </si>
  <si>
    <t>2294  -5502  -4052      0   3906   5560  -2086    359</t>
  </si>
  <si>
    <t>-193      0      0      0   -373    383      0   -665</t>
  </si>
  <si>
    <t>-367      0      0      0      0      0   8539      0</t>
  </si>
  <si>
    <t>115      0 -15906   3336   1721   5342   4850 -12857</t>
  </si>
  <si>
    <t>0   1010      0      0  -1956    522      0    531</t>
  </si>
  <si>
    <t>542      0  -2635    562   2146      0      0      0</t>
  </si>
  <si>
    <t>6912      0  -4782   3442   -440      0   2836  -1594</t>
  </si>
  <si>
    <t>0      0   1717   2953   -654   -275   -290      0</t>
  </si>
  <si>
    <t>0   -402      0    469      0    -49      0      0</t>
  </si>
  <si>
    <t>0      0      0      0   5996      0    907   -567</t>
  </si>
  <si>
    <t>-597  -1476      0      0      0      0      0   6038</t>
  </si>
  <si>
    <t>-502     52  -1270      0      0      0      0    109</t>
  </si>
  <si>
    <t>0      0   -780    319      0      0      0      0</t>
  </si>
  <si>
    <t>2180   -691    878    254   1569   6668   4590 -15184</t>
  </si>
  <si>
    <t>0      0      0      0      0      0      0    741</t>
  </si>
  <si>
    <t>910    591  -2734      0      0   1969      0   3281</t>
  </si>
  <si>
    <t>0      0      0  -2695      0   3303   -501      0</t>
  </si>
  <si>
    <t>0      0   -493      0      0      0      0      0</t>
  </si>
  <si>
    <t>353    649    572   1816   2809   -676   -394    868</t>
  </si>
  <si>
    <t>2347  -2635  10811   1908  -4900      0    594   2305</t>
  </si>
  <si>
    <t>1329    364    335   2296  -2949   6317   1981   3746</t>
  </si>
  <si>
    <t>1269   2187    897   2340   2151   1805  28529  27240</t>
  </si>
  <si>
    <t>5385  29371  31943  32788    278    678   -492   2821</t>
  </si>
  <si>
    <t>0     11      0      0      0    137    -54      0</t>
  </si>
  <si>
    <t>0      0      0   -426      0      0   -906      0</t>
  </si>
  <si>
    <t>-54   -188      3      0  -5957    390   2267   1195</t>
  </si>
  <si>
    <t>0    601      0      0      0      0      0    558</t>
  </si>
  <si>
    <t>0   -287      0    113      0      0      0      0</t>
  </si>
  <si>
    <t>0   -195   4871      0      0    487   1471      0</t>
  </si>
  <si>
    <t>0      0      0  -1855   -461    -92      0      0</t>
  </si>
  <si>
    <t>0   -888   -432   -362   -550   1837     37  -1045</t>
  </si>
  <si>
    <t>0      0      0   3530      0   -423   -155    405</t>
  </si>
  <si>
    <t>514  -1294  -3125  -2547      0   2011   2921   -544</t>
  </si>
  <si>
    <t>-47   -177      0      0      0   -391    479      0</t>
  </si>
  <si>
    <t>251     67      0      0      0      0      0   5768</t>
  </si>
  <si>
    <t>-133     37      0  -1141    326   -623  -2346  -1556</t>
  </si>
  <si>
    <t>3550      0     79      0      0    -78     88      0</t>
  </si>
  <si>
    <t>0   -234      0    525   -153   -148      0      0</t>
  </si>
  <si>
    <t>0   4870      0    610    258    181      0  -5915</t>
  </si>
  <si>
    <t>0      0      0 -23797 -29398  -8895   -479    213</t>
  </si>
  <si>
    <t>0      0   -341      0  -1735      0   -382      0</t>
  </si>
  <si>
    <t>0      0      0      0      0   4507      0  -1203</t>
  </si>
  <si>
    <t>0    342   -463      0      0      0      0      0</t>
  </si>
  <si>
    <t>-404   -390     67   -895      0      0      0      0</t>
  </si>
  <si>
    <t>-143      0      0   -596    435      0      0      0</t>
  </si>
  <si>
    <t>0   2272   -751    753    327   1280   7038   5110</t>
  </si>
  <si>
    <t>7849      0      0      0      0      0      0      0</t>
  </si>
  <si>
    <t>138    876    586  -3783      0      0   2091      0</t>
  </si>
  <si>
    <t>0      0      0      0   -480      0   7391   4534</t>
  </si>
  <si>
    <t>0      0      0   -594      0      0      0      0</t>
  </si>
  <si>
    <t>213     33    853    873   1493  -1013  -1032   -381</t>
  </si>
  <si>
    <t>371   -415  -3123  -3305  16133  -3290      0    448</t>
  </si>
  <si>
    <t>2078   1030    325   1702    688    673   1749   1219</t>
  </si>
  <si>
    <t>6929   7183    247    482   1611   1946   1884  22239</t>
  </si>
  <si>
    <t>2515  30879  22072  25871  26992  27553    651   -706</t>
  </si>
  <si>
    <t>4615      0      0   -289      0      0      0     87</t>
  </si>
  <si>
    <t>0      0      0      0      0   -508      0      0</t>
  </si>
  <si>
    <t>1372      0     43    171    -81      0  -7247  -1978</t>
  </si>
  <si>
    <t>2388   -297      0   1063      0      0      0      0</t>
  </si>
  <si>
    <t>0      0      0   -260      0    794      0      0</t>
  </si>
  <si>
    <t>0   -511      0    132   5610      0      0   1279</t>
  </si>
  <si>
    <t>4331      0      0      0      0  -6031   -891   -205</t>
  </si>
  <si>
    <t>578   -327      0  -1233  -1598   -521  -1423    928</t>
  </si>
  <si>
    <t>0      0      0      0      0   5551      0   -140</t>
  </si>
  <si>
    <t>0  -3026  -1808  -1756  -4251  -3418      0   6666</t>
  </si>
  <si>
    <t>448      0   -115    -21      0      0      0   -451</t>
  </si>
  <si>
    <t>-535   2515    344    317      0      0      0      0</t>
  </si>
  <si>
    <t>0    330    112    -30      0  -1192  -2548   -986</t>
  </si>
  <si>
    <t>5055   7335   8966      0     27      0      0     16</t>
  </si>
  <si>
    <t>-239      0      0   -311      0    585    -43    -27</t>
  </si>
  <si>
    <t>0      0      0   7071      0   1126    187    201</t>
  </si>
  <si>
    <t>2185    -91      0      0      0   5682   5746   -570</t>
  </si>
  <si>
    <t>0    393      0      0   -385      0    304      0</t>
  </si>
  <si>
    <t>0      0      0      0      0      0      0   6411</t>
  </si>
  <si>
    <t>-979    293      0 -13265   3990      0      0      0</t>
  </si>
  <si>
    <t>2103  -3085   1349   1038   -973    931      0      0</t>
  </si>
  <si>
    <t>-292      0   -120      0      0   3584   1984      0</t>
  </si>
  <si>
    <t>0  15793      0  -5830   4239  -1152    507   2023</t>
  </si>
  <si>
    <t>0520 -29410 -32239      0      0      0      0      0</t>
  </si>
  <si>
    <t>1353   2290   -263   1350    821  -4239      0      0</t>
  </si>
  <si>
    <t>3507 -42537      0      0      0      0   -683      0</t>
  </si>
  <si>
    <t>0      0      0      0      0   -862      0      0</t>
  </si>
  <si>
    <t>0    152    304    796   2098   2164   2637   1664</t>
  </si>
  <si>
    <t>1355    872   1894   3043  -2395  -4405  -3094  -1603</t>
  </si>
  <si>
    <t>3109   2765   1555   1809   1665   3316   1519   1751</t>
  </si>
  <si>
    <t>1466    740   2580   2949   2227  -3435   7512   7432</t>
  </si>
  <si>
    <t>0220  33149  33705  28399  42731  39382  43619  39932</t>
  </si>
  <si>
    <t>-19   -152   -305   -523      0      0      7      0</t>
  </si>
  <si>
    <t>-228   -758      0      0      0      0      0      0</t>
  </si>
  <si>
    <t>0     93      0    127      0    164    743     48</t>
  </si>
  <si>
    <t>-65   -111   -280   -453  -1070      0    147      0</t>
  </si>
  <si>
    <t>0      0    -42      0      0      0   -313      0</t>
  </si>
  <si>
    <t>0      0      0      0    637      0    150    603</t>
  </si>
  <si>
    <t>8906   1663      0  -5355      0      0      0      0</t>
  </si>
  <si>
    <t>122      0      0   -587    656      0   2773   1706</t>
  </si>
  <si>
    <t>-123    316  -1130      0      0      0      0      0</t>
  </si>
  <si>
    <t>1261   5126   1579      0 -12535   1497   -790   2931</t>
  </si>
  <si>
    <t>-567   -377   -172    661      0   -217   1085      0</t>
  </si>
  <si>
    <t>1673  -5677      0  -2847    264    268   1442      0</t>
  </si>
  <si>
    <t>0      0  -4845      0  -1922   1722    600      0</t>
  </si>
  <si>
    <t>822  -2203    632    229     29   -949      0   -161</t>
  </si>
  <si>
    <t>506   -135      0   -904      0      0     72      0</t>
  </si>
  <si>
    <t>-653      0      0      0      0      0  -4023      0</t>
  </si>
  <si>
    <t>-297      0 -15342    878   1200      0      0      0</t>
  </si>
  <si>
    <t>1423   -830   -655      0    301      0      0   -346</t>
  </si>
  <si>
    <t>0    893      0      0      0      0      0      0</t>
  </si>
  <si>
    <t>1241      0   -382  -2103   -474      0 -12643    322</t>
  </si>
  <si>
    <t>0      0      0   -261    230    -22   -282     85</t>
  </si>
  <si>
    <t>0      0      0   2502      0   1370      0      0</t>
  </si>
  <si>
    <t>0      0      0      0  -3432      0   -804  -1432</t>
  </si>
  <si>
    <t>-866   6037   -538    231   -293   -982      0      0</t>
  </si>
  <si>
    <t>0      0      0    260  -1384  -7444   -773  -3450</t>
  </si>
  <si>
    <t>0  -2822      0    323 -22390      0      0      0</t>
  </si>
  <si>
    <t>0    143    142      0      0      0      0      0</t>
  </si>
  <si>
    <t>0      0      0      0     -3   -274   -109  -5243</t>
  </si>
  <si>
    <t>2508    521   -335   -277   -359   -172  -3505  -1404</t>
  </si>
  <si>
    <t>263      0   3434  -1737  -1518  -1372 -15260  -1821</t>
  </si>
  <si>
    <t>694  -1396   -793   -721   -925  -1266    597    850</t>
  </si>
  <si>
    <t>838  -1507  13412  28879  27824  20661  13589  18677</t>
  </si>
  <si>
    <t>4224   9858  15112  -1783     22   -201   -355   -666</t>
  </si>
  <si>
    <t>33      0      0      0   -387   -298      0      0</t>
  </si>
  <si>
    <t>0      0    918      0      0     91      0    142</t>
  </si>
  <si>
    <t>683     42      0   -248    -15   -153   -383   -624</t>
  </si>
  <si>
    <t>128      0      0      0      0      0    185      0</t>
  </si>
  <si>
    <t>-341      0    -29      0      0      0      0      0</t>
  </si>
  <si>
    <t>122    643      0      0 -17311   1784      0  -3157</t>
  </si>
  <si>
    <t>0      0   2352    670     14      0      0  -1115</t>
  </si>
  <si>
    <t>2114    684    450     18   -364    287   -973      0</t>
  </si>
  <si>
    <t>0      0   -240      0  -1203   4195   1275      0</t>
  </si>
  <si>
    <t>377  -2266    341      0    -21    283    562     11</t>
  </si>
  <si>
    <t>386      0      0      0    124   2562      0   1332</t>
  </si>
  <si>
    <t>-320      0      0      0      0      0  -3820      0</t>
  </si>
  <si>
    <t>-202      0 -11789   1126  -1244   3092     77   -205</t>
  </si>
  <si>
    <t>0    666      0      0   1079    288      0   2284</t>
  </si>
  <si>
    <t>-40      0    684    116   2533      0      0      0</t>
  </si>
  <si>
    <t>4079      0  -1753   1693    857      0 -14360    300</t>
  </si>
  <si>
    <t>0      0    748   1545   1284   -806   -642      0</t>
  </si>
  <si>
    <t>0   -429      0   1862      0    905      0      0</t>
  </si>
  <si>
    <t>0      0      0      0  -1121      0   -355  -1836</t>
  </si>
  <si>
    <t>1819    311      0      0      0      0      0    -60</t>
  </si>
  <si>
    <t>-295     57    624      0      0      0      0   3482</t>
  </si>
  <si>
    <t>0      0    622   1544      0      0      0      0</t>
  </si>
  <si>
    <t>-765  -1286   -119   -283    -54   6931   -365    454</t>
  </si>
  <si>
    <t>0      0      0      0      0      0      0   -799</t>
  </si>
  <si>
    <t>-389  -4879    395      0      0  -2580      0    318</t>
  </si>
  <si>
    <t>0      0      0    -55      0    238    171      0</t>
  </si>
  <si>
    <t>0      0    -72      0      0      0      0      0</t>
  </si>
  <si>
    <t>-111  -4551  -2991  -1459  -1185    510   -301   -121</t>
  </si>
  <si>
    <t>3289  -2265  -1009  -1487     62      0   1362  -2666</t>
  </si>
  <si>
    <t>996   -786   -887   -507 -15363  -3401   -565  -1283</t>
  </si>
  <si>
    <t>-172    933    362   -184    488  -1025  12745  27657</t>
  </si>
  <si>
    <t>3694  17865  20108  14135  18973   9665  14153  49338</t>
  </si>
  <si>
    <t>-273   -245   -351      0      0     28      0      0</t>
  </si>
  <si>
    <t>-333      0      0      0      0      0      0    641</t>
  </si>
  <si>
    <t>54      0     95      0    112    279    -16      0</t>
  </si>
  <si>
    <t>-66   -191   -409   -663      0    117      0      0</t>
  </si>
  <si>
    <t>0     57      0      0      0   -177      0     12</t>
  </si>
  <si>
    <t>0      0      0    395      0     59    413      0</t>
  </si>
  <si>
    <t>1047      0  -2844      0      0      0      0   1637</t>
  </si>
  <si>
    <t>0      0   -320     -6      0   1338   2254    141</t>
  </si>
  <si>
    <t>-170   -379      0      0      0      0      0   -216</t>
  </si>
  <si>
    <t>3172    659      0  -7074   1089    109  -1228   -144</t>
  </si>
  <si>
    <t>298    588     19      0    -21    289      0      0</t>
  </si>
  <si>
    <t>1258      0    853    137     30     90      0      0</t>
  </si>
  <si>
    <t>0  -2657      0  -1063     19    -78      0  -6819</t>
  </si>
  <si>
    <t>1232     90    131      6   -622      0    -33      0</t>
  </si>
  <si>
    <t>-50      0   -410      0      0     86      0     -4</t>
  </si>
  <si>
    <t>0      0      0      0      0  -2633      0   -941</t>
  </si>
  <si>
    <t>0 -15067    403  -1647      0      0      0   -626</t>
  </si>
  <si>
    <t>451    195      0    979      0      0    661      0</t>
  </si>
  <si>
    <t>4020      0      0      0      0      0      0      0</t>
  </si>
  <si>
    <t>0   -850    191    405      0  -8573    145      0</t>
  </si>
  <si>
    <t>0      0   -102    464    -51   -255     68    540</t>
  </si>
  <si>
    <t>0      0   1451      0   1062      0      0    422</t>
  </si>
  <si>
    <t>0      0      0  -2070      0   -516  -1049    -62</t>
  </si>
  <si>
    <t>6064    955    132     68     74      0      0      0</t>
  </si>
  <si>
    <t>0      0    356  -1722  -3191   -486  -1846    157</t>
  </si>
  <si>
    <t>1692      0    179 -15145      0      0      0      0</t>
  </si>
  <si>
    <t>216    109      0      0      0      0      0      0</t>
  </si>
  <si>
    <t>0      0      0      0      0      0      0   -174</t>
  </si>
  <si>
    <t>0      0      0     73   -224   -159  -3226  -2155</t>
  </si>
  <si>
    <t>341   -325    -80   -283   -158  -2275  -1776  -1174</t>
  </si>
  <si>
    <t>0   -218  -1931  -1990   1791    836   -520   -247</t>
  </si>
  <si>
    <t>1071   -640   -250 -21598  -3342  -2312  -1396   -110</t>
  </si>
  <si>
    <t>-672   8821  18121  13563  14141  19885  12443  14052</t>
  </si>
  <si>
    <t>4010  10177  33874  35039  -1362   -270   -257   -345</t>
  </si>
  <si>
    <t>0     91      0      0      0     15   -263      0</t>
  </si>
  <si>
    <t>0      0      0   -265      0      0     53      0</t>
  </si>
  <si>
    <t>92    449    -48      0   -519   -271    -53     65</t>
  </si>
  <si>
    <t>0     52      0      0      0      0      0    129</t>
  </si>
  <si>
    <t>0   -186      0    -29      0      0      0      0</t>
  </si>
  <si>
    <t>0     12    332      0      0 -16273     44      0</t>
  </si>
  <si>
    <t>0      0      0   1010   2127   1306      0      0</t>
  </si>
  <si>
    <t>0   2101   1476    361   1242   -520    182   1549</t>
  </si>
  <si>
    <t>0      0      0  -2878      0     -8   4663    781</t>
  </si>
  <si>
    <t>986    127  -1750   -218      0    584   1036    957</t>
  </si>
  <si>
    <t>-21    521      0      0      0    148   1049      0</t>
  </si>
  <si>
    <t>24    -36      0      0      0      0      0  -4544</t>
  </si>
  <si>
    <t>24    -41      0  -9406    862    372  -1784     86</t>
  </si>
  <si>
    <t>-327      0   -117      0      0    627    -74      0</t>
  </si>
  <si>
    <t>0     72      0    -14     38   -230      0      0</t>
  </si>
  <si>
    <t>0  -4533      0  -1397     -1    -87      0 -14996</t>
  </si>
  <si>
    <t>0      0      0   1340   2198   1632   -865   -760</t>
  </si>
  <si>
    <t>0      0   -383      0   1450      0    712      0</t>
  </si>
  <si>
    <t>0      0      0      0      0  -1477      0   -359</t>
  </si>
  <si>
    <t>0 -14109    715      0      0      0      0      0</t>
  </si>
  <si>
    <t>973    266   -362   1817      0      0      0      0</t>
  </si>
  <si>
    <t>4819      0      0    693  -2043      0      0      0</t>
  </si>
  <si>
    <t>0  -1481    667    433    241   -297   8847   2324</t>
  </si>
  <si>
    <t>2790      0      0      0      0      0      0      0</t>
  </si>
  <si>
    <t>4202   -695  -1817    289      0      0   1397      0</t>
  </si>
  <si>
    <t>0      0      0      0   -748      0   -914   -743</t>
  </si>
  <si>
    <t>0      0      0   -153      0      0      0      0</t>
  </si>
  <si>
    <t>-228   -121  -3524  -1910  -1593  -2372    489   -208</t>
  </si>
  <si>
    <t>-42  -1618  -1575  -1030  -2304    163      0   3982</t>
  </si>
  <si>
    <t>2356    550   -287    -24   -829    620   -431   -261</t>
  </si>
  <si>
    <t>-574    705    758 -14818  -1711  -1045  -3438  11504</t>
  </si>
  <si>
    <t>7875  11509  23615  17376  14012  12856   8931  19739</t>
  </si>
  <si>
    <t>2869  -1179   -364   -149   -226   -383      0      0</t>
  </si>
  <si>
    <t>0      0     40    215      0      0      0      0</t>
  </si>
  <si>
    <t>933      0      0    115      0    111      0    148</t>
  </si>
  <si>
    <t>0    -64   -270      9   -183   -576   -790      0</t>
  </si>
  <si>
    <t>-12      0      0      0      0      0    569      0</t>
  </si>
  <si>
    <t>0      0 -13363   -892      0   -631      0      0</t>
  </si>
  <si>
    <t>818    313    120      0      0   -202    -76      0</t>
  </si>
  <si>
    <t>-210    197   -291   -153   -254      0      0      0</t>
  </si>
  <si>
    <t>1670      0    183    113    185      0 -12955    992</t>
  </si>
  <si>
    <t>44      0    154    857   1461    317      0    -74</t>
  </si>
  <si>
    <t>0      0    283  -1000      0   -544   -284    381</t>
  </si>
  <si>
    <t>0      0      0      0  -5962      0  -1490   3171</t>
  </si>
  <si>
    <t>1960    831   -886   -866    252    -38    -43  -1230</t>
  </si>
  <si>
    <t>0      0    416   -197      0    982      0      0</t>
  </si>
  <si>
    <t>-79    232   -125      0      0      0      0      0</t>
  </si>
  <si>
    <t>1027   3570    910      0 -15971   -325    714      0</t>
  </si>
  <si>
    <t>735   1570   1191   -730   -551      0    150      0</t>
  </si>
  <si>
    <t>0    299      0    111      0      0      0      0</t>
  </si>
  <si>
    <t>0      0  -1503      0   -497  -2352   -538      0</t>
  </si>
  <si>
    <t>0      0      0      0      0   -958   -701    234</t>
  </si>
  <si>
    <t>1117      0      0      0      0   -480      0     87</t>
  </si>
  <si>
    <t>57    923      0      0      0      0  -3803      0</t>
  </si>
  <si>
    <t>-188   -945   -828  -2013  -2602   -107   -191    142</t>
  </si>
  <si>
    <t>0      0      0      0      0  -1698   1937  -1008</t>
  </si>
  <si>
    <t>628      0      0  -2711      0    576 -23276      0</t>
  </si>
  <si>
    <t>0     64      0   -227    -45      0      0      0</t>
  </si>
  <si>
    <t>141      0      0      0      0      0     47    -61</t>
  </si>
  <si>
    <t>-970  -1817    223    250   -392    -38    -78    -51</t>
  </si>
  <si>
    <t>1006   -608   -195      0    105    218    100    364</t>
  </si>
  <si>
    <t>3784   2859   4777  -1432   -902    132   -681   -615</t>
  </si>
  <si>
    <t>1406    462    971   -201  12577  17022  26257  27347</t>
  </si>
  <si>
    <t>4228  19701  18822   9470  14624  53816  48237  33790</t>
  </si>
  <si>
    <t>-204    -45   -160   -292      0      0     -3      0</t>
  </si>
  <si>
    <t>-71    143      0      0      0      0      0      0</t>
  </si>
  <si>
    <t>0     75      0    100      0    120    461    -73</t>
  </si>
  <si>
    <t>-195     14    -83   -412   -592      0    105      0</t>
  </si>
  <si>
    <t>0      0    -35      0      0      0   -188      0</t>
  </si>
  <si>
    <t>0      0      0      0    456      0     22    529</t>
  </si>
  <si>
    <t>1135   -405      0   -393      0      0      0      0</t>
  </si>
  <si>
    <t>96      0      0   -198     34      0   -477   -115</t>
  </si>
  <si>
    <t>-204   -145   -320      0      0      0      0      0</t>
  </si>
  <si>
    <t>39     24    168      0  -9945    796    -90    871</t>
  </si>
  <si>
    <t>-44    821   1207    346      0   -176    138      0</t>
  </si>
  <si>
    <t>121     65      0     13   -544     17    105      0</t>
  </si>
  <si>
    <t>0      0  -5608      0  -1148   2747    300      0</t>
  </si>
  <si>
    <t>209    761    200    117    224   -590      0    -60</t>
  </si>
  <si>
    <t>402    -28      0    -82      0      0     32      0</t>
  </si>
  <si>
    <t>239      0      0      0      0      0  -3924      0</t>
  </si>
  <si>
    <t>-78      0 -21523   -403   -663      0      0      0</t>
  </si>
  <si>
    <t>3274   -317   -626      0    -48      0      0    108</t>
  </si>
  <si>
    <t>0     67      0      0      0      0      0      0</t>
  </si>
  <si>
    <t>3068      0   -369   2851    951      0 -10602    437</t>
  </si>
  <si>
    <t>0      0      0   -828   -687    212    -20    101</t>
  </si>
  <si>
    <t>0      0      0   -892      0   -151      0      0</t>
  </si>
  <si>
    <t>0      0      0      0  -3285      0   -815  -1733</t>
  </si>
  <si>
    <t>-235  -1719  -1144   -133    -53    460      0      0</t>
  </si>
  <si>
    <t>0      0      0    418   1232    460     62    345</t>
  </si>
  <si>
    <t>0  -2235      0    375 -17713      0      0      0</t>
  </si>
  <si>
    <t>0    -86   -175      0      0      0      0      0</t>
  </si>
  <si>
    <t>0      0      0      0     25   -108    -34    272</t>
  </si>
  <si>
    <t>262    269   -246    -54   -101     -8    113  -1115</t>
  </si>
  <si>
    <t>-38      0   -200   -105    151    216   2793   -760</t>
  </si>
  <si>
    <t>1413   -671     53    540   2982  -1676  -1195   1212</t>
  </si>
  <si>
    <t>931   -298   9483  13021  19032  15446  22105  13055</t>
  </si>
  <si>
    <t>1090  14970  10928  43785  38276  28966  38027  48846</t>
  </si>
  <si>
    <t>-357   -323   -397      0      0    -81      0      0</t>
  </si>
  <si>
    <t>149      0      0      0      0      0      0    -23</t>
  </si>
  <si>
    <t>113      0     85      0    124    720     -8      0</t>
  </si>
  <si>
    <t>-90   -174   -179   -894      0    101      0      0</t>
  </si>
  <si>
    <t>0     -6      0      0      0   -140      0     -2</t>
  </si>
  <si>
    <t>0      0      0    579      0    115    505      0</t>
  </si>
  <si>
    <t>-569      0   -380      0      0      0      0   1023</t>
  </si>
  <si>
    <t>0      0   -260     88      0   -654    141   -151</t>
  </si>
  <si>
    <t>-177   -601      0      0      0      0      0  -1361</t>
  </si>
  <si>
    <t>103    286      0 -11849    827  -1006    -25   -334</t>
  </si>
  <si>
    <t>1434   -181    967      0  -1231   -241      0      0</t>
  </si>
  <si>
    <t>-406      0     28   -930    -45   1220      0      0</t>
  </si>
  <si>
    <t>0  -6254      0  -1367   3478    581      0 -10023</t>
  </si>
  <si>
    <t>764    -92     57    283   -705      0   -216      0</t>
  </si>
  <si>
    <t>-51      0     18      0      0     24      0    120</t>
  </si>
  <si>
    <t>0      0      0      0      0  -4788      0  -1328</t>
  </si>
  <si>
    <t>0 -15364    660    794      0      0      0    808</t>
  </si>
  <si>
    <t>-699   -505      0     89      0      0   -225      0</t>
  </si>
  <si>
    <t>7      0      0      0      0      0      0      0</t>
  </si>
  <si>
    <t>0   -371  -2456   -520      0 -15118   -103      0</t>
  </si>
  <si>
    <t>0      0   -427   2082    239   -536   -622   -174</t>
  </si>
  <si>
    <t>0      0  -1058      0   -196      0      0   -594</t>
  </si>
  <si>
    <t>0      0      0  -5925      0   -314   3328    928</t>
  </si>
  <si>
    <t>-853    619    275   -110  -1821      0      0      0</t>
  </si>
  <si>
    <t>0      0   -219   1387   -488      0    -46    293</t>
  </si>
  <si>
    <t>495      0    523 -20630      0      0      0      0</t>
  </si>
  <si>
    <t>103    465      0      0      0      0      0      0</t>
  </si>
  <si>
    <t>0      0      0      0      0      0      0    209</t>
  </si>
  <si>
    <t>0      0      0     95    -78     41    909   -448</t>
  </si>
  <si>
    <t>99   -277   -295   -111    -25    304    364   -325</t>
  </si>
  <si>
    <t>0   -154    535    549   -196   4888    457   -664</t>
  </si>
  <si>
    <t>-46    237   -131   -833   -255    935    936   4199</t>
  </si>
  <si>
    <t>1742  11031  15200  22420  17763  10668  23515  13140</t>
  </si>
  <si>
    <t>8559  19003  49263  44854  31827  45792  54662  44199</t>
  </si>
  <si>
    <t>-146   -134   -281      0      0      2      0      0</t>
  </si>
  <si>
    <t>78      0      0      0      0      0      0    598</t>
  </si>
  <si>
    <t>72      0     71      0     88    387    -44      0</t>
  </si>
  <si>
    <t>6    -91   -363   -511      0     85      0      0</t>
  </si>
  <si>
    <t>0    -46      0      0      0   -112      0      9</t>
  </si>
  <si>
    <t>0      0      0    369      0     24    473      0</t>
  </si>
  <si>
    <t>-294      0   -822      0      0      0      0    577</t>
  </si>
  <si>
    <t>0      0   -172     39      0   -277    -95   -157</t>
  </si>
  <si>
    <t>-106   -242      0      0      0      0      0   -968</t>
  </si>
  <si>
    <t>197    163      0  -7485    899    103    227    181</t>
  </si>
  <si>
    <t>343    478     48      0    -68    221      0      0</t>
  </si>
  <si>
    <t>-29      0    162    132     -4     88      0      0</t>
  </si>
  <si>
    <t>0  -3191      0   -987   -319   -139      0  -7454</t>
  </si>
  <si>
    <t>160    810    -10    120   -414      0    239      0</t>
  </si>
  <si>
    <t>-146      0    925      0      0     69      0   -385</t>
  </si>
  <si>
    <t>0      0      0      0      0  -4810      0   -670</t>
  </si>
  <si>
    <t>0 -16883   -504   -426      0      0      0    878</t>
  </si>
  <si>
    <t>-423   -646      0   -280      0      0   -498      0</t>
  </si>
  <si>
    <t>-620      0      0      0      0      0      0      0</t>
  </si>
  <si>
    <t>0   -359   1951    850      0  -8854    272      0</t>
  </si>
  <si>
    <t>0      0   -439   -338    169    -39     80    762</t>
  </si>
  <si>
    <t>0      0   -569      0     45      0      0     43</t>
  </si>
  <si>
    <t>0      0      0  -2537      0   -607  -1346   -128</t>
  </si>
  <si>
    <t>400   -824    -74     29    485      0      0      0</t>
  </si>
  <si>
    <t>0      0   -229    704    225    194   -144    113</t>
  </si>
  <si>
    <t>1732      0    277 -14881      0      0      0      0</t>
  </si>
  <si>
    <t>-241   -321      0      0      0      0      0      0</t>
  </si>
  <si>
    <t>0      0      0      0      0      0      0     91</t>
  </si>
  <si>
    <t>0      0      0     55    -82    -41    -39  -1382</t>
  </si>
  <si>
    <t>164   -233      2    -70      4    -30  -1110   -709</t>
  </si>
  <si>
    <t>0   -255   -380   -451    541   1296   -321   -507</t>
  </si>
  <si>
    <t>2364  -1445   1735   1367  -2877  -4352   4190    839</t>
  </si>
  <si>
    <t>-35   8180  11618  13151  17065  18007  11476   9915</t>
  </si>
  <si>
    <t>2269   9591  34298  34702  27115  31510  37933  33583</t>
  </si>
  <si>
    <t>-288   -378   -294   -446      0      0    -15      0</t>
  </si>
  <si>
    <t>93    126      0      0      0      0      0      0</t>
  </si>
  <si>
    <t>0    128      0     78      0    127    655      5</t>
  </si>
  <si>
    <t>-265    -95   -218   -333   -857      0    101      0</t>
  </si>
  <si>
    <t>0      0    -47      0      0      0    -78      0</t>
  </si>
  <si>
    <t>0      0      0      0    581      0    106    527</t>
  </si>
  <si>
    <t>3808   -575      0  -1022      0      0      0      0</t>
  </si>
  <si>
    <t>108      0      0   -303     97      0   -592    158</t>
  </si>
  <si>
    <t>-119   -180   -540      0      0      0      0      0</t>
  </si>
  <si>
    <t>19    225    329      0 -10703   1059    118    145</t>
  </si>
  <si>
    <t>90    683    942    -60      0    -50    104      0</t>
  </si>
  <si>
    <t>-284    130      0     88    175     -8   -117      0</t>
  </si>
  <si>
    <t>0      0  -5348      0  -1616   -226    -67      0</t>
  </si>
  <si>
    <t>-762    -86    387   -361   -545  -2226      0   1021</t>
  </si>
  <si>
    <t>-315     -9      0    870      0      0    247      0</t>
  </si>
  <si>
    <t>1424      0      0      0      0      0  -5265      0</t>
  </si>
  <si>
    <t>323      0 -15926     46    696      0      0      0</t>
  </si>
  <si>
    <t>1292   -740   -557      0     31      0      0   -198</t>
  </si>
  <si>
    <t>0     74      0      0      0      0      0      0</t>
  </si>
  <si>
    <t>1850      0   -438  -2391   -513      0 -15143    -47</t>
  </si>
  <si>
    <t>0      0      0   -118   1005    149   -497   -109</t>
  </si>
  <si>
    <t>0      0      0  -1933      0   -983      0      0</t>
  </si>
  <si>
    <t>0      0      0      0  -6226      0   -335   2469</t>
  </si>
  <si>
    <t>89   1326    512    350    104   -997      0      0</t>
  </si>
  <si>
    <t>0      0      0  -1015   1102   -752    201   -352</t>
  </si>
  <si>
    <t>0    640      0    139 -19271      0      0      0</t>
  </si>
  <si>
    <t>0    -60     20      0      0      0      0      0</t>
  </si>
  <si>
    <t>0      0      0      0    104    -65     11    614</t>
  </si>
  <si>
    <t>-451    228   -306   -233    -55     12    309   -800</t>
  </si>
  <si>
    <t>-149      0     23    372    217    143   2217     32</t>
  </si>
  <si>
    <t>4472    477   -536  -1162   -709   -363    685   1209</t>
  </si>
  <si>
    <t>2679   2237  10459  14462  17110  21685   9871  21447</t>
  </si>
  <si>
    <t>4544   7852  17428  48315  46028  31503  47700  55598</t>
  </si>
  <si>
    <t>6529   -133 -29011   -113    119   -143      0      0</t>
  </si>
  <si>
    <t>0      0    314   -266      0      0      0      0</t>
  </si>
  <si>
    <t>-228      0      0    972      0  -1021      0  -3897</t>
  </si>
  <si>
    <t>0     61 -23809    104    -31   -265   -456      0</t>
  </si>
  <si>
    <t>0      0      0      0    -65      0      0      0</t>
  </si>
  <si>
    <t>91      0      0      0      0      0     -6      0</t>
  </si>
  <si>
    <t>0      0    -68 -29339      0     92      0      0</t>
  </si>
  <si>
    <t>-400   -300    -59      0      0    424   -395      0</t>
  </si>
  <si>
    <t>271   -341   -830    -74    -10      0      0      0</t>
  </si>
  <si>
    <t>-252      0   3404    775      2      0  -1346 -33741</t>
  </si>
  <si>
    <t>315      0    -30  -1827  -1366    129      0     13</t>
  </si>
  <si>
    <t>0      0   -172   -113      0    -62    188    -13</t>
  </si>
  <si>
    <t>0      0      0      0   1138      0   8608    146</t>
  </si>
  <si>
    <t>1543 -33060     46   -150    208    -83   -288    224</t>
  </si>
  <si>
    <t>0      0   -177    240      0    127      0      0</t>
  </si>
  <si>
    <t>19     -3    -61      0      0      0      0      0</t>
  </si>
  <si>
    <t>8041    328     97      0   -665 -35049    368      0</t>
  </si>
  <si>
    <t>1134    353    330   -883   -847      0    508      0</t>
  </si>
  <si>
    <t>0   -697      0  -1015      0      0      0      0</t>
  </si>
  <si>
    <t>0      0    610      0   3030  -1658   -476      0</t>
  </si>
  <si>
    <t>0      0      0      0      0  -2911  -1032   -436</t>
  </si>
  <si>
    <t>-210      0      0      0      0  -1640      0  -1029</t>
  </si>
  <si>
    <t>109    368      0      0      0      0    125      0</t>
  </si>
  <si>
    <t>-529    523    -45     -9   -106    -27   -162    580</t>
  </si>
  <si>
    <t>0      0      0      0      0   -178   -243    355</t>
  </si>
  <si>
    <t>63      0      0     22      0    397    -71      0</t>
  </si>
  <si>
    <t>0  -1282      0   -235   1116      0      0      0</t>
  </si>
  <si>
    <t>1972      0      0      0      0      0   2086  -2449</t>
  </si>
  <si>
    <t>3961  -4655  -5197   7083   -595    785  -2292    -96</t>
  </si>
  <si>
    <t>-431   -512   1368      0   1403    423    372  -1338</t>
  </si>
  <si>
    <t>167  -1455   1077    227    163  -1319    836     33</t>
  </si>
  <si>
    <t>917   -197    -97   -729    472     -4    -92   -114</t>
  </si>
  <si>
    <t>-683    321   -113   -669    567    269    235    195</t>
  </si>
  <si>
    <t>343    417    319    450   -404 -38203   -111    120</t>
  </si>
  <si>
    <t>0    -69      0      0      0    -13     11      0</t>
  </si>
  <si>
    <t>0      0      0   -291      0      0   -245      0</t>
  </si>
  <si>
    <t>1019    711    155      0    223 -28777     24    -64</t>
  </si>
  <si>
    <t>0     75      0      0      0      0      0    258</t>
  </si>
  <si>
    <t>0    -45      0    -94      0      0      0      0</t>
  </si>
  <si>
    <t>0    -26     44      0      0   -676 -32507      0</t>
  </si>
  <si>
    <t>0      0      0  -1181   -275    -80      0      0</t>
  </si>
  <si>
    <t>0    190   -115    176   -250    491    495    497</t>
  </si>
  <si>
    <t>0      0      0    452      0   1453    395   -440</t>
  </si>
  <si>
    <t>1585    808   1434   1522      0    800   1746     21</t>
  </si>
  <si>
    <t>120   -210      0      0      0    388    867      0</t>
  </si>
  <si>
    <t>-238    -48      0      0      0      0      0   1303</t>
  </si>
  <si>
    <t>495      3      0  -1676 -39560     45   -219    373</t>
  </si>
  <si>
    <t>726      0    254      0      0     -4    272      0</t>
  </si>
  <si>
    <t>0    -53      0     65     60   -128      0      0</t>
  </si>
  <si>
    <t>0   1259      0   9826    444    123      0   -856</t>
  </si>
  <si>
    <t>0      0      0   1317   1002    349  -1055  -1009</t>
  </si>
  <si>
    <t>0      0     50      0   -647      0   -990      0</t>
  </si>
  <si>
    <t>0      0      0      0      0    633      0   3635</t>
  </si>
  <si>
    <t>0   -237 -39308      0      0      0      0      0</t>
  </si>
  <si>
    <t>-513   -504   -215   -164      0      0      0      0</t>
  </si>
  <si>
    <t>1287      0      0    232    339      0      0      0</t>
  </si>
  <si>
    <t>0   6993  -1610   -607    509   -127   -273   -374</t>
  </si>
  <si>
    <t>-212      0      0      0      0      0      0      0</t>
  </si>
  <si>
    <t>318    -37    332      2      0      0     -8      0</t>
  </si>
  <si>
    <t>0      0      0      0  -1805      0   -347     42</t>
  </si>
  <si>
    <t>0      0      0  -2112      0      0      0      0</t>
  </si>
  <si>
    <t>-67   -401  -3469 -13932  -4750  -6820   9341   -933</t>
  </si>
  <si>
    <t>159  -1302  -5249    -16   -879    850      0   -629</t>
  </si>
  <si>
    <t>2696   -734   1331   -338  -2157   -424    656   -132</t>
  </si>
  <si>
    <t>347   -437  -1546   -655    314   -657  -1366   -793</t>
  </si>
  <si>
    <t>-236   -296   -498   -116   -155     87   -640    857</t>
  </si>
  <si>
    <t>172    550    588    416    353    336    485  44799</t>
  </si>
  <si>
    <t>-67    -29    230      0      0      1      0      0</t>
  </si>
  <si>
    <t>-67      0      0      0      0      0      0   -294</t>
  </si>
  <si>
    <t>118      0   -194      0    105    599    139      0</t>
  </si>
  <si>
    <t>-38   -181   -390   -670      0     56      0      0</t>
  </si>
  <si>
    <t>0    208      0      0      0   -127      0    -84</t>
  </si>
  <si>
    <t>0      0      0   -220      0   -115     72      0</t>
  </si>
  <si>
    <t>2656      0     45      0      0      0      0  -1202</t>
  </si>
  <si>
    <t>0      0    539     94      0    205    -76    156</t>
  </si>
  <si>
    <t>514    528      0      0      0      0      0    558</t>
  </si>
  <si>
    <t>411   -459      0  -1722 -40602    142    -42    474</t>
  </si>
  <si>
    <t>1780  -1580    168      0     36     83      0      0</t>
  </si>
  <si>
    <t>59      0     25    230     18    -94      0      0</t>
  </si>
  <si>
    <t>0   1437      0  10705    228     96      0  -2548</t>
  </si>
  <si>
    <t>625   1172     27   -195   3319      0    161      0</t>
  </si>
  <si>
    <t>149      0   -488      0      0    140      0  -1029</t>
  </si>
  <si>
    <t>0      0      0      0      0   2115      0   9442</t>
  </si>
  <si>
    <t>0   -895 -41905    441      0      0      0   1050</t>
  </si>
  <si>
    <t>1065  -1007      0    706      0      0     60      0</t>
  </si>
  <si>
    <t>-987      0      0      0      0      0      0      0</t>
  </si>
  <si>
    <t>0   3856  -1896   -520      0   -358 -39328      0</t>
  </si>
  <si>
    <t>0      0  -2186   -872   -578   -553   -259   -289</t>
  </si>
  <si>
    <t>0      0  -1939      0  -1268      0      0    219</t>
  </si>
  <si>
    <t>0      0      0    345      0   7144  -1646   -693</t>
  </si>
  <si>
    <t>-254   -396    -19   -272     -8      0      0      0</t>
  </si>
  <si>
    <t>0      0     17    -84    467   -111    451     93</t>
  </si>
  <si>
    <t>-48      0    450    -14      0      0      0      0</t>
  </si>
  <si>
    <t>230    294      0      0      0      0      0      0</t>
  </si>
  <si>
    <t>0      0      0      0      0      0      0  -2132</t>
  </si>
  <si>
    <t>0      0      0    840     35   -606  -3564  -3964</t>
  </si>
  <si>
    <t>9630   -911   1047   2610    182  -1135   -681  -3905</t>
  </si>
  <si>
    <t>0   -199    132    818  -2227   -251    176   1222</t>
  </si>
  <si>
    <t>318   1177  -1409   -111     85    740  -1181   -305</t>
  </si>
  <si>
    <t>-778   -762    -13    -58    210   -162   -283   -136</t>
  </si>
  <si>
    <t>-565    902    219    165    135    491    472    323</t>
  </si>
  <si>
    <t>376  46309  49083    -46 -34776    -65     -8     44</t>
  </si>
  <si>
    <t>13      0      0      0    133    -33      0      0</t>
  </si>
  <si>
    <t>0      0   -204      0      0   -416      0    341</t>
  </si>
  <si>
    <t>400      6      0    329 -27117    -39   -130   -370</t>
  </si>
  <si>
    <t>63      0      0      0      0      0    169      0</t>
  </si>
  <si>
    <t>-124      0     -7      0      0      0      0      0</t>
  </si>
  <si>
    <t>-133     30      0      0   -748 -30607      0    -57</t>
  </si>
  <si>
    <t>0      0  -1243   -275    -74      0      0    452</t>
  </si>
  <si>
    <t>214   -159    171   -247    426    456    441      0</t>
  </si>
  <si>
    <t>0      0    487      0   1327    403   -370      0</t>
  </si>
  <si>
    <t>151     18    535      0   -124  -1267  -1510    143</t>
  </si>
  <si>
    <t>164      0      0      0    -25      2      0     39</t>
  </si>
  <si>
    <t>-133      0      0      0      0      0   1161      0</t>
  </si>
  <si>
    <t>96      0  -1739 -37278     83   -196    412    -96</t>
  </si>
  <si>
    <t>0    231      0      0     45    239      0     81</t>
  </si>
  <si>
    <t>-60      0    -38      4   -135      0      0      0</t>
  </si>
  <si>
    <t>1274      0   9032    467    109      0  -1167 -41174</t>
  </si>
  <si>
    <t>0      0   1947   4208   1808  -1109   -959      0</t>
  </si>
  <si>
    <t>0    217      0    355      0   -370      0      0</t>
  </si>
  <si>
    <t>0      0      0      0    808      0   4534  -1613</t>
  </si>
  <si>
    <t>-275 -36953      0      0      0      0      0  -1985</t>
  </si>
  <si>
    <t>-444   -115     54      0      0      0      0  -1902</t>
  </si>
  <si>
    <t>0      0    269    174      0      0      0      0</t>
  </si>
  <si>
    <t>6470  -1580   -483   1049     35    159    -58     38</t>
  </si>
  <si>
    <t>0      0      0      0      0      0      0   -176</t>
  </si>
  <si>
    <t>-54    367    -37      0      0     82      0    430</t>
  </si>
  <si>
    <t>0      0      0  -1823      0   -276   -513      0</t>
  </si>
  <si>
    <t>0      0  -1965      0      0      0      0      0</t>
  </si>
  <si>
    <t>-207  -3926  -4755  -5333 -17077   9051   -883    951</t>
  </si>
  <si>
    <t>1152  -1002   -152  -5015     22      0   -904   -640</t>
  </si>
  <si>
    <t>-615   -414   -878   -923   -829    104   -276    -69</t>
  </si>
  <si>
    <t>-105   -634   -133    604     85  -1715    787    393</t>
  </si>
  <si>
    <t>662    645    496    497    482    579  41037  48467</t>
  </si>
  <si>
    <t>0240    -47    -75   -847      0      0   -468      0</t>
  </si>
  <si>
    <t>-17    -55      0      0      0      0      0      0</t>
  </si>
  <si>
    <t>0   -288      0    283      0    105   1004    109</t>
  </si>
  <si>
    <t>3708    -57   -199   -267   -513      0     84      0</t>
  </si>
  <si>
    <t>0      0    154      0      0      0    -72      0</t>
  </si>
  <si>
    <t>0      0      0      0    -84      0    -15     94</t>
  </si>
  <si>
    <t>-605 -27665      0    476      0      0      0      0</t>
  </si>
  <si>
    <t>-53      0      0    393     30      0     74    -87</t>
  </si>
  <si>
    <t>596    447    170      0      0      0      0      0</t>
  </si>
  <si>
    <t>991    213   -302      0   -890 -34179    342     59</t>
  </si>
  <si>
    <t>78  -1176  -1246    114      0     34   -225      0</t>
  </si>
  <si>
    <t>-75   -119      0   -133    120      7   -127      0</t>
  </si>
  <si>
    <t>0      0    840      0   7909    135    125      0</t>
  </si>
  <si>
    <t>165     16   -393    -64   -149    603      0    190</t>
  </si>
  <si>
    <t>-287    251      0     51      0      0    -68      0</t>
  </si>
  <si>
    <t>-36      0      0      0      0      0    875      0</t>
  </si>
  <si>
    <t>147      0   -400 -35686    243      0      0      0</t>
  </si>
  <si>
    <t>457   -871   -825      0    436      0      0    -26</t>
  </si>
  <si>
    <t>0   -895      0      0      0      0      0      0</t>
  </si>
  <si>
    <t>469      0   2860  -1648   -391      0  -1045 -33972</t>
  </si>
  <si>
    <t>0      0      0   1415   1050   -865   -634   -668</t>
  </si>
  <si>
    <t>0      0      0  -1408      0   -641      0      0</t>
  </si>
  <si>
    <t>0      0      0      0   1555      0   3444   -828</t>
  </si>
  <si>
    <t>1356   -979   -657   -610   -440   -638      0      0</t>
  </si>
  <si>
    <t>0      0      0     76    -24    529     12    426</t>
  </si>
  <si>
    <t>0    -32      0    153    450      0      0      0</t>
  </si>
  <si>
    <t>0   -729    425      0      0      0      0      0</t>
  </si>
  <si>
    <t>0      0      0      0    833   -358    -22  -2074</t>
  </si>
  <si>
    <t>4854   3209   -911    830   -501   -165  -2176  -1513</t>
  </si>
  <si>
    <t>-383      0  -1493  -1578  -1571  -3560  -1427  -1462</t>
  </si>
  <si>
    <t>1261  -1636  -1362  -2906  -1026  -1476  -1505  -2271</t>
  </si>
  <si>
    <t>1864  -2390    129   -274   -298   -326   -312   1663</t>
  </si>
  <si>
    <t>58   -560   -618     41     29     -2    129    351</t>
  </si>
  <si>
    <t>184    215  33558  43052  43013  34747    142 -15403</t>
  </si>
  <si>
    <t>422      0      0     77      0      0      0    -15</t>
  </si>
  <si>
    <t>0      0      0      0      0    -18      0      0</t>
  </si>
  <si>
    <t>-210      0   -106   -149    -45      0   -678 -16248</t>
  </si>
  <si>
    <t>556     72      0    201      0      0      0      0</t>
  </si>
  <si>
    <t>0      0      0    698      0    324      0      0</t>
  </si>
  <si>
    <t>0   -175      0  -1164    560      0      0  -1192</t>
  </si>
  <si>
    <t>88      0      0      0      0  -1798   -243    -70</t>
  </si>
  <si>
    <t>-106    851      0    882    621    524    928  -2640</t>
  </si>
  <si>
    <t>0      0      0      0      0   1144      0    287</t>
  </si>
  <si>
    <t>0   -718 -18403     64     72    445      0   1554</t>
  </si>
  <si>
    <t>57      0     68    -60      0      0      0   -138</t>
  </si>
  <si>
    <t>-166    175     27    -90      0      0      0      0</t>
  </si>
  <si>
    <t>0   4197     64     60      0   -856 -17778   -135</t>
  </si>
  <si>
    <t>-242   1337   1328      0     99      0      0   -120</t>
  </si>
  <si>
    <t>152      0      0    -89      0    -31    -15     25</t>
  </si>
  <si>
    <t>0      0      0    728      0   3642    144    128</t>
  </si>
  <si>
    <t>9251    181      0      0      0   2214   1467    334</t>
  </si>
  <si>
    <t>0    189      0      0     50      0   -189      0</t>
  </si>
  <si>
    <t>0      0      0      0      0      0      0    391</t>
  </si>
  <si>
    <t>-931   -200      0    244 -18067      0      0      0</t>
  </si>
  <si>
    <t>1737  -1121   -252   -228     13   -193      0      0</t>
  </si>
  <si>
    <t>-965      0   -550      0      0      3      5      0</t>
  </si>
  <si>
    <t>0   -177      0   2906   -883    -58    665     27</t>
  </si>
  <si>
    <t>172   -685   -312      0      0      0      0      0</t>
  </si>
  <si>
    <t>-195   -150    141   -118    -38    289      0      0</t>
  </si>
  <si>
    <t>168    -87      0      0      0      0  -1184      0</t>
  </si>
  <si>
    <t>0      0      0      0      0   -818      0      0</t>
  </si>
  <si>
    <t>0    638    -75  -3356  -2250  -1463  -1997  -2244</t>
  </si>
  <si>
    <t>-174  -1457  -5075  -8859  -2838  -2931  -1555   7054</t>
  </si>
  <si>
    <t>-86   -561   -404    238   -107   -341  -1320    124</t>
  </si>
  <si>
    <t>1167    159   -317   -365   -746    362   -550   -570</t>
  </si>
  <si>
    <t>-478    111     25    -16   -298    443   -366   -528</t>
  </si>
  <si>
    <t>120    122     73    346    297    181    171    185</t>
  </si>
  <si>
    <t>2363  22627  20447  17828    388 -18875    183     36</t>
  </si>
  <si>
    <t>0    126      0      0      0      1    -17      0</t>
  </si>
  <si>
    <t>0      0      0     13      0      0    330      0</t>
  </si>
  <si>
    <t>81   -283   -140      0   -705 -28991     29   -530</t>
  </si>
  <si>
    <t>0    141      0      0      0      0      0    208</t>
  </si>
  <si>
    <t>0    332      0   -288      0      0      0      0</t>
  </si>
  <si>
    <t>0   1326   1363      0      0   -714 -18444      0</t>
  </si>
  <si>
    <t>0      0      0  -1735   -161    -17      0      0</t>
  </si>
  <si>
    <t>0    113   -363     65   -283   -388    -13   -412</t>
  </si>
  <si>
    <t>0      0      0    840      0   1187     73    143</t>
  </si>
  <si>
    <t>2088   1090  -1093   -683      0  -5886  -1657  -2543</t>
  </si>
  <si>
    <t>222   -809      0      0      0    517   -427      0</t>
  </si>
  <si>
    <t>-652    613      0      0      0      0      0    690</t>
  </si>
  <si>
    <t>566    -45      0   -990 -21699   -125   -108    327</t>
  </si>
  <si>
    <t>2180      0    214      0      0    -72    153      0</t>
  </si>
  <si>
    <t>0    -72      0    285     96   -268      0      0</t>
  </si>
  <si>
    <t>0    837      0   4582    162    109      0   -515</t>
  </si>
  <si>
    <t>0      0      0   2256   2276    533   -550   -553</t>
  </si>
  <si>
    <t>0      0     36      0   -475      0   -742      0</t>
  </si>
  <si>
    <t>0      0      0      0      0    508      0   1666</t>
  </si>
  <si>
    <t>0    162 -21815      0      0      0      0      0</t>
  </si>
  <si>
    <t>-345   -318   -130   -317      0      0      0      0</t>
  </si>
  <si>
    <t>-765      0      0    230    259      0      0      0</t>
  </si>
  <si>
    <t>0   3570   -977   -375    542   -450    100    -70</t>
  </si>
  <si>
    <t>-286      0      0      0      0      0      0      0</t>
  </si>
  <si>
    <t>409     -4    129   1035      0      0      9      0</t>
  </si>
  <si>
    <t>0      0      0      0  -1237      0  -4112  -2198</t>
  </si>
  <si>
    <t>0      0      0  -1060      0      0      0      0</t>
  </si>
  <si>
    <t>-32   3004  -1440  -4911  -1795  -3496   2937   -563</t>
  </si>
  <si>
    <t>4949  -1958  -9060  -1363  -2039   6234      0   -756</t>
  </si>
  <si>
    <t>1459   -457   -914   -502  -1311   -339     90   -150</t>
  </si>
  <si>
    <t>40   -440   -784   -408    134   -645   -803  -1058</t>
  </si>
  <si>
    <t>217    187    -12   -339   1519  -1100  -1490     87</t>
  </si>
  <si>
    <t>55    293    271    235    308    185    198  22687</t>
  </si>
  <si>
    <t>5404  21963  16402    467 -15057     36   -534    500</t>
  </si>
  <si>
    <t>87      0      0      0     19    -12      0      0</t>
  </si>
  <si>
    <t>0      0     -8      0      0    111      0   -130</t>
  </si>
  <si>
    <t>-281   -122      0   -478 -22443   -858   -353     97</t>
  </si>
  <si>
    <t>18      0      0      0      0      0     80      0</t>
  </si>
  <si>
    <t>347      0   -248      0      0      0      0      0</t>
  </si>
  <si>
    <t>1494   1314      0      0   -396 -15005      0   -209</t>
  </si>
  <si>
    <t>0      0   -945   -148    -30      0      0    142</t>
  </si>
  <si>
    <t>110   -187     96   -150   -178     82   -138      0</t>
  </si>
  <si>
    <t>0      0    474      0    808     92    -11      0</t>
  </si>
  <si>
    <t>4    132    367      0   1160    407   -461     85</t>
  </si>
  <si>
    <t>18      0      0      0    -35    -48      0    -64</t>
  </si>
  <si>
    <t>-196      0      0      0      0      0    636      0</t>
  </si>
  <si>
    <t>137      0   -621 -17775    320  -1634  -1569  -6694</t>
  </si>
  <si>
    <t>0     42      0      0  -1055    250      0     -3</t>
  </si>
  <si>
    <t>285      0  -1659    107   1047      0      0      0</t>
  </si>
  <si>
    <t>1072      0   4326    426   -495      0   -368 -18872</t>
  </si>
  <si>
    <t>0      0   1639   1505    448   -521   -476      0</t>
  </si>
  <si>
    <t>0     21      0   -328      0   -521      0      0</t>
  </si>
  <si>
    <t>0      0      0      0    408      0   1226   -864</t>
  </si>
  <si>
    <t>305 -17866      0      0      0      0      0  -1410</t>
  </si>
  <si>
    <t>-283   -123   -231      0      0      0      0   -961</t>
  </si>
  <si>
    <t>0      0    131    158      0      0      0      0</t>
  </si>
  <si>
    <t>2917   -816   -358    715   -163    260    150   2235</t>
  </si>
  <si>
    <t>0      0      0      0      0      0      0    -76</t>
  </si>
  <si>
    <t>-67    240    409      0      0     70      0    253</t>
  </si>
  <si>
    <t>0      0      0   -713      0  -1570   -376      0</t>
  </si>
  <si>
    <t>0      0   -768      0      0      0      0      0</t>
  </si>
  <si>
    <t>1393  -1133  -1183  -4703  -2570   2614   -458    -48</t>
  </si>
  <si>
    <t>2090  -1698  -5719  -1936   5025      0   -398    -95</t>
  </si>
  <si>
    <t>-249    156    615   -817   -220     -3  -1217   -636</t>
  </si>
  <si>
    <t>349   -499   -218   -223    482   -394  -1050    240</t>
  </si>
  <si>
    <t>309     81   -511   -897   2169  -1322    -98     44</t>
  </si>
  <si>
    <t>185    194    112     92    153    270  18156  21617</t>
  </si>
  <si>
    <t>7480  15174  10572    209 -20431   -274     43    458</t>
  </si>
  <si>
    <t>80      0      0      0     71      9      0      0</t>
  </si>
  <si>
    <t>0      0    -10      0      0    118      0   -142</t>
  </si>
  <si>
    <t>-114    -57      0   -265 -28752   -131   -563    -22</t>
  </si>
  <si>
    <t>188      0      0      0      0      0    -36      0</t>
  </si>
  <si>
    <t>18      0   -104      0      0      0      0      0</t>
  </si>
  <si>
    <t>-781   1106      0      0   -491 -20240      0   -258</t>
  </si>
  <si>
    <t>0      0  -1010    -71      7      0      0    179</t>
  </si>
  <si>
    <t>122    -72    102   -113   -140    112    -17      0</t>
  </si>
  <si>
    <t>0      0    499      0    778    158     11      0</t>
  </si>
  <si>
    <t>-27     78    428      0   1014    -44   -468    198</t>
  </si>
  <si>
    <t>-44      0      0      0    -54    -17      0    -48</t>
  </si>
  <si>
    <t>0      0      0      0      0      0    779      0</t>
  </si>
  <si>
    <t>99      0   -992 -23923    -31   -139    314     47</t>
  </si>
  <si>
    <t>0    201      0      0    -68    157      0     74</t>
  </si>
  <si>
    <t>-68      0      9     -8   -155      0      0      0</t>
  </si>
  <si>
    <t>843      0   4792    236    155      0    304 -26294</t>
  </si>
  <si>
    <t>0      0  -6953  -1320  -1546  -2034  -1003      0</t>
  </si>
  <si>
    <t>0   -762      0   -846      0     54      0      0</t>
  </si>
  <si>
    <t>0      0      0      0    219      0   1592   -571</t>
  </si>
  <si>
    <t>135 -24045      0      0      0      0      0  -1542</t>
  </si>
  <si>
    <t>-298    -83   -243      0      0      0      0  -1305</t>
  </si>
  <si>
    <t>0      0    257     30      0      0      0      0</t>
  </si>
  <si>
    <t>3578  -1030   -295   1113   -204      9   -151    325</t>
  </si>
  <si>
    <t>0      0      0      0      0      0      0      8</t>
  </si>
  <si>
    <t>-32    153     75      0      0     -5      0    294</t>
  </si>
  <si>
    <t>0      0      0  -1268      0  -2349    342      0</t>
  </si>
  <si>
    <t>0      0   -979      0      0      0      0      0</t>
  </si>
  <si>
    <t>3200  -1651  -1912  -2359  -6843   3317   -504   -155</t>
  </si>
  <si>
    <t>2013  -2217  -1841 -11760   5210      0   -476   -294</t>
  </si>
  <si>
    <t>-482   -401   -343   -540   -815   1520     89     66</t>
  </si>
  <si>
    <t>270    259     82    164     79    189  24461  29575</t>
  </si>
  <si>
    <t>3640  15532  18417  15573    489 -22088   -227   -185</t>
  </si>
  <si>
    <t>0     52      0      0      0     26     88      0</t>
  </si>
  <si>
    <t>0      0      0   -163      0      0    481      0</t>
  </si>
  <si>
    <t>133   -182   -159      0     67 -29507   -556   -446</t>
  </si>
  <si>
    <t>0    337      0      0      0      0      0    -84</t>
  </si>
  <si>
    <t>0     86      0    208      0      0      0      0</t>
  </si>
  <si>
    <t>0   1439   1093      0      0  -1041 -22312      0</t>
  </si>
  <si>
    <t>0      0      0  -2941   -273    -38      0      0</t>
  </si>
  <si>
    <t>0     10   -721      1   -564   -864   -361   -902</t>
  </si>
  <si>
    <t>0      0      0   1310      0   2011     35    545</t>
  </si>
  <si>
    <t>6442    -34    156    146      0   2749   2442   -544</t>
  </si>
  <si>
    <t>73   -510      0      0      0    -84   -139      0</t>
  </si>
  <si>
    <t>82     21      0      0      0      0      0    750</t>
  </si>
  <si>
    <t>128     69      0  -1141 -25347   -185   -135    -64</t>
  </si>
  <si>
    <t>3713      0    150      0      0   -499    194      0</t>
  </si>
  <si>
    <t>0    -66      0    -24     57   -126      0      0</t>
  </si>
  <si>
    <t>0   1023      0   4587    222    204      0   -581</t>
  </si>
  <si>
    <t>0      0      0   3784   3991    530   -535   -536</t>
  </si>
  <si>
    <t>0      0     83      0   -614      0   -781      0</t>
  </si>
  <si>
    <t>0      0      0      0      0    547      0   1959</t>
  </si>
  <si>
    <t>0    836 -27617      0      0      0      0      0</t>
  </si>
  <si>
    <t>-681   -330   -788  -1519      0      0      0      0</t>
  </si>
  <si>
    <t>-358      0      0   2136   -110      0      0      0</t>
  </si>
  <si>
    <t>0   3985   -604  -2168   4391    662    614    300</t>
  </si>
  <si>
    <t>-994      0      0      0      0      0      0      0</t>
  </si>
  <si>
    <t>281    -29    164    309      0      0     65      0</t>
  </si>
  <si>
    <t>0      0      0      0   -192      0  -8341  -7682</t>
  </si>
  <si>
    <t>0      0      0   -383      0      0      0      0</t>
  </si>
  <si>
    <t>422   4659  -1826  -1849  -2057  -3709   1048   -631</t>
  </si>
  <si>
    <t>1107   -409   -968   -913   -490   2362      0  -1808</t>
  </si>
  <si>
    <t>2561  -1193  -1011  -1616  -2460  -1109  -1501  -1181</t>
  </si>
  <si>
    <t>1311  -1347  -1544  -1160  -1666  -1887  -1790   -899</t>
  </si>
  <si>
    <t>138    222  -1464    -64  -1018  -1130  -1896   1308</t>
  </si>
  <si>
    <t>7    176    242    141     73    176    106  25567</t>
  </si>
  <si>
    <t>8717  27370  13451  23093  18427  12951    328 -30849</t>
  </si>
  <si>
    <t>414      0      0    -15      0      0      0    199</t>
  </si>
  <si>
    <t>0      0      0      0      0    -74      0      0</t>
  </si>
  <si>
    <t>-219      0   -252     -3      5      0     34 -26256</t>
  </si>
  <si>
    <t>-242   -338      0     91      0      0      0      0</t>
  </si>
  <si>
    <t>0      0      0    110      0    102      0      0</t>
  </si>
  <si>
    <t>0     88      0   -151    282      0      0   1348</t>
  </si>
  <si>
    <t>-315      0      0      0      0    696     13     71</t>
  </si>
  <si>
    <t>152    253      0   1272   1266    129   2146    471</t>
  </si>
  <si>
    <t>0      0      0      0      0  -1204      0   2845</t>
  </si>
  <si>
    <t>0   -246 -43007   -774   -400    236      0   -690</t>
  </si>
  <si>
    <t>433      0   -544    813      0      0      0  -2736</t>
  </si>
  <si>
    <t>5535   1490    790   1523      0      0      0      0</t>
  </si>
  <si>
    <t>0   -290   1096    794      0   -539 -41325     19</t>
  </si>
  <si>
    <t>-41    740    348      0     59      0      0     23</t>
  </si>
  <si>
    <t>-290      0      0     11      0   -228   -141   -409</t>
  </si>
  <si>
    <t>0      0      0    201      0     43     93   -118</t>
  </si>
  <si>
    <t>9302    536      0      0      0   2881   3594   2304</t>
  </si>
  <si>
    <t>0    297      0      0     77      0   -719      0</t>
  </si>
  <si>
    <t>0      0      0      0      0      0      0    177</t>
  </si>
  <si>
    <t>2993  -1081      0   1043 -41350      0      0      0</t>
  </si>
  <si>
    <t>3911  -1505   -561   -729    -88      0      0      0</t>
  </si>
  <si>
    <t>3068      0  -1890      0      0    178      9      0</t>
  </si>
  <si>
    <t>0  -1198      0   -314  -2544   -771   2549    581</t>
  </si>
  <si>
    <t>242   -372    432      0      0      0      0      0</t>
  </si>
  <si>
    <t>-163   -182   2076   -208   1305   -177      0      0</t>
  </si>
  <si>
    <t>253   -230      0      0      0      0  -1130      0</t>
  </si>
  <si>
    <t>0      0      0      0      0  -1750      0      0</t>
  </si>
  <si>
    <t>0    583    189     46   5477  -4479    740  -3177</t>
  </si>
  <si>
    <t>-136    749    360   7120  -2547   2200   1500  -1924</t>
  </si>
  <si>
    <t>4199   4274   -362   -598   3190    268  -1840    237</t>
  </si>
  <si>
    <t>1567    -66   1764    345  -1327   2378   4058   -263</t>
  </si>
  <si>
    <t>-855    725    152    204   -913   -459    438    -29</t>
  </si>
  <si>
    <t>2291    713    739    558    138    -25     68     43</t>
  </si>
  <si>
    <t>2682  39451  36863  33630  18092  23723  17622  24683</t>
  </si>
  <si>
    <t>0906   -214    -30    154      0      0      6      0</t>
  </si>
  <si>
    <t>232    218      0      0      0      0      0      0</t>
  </si>
  <si>
    <t>0    124      0   -162      0   -240      2    -32</t>
  </si>
  <si>
    <t>6312    -70   -121   -260   -353      0     83      0</t>
  </si>
  <si>
    <t>0      0    -30      0      0      0    148      0</t>
  </si>
  <si>
    <t>0      0      0      0     64      0    -28    275</t>
  </si>
  <si>
    <t>1613 -45106      0   -370      0      0      0      0</t>
  </si>
  <si>
    <t>-32      0      0   -624   -108      0    197    -67</t>
  </si>
  <si>
    <t>9   1033   -763      0      0      0      0      0</t>
  </si>
  <si>
    <t>2522   3003   1474      0   -388 -42209    -11    -73</t>
  </si>
  <si>
    <t>348    -19    -79    -24      0    -19     14      0</t>
  </si>
  <si>
    <t>18    -83      0     74   -248   -214   -600      0</t>
  </si>
  <si>
    <t>0      0    -21      0    412     27   -155      0</t>
  </si>
  <si>
    <t>1212    644   -494   -303    153    682      0    557</t>
  </si>
  <si>
    <t>768   1166      0   3061      0      0  -1349      0</t>
  </si>
  <si>
    <t>3681      0      0      0      0      0   -160      0</t>
  </si>
  <si>
    <t>1257      0   -204 -49283    515      0      0      0</t>
  </si>
  <si>
    <t>2158  -1340  -1248      0    316      0      0     21</t>
  </si>
  <si>
    <t>0  -1320      0      0      0      0      0      0</t>
  </si>
  <si>
    <t>77      0  -2697  -2868  -1009      0   1130 -41423</t>
  </si>
  <si>
    <t>0      0      0  -4021  -1451   -597   -746   -148</t>
  </si>
  <si>
    <t>0      0      0  -2582      0  -1605      0      0</t>
  </si>
  <si>
    <t>0      0      0      0  -1286      0    -84  -2528</t>
  </si>
  <si>
    <t>680    432    362    285   -415    274      0      0</t>
  </si>
  <si>
    <t>0      0      0  -1037   -344    659   -198    421</t>
  </si>
  <si>
    <t>0     22      0    224    -23      0      0      0</t>
  </si>
  <si>
    <t>0   -829   -909      0      0      0      0      0</t>
  </si>
  <si>
    <t>0      0      0      0    378     62    -54   4137</t>
  </si>
  <si>
    <t>3331   1690    -45     -1    707    204   7358   2116</t>
  </si>
  <si>
    <t>2070      0   -167   4362 -15121   -401    868    134</t>
  </si>
  <si>
    <t>2403    668   4745  -1436   -258    438   1976  -1354</t>
  </si>
  <si>
    <t>4251   -709   -585   -354    234    626    272   -814</t>
  </si>
  <si>
    <t>529  -1430   1402    763   2075    941    972    -53</t>
  </si>
  <si>
    <t>35    -47  33674  39759  43012  37098  33701  19604</t>
  </si>
  <si>
    <t>4540  26455  47183    408 -30221     73    -49    211</t>
  </si>
  <si>
    <t>51      0      0      0   -406    301      0      0</t>
  </si>
  <si>
    <t>0      0    -64      0      0    120      0   -160</t>
  </si>
  <si>
    <t>0   -109      0     14 -25857    -31    -42   -237</t>
  </si>
  <si>
    <t>84      0      0      0      0      0     13      0</t>
  </si>
  <si>
    <t>-7      0     41      0      0      0      0      0</t>
  </si>
  <si>
    <t>-15    265      0      0    621 -42878      0    198</t>
  </si>
  <si>
    <t>0      0    108    271    611      0      0    228</t>
  </si>
  <si>
    <t>-120   3304    -44   2081   -429   -224   -365      0</t>
  </si>
  <si>
    <t>0      0   -573      0   2178   2687    622      0</t>
  </si>
  <si>
    <t>-30     49     26      0    558    -32     78     58</t>
  </si>
  <si>
    <t>42      0      0      0    -17    164      0    135</t>
  </si>
  <si>
    <t>-2      0      0      0      0      0    192      0</t>
  </si>
  <si>
    <t>-106      0   -495 -40539     -6    -15     14     14</t>
  </si>
  <si>
    <t>0    128      0      0     22     29      0    -12</t>
  </si>
  <si>
    <t>-40      0    -18    -42     74      0      0      0</t>
  </si>
  <si>
    <t>313      0     32    239     16      0    122 -51376</t>
  </si>
  <si>
    <t>0      0    593   1153   -397   -685   -566      0</t>
  </si>
  <si>
    <t>0    424      0  -9241      0  -7696      0      0</t>
  </si>
  <si>
    <t>0      0      0      0   -258      0  -3161  -1276</t>
  </si>
  <si>
    <t>1002 -40721      0      0      0      0      0  -3542</t>
  </si>
  <si>
    <t>-737    -80    -34      0      0      0      0  -1582</t>
  </si>
  <si>
    <t>0      0    140    -32      0      0      0      0</t>
  </si>
  <si>
    <t>-330  -2384   -770   2290    370    116    266    218</t>
  </si>
  <si>
    <t>0      0      0      0      0      0      0    -68</t>
  </si>
  <si>
    <t>-91    929     99      0      0     55      0    202</t>
  </si>
  <si>
    <t>0      0      0   -222      0  -1234   -407      0</t>
  </si>
  <si>
    <t>0      0  -1093      0      0      0      0      0</t>
  </si>
  <si>
    <t>99  -1685   -587   -772  -7427   2859    -13    -39</t>
  </si>
  <si>
    <t>4683   1336   1306  -2779  -1202      0    457   2451</t>
  </si>
  <si>
    <t>978    442    497   3937   4377    511    496   2382</t>
  </si>
  <si>
    <t>456    347   -513    131    119   4932   -181    917</t>
  </si>
  <si>
    <t>625   -939    -71   -198   -366   -902   1172    298</t>
  </si>
  <si>
    <t>1054    139     49   -309    244     12  31328  38240</t>
  </si>
  <si>
    <t>2408  14671  21209  17062  25923  25700  49051  49171</t>
  </si>
  <si>
    <t>-69    -24   1009      0      0    -79      0      0</t>
  </si>
  <si>
    <t>12      0      0      0      0      0      0     53</t>
  </si>
  <si>
    <t>66      0   -109      0    -59     90      2      0</t>
  </si>
  <si>
    <t>36    355    108   -101      0     58      0      0</t>
  </si>
  <si>
    <t>0    180      0      0      0    -73      0     29</t>
  </si>
  <si>
    <t>0      0      0    -62      0   -718    356      0</t>
  </si>
  <si>
    <t>2271      0    175      0      0      0      0  -1660</t>
  </si>
  <si>
    <t>0      0     79    519      0     43   1140     99</t>
  </si>
  <si>
    <t>408   1371      0      0      0      0      0    614</t>
  </si>
  <si>
    <t>3939    957      0    195 -41460     56    244    114</t>
  </si>
  <si>
    <t>1761     48    -49      0    188   -374      0      0</t>
  </si>
  <si>
    <t>1187      0   -734      6      6   -218      0      0</t>
  </si>
  <si>
    <t>0   -259      0    353   -228     -9      0    -93</t>
  </si>
  <si>
    <t>136    -97    -93   1803   1931      0     67      0</t>
  </si>
  <si>
    <t>59      0    282      0      0    -39      0    141</t>
  </si>
  <si>
    <t>0      0      0      0      0    -44      0   -237</t>
  </si>
  <si>
    <t>0     78 -48285    425      0      0      0   3683</t>
  </si>
  <si>
    <t>1295  -1273      0     -1      0      0    113      0</t>
  </si>
  <si>
    <t>1120      0      0      0      0      0      0      0</t>
  </si>
  <si>
    <t>0  -2456  -2876   -834      0   3235 -42589      0</t>
  </si>
  <si>
    <t>0      0  -5429  -5510  -1360  -1311  -1628  -2086</t>
  </si>
  <si>
    <t>0      0 -13795      0  -8285      0      0   1097</t>
  </si>
  <si>
    <t>0      0      0  -2102      0   -879  -1724  -1426</t>
  </si>
  <si>
    <t>-657   -514   -126  -1821   -768      0      0      0</t>
  </si>
  <si>
    <t>0      0   -386   -269   3120   -159   2033    -56</t>
  </si>
  <si>
    <t>-295      0    269    232      0      0      0      0</t>
  </si>
  <si>
    <t>4535  -7888      0      0      0      0      0      0</t>
  </si>
  <si>
    <t>0      0      0      0      0      0      0     61</t>
  </si>
  <si>
    <t>0      0      0    427    398      8   4177   1690</t>
  </si>
  <si>
    <t>127   -198     69    469    421    402   1746   1474</t>
  </si>
  <si>
    <t>0   4933   2559   2354   -251   3108   1251   1827</t>
  </si>
  <si>
    <t>1961   1488   -636   2105   1338   1342   -685   2718</t>
  </si>
  <si>
    <t>-60   -167   -934   -282   -515   -281    160    534</t>
  </si>
  <si>
    <t>2112   1810     62   -108    137   2626    267    187</t>
  </si>
  <si>
    <t>254  32869  37559  37522  34794  35346  16411  21596</t>
  </si>
  <si>
    <t>7868  51560  50686  44081    326 -32220   -286    -20</t>
  </si>
  <si>
    <t>0    151      0      0      0    -32     67      0</t>
  </si>
  <si>
    <t>0      0      0    -42      0      0     68      0</t>
  </si>
  <si>
    <t>-5   -279     -5      0     92 -27780   -135   -253</t>
  </si>
  <si>
    <t>0     79      0      0      0      0      0     72</t>
  </si>
  <si>
    <t>0     51      0    -26      0      0      0      0</t>
  </si>
  <si>
    <t>0    176    299      0      0    139 -43834      0</t>
  </si>
  <si>
    <t>0      0      0      2    137    156      0      0</t>
  </si>
  <si>
    <t>0     65    -88      0    -55    -54   -174    -81</t>
  </si>
  <si>
    <t>0      0      0   -283      0     27   -276     67</t>
  </si>
  <si>
    <t>9389   -241    301    275      0    110   1275    206</t>
  </si>
  <si>
    <t>-21   -205      0      0      0      1     69      0</t>
  </si>
  <si>
    <t>1290     30      0      0      0      0      0   -454</t>
  </si>
  <si>
    <t>2658   1482      0     25 -48868  -1002   -978    172</t>
  </si>
  <si>
    <t>-48      0    486      0      0    110     65      0</t>
  </si>
  <si>
    <t>0    189      0    737    788   -694      0      0</t>
  </si>
  <si>
    <t>0   -124      0   -136   3027   1377      0    369</t>
  </si>
  <si>
    <t>0      0      0   2173   3314   2457  -1486  -1376</t>
  </si>
  <si>
    <t>0      0     98      0   -857      0  -1363      0</t>
  </si>
  <si>
    <t>0      0      0      0      0   -143      0  -3664</t>
  </si>
  <si>
    <t>0   1612 -45286      0      0      0      0      0</t>
  </si>
  <si>
    <t>-549   -780    -12     26      0      0      0      0</t>
  </si>
  <si>
    <t>1618      0      0    437   -287      0      0      0</t>
  </si>
  <si>
    <t>0   -567  -3067   -756   3960   1008    830    621</t>
  </si>
  <si>
    <t>223      0      0      0      0      0      0      0</t>
  </si>
  <si>
    <t>555   -112    397   -302      0      0    142      0</t>
  </si>
  <si>
    <t>0      0      0      0  -2421      0   -291    280</t>
  </si>
  <si>
    <t>0      0      0  -1753      0      0      0      0</t>
  </si>
  <si>
    <t>724    815   2628   6003   7023  -1297  -5773   -127</t>
  </si>
  <si>
    <t>747   4066   8266   8199   3172  -9171      0    856</t>
  </si>
  <si>
    <t>1805   1134    805    256  -1400   1263  -1852    273</t>
  </si>
  <si>
    <t>-845   -383  -1470    622   -119   1290   -647    635</t>
  </si>
  <si>
    <t>11    208  -1026   -294   -489   -303  -1690   1410</t>
  </si>
  <si>
    <t>299    579    415    225    104    325    153  33881</t>
  </si>
  <si>
    <t>8073  35376  18375  23623  18027  25476  28034  59875</t>
  </si>
  <si>
    <t>6913    120 -31932    110    -23    205      0      0</t>
  </si>
  <si>
    <t>0      0     -2     23      0      0      0      0</t>
  </si>
  <si>
    <t>-39      0      0     58      0    -48      0    -74</t>
  </si>
  <si>
    <t>0     22 -26853    -91   -178   -130   -338      0</t>
  </si>
  <si>
    <t>0      0      0      0     55      0      0      0</t>
  </si>
  <si>
    <t>6      0      0      0      0      0    135      0</t>
  </si>
  <si>
    <t>0      0    194 -41727      0   -283      0      0</t>
  </si>
  <si>
    <t>-373     24    104      0      0    -44    -42      0</t>
  </si>
  <si>
    <t>-54   -287    -92    -83   -262      0      0      0</t>
  </si>
  <si>
    <t>-140      0    266   -268     41      0   -149 -47737</t>
  </si>
  <si>
    <t>326      0    -75   1542    263    374      0   -286</t>
  </si>
  <si>
    <t>0      0   -217   2772      0   1768     27     16</t>
  </si>
  <si>
    <t>0      0      0      0   -247      0   2079   2386</t>
  </si>
  <si>
    <t>-132 -43294   -144     17    174     51    375    381</t>
  </si>
  <si>
    <t>0      0   -117     36      0    147      0      0</t>
  </si>
  <si>
    <t>58     25    148      0      0      0      0      0</t>
  </si>
  <si>
    <t>-276   -190    -90      0   -621 -59752   -209      0</t>
  </si>
  <si>
    <t>1579   4136   3631   -850  -1080      0     93      0</t>
  </si>
  <si>
    <t>0    517      0    693      0      0      0      0</t>
  </si>
  <si>
    <t>0      0    -15      0   -497   1002   1186      0</t>
  </si>
  <si>
    <t>0      0      0      0      0  -3416  -1674   -622</t>
  </si>
  <si>
    <t>-100      0      0      0      0  -2560      0  -1610</t>
  </si>
  <si>
    <t>156     -7      0      0      0      0  -1531      0</t>
  </si>
  <si>
    <t>-936   2721    214    382    340    389   -149    -74</t>
  </si>
  <si>
    <t>0      0      0      0      0     12     51   -138</t>
  </si>
  <si>
    <t>17      0      0    124      0    239      7      0</t>
  </si>
  <si>
    <t>0   -536      0  -1021  -1059      0      0      0</t>
  </si>
  <si>
    <t>1227      0      0      0      0      0    -56    184</t>
  </si>
  <si>
    <t>-323   1366   3837   -814     59     44    999    151</t>
  </si>
  <si>
    <t>2620   8296  -5641      0    783   -797   1655  -3173</t>
  </si>
  <si>
    <t>1225   -941    671   3881    359  -1732    379   2003</t>
  </si>
  <si>
    <t>619  -1131    733   2076    -72     41     88    214</t>
  </si>
  <si>
    <t>-342   -332    -26  -1818    965     34    149     67</t>
  </si>
  <si>
    <t>347    136    172    110  33840  39692  41252  37941</t>
  </si>
  <si>
    <t>9667  18678  24956  27670  53749  55334  52563  52534</t>
  </si>
  <si>
    <t>2265   -287    -47    123      0      0    153      0</t>
  </si>
  <si>
    <t>27     39      0      0      0      0      0      0</t>
  </si>
  <si>
    <t>0     29      0    -31      0    -29   -340    -77</t>
  </si>
  <si>
    <t>7425   -178   -106   -101   -100      0     -7      0</t>
  </si>
  <si>
    <t>0      0    -21      0      0      0    -11      0</t>
  </si>
  <si>
    <t>0      0      0      0     30      0   -114     34</t>
  </si>
  <si>
    <t>-465 -40870      0   -390      0      0      0      0</t>
  </si>
  <si>
    <t>129      0      0     -8     25      0     93    -67</t>
  </si>
  <si>
    <t>-75     44    -66      0      0      0      0      0</t>
  </si>
  <si>
    <t>140     44     64      0   -336 -47395   -955   -463</t>
  </si>
  <si>
    <t>1234  -1631  -1665    796      0  -1601   -649      0</t>
  </si>
  <si>
    <t>-80   1005      0   1123     35     34   1291      0</t>
  </si>
  <si>
    <t>0      0    158      0   2975   2312    685      0</t>
  </si>
  <si>
    <t>-159    -44    583   -179    250    511      0     29</t>
  </si>
  <si>
    <t>-175     68      0     89      0      0    -52      0</t>
  </si>
  <si>
    <t>-48      0      0      0      0      0     45      0</t>
  </si>
  <si>
    <t>-42      0     -6 -50922    505      0      0      0</t>
  </si>
  <si>
    <t>2194  -1366  -1239      0     90      0      0     84</t>
  </si>
  <si>
    <t>0  -1448      0      0      0      0      0      0</t>
  </si>
  <si>
    <t>146      0  -2614  -3095  -1034      0    165 -48196</t>
  </si>
  <si>
    <t>0      0      0   -641    291  -1231  -1471   -946</t>
  </si>
  <si>
    <t>0      0      0  -1809      0   -327      0      0</t>
  </si>
  <si>
    <t>0      0      0      0   -185      0   1214    181</t>
  </si>
  <si>
    <t>1380   1054    828    730    352    367      0      0</t>
  </si>
  <si>
    <t>0      0      0   -134    -30    286     -3     30</t>
  </si>
  <si>
    <t>0    275      0     92   -500      0      0      0</t>
  </si>
  <si>
    <t>0   -630  -2171      0      0      0      0      0</t>
  </si>
  <si>
    <t>0      0      0      0    236     53    -25   -216</t>
  </si>
  <si>
    <t>3810   -442   -154   -137   -154   -208   -327  -1072</t>
  </si>
  <si>
    <t>446      0   -103   1700   -265  -3096     95    674</t>
  </si>
  <si>
    <t>172   1153   -320  -2334    -54    701   -490  -2110</t>
  </si>
  <si>
    <t>-197  -1180    -49    168    180    349    306  -1307</t>
  </si>
  <si>
    <t>-106  -1653    263    229    255    225    503    261</t>
  </si>
  <si>
    <t>180    443  34101  42383  41052  38377  36922  19381</t>
  </si>
  <si>
    <t>6011  28876  51355  54324  51719  52285  59793  52244</t>
  </si>
  <si>
    <t>14    -23    141      0      0     69      0      0</t>
  </si>
  <si>
    <t>26      0      0      0      0      0      0    -28</t>
  </si>
  <si>
    <t>63      0    -69      0    -83   -225   -126      0</t>
  </si>
  <si>
    <t>-93   -133    -94   -345      0     85      0      0</t>
  </si>
  <si>
    <t>0     47      0      0      0    -32      0      2</t>
  </si>
  <si>
    <t>0      0      0    120      0     47    323      0</t>
  </si>
  <si>
    <t>1958      0   -359      0      0      0      0   -327</t>
  </si>
  <si>
    <t>0      0    -81    -62      0    -21   -169     -8</t>
  </si>
  <si>
    <t>-49   -196      0      0      0      0      0     14</t>
  </si>
  <si>
    <t>-39     84      0     81 -44306   -217     50    322</t>
  </si>
  <si>
    <t>455    -47     44      0    -64   -172      0      0</t>
  </si>
  <si>
    <t>-20      0      4     54     12    119      0      0</t>
  </si>
  <si>
    <t>0   -208      0   -164   -529   -228      0   -653</t>
  </si>
  <si>
    <t>-148    726     -4   -431   1559      0    398      0</t>
  </si>
  <si>
    <t>100      0     19      0      0     32      0   -361</t>
  </si>
  <si>
    <t>0      0      0      0      0    260      0   1186</t>
  </si>
  <si>
    <t>0   -469 -58499    542      0      0      0   2375</t>
  </si>
  <si>
    <t>-944  -1347      0   -390      0      0  -1559      0</t>
  </si>
  <si>
    <t>1052      0      0      0      0      0      0      0</t>
  </si>
  <si>
    <t>0  -2316    962   1506      0   1647 -43503      0</t>
  </si>
  <si>
    <t>0      0  -3309  -1408   -635   -770   -125   -254</t>
  </si>
  <si>
    <t>0      0  -2558      0  -1610      0      0    271</t>
  </si>
  <si>
    <t>0      0      0  -1366      0   -220  -3118  -1010</t>
  </si>
  <si>
    <t>418    180    328   -299   -142      0      0      0</t>
  </si>
  <si>
    <t>0      0    239    -26    715    -25    572     66</t>
  </si>
  <si>
    <t>111      0    237   -119      0      0      0      0</t>
  </si>
  <si>
    <t>-965   -989      0      0      0      0      0      0</t>
  </si>
  <si>
    <t>0      0      0      0      0      0      0  -1290</t>
  </si>
  <si>
    <t>0      0      0    136    136     20    288   1102</t>
  </si>
  <si>
    <t>-534    -33    105    972    179   2747   2653   5533</t>
  </si>
  <si>
    <t>0    657   1632   -535  -2914    644    612    548</t>
  </si>
  <si>
    <t>724   3147  -3581    451    849   1975  -1559    517</t>
  </si>
  <si>
    <t>561    -74    -66     11    308    374  -1099   -279</t>
  </si>
  <si>
    <t>2197   1068    193    103    192    656    186    311</t>
  </si>
  <si>
    <t>208  33788  41334  39588  38069  34964  18318  22800</t>
  </si>
  <si>
    <t>7272  55695  54189  54187  52538  61004  53293  57318</t>
  </si>
  <si>
    <t>-253     17   -112      0      0    219      0      0</t>
  </si>
  <si>
    <t>51      0      0      0      0      0      0   -183</t>
  </si>
  <si>
    <t>7      0    -14      0    -44   -301    -69      0</t>
  </si>
  <si>
    <t>-138   -179    -58    -13      0    -20      0      0</t>
  </si>
  <si>
    <t>0     18      0      0      0    -11      0     17</t>
  </si>
  <si>
    <t>0      0      0     36      0    122      5      0</t>
  </si>
  <si>
    <t>0882      0   -327      0      0      0      0   -193</t>
  </si>
  <si>
    <t>0      0      6     38      0    103     -3     50</t>
  </si>
  <si>
    <t>113     80      0      0      0      0      0    244</t>
  </si>
  <si>
    <t>157     28      0   -125 -43537   -225    -79    694</t>
  </si>
  <si>
    <t>304     40    -35      0      1   -191      0      0</t>
  </si>
  <si>
    <t>-133      0   -129    -38    -14   -183      0      0</t>
  </si>
  <si>
    <t>0    -70      0    189   -139    -44      0   -188</t>
  </si>
  <si>
    <t>-230    288     21  -1653   -957      0   1039      0</t>
  </si>
  <si>
    <t>404      0   -297      0      0    244      0     57</t>
  </si>
  <si>
    <t>0      0      0      0      0   -109      0   3799</t>
  </si>
  <si>
    <t>0     38 -50956    443      0      0      0   1508</t>
  </si>
  <si>
    <t>1317  -1195      0     72      0      0     96      0</t>
  </si>
  <si>
    <t>1318      0      0      0      0      0      0      0</t>
  </si>
  <si>
    <t>0  -2530  -3040  -1043      0    303 -46932      0</t>
  </si>
  <si>
    <t>0      0   -345   -924   -932  -1242    -56  -1098</t>
  </si>
  <si>
    <t>0      0  -2889      0  -1452      0      0  -1140</t>
  </si>
  <si>
    <t>0      0      0   -361      0   -491    -73   1044</t>
  </si>
  <si>
    <t>963    642    577    497    165      0      0      0</t>
  </si>
  <si>
    <t>0      0    -42    -57    795    -74    590     -5</t>
  </si>
  <si>
    <t>231      0    163   -492      0      0      0      0</t>
  </si>
  <si>
    <t>733   -541      0      0      0      0      0      0</t>
  </si>
  <si>
    <t>0      0      0      0      0      0      0   -483</t>
  </si>
  <si>
    <t>0      0      0    248    120    234    343    434</t>
  </si>
  <si>
    <t>-376   -171    -47   -134   -211   -398    132   -444</t>
  </si>
  <si>
    <t>0    566    464   2572  -2389    499    220   1834</t>
  </si>
  <si>
    <t>534   1468  -1463    322    135   1269  -1600    482</t>
  </si>
  <si>
    <t>-400    -22    -18    333    275    212  -1231     77</t>
  </si>
  <si>
    <t>1272    114    161    232    170    647    317    116</t>
  </si>
  <si>
    <t>605  34000  40965  42119  38235  36804  18877  23244</t>
  </si>
  <si>
    <t>0802  54541  51241  51437  53912  60361  57061  49267</t>
  </si>
  <si>
    <t>1978   -424   -182   -125      0      0    253      0</t>
  </si>
  <si>
    <t>177     54      0      0      0      0      0      0</t>
  </si>
  <si>
    <t>0    110      0   -131      0    343   -343   -242</t>
  </si>
  <si>
    <t>3785    -63   -328   -455  -1064      0    128      0</t>
  </si>
  <si>
    <t>0      0    314      0      0      0   -221      0</t>
  </si>
  <si>
    <t>0      0      0      0     37      0    -22    195</t>
  </si>
  <si>
    <t>1551 -54670      0    765      0      0      0      0</t>
  </si>
  <si>
    <t>-15      0      0    577    252      0    128    122</t>
  </si>
  <si>
    <t>1071    844    398      0      0      0      0      0</t>
  </si>
  <si>
    <t>2026   1002   -333      0  -1565 -65767   -115   -213</t>
  </si>
  <si>
    <t>-484  -1478  -1551    205      0    -28   -189      0</t>
  </si>
  <si>
    <t>-158   -609      0   -362    275    166   -125      0</t>
  </si>
  <si>
    <t>0      0    814      0  12554    668    225      0</t>
  </si>
  <si>
    <t>-297   -107   -519   -177   -791   1256      0    336</t>
  </si>
  <si>
    <t>-294    450      0    252      0      0   -139      0</t>
  </si>
  <si>
    <t>-53      0      0      0      0      0   1166      0</t>
  </si>
  <si>
    <t>315      0  -1324 -71351    486      0      0      0</t>
  </si>
  <si>
    <t>1216  -1490  -1392      0    554      0      0     33</t>
  </si>
  <si>
    <t>0  -1837      0      0      0      0      0      0</t>
  </si>
  <si>
    <t>494      0   4318  -2597   -780      0   -282 -64112</t>
  </si>
  <si>
    <t>0      0      0  -2619  -1264   -524   -613     71</t>
  </si>
  <si>
    <t>0      0      0  -3064      0  -1961      0      0</t>
  </si>
  <si>
    <t>0      0      0      0   -587      0   8710  -2163</t>
  </si>
  <si>
    <t>792    270    372    395      7    285      0      0</t>
  </si>
  <si>
    <t>0      0      0   -253    -80   1102    -73    893</t>
  </si>
  <si>
    <t>0    100      0    679   1951      0      0      0</t>
  </si>
  <si>
    <t>0    236   -287      0      0      0      0      0</t>
  </si>
  <si>
    <t>0      0      0      0   1912    973   1023   2260</t>
  </si>
  <si>
    <t>2727  -4742  -1776   1192   1816   1032   1728   3557</t>
  </si>
  <si>
    <t>9150      0   -193    617    681  -3304   -566   -537</t>
  </si>
  <si>
    <t>-528  -2152    613    -32    534    495    468   -695</t>
  </si>
  <si>
    <t>100   -915   1158    161    127    135    538    634</t>
  </si>
  <si>
    <t>367    512  53907  64874  65156  61019  53905  28761</t>
  </si>
  <si>
    <t>8139  41162  56110  56179  54755  54463  60770  59043</t>
  </si>
  <si>
    <t>9010    -29 -52079   -320   -153    152      0      0</t>
  </si>
  <si>
    <t>0      0    116     79      0      0      0      0</t>
  </si>
  <si>
    <t>-188      0      0    116      0   -138      0    139</t>
  </si>
  <si>
    <t>0     88 -44037    -51   -182   -312   -840      0</t>
  </si>
  <si>
    <t>0      0      0      0    226      0      0      0</t>
  </si>
  <si>
    <t>42      0      0      0      0      0     23      0</t>
  </si>
  <si>
    <t>0      0  -1219 -57751      0    194      0      0</t>
  </si>
  <si>
    <t>1470   -219     34      0      0    418    128      0</t>
  </si>
  <si>
    <t>236      1    591    555    224      0      0      0</t>
  </si>
  <si>
    <t>534      0   1663   1024   -154      0  -1301 -67237</t>
  </si>
  <si>
    <t>177      0    -22   -555  -1233    184      0     -2</t>
  </si>
  <si>
    <t>0      0   -109   -584      0   -355    157     77</t>
  </si>
  <si>
    <t>0      0      0      0    721      0   9508    631</t>
  </si>
  <si>
    <t>1737 -65605   -215   -174     45   -144   -216   1576</t>
  </si>
  <si>
    <t>0      0   -130    336      0    238      0      0</t>
  </si>
  <si>
    <t>116     90    -11      0      0      0      0      0</t>
  </si>
  <si>
    <t>8463    870    238      0   -979 -75312    516      0</t>
  </si>
  <si>
    <t>2127   3108   1550  -1583  -1483      0    558      0</t>
  </si>
  <si>
    <t>0  -1470      0  -1902      0      0      0      0</t>
  </si>
  <si>
    <t>0      0    477      0   2311  -2749   -914      0</t>
  </si>
  <si>
    <t>0      0      0      0      0  -2657  -1511   -676</t>
  </si>
  <si>
    <t>3      0      0      0      0  -3206      0  -2079</t>
  </si>
  <si>
    <t>193   -266      0      0      0      0   -664      0</t>
  </si>
  <si>
    <t>-637   3638    645    402    231    333   -262     10</t>
  </si>
  <si>
    <t>0      0      0      0      0   -244    -77   1159</t>
  </si>
  <si>
    <t>-123      0      0    131      0    575   1124      0</t>
  </si>
  <si>
    <t>0   -536      0  -1054  -2432      0      0      0</t>
  </si>
  <si>
    <t>-850      0      0      0      0      0   1495    658</t>
  </si>
  <si>
    <t>1828   1681  -3558  -2154  -1358    880   1461    809</t>
  </si>
  <si>
    <t>3717   1713  -6473      0    -23   1105   1140  -3063</t>
  </si>
  <si>
    <t>329  -3372   -150    498    506  -2973   -161    218</t>
  </si>
  <si>
    <t>-335    -66      4  -1651    358   -222    430    341</t>
  </si>
  <si>
    <t>189    451      3  -1320   1247    159    116    152</t>
  </si>
  <si>
    <t>321    377    328    430  50874  61111  61287  57793</t>
  </si>
  <si>
    <t>3598  27157  36762  39601  58266  58356  57508  56746</t>
  </si>
  <si>
    <t>1756  61656  61288  98003      5 -50706   -275   -130</t>
  </si>
  <si>
    <t>0    173      0      0      0     94     76      0</t>
  </si>
  <si>
    <t>0      0      0   -157      0      0    106      0</t>
  </si>
  <si>
    <t>79   -123   -164      0     70 -42984    -47   -133</t>
  </si>
  <si>
    <t>0     98      0      0      0      0      0    187</t>
  </si>
  <si>
    <t>0   -131      0     39      0      0      0      0</t>
  </si>
  <si>
    <t>0   -164    235      0      0  -1025 -57646      0</t>
  </si>
  <si>
    <t>0      0      0  -1291   -175     48      0      0</t>
  </si>
  <si>
    <t>0    113    -45    193    -12    447    443    155</t>
  </si>
  <si>
    <t>0      0      0    443      0   1394   1018    -96</t>
  </si>
  <si>
    <t>6102    -79   -162    262      0     90   -399  -1032</t>
  </si>
  <si>
    <t>8      2      0      0      0   -101   -598      0</t>
  </si>
  <si>
    <t>55   -131      0      0      0      0      0    620</t>
  </si>
  <si>
    <t>592    133      0  -1508 -64526   -192   -153    127</t>
  </si>
  <si>
    <t>1410      0    273      0      0    -74    279      0</t>
  </si>
  <si>
    <t>0   -108      0     95     66      3      0      0</t>
  </si>
  <si>
    <t>0    914      0   6996    806    206      0   -803</t>
  </si>
  <si>
    <t>0      0      0   2105   3054   1576  -1510  -1412</t>
  </si>
  <si>
    <t>0      0     44      0  -1417      0  -1850      0</t>
  </si>
  <si>
    <t>0      0      0      0      0    423      0   1524</t>
  </si>
  <si>
    <t>0    325 -65502      0      0      0      0      0</t>
  </si>
  <si>
    <t>-679   -772    -53    -36      0      0      0      0</t>
  </si>
  <si>
    <t>1992      0      0    218   -209      0      0      0</t>
  </si>
  <si>
    <t>0   5033  -2254   -671   3317    589    390    202</t>
  </si>
  <si>
    <t>17      0      0      0      0      0      0      0</t>
  </si>
  <si>
    <t>1133    -26    928    -82      0      0    121      0</t>
  </si>
  <si>
    <t>0      0      0      0   -811      0  -1220  -2431</t>
  </si>
  <si>
    <t>0      0      0  -1036      0      0      0      0</t>
  </si>
  <si>
    <t>524    483    717   1445   1290  -3248  -1455  -1140</t>
  </si>
  <si>
    <t>677   1371   2418   3074   1532  -5230      0     97</t>
  </si>
  <si>
    <t>2529   -187    370    447  -2888    -31    663    649</t>
  </si>
  <si>
    <t>328    324  -2028   -196     30     86  -1249    275</t>
  </si>
  <si>
    <t>290    308   -735    165    358    -19  -1315   1189</t>
  </si>
  <si>
    <t>160    592    455    283    344    273    375  46242</t>
  </si>
  <si>
    <t>2617  46929  25386  30698  24918  33625  36171  54477</t>
  </si>
  <si>
    <t>3506  58236  57615  57823  57643  57387  94896  98439</t>
  </si>
  <si>
    <t>-515   -231   -293      0      0    235      0      0</t>
  </si>
  <si>
    <t>37      0      0      0      0      0      0   -215</t>
  </si>
  <si>
    <t>131      0    -99      0    311   -384   -228      0</t>
  </si>
  <si>
    <t>-205   -519   -640  -1262      0    125      0      0</t>
  </si>
  <si>
    <t>0    292      0      0      0   -207      0     19</t>
  </si>
  <si>
    <t>0      0      0     82      0   -101    -31      0</t>
  </si>
  <si>
    <t>1499      0    570      0      0      0      0  -1638</t>
  </si>
  <si>
    <t>0      0    605    276      0    230     91    363</t>
  </si>
  <si>
    <t>834    255      0      0      0      0      0    697</t>
  </si>
  <si>
    <t>1417   -235      0  -2229 -62364   -157   -196   -513</t>
  </si>
  <si>
    <t>1093  -1836    243      0   -177    133      0      0</t>
  </si>
  <si>
    <t>-653      0   -349    304    210    -34      0      0</t>
  </si>
  <si>
    <t>0   1990      0  12521    890    294      0  -2645</t>
  </si>
  <si>
    <t>-196   -732   -179   -753   1802      0    382      0</t>
  </si>
  <si>
    <t>483      0    327      0      0   -132      0    218</t>
  </si>
  <si>
    <t>0      0      0      0      0   2270      0  11383</t>
  </si>
  <si>
    <t>0  -1147 -66984    517      0      0      0   1576</t>
  </si>
  <si>
    <t>1506  -1393      0    723      0      0      7      0</t>
  </si>
  <si>
    <t>1793      0      0      0      0      0      0      0</t>
  </si>
  <si>
    <t>0   4436  -2405   -766      0  -1527 -63429      0</t>
  </si>
  <si>
    <t>0      0   -622   -811    591    340    605   2044</t>
  </si>
  <si>
    <t>0      0  -3062      0  -2049      0      0    524</t>
  </si>
  <si>
    <t>0      0      0    775      0   8204  -1346    704</t>
  </si>
  <si>
    <t>609    715    446    362   -342      0      0      0</t>
  </si>
  <si>
    <t>0      0   -429   -204   1089   -139    906   -364</t>
  </si>
  <si>
    <t>267      0   1609  -4557      0      0      0      0</t>
  </si>
  <si>
    <t>126  -1448      0      0      0      0      0      0</t>
  </si>
  <si>
    <t>0      0      0      0      0      0      0    797</t>
  </si>
  <si>
    <t>0      0      0   1643   -369   -266  -4558  -4834</t>
  </si>
  <si>
    <t>5032  -1667   1231    -25    -87  -3433  -2076   -817</t>
  </si>
  <si>
    <t>0  -7454  -7680  -7729 -10185  -6849  -7487  -9949</t>
  </si>
  <si>
    <t>9607  -7444 -10140  -5408  -8062  -8054  -7696  -7287</t>
  </si>
  <si>
    <t>0253   2123   2234   2587   2486   2207    955   1607</t>
  </si>
  <si>
    <t>273   2857   2186   2101   1672   2419   2460   1904</t>
  </si>
  <si>
    <t>2170  52731  63504  63713  59826  53146  28245  34456</t>
  </si>
  <si>
    <t>0621  54790  54896  53405  52781  59570  57564  58078</t>
  </si>
  <si>
    <t>7361  95855  92786    706 -50115   -421   -190     64</t>
  </si>
  <si>
    <t>191      0      0      0    196     65      0      0</t>
  </si>
  <si>
    <t>0      0   -207      0      0    129      0   -118</t>
  </si>
  <si>
    <t>-209   -172      0    655 -42266   -207   -314   -466</t>
  </si>
  <si>
    <t>114      0      0      0      0      0    218      0</t>
  </si>
  <si>
    <t>-138      0     33      0      0      0      0      0</t>
  </si>
  <si>
    <t>-261    101      0      0  -1077 -54029      0    -14</t>
  </si>
  <si>
    <t>0      0  -1672   -291     11      0      0    441</t>
  </si>
  <si>
    <t>170   -138    235    -65    445    516     85      0</t>
  </si>
  <si>
    <t>0      0    542      0   1750   1263    -71      0</t>
  </si>
  <si>
    <t>-157   -175     78      0    174   -267  -1431    202</t>
  </si>
  <si>
    <t>405      0      0      0   -188   -646      0   -360</t>
  </si>
  <si>
    <t>-28      0      0      0      0      0   1474      0</t>
  </si>
  <si>
    <t>185      0  -2201 -61733   -298   -198   -105   -165</t>
  </si>
  <si>
    <t>0    313      0      0    249    361      0    309</t>
  </si>
  <si>
    <t>-120      0    125     95     64      0      0      0</t>
  </si>
  <si>
    <t>1734      0   8476    962    225      0   -990 -69994</t>
  </si>
  <si>
    <t>0      0   2346   3352   1397  -1611  -1497      0</t>
  </si>
  <si>
    <t>0     25      0  -1454      0  -1860      0      0</t>
  </si>
  <si>
    <t>0      0      0      0   1009      0   2407  -2624</t>
  </si>
  <si>
    <t>-981 -65537      0      0      0      0      0   -911</t>
  </si>
  <si>
    <t>349    634   2379      0      0      0      0  -3295</t>
  </si>
  <si>
    <t>0      0    824   -453      0      0      0      0</t>
  </si>
  <si>
    <t>5586  -1485    645   5204    988    768    515    329</t>
  </si>
  <si>
    <t>0      0      0      0      0      0      0   -379</t>
  </si>
  <si>
    <t>-40   1168   -262      0      0    262      0   1263</t>
  </si>
  <si>
    <t>0      0      0   -409      0  -1509  -3284      0</t>
  </si>
  <si>
    <t>0      0   -956      0      0      0      0      0</t>
  </si>
  <si>
    <t>1001  -7356  -8004  -8197 -12814  -2439  -1275    919</t>
  </si>
  <si>
    <t>5035  -4535  -3470  -4910  -7165      0  -8895  -9678</t>
  </si>
  <si>
    <t>8113  -8412 -11594 -13363  -7883 -11280  -8355 -11950</t>
  </si>
  <si>
    <t>9406  -8914  -8275 -11521 -11590 -12008   1301    978</t>
  </si>
  <si>
    <t>1164   -336    856   1155    699   -855   1983   1641</t>
  </si>
  <si>
    <t>1921   1858   1427   1647   1287   1561  49743  59907</t>
  </si>
  <si>
    <t>0817  27243  33003  26584  36096  39293  56953  57024</t>
  </si>
  <si>
    <t>1006  60199  60606  60216  59887  95985  97460  96317</t>
  </si>
  <si>
    <t>8780   -397   -166    124      0      0    170      0</t>
  </si>
  <si>
    <t>186     71      0      0      0      0      0      0</t>
  </si>
  <si>
    <t>0    117      0   -114      0    -84   -138   -141</t>
  </si>
  <si>
    <t>1147   -215   -259   -419   -925      0    106      0</t>
  </si>
  <si>
    <t>0      0    195      0      0      0   -116      0</t>
  </si>
  <si>
    <t>0      0      0      0     40      0   -263    134</t>
  </si>
  <si>
    <t>-783 -53186      0    -67      0      0      0      0</t>
  </si>
  <si>
    <t>3      0      0    399    110      0    103   -229</t>
  </si>
  <si>
    <t>338    401     87      0      0      0      0      0</t>
  </si>
  <si>
    <t>1439   1020    -88      0  -1647 -61669   -203   -238</t>
  </si>
  <si>
    <t>315   -138  -1223    167      0   -155    581      0</t>
  </si>
  <si>
    <t>-80   -628      0   -367     85     50    -49      0</t>
  </si>
  <si>
    <t>0      0   1304      0   8029    688    145      0</t>
  </si>
  <si>
    <t>-298   -240    -24   -137    149   1820      0    266</t>
  </si>
  <si>
    <t>421    297      0    267      0      0   -107      0</t>
  </si>
  <si>
    <t>39      0      0      0      0      0   1535      0</t>
  </si>
  <si>
    <t>167      0   -887 -68927    551      0      0      0</t>
  </si>
  <si>
    <t>1472  -1572  -1455      0    779      0      0     49</t>
  </si>
  <si>
    <t>0  -1815      0      0      0      0      0      0</t>
  </si>
  <si>
    <t>907      0   1691  -2591   -987      0   -879 -64974</t>
  </si>
  <si>
    <t>0      0      0   -907   -882    886    533    735</t>
  </si>
  <si>
    <t>0      0      0  -3283      0  -2334      0      0</t>
  </si>
  <si>
    <t>0      0      0      0    -38      0   4392  -1315</t>
  </si>
  <si>
    <t>1016    891    538    246   -479   -445      0      0</t>
  </si>
  <si>
    <t>0      0      0   -335    -43   1519     26   1337</t>
  </si>
  <si>
    <t>0    334      0   1166  -2180      0      0      0</t>
  </si>
  <si>
    <t>0  -1822  -3321      0      0      0      0      0</t>
  </si>
  <si>
    <t>0      0      0      0   1229  -1169  -1383  -9223</t>
  </si>
  <si>
    <t>4970  -1697  -1090    772  -1272  -1035  -6551  -6233</t>
  </si>
  <si>
    <t>5809      0 -10501 -11584 -11576 -14472  -9627  -9483</t>
  </si>
  <si>
    <t>9317 -12782  -9414 -13872  -7391 -10680 -10661 -10230</t>
  </si>
  <si>
    <t>3164 -13938   1034    471   1022    878    805   -816</t>
  </si>
  <si>
    <t>360  -1110   1572   1306   1200   1028   1584   1575</t>
  </si>
  <si>
    <t>1057   1266  45872  55136  55065  52605  47362  25331</t>
  </si>
  <si>
    <t>3564  36615  53785  53822  53691  52405  57692  56910</t>
  </si>
  <si>
    <t>6868  93089  96131  96698  94828  98439   1089 -45348</t>
  </si>
  <si>
    <t>-172      0      0    185      0      0      0    228</t>
  </si>
  <si>
    <t>0      0      0      0      0   -397      0      0</t>
  </si>
  <si>
    <t>-107      0    193   -297   -142      0    984 -38114</t>
  </si>
  <si>
    <t>-662   -996      0     93      0      0      0      0</t>
  </si>
  <si>
    <t>0      0      0   -139      0     44      0      0</t>
  </si>
  <si>
    <t>0   -146      0   -129   -118      0      0  -2520</t>
  </si>
  <si>
    <t>162      0      0      0      0  -1033   -106     97</t>
  </si>
  <si>
    <t>388    207      0   -126   -144    180    -35    787</t>
  </si>
  <si>
    <t>0      0      0      0      0    -17      0   1895</t>
  </si>
  <si>
    <t>0   -516 -54990   -250   -382   -897      0    -53</t>
  </si>
  <si>
    <t>206      0   -287    213      0      0      0   -384</t>
  </si>
  <si>
    <t>-386    454    236     19      0      0      0      0</t>
  </si>
  <si>
    <t>0  11552    756    243      0   -988 -53572   -282</t>
  </si>
  <si>
    <t>66   -278   1766      0    267      0      0    106</t>
  </si>
  <si>
    <t>140      0      0   -142      0    363    176    124</t>
  </si>
  <si>
    <t>0      0      0  -1375      0  10518    953    270</t>
  </si>
  <si>
    <t>8427    374      0      0      0   1545   2389   1088</t>
  </si>
  <si>
    <t>0    394      0      0    -69      0  -1520      0</t>
  </si>
  <si>
    <t>0      0      0      0      0      0      0  -1347</t>
  </si>
  <si>
    <t>1794   -719      0   -737 -58555      0      0      0</t>
  </si>
  <si>
    <t>295   -352   1721   1172   1069   3248      0      0</t>
  </si>
  <si>
    <t>3016      0  -2167      0      0    892   -907      0</t>
  </si>
  <si>
    <t>0  -3278      0   7146   -528   1468   6212   1549</t>
  </si>
  <si>
    <t>1    174    970      0      0      0      0      0</t>
  </si>
  <si>
    <t>66    132   1649    -95   1518   -666      0      0</t>
  </si>
  <si>
    <t>-650  12386      0      0      0      0   1822      0</t>
  </si>
  <si>
    <t>0      0      0      0      0   1002      0      0</t>
  </si>
  <si>
    <t>0   1459  -1343  -1288 -10269 -11891 -12587 -15693</t>
  </si>
  <si>
    <t>1165  -1433   -988  -8178  -7943  -6536  -7416 -10083</t>
  </si>
  <si>
    <t>5241 -15815 -16206 -12219 -13454 -18670 -17886 -11879</t>
  </si>
  <si>
    <t>5915  -9245 -14615 -15327 -12302 -12784 -17856 -18778</t>
  </si>
  <si>
    <t>2885 -13834 -13723 -11310 -15340  -9177  -9726 -10142</t>
  </si>
  <si>
    <t>8263  -8067  -5864  -7332  -8171  -6848  -8074  -6044</t>
  </si>
  <si>
    <t>8255  58308  54956  49041  25913  31608  25205  34351</t>
  </si>
  <si>
    <t>0061  48620  47746  54551  52498  53065  52627  52512</t>
  </si>
  <si>
    <t>4865  92189  91467  89543    910 -45795   -472   -104</t>
  </si>
  <si>
    <t>0    157      0      0      0    204    107      0</t>
  </si>
  <si>
    <t>0      0      0   -367      0      0     80      0</t>
  </si>
  <si>
    <t>-126   -147   -100      0    755 -38557   -249   -274</t>
  </si>
  <si>
    <t>0     94      0      0      0      0      0    229</t>
  </si>
  <si>
    <t>0    -69      0     52      0      0      0      0</t>
  </si>
  <si>
    <t>0   -318     31      0      0  -1548 -47502      0</t>
  </si>
  <si>
    <t>0      0      0  -1401   -177     65      0      0</t>
  </si>
  <si>
    <t>0   -160   -366     84   -235    369    282   -243</t>
  </si>
  <si>
    <t>0      0      0    115      0   1546    932    114</t>
  </si>
  <si>
    <t>5963   -195   -313   -229      0    506    459  -1028</t>
  </si>
  <si>
    <t>-284    645      0      0      0   -268   -511      0</t>
  </si>
  <si>
    <t>99     20      0      0      0      0      0   -781</t>
  </si>
  <si>
    <t>632    120      0  -1094 -54581   -176    -32   -139</t>
  </si>
  <si>
    <t>2151      0    212      0      0    494    344      0</t>
  </si>
  <si>
    <t>0   -120      0    246     84    110      0      0</t>
  </si>
  <si>
    <t>0   -484      0   7967    758    125      0  -1766</t>
  </si>
  <si>
    <t>0      0      0   2366   3445   1379  -1372  -1321</t>
  </si>
  <si>
    <t>0      0    -32      0  -1392      0  -1699      0</t>
  </si>
  <si>
    <t>0      0      0      0      0   -578      0   2288</t>
  </si>
  <si>
    <t>0   -751 -61461      0      0      0      0      0</t>
  </si>
  <si>
    <t>1966   1373   1237   4183      0      0      0      0</t>
  </si>
  <si>
    <t>2379      0      0   1314   -780      0      0      0</t>
  </si>
  <si>
    <t>0   4705   -614   1677   6352   1449   1444   1460</t>
  </si>
  <si>
    <t>167      0      0      0      0      0      0      0</t>
  </si>
  <si>
    <t>1861    -11   1645   -685      0      0    693      0</t>
  </si>
  <si>
    <t>0      0      0      0   -218      0  -1782  -3765</t>
  </si>
  <si>
    <t>0      0      0   -895      0      0      0      0</t>
  </si>
  <si>
    <t>2056  -2216 -14565 -16992 -17332 -20765  -2572  -1118</t>
  </si>
  <si>
    <t>1747 -10937 -11751 -10334 -10884  -7316      0 -16619</t>
  </si>
  <si>
    <t>0503 -15229 -16213 -22526 -22010 -14733 -21751 -16422</t>
  </si>
  <si>
    <t>8140 -18436 -14981 -15442 -22000 -22443 -20821  -4572</t>
  </si>
  <si>
    <t>9203  -7598 -11119  -6158  -6608  -6859  -6555  -6799</t>
  </si>
  <si>
    <t>4134  -4909  -5360  -4475  -5239  -3866  -4872  46007</t>
  </si>
  <si>
    <t>2730  47575  25308  30640  24583  33528  36870  52633</t>
  </si>
  <si>
    <t>0495  56456  55605  56197  55633  55304  89067  90291</t>
  </si>
  <si>
    <t>5097  94875  93623   1982   -148  -1113  -1215  -1638</t>
  </si>
  <si>
    <t>1251      0      0      0    394   -265      0      0</t>
  </si>
  <si>
    <t>0      0   -620      0      0    276      0   -231</t>
  </si>
  <si>
    <t>1294   -921      0    894    271   -982  -2004   1169</t>
  </si>
  <si>
    <t>-563      0      0      0      0      0     65      0</t>
  </si>
  <si>
    <t>-238      0     58      0      0      0      0      0</t>
  </si>
  <si>
    <t>-273  -1218      0      0 -21201  -2107      0   2295</t>
  </si>
  <si>
    <t>0      0 -10176   4066   2674      0      0  -2027</t>
  </si>
  <si>
    <t>794   2081     93   1149   1516    401   1879      0</t>
  </si>
  <si>
    <t>0      0  23958      0   2217   2069    -90      0</t>
  </si>
  <si>
    <t>-493   -152    229      0  -2479   2860  -1405    -26</t>
  </si>
  <si>
    <t>0827      0      0      0   -159   -139      0   -234</t>
  </si>
  <si>
    <t>-418      0      0      0      0      0   1293      0</t>
  </si>
  <si>
    <t>106      0   6278    232   -545   -260    186  -1211</t>
  </si>
  <si>
    <t>0    124      0      0 -37974   -302      0    163</t>
  </si>
  <si>
    <t>-198      0   -247     29   -314      0      0      0</t>
  </si>
  <si>
    <t>102      0   5444    535   -154      0   5847   2635</t>
  </si>
  <si>
    <t>0      0   -921   2430   -777   -373   -566      0</t>
  </si>
  <si>
    <t>0    -52      0   -156      0   -263      0      0</t>
  </si>
  <si>
    <t>0      0      0      0    744      0   1709    393</t>
  </si>
  <si>
    <t>255   -143      0      0      0      0      0   8673</t>
  </si>
  <si>
    <t>3829   2759 -38212      0      0      0      0   2346</t>
  </si>
  <si>
    <t>0      0   2787    234      0      0      0      0</t>
  </si>
  <si>
    <t>4454   1370   3549   5196   3496   3003   2544   3699</t>
  </si>
  <si>
    <t>0      0      0      0      0      0      0     29</t>
  </si>
  <si>
    <t>525   1130   2481      0      0   1525      0   4254</t>
  </si>
  <si>
    <t>0      0      0   -590      0   -757  -3938      0</t>
  </si>
  <si>
    <t>0      0     82      0      0      0      0      0</t>
  </si>
  <si>
    <t>210   1053   3556   3392   3119    932    166   1162</t>
  </si>
  <si>
    <t>3162   2632   3150   2256    334      0   2753   2457</t>
  </si>
  <si>
    <t>2089 -15639   3034   2641   2027   2923 -15060   2390</t>
  </si>
  <si>
    <t>2222  -6739   1297   3191   3029   1572  -1471     34</t>
  </si>
  <si>
    <t>1275  -2399  -5360    332   -153   -198  -1099  -1396</t>
  </si>
  <si>
    <t>1750  -1166  -1053   -703   -748   -617     48    239</t>
  </si>
  <si>
    <t>749    259    381    263    193    955   -455   -417</t>
  </si>
  <si>
    <t>23    220    491    377    465   -178   -130   -122</t>
  </si>
  <si>
    <t>1539  -1464  -1866  -5418   -778   -950   1214    927</t>
  </si>
  <si>
    <t>37      0      0      0   -205    -59      0      0</t>
  </si>
  <si>
    <t>0      0  30011      0      0    129      0     95</t>
  </si>
  <si>
    <t>1230    547      0   -213    180    -78   -638   -156</t>
  </si>
  <si>
    <t>608      0      0      0      0      0    -55      0</t>
  </si>
  <si>
    <t>1030      0    369      0      0      0      0      0</t>
  </si>
  <si>
    <t>-2    417      0      0  -1403   -132      0   2261</t>
  </si>
  <si>
    <t>0      0    597    675   -443      0      0    479</t>
  </si>
  <si>
    <t>1064   -176   -256  -1073   -133    144    542      0</t>
  </si>
  <si>
    <t>0      0    289      0     28   -770    718      0</t>
  </si>
  <si>
    <t>2463   9175   7890      0   1949   2942   3066    284</t>
  </si>
  <si>
    <t>429      0      0      0   -160    203      0   -278</t>
  </si>
  <si>
    <t>-315      0      0      0      0      0     13      0</t>
  </si>
  <si>
    <t>500      0   -670   -672  -2058   7157   6967   1676</t>
  </si>
  <si>
    <t>0    256      0      0    657    394      0    165</t>
  </si>
  <si>
    <t>-186      0     68     70   -775      0      0      0</t>
  </si>
  <si>
    <t>-898      0   -508   -273   1137      0   -581   -184</t>
  </si>
  <si>
    <t>0      0    246    348     31    527    197      0</t>
  </si>
  <si>
    <t>0    384      0    128      0   -484      0      0</t>
  </si>
  <si>
    <t>0      0      0      0     49      0   -123   -164</t>
  </si>
  <si>
    <t>630    227      0      0      0      0      0   -533</t>
  </si>
  <si>
    <t>293    108    748      0      0      0      0   -182</t>
  </si>
  <si>
    <t>0      0     11 -12368      0      0      0      0</t>
  </si>
  <si>
    <t>-66    425     12  -1047   3125 -12268 -11310  -2633</t>
  </si>
  <si>
    <t>0      0      0      0      0      0      0    593</t>
  </si>
  <si>
    <t>412   1256    489      0      0 -47588      0  -1586</t>
  </si>
  <si>
    <t>0      0      0  -1235      0   -534   -239      0</t>
  </si>
  <si>
    <t>0      0   4125      0      0      0      0      0</t>
  </si>
  <si>
    <t>125    818   5199   4190   1139   4022  -6004    109</t>
  </si>
  <si>
    <t>523   1569   1259    457  -1565      0    858   1388</t>
  </si>
  <si>
    <t>256   4013    256    685    266    345   3323    646</t>
  </si>
  <si>
    <t>366    386    -76   -100    -59    356  -3340  -3421</t>
  </si>
  <si>
    <t>4205  -5703     53   -104   -487   -901  -2103   1976</t>
  </si>
  <si>
    <t>404   1695   1455    420   1177    435   -121    117</t>
  </si>
  <si>
    <t>-103   -127     33   -124     88    355    171    124</t>
  </si>
  <si>
    <t>32    408    106  -1358    -94   -257   -584    445</t>
  </si>
  <si>
    <t>0  -1104      0      0      0    139   -156      0</t>
  </si>
  <si>
    <t>0      0      0     52      0      0    -47      0</t>
  </si>
  <si>
    <t>115    608   -509      0   -265   -236    274   -304</t>
  </si>
  <si>
    <t>0     97      0      0      0      0      0     48</t>
  </si>
  <si>
    <t>0    328      0    166      0      0      0      0</t>
  </si>
  <si>
    <t>0   -184    805      0      0   -557   -495      0</t>
  </si>
  <si>
    <t>0      0      0  -3763  -1127    152      0      0</t>
  </si>
  <si>
    <t>0   -331   -192    -57   -281   -589   -685   -566</t>
  </si>
  <si>
    <t>0      0      0   1774      0   1044  -1320     63</t>
  </si>
  <si>
    <t>858    117    -11    468      0    700   3490  -1652</t>
  </si>
  <si>
    <t>1091   -409      0      0      0    214    199      0</t>
  </si>
  <si>
    <t>-463     60      0      0      0      0      0  -3177</t>
  </si>
  <si>
    <t>2178    809      0   2387     31    548   1015   1111</t>
  </si>
  <si>
    <t>3620      0  -1300      0      0   -360  -2844      0</t>
  </si>
  <si>
    <t>0    -50      0   -296   -242    390      0      0</t>
  </si>
  <si>
    <t>0  -1797      0    -68  -2058   -500      0   4651</t>
  </si>
  <si>
    <t>0      0      0    386   2191  -1192   -421    332</t>
  </si>
  <si>
    <t>0      0    -43      0      0      0   -142      0</t>
  </si>
  <si>
    <t>0      0      0      0      0  -4792      0  -1930</t>
  </si>
  <si>
    <t>0   3019    338      0      0      0      0      0</t>
  </si>
  <si>
    <t>1211    578   1393  -1550      0      0      0      0</t>
  </si>
  <si>
    <t>292      0      0    482    158      0      0      0</t>
  </si>
  <si>
    <t>0   -349  -1597    645   -599   1128    942    359</t>
  </si>
  <si>
    <t>8375      0      0      0      0      0      0      0</t>
  </si>
  <si>
    <t>2462  -1040   2593   -982      0      0     75      0</t>
  </si>
  <si>
    <t>0      0      0      0   -612      0   -813  -3168</t>
  </si>
  <si>
    <t>0      0      0   -297      0      0      0      0</t>
  </si>
  <si>
    <t>-14    -19   -676   -318    198   -207    812   -642</t>
  </si>
  <si>
    <t>319    771   -528   -415    -92   -736      0   -726</t>
  </si>
  <si>
    <t>252     47     80     94    160    128    238    116</t>
  </si>
  <si>
    <t>119    157     81     50     13    -14    196    132</t>
  </si>
  <si>
    <t>1335  -2514  -1925  -1355  -2397  -1006  -2249    272</t>
  </si>
  <si>
    <t>371    287    273    338    121    269    385    -83</t>
  </si>
  <si>
    <t>82   -191   -100    -36    -28     42    455    403</t>
  </si>
  <si>
    <t>172    141    143    173  11443    539  -1911   -784</t>
  </si>
  <si>
    <t>-583      0      0    197      0      0      0   -166</t>
  </si>
  <si>
    <t>0      0      0      0      0   1416      0      0</t>
  </si>
  <si>
    <t>-599      0     73    503    273      0   -904   -754</t>
  </si>
  <si>
    <t>1584   -928      0   -699      0      0      0      0</t>
  </si>
  <si>
    <t>0      0      0    373      0   -428      0      0</t>
  </si>
  <si>
    <t>0   1148      0   1485  -3153      0      0   6907</t>
  </si>
  <si>
    <t>3349      0      0      0      0   7257    272   -480</t>
  </si>
  <si>
    <t>391    420      0   1483   2009    610   1536   1530</t>
  </si>
  <si>
    <t>0      0      0      0      0  -7133      0  -2021</t>
  </si>
  <si>
    <t>0   -119  -1198    705   2986   2356      0  -3485</t>
  </si>
  <si>
    <t>-104      0   -233   2243      0      0      0    -68</t>
  </si>
  <si>
    <t>-195  -1322      2    -47      0      0      0      0</t>
  </si>
  <si>
    <t>0    592    622   -456      0     54     57     46</t>
  </si>
  <si>
    <t>2428  -3263 -13664      0    158      0      0   2186</t>
  </si>
  <si>
    <t>168      0      0     74      0    -90    240     60</t>
  </si>
  <si>
    <t>0      0      0   1299      0  -1035    622   -197</t>
  </si>
  <si>
    <t>-876     49      0      0      0  -2222  -9559   -117</t>
  </si>
  <si>
    <t>0   1115      0      0    -24      0   -216      0</t>
  </si>
  <si>
    <t>0      0      0      0      0      0      0   1665</t>
  </si>
  <si>
    <t>44   -181      0    743   1711      0      0      0</t>
  </si>
  <si>
    <t>9042    458    191   -101   -588   4643      0      0</t>
  </si>
  <si>
    <t>1027      0   -389      0      0    -45   -804      0</t>
  </si>
  <si>
    <t>0     83      0  -2816    134  -1338   -157  -2020</t>
  </si>
  <si>
    <t>3434   4827 -45202      0      0      0      0      0</t>
  </si>
  <si>
    <t>-49   -273  -1600    363  -1341   1110      0      0</t>
  </si>
  <si>
    <t>-33  -1729      0      0      0      0    543      0</t>
  </si>
  <si>
    <t>0      0      0      0      0    611      0      0</t>
  </si>
  <si>
    <t>0    -65    895    515   1907   1230    880     78</t>
  </si>
  <si>
    <t>5732  -1828  -1479  -3195   2704   1406    -56  12074</t>
  </si>
  <si>
    <t>618    626    183    824    718    236    108    627</t>
  </si>
  <si>
    <t>-9    379    173    195    -33    926    816    933</t>
  </si>
  <si>
    <t>5561   5130   4618   3199   5770  -3985   -376   -410</t>
  </si>
  <si>
    <t>2736   1793   1182   4260   1570   1109   4256    460</t>
  </si>
  <si>
    <t>-117     23     44   -328    721    918    907    844</t>
  </si>
  <si>
    <t>768    721    267    493    410     91    310    -34</t>
  </si>
  <si>
    <t>303    276    258    280   -779   -733  -7937   3979</t>
  </si>
  <si>
    <t>-181   -881   -302    648      0      0    -71      0</t>
  </si>
  <si>
    <t>256    870      0      0      0      0      0      0</t>
  </si>
  <si>
    <t>0   -154      0    124      0   -165    745    530</t>
  </si>
  <si>
    <t>-510    272    939  -1006  -1231      0    238      0</t>
  </si>
  <si>
    <t>0      0    213      0      0      0   -199      0</t>
  </si>
  <si>
    <t>0      0      0      0    -69      0    161   1001</t>
  </si>
  <si>
    <t>3946   1568      0  -5370      0      0      0      0</t>
  </si>
  <si>
    <t>-716      0      0    354    285      0  -1258  -1564</t>
  </si>
  <si>
    <t>-846   -943  -2617      0      0      0      0      0</t>
  </si>
  <si>
    <t>2056   -382   1222      0 -12896   1159   -623  -3968</t>
  </si>
  <si>
    <t>1394    992   3846    690      0   -724  15024      0</t>
  </si>
  <si>
    <t>140    328      0    311    886    241    284      0</t>
  </si>
  <si>
    <t>0      0 -15737      0  -4037    554   -612      0</t>
  </si>
  <si>
    <t>-113  -3102  -2868    560   1649  -3169      0    211</t>
  </si>
  <si>
    <t>4301   1033      0    -81      0      0    273      0</t>
  </si>
  <si>
    <t>328      0      0      0      0      0 -15347      0</t>
  </si>
  <si>
    <t>-38      0 -29333  -1272    801      0      0      0</t>
  </si>
  <si>
    <t>3784   -152   -454      0   7694      0      0   -226</t>
  </si>
  <si>
    <t>0    392      0      0      0      0      0      0</t>
  </si>
  <si>
    <t>7627      0   -948  -1566   -495      0 -14941    197</t>
  </si>
  <si>
    <t>0      0      0  -4060   1573   -815  -2037  -1464</t>
  </si>
  <si>
    <t>0      0      0  -1520      0   -335      0      0</t>
  </si>
  <si>
    <t>0      0      0      0 -17549      0  -2391  -1521</t>
  </si>
  <si>
    <t>1988  14258  11005   -788  -5419   3702      0      0</t>
  </si>
  <si>
    <t>0      0      0   -727   -222  -1625   -384  -1386</t>
  </si>
  <si>
    <t>0   5889      0   -992  18665      0      0      0</t>
  </si>
  <si>
    <t>0     91   1569      0      0      0      0      0</t>
  </si>
  <si>
    <t>0      0      0      0    215   -421    -87  -1687</t>
  </si>
  <si>
    <t>1264    963    245   -470   -242    126  -2734  -3764</t>
  </si>
  <si>
    <t>472      0  -2014   -829  -1195   -502   1221   5105</t>
  </si>
  <si>
    <t>764   -241   4986   -221  -1381   -994   -468   3540</t>
  </si>
  <si>
    <t>0199  -8247 -12110  38575  35366  25387  38280  41426</t>
  </si>
  <si>
    <t>7400  41478    694    794    646    970    124    123</t>
  </si>
  <si>
    <t>165    -75    716    767    253     28    521    483</t>
  </si>
  <si>
    <t>341    537    565    535    162    591    626   5597</t>
  </si>
  <si>
    <t>4781 -46359   4843      0      0      0      0      0</t>
  </si>
  <si>
    <t>254   1110     49      0      0  -1113      0      0</t>
  </si>
  <si>
    <t>494      0      0      0      0      0      0     70</t>
  </si>
  <si>
    <t>175      0   -148      0   -242    277    709      0</t>
  </si>
  <si>
    <t>86    245    343  -1286      0    587      0      0</t>
  </si>
  <si>
    <t>0    302      0      0      0    161      0   -262</t>
  </si>
  <si>
    <t>0      0      0    672      0   -316    374      0</t>
  </si>
  <si>
    <t>7400      0   2037      0      0      0      0 -10606</t>
  </si>
  <si>
    <t>0      0  -2695    408      0    403   1812     52</t>
  </si>
  <si>
    <t>733   1018      0      0      0      0      0   9678</t>
  </si>
  <si>
    <t>2456    458      0   -416   3654   -145   -524   -449</t>
  </si>
  <si>
    <t>2863  -1949   -158      0    157 -44403      0      0</t>
  </si>
  <si>
    <t>-188      0    -85   -126     92   -364      0      0</t>
  </si>
  <si>
    <t>0   7489      0   2706    -80   -186      0      9</t>
  </si>
  <si>
    <t>-747   -609   -447  -2107   5018      0   -133      0</t>
  </si>
  <si>
    <t>682      0     99      0      0    130      0    245</t>
  </si>
  <si>
    <t>0      0      0      0      0   6816      0   1571</t>
  </si>
  <si>
    <t>0   4520   3976    369      0      0      0  -1623</t>
  </si>
  <si>
    <t>-635   -488      0 -34026      0      0   -153      0</t>
  </si>
  <si>
    <t>-15      0      0      0      0      0      0      0</t>
  </si>
  <si>
    <t>0   4283   -194   -136      0  -2214   -126      0</t>
  </si>
  <si>
    <t>0      0   6566    544   3450   3067   1934 -29735</t>
  </si>
  <si>
    <t>0      0   1926      0    807      0      0   1706</t>
  </si>
  <si>
    <t>0      0      0   5985      0   3726    701   2871</t>
  </si>
  <si>
    <t>-682   -344   -172     68  -2886      0      0      0</t>
  </si>
  <si>
    <t>0      0   -110   -518   -929   -217   -793  -1848</t>
  </si>
  <si>
    <t>-38      0  -3237    655      0      0      0      0</t>
  </si>
  <si>
    <t>3567  -5715      0      0      0      0      0      0</t>
  </si>
  <si>
    <t>0      0      0      0      0      0      0    295</t>
  </si>
  <si>
    <t>0      0      0   1294    813   -131   3431   2221</t>
  </si>
  <si>
    <t>2319  -1073  -2189   -216     43  -3701   1638    967</t>
  </si>
  <si>
    <t>0   3026   1605   1640   1450   1650 -17958   2130</t>
  </si>
  <si>
    <t>1634 -18679   1624   1080   1535   1813 -11219    -15</t>
  </si>
  <si>
    <t>892    284    239    619    460    709   -225  -1124</t>
  </si>
  <si>
    <t>447    585   -602   -504   -384   -445    -95   -143</t>
  </si>
  <si>
    <t>215   -440  -1171  -1081  -1170   -484   -136    -73</t>
  </si>
  <si>
    <t>469   -189   -270   -226    578   -102      3    276</t>
  </si>
  <si>
    <t>1254  -1746  -8034      0   -719    299   -195   -336</t>
  </si>
  <si>
    <t>0   -657      0      0      0    -35    102      0</t>
  </si>
  <si>
    <t>0      0      0  -7758      0      0   1197      0</t>
  </si>
  <si>
    <t>5055   2228    968      0  -1098     41    530    907</t>
  </si>
  <si>
    <t>0   -249      0      0      0      0      0   -249</t>
  </si>
  <si>
    <t>0    502      0   -145      0      0      0      0</t>
  </si>
  <si>
    <t>0   -270    337      0      0    287   -569      0</t>
  </si>
  <si>
    <t>0      0      0    808     12   -344      0      0</t>
  </si>
  <si>
    <t>0    179   -231     81   -622    429    271    -79</t>
  </si>
  <si>
    <t>0      0      0      5      0    559   -167    757</t>
  </si>
  <si>
    <t>1053  -1678   4334   4185      0   1671   1842   2469</t>
  </si>
  <si>
    <t>-204    524      0      0      0   -192    200      0</t>
  </si>
  <si>
    <t>793   -145      0      0      0      0      0   -103</t>
  </si>
  <si>
    <t>-274    497      0    146    205  -2197   4308   4328</t>
  </si>
  <si>
    <t>1119      0     92      0      0    845    311      0</t>
  </si>
  <si>
    <t>0   -234      0    515    450   -734      0      0</t>
  </si>
  <si>
    <t>0   -607      0  -1057   -197   1209      0    463</t>
  </si>
  <si>
    <t>0      0      0    541    374    334    231    192</t>
  </si>
  <si>
    <t>0      0    340      0     15      0   -286      0</t>
  </si>
  <si>
    <t>0      0      0      0      0    -77      0    391</t>
  </si>
  <si>
    <t>0    414    308      0      0      0      0      0</t>
  </si>
  <si>
    <t>-37     50   -196    173      0      0      0      0</t>
  </si>
  <si>
    <t>-121      0      0    -72  -3449      0      0      0</t>
  </si>
  <si>
    <t>0   -367    159    -97   -696    663    520    878</t>
  </si>
  <si>
    <t>218      0      0      0      0      0      0      0</t>
  </si>
  <si>
    <t>-86   -154     90   -906      0      0    713      0</t>
  </si>
  <si>
    <t>0      0      0      0  -1217      0   -692  -1693</t>
  </si>
  <si>
    <t>0      0      0 -48648      0      0      0      0</t>
  </si>
  <si>
    <t>-36   -751  -1403   -193   -178  -1908  -9418  15534</t>
  </si>
  <si>
    <t>-230   -864  -1066   -998  -1282   4391      0   -226</t>
  </si>
  <si>
    <t>-270   -199   1562   -270   -175   -202   -368   1515</t>
  </si>
  <si>
    <t>-408   -479    -56    264    386    538     89    296</t>
  </si>
  <si>
    <t>2002    417    130    -77   -180   -126   -600   -351</t>
  </si>
  <si>
    <t>-376   -131   -484   -298   -188   -248   -139    937</t>
  </si>
  <si>
    <t>752     33    324    197    127    403     40   1256</t>
  </si>
  <si>
    <t>40    924    637    282    554    252  -1212   -305</t>
  </si>
  <si>
    <t>-434    -43  -1829   -435    199 -31125    -83   -501</t>
  </si>
  <si>
    <t>1036      0      0      0      0      0      0      0</t>
  </si>
  <si>
    <t>3108   -157    402  -1055      0      0   -262      0</t>
  </si>
  <si>
    <t>322   -463      0      0      0      0      0      0</t>
  </si>
  <si>
    <t>0   -977      0    819      0   -510    825    440</t>
  </si>
  <si>
    <t>2490    651   -598  -8776   1075      0   -240      0</t>
  </si>
  <si>
    <t>0      0   1385      0      0      0  -1321      0</t>
  </si>
  <si>
    <t>0      0      0      0   -691      0  -1125  -1925</t>
  </si>
  <si>
    <t>5854  10662      0   5672      0      0      0      0</t>
  </si>
  <si>
    <t>-686      0      0    705    653      0    316   4626</t>
  </si>
  <si>
    <t>0005   4619   5364      0      0      0      0      0</t>
  </si>
  <si>
    <t>6906   -446  -4751      0   1181   2294   -507   -818</t>
  </si>
  <si>
    <t>752 -27642   -500   -145      0   -344   6317      0</t>
  </si>
  <si>
    <t>-387   -662      0   -602   1379    -73   -567      0</t>
  </si>
  <si>
    <t>0      0  -1821      0  -2285   -445   -196      0</t>
  </si>
  <si>
    <t>65    532    281   2562    513 -26887      0   -151</t>
  </si>
  <si>
    <t>6468   -221      0    137      0      0    -52      0</t>
  </si>
  <si>
    <t>-7      0      0      0      0      0  -3262      0</t>
  </si>
  <si>
    <t>-221      0    219   1397   -302      0      0      0</t>
  </si>
  <si>
    <t>-587    100     19      0   4072      0      0    -46</t>
  </si>
  <si>
    <t>0   -456      0      0      0      0      0      0</t>
  </si>
  <si>
    <t>1261      0  -1670   -148     86      0   2519   -553</t>
  </si>
  <si>
    <t>0      0      0 -26177   1124    234    105    376</t>
  </si>
  <si>
    <t>0      0      0   -658      0   -406      0      0</t>
  </si>
  <si>
    <t>0      0      0      0  -3107      0    986   -897</t>
  </si>
  <si>
    <t>368    299   1127  -1657   -764  17712      0      0</t>
  </si>
  <si>
    <t>0      0      0    140     15    -65    -58    123</t>
  </si>
  <si>
    <t>0    601      0   1476   -448      0      0      0</t>
  </si>
  <si>
    <t>0   6867   4321      0      0      0      0      0</t>
  </si>
  <si>
    <t>0      0      0      0    144  -2042    394   2027</t>
  </si>
  <si>
    <t>1100   4255    838  12502   4576   2126   2867   5964</t>
  </si>
  <si>
    <t>4670      0   4939     88    132    572   1055    465</t>
  </si>
  <si>
    <t>1274    893   1608    493    954    335     -1    591</t>
  </si>
  <si>
    <t>-555     47   3594     32  -1166   -530   -785   -294</t>
  </si>
  <si>
    <t>2840   3539   2430    301    200    267   -247     95</t>
  </si>
  <si>
    <t>40     40  -1842  -2786  -2856  -2511  -2015  -4332</t>
  </si>
  <si>
    <t>4545  -5765    431   -109   -104   1627  -1318  -1152</t>
  </si>
  <si>
    <t>1040  -2561  -6478   4053      0 -13929   3533      0</t>
  </si>
  <si>
    <t>170   -165     34      0      0    302      0      0</t>
  </si>
  <si>
    <t>-199      0      0      0      0      0      0    271</t>
  </si>
  <si>
    <t>-296      0    376      0     24    167    -38      0</t>
  </si>
  <si>
    <t>-127    163    540   1508      0   -247      0      0</t>
  </si>
  <si>
    <t>0   -529      0      0      0    246      0     86</t>
  </si>
  <si>
    <t>0      0      0    134      0    494     96      0</t>
  </si>
  <si>
    <t>1715      0  -1385      0      0      0      0   5918</t>
  </si>
  <si>
    <t>0      0   -112   -349      0   -541  -1103   -575</t>
  </si>
  <si>
    <t>1691  -1599      0      0      0      0      0  -4676</t>
  </si>
  <si>
    <t>1685    810      0   2893  17272   -181    246   -755</t>
  </si>
  <si>
    <t>2118   3503    -72      0   -108  15819      0      0</t>
  </si>
  <si>
    <t>540      0    356   -398   -163    352      0      0</t>
  </si>
  <si>
    <t>0  -5124      0 -22407    -27    -68      0   3006</t>
  </si>
  <si>
    <t>500   -402    341   1971  -3396      0   -254      0</t>
  </si>
  <si>
    <t>-853      0   -371      0      0    148      0   -232</t>
  </si>
  <si>
    <t>0      0      0      0      0  -5000      0 -20419</t>
  </si>
  <si>
    <t>0    -23   8736     67      0      0      0   1550</t>
  </si>
  <si>
    <t>369    298      0  11188      0      0     57      0</t>
  </si>
  <si>
    <t>419      0      0      0      0      0      0      0</t>
  </si>
  <si>
    <t>0 -13778   -291   -296      0   3430  16955      0</t>
  </si>
  <si>
    <t>0      0  -3533   -411  -1319  -1420   -691  10472</t>
  </si>
  <si>
    <t>0      0   -467      0    -85      0      0   -775</t>
  </si>
  <si>
    <t>0      0      0  -4265      0 -16284   -819  -1363</t>
  </si>
  <si>
    <t>600    757    284   -313    994      0      0      0</t>
  </si>
  <si>
    <t>0      0    286    398    267    268    137   1097</t>
  </si>
  <si>
    <t>40      0    354   -561      0      0      0      0</t>
  </si>
  <si>
    <t>2483   2907      0      0      0      0      0      0</t>
  </si>
  <si>
    <t>0      0      0      0      0      0      0   2251</t>
  </si>
  <si>
    <t>0      0      0  -2790    295    392   3425   5605</t>
  </si>
  <si>
    <t>5972   2024  -1340    117   -333   5970   2798    898</t>
  </si>
  <si>
    <t>0    879   1340   1252   1304   1652   8581   2102</t>
  </si>
  <si>
    <t>2136   8675   1743   1150   1654   1637   5562   2456</t>
  </si>
  <si>
    <t>2333     83    558    344    360    478    112    847</t>
  </si>
  <si>
    <t>-846    398    -46    -18    -25   -101   -554   -354</t>
  </si>
  <si>
    <t>2770   -257   -878   -559   -333   6747    624  -2492</t>
  </si>
  <si>
    <t>7751 -36294 -30092 -47424 -35993 -30672 -44158 -33857</t>
  </si>
  <si>
    <t>1117   1203   2083      0 -33338  -2237      0   7462</t>
  </si>
  <si>
    <t>Flag</t>
  </si>
  <si>
    <t>persons with at-least 1-stop by purpose</t>
  </si>
  <si>
    <t>dest purpose</t>
  </si>
  <si>
    <t>Persons with at-least 1 stop by Destination Purpose</t>
  </si>
  <si>
    <t>%diff</t>
  </si>
  <si>
    <t>% persons</t>
  </si>
  <si>
    <t>% diff</t>
  </si>
  <si>
    <t>Observed Tours (Scaled) - see tables at the bottom to see scaling</t>
  </si>
  <si>
    <t>TOTAL</t>
  </si>
  <si>
    <t>damp</t>
  </si>
  <si>
    <t>person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</si>
</sst>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5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  <font>
      <sz val="10"/>
      <name val="Verdana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60">
    <xf borderId="0" fillId="0" fontId="0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2" numFmtId="0"/>
    <xf applyAlignment="0" applyBorder="0" applyFill="0" applyNumberFormat="0" applyProtection="0" borderId="0" fillId="0" fontId="30" numFmtId="0"/>
    <xf applyAlignment="0" applyFill="0" applyNumberFormat="0" applyProtection="0" borderId="14" fillId="0" fontId="31" numFmtId="0"/>
    <xf applyAlignment="0" applyFill="0" applyNumberFormat="0" applyProtection="0" borderId="15" fillId="0" fontId="32" numFmtId="0"/>
    <xf applyAlignment="0" applyFill="0" applyNumberFormat="0" applyProtection="0" borderId="16" fillId="0" fontId="33" numFmtId="0"/>
    <xf applyAlignment="0" applyBorder="0" applyFill="0" applyNumberFormat="0" applyProtection="0" borderId="0" fillId="0" fontId="33" numFmtId="0"/>
    <xf applyAlignment="0" applyBorder="0" applyNumberFormat="0" applyProtection="0" borderId="0" fillId="18" fontId="34" numFmtId="0"/>
    <xf applyAlignment="0" applyBorder="0" applyNumberFormat="0" applyProtection="0" borderId="0" fillId="19" fontId="35" numFmtId="0"/>
    <xf applyAlignment="0" applyBorder="0" applyNumberFormat="0" applyProtection="0" borderId="0" fillId="20" fontId="36" numFmtId="0"/>
    <xf applyAlignment="0" applyNumberFormat="0" applyProtection="0" borderId="17" fillId="21" fontId="37" numFmtId="0"/>
    <xf applyAlignment="0" applyNumberFormat="0" applyProtection="0" borderId="18" fillId="22" fontId="38" numFmtId="0"/>
    <xf applyAlignment="0" applyNumberFormat="0" applyProtection="0" borderId="17" fillId="22" fontId="39" numFmtId="0"/>
    <xf applyAlignment="0" applyFill="0" applyNumberFormat="0" applyProtection="0" borderId="19" fillId="0" fontId="40" numFmtId="0"/>
    <xf applyAlignment="0" applyNumberFormat="0" applyProtection="0" borderId="20" fillId="23" fontId="41" numFmtId="0"/>
    <xf applyAlignment="0" applyBorder="0" applyFill="0" applyNumberFormat="0" applyProtection="0" borderId="0" fillId="0" fontId="42" numFmtId="0"/>
    <xf applyAlignment="0" applyFont="0" applyNumberFormat="0" applyProtection="0" borderId="21" fillId="24" fontId="2" numFmtId="0"/>
    <xf applyAlignment="0" applyBorder="0" applyFill="0" applyNumberFormat="0" applyProtection="0" borderId="0" fillId="0" fontId="43" numFmtId="0"/>
    <xf applyAlignment="0" applyFill="0" applyNumberFormat="0" applyProtection="0" borderId="22" fillId="0" fontId="44" numFmtId="0"/>
    <xf applyAlignment="0" applyBorder="0" applyNumberFormat="0" applyProtection="0" borderId="0" fillId="25" fontId="45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28" fontId="45" numFmtId="0"/>
    <xf applyAlignment="0" applyBorder="0" applyNumberFormat="0" applyProtection="0" borderId="0" fillId="29" fontId="45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2" fontId="45" numFmtId="0"/>
    <xf applyAlignment="0" applyBorder="0" applyNumberFormat="0" applyProtection="0" borderId="0" fillId="33" fontId="45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6" fontId="45" numFmtId="0"/>
    <xf applyAlignment="0" applyBorder="0" applyNumberFormat="0" applyProtection="0" borderId="0" fillId="37" fontId="45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0" fontId="45" numFmtId="0"/>
    <xf applyAlignment="0" applyBorder="0" applyNumberFormat="0" applyProtection="0" borderId="0" fillId="41" fontId="45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4" fontId="45" numFmtId="0"/>
    <xf applyAlignment="0" applyBorder="0" applyNumberFormat="0" applyProtection="0" borderId="0" fillId="45" fontId="45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NumberFormat="0" applyProtection="0" borderId="0" fillId="48" fontId="45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0" numFmtId="9"/>
    <xf borderId="0" fillId="0" fontId="1" numFmtId="0"/>
    <xf borderId="0" fillId="0" fontId="4" numFmtId="0"/>
    <xf applyAlignment="0" applyBorder="0" applyNumberFormat="0" applyProtection="0" borderId="0" fillId="2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2" fontId="8" numFmtId="0"/>
    <xf applyAlignment="0" applyBorder="0" applyNumberFormat="0" applyProtection="0" borderId="0" fillId="5" fontId="8" numFmtId="0"/>
    <xf applyAlignment="0" applyBorder="0" applyNumberFormat="0" applyProtection="0" borderId="0" fillId="3" fontId="8" numFmtId="0"/>
    <xf applyAlignment="0" applyBorder="0" applyNumberFormat="0" applyProtection="0" borderId="0" fillId="6" fontId="8" numFmtId="0"/>
    <xf applyAlignment="0" applyBorder="0" applyNumberFormat="0" applyProtection="0" borderId="0" fillId="3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7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8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9" numFmtId="0"/>
    <xf applyAlignment="0" applyBorder="0" applyNumberFormat="0" applyProtection="0" borderId="0" fillId="10" fontId="9" numFmtId="0"/>
    <xf applyAlignment="0" applyBorder="0" applyNumberFormat="0" applyProtection="0" borderId="0" fillId="4" fontId="9" numFmtId="0"/>
    <xf applyAlignment="0" applyBorder="0" applyNumberFormat="0" applyProtection="0" borderId="0" fillId="11" fontId="9" numFmtId="0"/>
    <xf applyAlignment="0" applyBorder="0" applyNumberFormat="0" applyProtection="0" borderId="0" fillId="8" fontId="9" numFmtId="0"/>
    <xf applyAlignment="0" applyBorder="0" applyNumberFormat="0" applyProtection="0" borderId="0" fillId="9" fontId="9" numFmtId="0"/>
    <xf applyAlignment="0" applyBorder="0" applyNumberFormat="0" applyProtection="0" borderId="0" fillId="12" fontId="10" numFmtId="0"/>
    <xf applyAlignment="0" applyNumberFormat="0" applyProtection="0" borderId="1" fillId="2" fontId="11" numFmtId="0"/>
    <xf applyAlignment="0" applyNumberFormat="0" applyProtection="0" borderId="2" fillId="13" fontId="12" numFmtId="0"/>
    <xf applyAlignment="0" applyBorder="0" applyFill="0" applyNumberFormat="0" applyProtection="0" borderId="0" fillId="0" fontId="13" numFmtId="0"/>
    <xf applyAlignment="0" applyBorder="0" applyNumberFormat="0" applyProtection="0" borderId="0" fillId="14" fontId="14" numFmtId="0"/>
    <xf applyAlignment="0" applyFill="0" applyNumberFormat="0" applyProtection="0" borderId="3" fillId="0" fontId="15" numFmtId="0"/>
    <xf applyAlignment="0" applyFill="0" applyNumberFormat="0" applyProtection="0" borderId="4" fillId="0" fontId="16" numFmtId="0"/>
    <xf applyAlignment="0" applyFill="0" applyNumberFormat="0" applyProtection="0" borderId="5" fillId="0" fontId="17" numFmtId="0"/>
    <xf applyAlignment="0" applyBorder="0" applyFill="0" applyNumberFormat="0" applyProtection="0" borderId="0" fillId="0" fontId="17" numFmtId="0"/>
    <xf applyAlignment="0" applyNumberFormat="0" applyProtection="0" borderId="1" fillId="3" fontId="18" numFmtId="0"/>
    <xf applyAlignment="0" applyFill="0" applyNumberFormat="0" applyProtection="0" borderId="6" fillId="0" fontId="19" numFmtId="0"/>
    <xf applyAlignment="0" applyBorder="0" applyNumberFormat="0" applyProtection="0" borderId="0" fillId="15" fontId="20" numFmtId="0"/>
    <xf applyAlignment="0" applyFont="0" applyNumberFormat="0" applyProtection="0" borderId="7" fillId="16" fontId="4" numFmtId="0"/>
    <xf applyAlignment="0" applyNumberFormat="0" applyProtection="0" borderId="8" fillId="2" fontId="21" numFmtId="0"/>
    <xf applyAlignment="0" applyBorder="0" applyFill="0" applyNumberFormat="0" applyProtection="0" borderId="0" fillId="0" fontId="22" numFmtId="0"/>
    <xf applyAlignment="0" applyFill="0" applyNumberFormat="0" applyProtection="0" borderId="9" fillId="0" fontId="23" numFmtId="0"/>
    <xf applyAlignment="0" applyBorder="0" applyFill="0" applyNumberFormat="0" applyProtection="0" borderId="0" fillId="0" fontId="24" numFmtId="0"/>
    <xf borderId="0" fillId="6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8">
      <alignment wrapText="1"/>
    </xf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Font="0" applyProtection="0" borderId="0" fillId="0" fontId="4" numFmtId="9"/>
    <xf applyAlignment="0" applyBorder="0" applyFill="0" applyFont="0" applyProtection="0" borderId="0" fillId="0" fontId="52" numFmtId="43"/>
  </cellStyleXfs>
  <cellXfs count="269">
    <xf borderId="0" fillId="0" fontId="0" numFmtId="0" xfId="0"/>
    <xf applyBorder="1" borderId="10" fillId="0" fontId="0" numFmtId="0" xfId="0"/>
    <xf applyFont="1" borderId="0" fillId="0" fontId="6" numFmtId="0" xfId="0"/>
    <xf applyFont="1" borderId="0" fillId="0" fontId="7" numFmtId="0" xfId="0"/>
    <xf applyBorder="1" applyFont="1" borderId="10" fillId="0" fontId="6" numFmtId="0" xfId="0"/>
    <xf applyAlignment="1" applyBorder="1" applyFont="1" borderId="11" fillId="0" fontId="6" numFmtId="0" xfId="0">
      <alignment horizontal="left"/>
    </xf>
    <xf applyAlignment="1" applyBorder="1" applyFont="1" borderId="11" fillId="0" fontId="6" numFmtId="0" xfId="0">
      <alignment horizontal="center"/>
    </xf>
    <xf applyFont="1" applyNumberFormat="1" borderId="0" fillId="0" fontId="7" numFmtId="3" xfId="0"/>
    <xf applyBorder="1" applyFont="1" borderId="12" fillId="0" fontId="7" numFmtId="0" xfId="0"/>
    <xf applyBorder="1" applyFont="1" applyNumberFormat="1" borderId="12" fillId="0" fontId="7" numFmtId="3" xfId="0"/>
    <xf applyBorder="1" applyFont="1" borderId="13" fillId="0" fontId="7" numFmtId="0" xfId="0"/>
    <xf applyBorder="1" applyFont="1" applyNumberFormat="1" borderId="13" fillId="0" fontId="7" numFmtId="3" xfId="0"/>
    <xf applyFont="1" applyNumberFormat="1" borderId="0" fillId="0" fontId="7" numFmtId="164" xfId="0"/>
    <xf applyBorder="1" applyFont="1" applyNumberFormat="1" borderId="12" fillId="0" fontId="7" numFmtId="164" xfId="0"/>
    <xf applyBorder="1" applyFont="1" applyNumberFormat="1" borderId="13" fillId="0" fontId="7" numFmtId="164" xfId="0"/>
    <xf applyBorder="1" applyFont="1" borderId="10" fillId="0" fontId="7" numFmtId="0" xfId="0"/>
    <xf applyBorder="1" applyFont="1" borderId="11" fillId="0" fontId="6" numFmtId="0" xfId="0"/>
    <xf applyBorder="1" applyFont="1" applyNumberFormat="1" borderId="10" fillId="0" fontId="7" numFmtId="164" xfId="0"/>
    <xf applyAlignment="1" applyFont="1" borderId="0" fillId="0" fontId="7" numFmtId="0" xfId="0">
      <alignment horizontal="left"/>
    </xf>
    <xf applyAlignment="1" applyBorder="1" applyFont="1" borderId="0" fillId="0" fontId="7" numFmtId="0" xfId="0">
      <alignment horizontal="left"/>
    </xf>
    <xf applyAlignment="1" applyBorder="1" applyFill="1" applyFont="1" borderId="0" fillId="0" fontId="7" numFmtId="0" xfId="0">
      <alignment horizontal="left"/>
    </xf>
    <xf applyAlignment="1" applyBorder="1" applyFont="1" borderId="13" fillId="0" fontId="7" numFmtId="0" xfId="0">
      <alignment horizontal="left"/>
    </xf>
    <xf applyBorder="1" applyFont="1" applyNumberFormat="1" borderId="10" fillId="0" fontId="7" numFmtId="3" xfId="0"/>
    <xf applyAlignment="1" applyBorder="1" applyFont="1" borderId="12" fillId="0" fontId="7" numFmtId="0" xfId="0">
      <alignment horizontal="left"/>
    </xf>
    <xf applyAlignment="1" applyBorder="1" applyFont="1" applyNumberFormat="1" borderId="11" fillId="0" fontId="6" numFmtId="164" xfId="0">
      <alignment horizontal="center"/>
    </xf>
    <xf applyBorder="1" applyFont="1" borderId="0" fillId="0" fontId="7" numFmtId="0" xfId="0"/>
    <xf applyBorder="1" applyFont="1" applyNumberFormat="1" borderId="0" fillId="0" fontId="7" numFmtId="10" xfId="0"/>
    <xf applyAlignment="1" applyFont="1" applyNumberFormat="1" borderId="0" fillId="0" fontId="7" numFmtId="49" xfId="0">
      <alignment horizontal="left"/>
    </xf>
    <xf applyAlignment="1" applyFont="1" applyNumberFormat="1" borderId="0" fillId="0" fontId="7" numFmtId="164" xfId="0">
      <alignment horizontal="right"/>
    </xf>
    <xf applyAlignment="1" applyBorder="1" applyFont="1" applyNumberFormat="1" borderId="12" fillId="0" fontId="7" numFmtId="49" xfId="0">
      <alignment horizontal="left"/>
    </xf>
    <xf applyAlignment="1" applyBorder="1" applyFont="1" applyNumberFormat="1" borderId="12" fillId="0" fontId="7" numFmtId="164" xfId="0">
      <alignment horizontal="right"/>
    </xf>
    <xf applyAlignment="1" applyBorder="1" applyFont="1" applyNumberFormat="1" borderId="10" fillId="0" fontId="7" numFmtId="164" xfId="0">
      <alignment horizontal="right"/>
    </xf>
    <xf applyAlignment="1" applyBorder="1" applyFont="1" borderId="12" fillId="0" fontId="6" numFmtId="0" xfId="0">
      <alignment horizontal="center"/>
    </xf>
    <xf applyBorder="1" applyFont="1" applyNumberFormat="1" borderId="0" fillId="0" fontId="7" numFmtId="3" xfId="0"/>
    <xf applyBorder="1" applyFont="1" applyNumberFormat="1" borderId="0" fillId="0" fontId="7" numFmtId="164" xfId="0"/>
    <xf applyFont="1" borderId="0" fillId="0" fontId="25" numFmtId="0" xfId="0"/>
    <xf applyFont="1" applyNumberFormat="1" borderId="0" fillId="0" fontId="7" numFmtId="10" xfId="0"/>
    <xf applyBorder="1" applyFont="1" applyNumberFormat="1" borderId="0" fillId="0" fontId="7" numFmtId="166" xfId="0"/>
    <xf applyFont="1" applyNumberFormat="1" borderId="0" fillId="0" fontId="7" numFmtId="165" xfId="0"/>
    <xf applyFill="1" applyFont="1" borderId="0" fillId="0" fontId="7" numFmtId="0" xfId="0"/>
    <xf applyBorder="1" applyFill="1" applyFont="1" borderId="10" fillId="0" fontId="6" numFmtId="0" xfId="0"/>
    <xf applyAlignment="1" applyBorder="1" applyFill="1" applyFont="1" borderId="11" fillId="0" fontId="6" numFmtId="0" xfId="0">
      <alignment horizontal="center"/>
    </xf>
    <xf applyFill="1" applyFont="1" applyNumberFormat="1" borderId="0" fillId="0" fontId="7" numFmtId="164" xfId="0"/>
    <xf applyBorder="1" applyFill="1" applyFont="1" applyNumberFormat="1" borderId="12" fillId="0" fontId="7" numFmtId="164" xfId="0"/>
    <xf applyBorder="1" applyFill="1" applyFont="1" applyNumberFormat="1" borderId="10" fillId="0" fontId="7" numFmtId="164" xfId="0"/>
    <xf applyBorder="1" applyFill="1" applyFont="1" applyNumberFormat="1" borderId="0" fillId="0" fontId="7" numFmtId="10" xfId="0"/>
    <xf applyFill="1" applyFont="1" borderId="0" fillId="0" fontId="6" numFmtId="0" xfId="0"/>
    <xf applyAlignment="1" applyBorder="1" applyFill="1" applyFont="1" borderId="11" fillId="0" fontId="6" numFmtId="0" xfId="0">
      <alignment horizontal="left"/>
    </xf>
    <xf applyAlignment="1" applyFill="1" applyFont="1" borderId="0" fillId="0" fontId="7" numFmtId="0" xfId="0">
      <alignment horizontal="left"/>
    </xf>
    <xf applyAlignment="1" applyBorder="1" applyFill="1" applyFont="1" borderId="12" fillId="0" fontId="7" numFmtId="0" xfId="0">
      <alignment horizontal="left"/>
    </xf>
    <xf applyAlignment="1" applyBorder="1" applyFill="1" applyFont="1" borderId="13" fillId="0" fontId="7" numFmtId="0" xfId="0">
      <alignment horizontal="left"/>
    </xf>
    <xf applyBorder="1" applyFill="1" applyFont="1" applyNumberFormat="1" borderId="13" fillId="0" fontId="7" numFmtId="164" xfId="0"/>
    <xf applyAlignment="1" applyBorder="1" applyFill="1" applyFont="1" applyNumberFormat="1" borderId="11" fillId="0" fontId="6" numFmtId="164" xfId="0">
      <alignment horizontal="center"/>
    </xf>
    <xf applyFill="1" applyFont="1" applyNumberFormat="1" borderId="0" fillId="0" fontId="7" numFmtId="3" xfId="0"/>
    <xf applyBorder="1" applyFill="1" applyFont="1" applyNumberFormat="1" borderId="0" fillId="0" fontId="7" numFmtId="3" xfId="0"/>
    <xf applyBorder="1" applyFill="1" applyFont="1" applyNumberFormat="1" borderId="13" fillId="0" fontId="7" numFmtId="3" xfId="0"/>
    <xf applyBorder="1" applyFill="1" applyFont="1" applyNumberFormat="1" borderId="0" fillId="0" fontId="7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7" numFmtId="3" xfId="0"/>
    <xf applyBorder="1" applyFill="1" applyFont="1" applyNumberFormat="1" borderId="10" fillId="0" fontId="7" numFmtId="3" xfId="0"/>
    <xf applyBorder="1" applyFill="1" applyFont="1" borderId="10" fillId="0" fontId="7" numFmtId="0" xfId="0"/>
    <xf applyFont="1" borderId="0" fillId="0" fontId="3" numFmtId="0" xfId="0"/>
    <xf applyAlignment="1" applyBorder="1" applyFont="1" borderId="12" fillId="0" fontId="26" numFmtId="0" xfId="0">
      <alignment horizontal="center"/>
    </xf>
    <xf applyBorder="1" applyFill="1" applyFont="1" borderId="0" fillId="0" fontId="3" numFmtId="0" xfId="0"/>
    <xf applyFont="1" borderId="0" fillId="0" fontId="4" numFmtId="0" xfId="0"/>
    <xf applyBorder="1" applyFont="1" borderId="10" fillId="0" fontId="4" numFmtId="0" xfId="0"/>
    <xf applyAlignment="1" applyBorder="1" applyFont="1" borderId="11" fillId="0" fontId="3" numFmtId="0" xfId="0">
      <alignment horizontal="left"/>
    </xf>
    <xf applyFont="1" borderId="0" fillId="0" fontId="27" numFmtId="0" xfId="0"/>
    <xf applyFont="1" applyNumberFormat="1" borderId="0" fillId="0" fontId="27" numFmtId="3" xfId="0"/>
    <xf applyBorder="1" applyFont="1" borderId="13" fillId="0" fontId="27" numFmtId="0" xfId="0"/>
    <xf applyBorder="1" applyFont="1" applyNumberFormat="1" borderId="13" fillId="0" fontId="27" numFmtId="3" xfId="0"/>
    <xf applyFont="1" applyNumberFormat="1" borderId="0" fillId="0" fontId="27" numFmtId="9" xfId="0"/>
    <xf applyBorder="1" applyFont="1" borderId="0" fillId="0" fontId="27" numFmtId="0" xfId="0"/>
    <xf applyBorder="1" applyFont="1" applyNumberFormat="1" borderId="12" fillId="0" fontId="27" numFmtId="3" xfId="0"/>
    <xf applyBorder="1" applyFont="1" applyNumberFormat="1" borderId="12" fillId="0" fontId="27" numFmtId="9" xfId="0"/>
    <xf applyBorder="1" applyFont="1" applyNumberFormat="1" borderId="10" fillId="0" fontId="27" numFmtId="3" xfId="0"/>
    <xf applyBorder="1" applyFont="1" applyNumberFormat="1" borderId="10" fillId="0" fontId="27" numFmtId="9" xfId="0"/>
    <xf applyFont="1" applyNumberFormat="1" borderId="0" fillId="0" fontId="27" numFmtId="2" xfId="0"/>
    <xf applyBorder="1" applyFont="1" applyNumberFormat="1" borderId="12" fillId="0" fontId="27" numFmtId="2" xfId="0"/>
    <xf applyBorder="1" applyFont="1" applyNumberFormat="1" borderId="10" fillId="0" fontId="27" numFmtId="2" xfId="0"/>
    <xf applyBorder="1" applyFont="1" borderId="12" fillId="0" fontId="27" numFmtId="0" xfId="0"/>
    <xf applyBorder="1" applyFont="1" applyNumberFormat="1" borderId="13" fillId="0" fontId="27" numFmtId="9" xfId="0"/>
    <xf applyBorder="1" applyFont="1" borderId="10" fillId="0" fontId="27" numFmtId="0" xfId="0"/>
    <xf applyFont="1" applyNumberFormat="1" borderId="0" fillId="0" fontId="4" numFmtId="3" xfId="0"/>
    <xf applyBorder="1" applyFont="1" borderId="13" fillId="0" fontId="4" numFmtId="0" xfId="0"/>
    <xf applyBorder="1" applyFont="1" applyNumberFormat="1" borderId="13" fillId="0" fontId="4" numFmtId="3" xfId="0"/>
    <xf applyFont="1" applyNumberFormat="1" borderId="0" fillId="0" fontId="7" numFmtId="167" xfId="0"/>
    <xf applyBorder="1" applyFont="1" borderId="0" fillId="0" fontId="6" numFmtId="0" xfId="0"/>
    <xf applyAlignment="1" applyBorder="1" applyFont="1" borderId="0" fillId="0" fontId="6" numFmtId="0" xfId="0">
      <alignment horizontal="center"/>
    </xf>
    <xf applyBorder="1" applyFill="1" applyFont="1" applyNumberFormat="1" borderId="12" fillId="17" fontId="7" numFmtId="164" xfId="0"/>
    <xf applyBorder="1" applyFill="1" applyFont="1" applyNumberFormat="1" borderId="10" fillId="17" fontId="7" numFmtId="164" xfId="0"/>
    <xf applyFill="1" applyFont="1" applyNumberFormat="1" borderId="0" fillId="17" fontId="7" numFmtId="164" xfId="0"/>
    <xf applyNumberFormat="1" borderId="0" fillId="0" fontId="0" numFmtId="16" xfId="0"/>
    <xf applyAlignment="1" applyBorder="1" applyFill="1" applyFont="1" borderId="11" fillId="17" fontId="6" numFmtId="0" xfId="0">
      <alignment horizontal="center"/>
    </xf>
    <xf applyNumberFormat="1" borderId="0" fillId="0" fontId="0" numFmtId="17" xfId="0"/>
    <xf applyBorder="1" applyFont="1" applyNumberFormat="1" borderId="0" fillId="0" fontId="7" numFmtId="167" xfId="0"/>
    <xf applyBorder="1" applyFont="1" borderId="0" fillId="0" fontId="25" numFmtId="0" xfId="0"/>
    <xf applyAlignment="1" applyBorder="1" applyFont="1" borderId="0" fillId="0" fontId="6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6" numFmtId="0" xfId="0">
      <alignment horizontal="center"/>
    </xf>
    <xf applyBorder="1" applyFill="1" applyFont="1" borderId="0" fillId="0" fontId="7" numFmtId="0" xfId="0"/>
    <xf applyBorder="1" applyFont="1" applyNumberFormat="1" borderId="0" fillId="0" fontId="7" numFmtId="165" xfId="0"/>
    <xf applyNumberFormat="1" borderId="0" fillId="0" fontId="0" numFmtId="165" xfId="0"/>
    <xf applyAlignment="1" borderId="0" fillId="0" fontId="28" numFmtId="0" xfId="43"/>
    <xf applyFont="1" borderId="0" fillId="0" fontId="6" numFmtId="0" xfId="0"/>
    <xf borderId="0" fillId="0" fontId="2" numFmtId="0" xfId="49"/>
    <xf applyAlignment="1" borderId="0" fillId="0" fontId="2" numFmtId="0" xfId="49">
      <alignment horizontal="center"/>
    </xf>
    <xf applyAlignment="1" applyNumberFormat="1" borderId="0" fillId="0" fontId="2" numFmtId="11" xfId="49">
      <alignment horizontal="center"/>
    </xf>
    <xf applyAlignment="1" applyFont="1" borderId="0" fillId="0" fontId="44" numFmtId="0" xfId="49">
      <alignment horizontal="center"/>
    </xf>
    <xf applyAlignment="1" applyFont="1" applyNumberFormat="1" borderId="0" fillId="0" fontId="44" numFmtId="11" xfId="49">
      <alignment horizontal="center"/>
    </xf>
    <xf applyAlignment="1" applyFont="1" borderId="0" fillId="0" fontId="44" numFmtId="0" xfId="49">
      <alignment horizontal="left"/>
    </xf>
    <xf applyAlignment="1" applyFill="1" applyNumberFormat="1" borderId="0" fillId="49" fontId="2" numFmtId="11" xfId="49">
      <alignment horizontal="center"/>
    </xf>
    <xf applyFont="1" borderId="0" fillId="0" fontId="46" numFmtId="0" xfId="0"/>
    <xf applyFont="1" borderId="0" fillId="0" fontId="47" numFmtId="0" xfId="0"/>
    <xf applyFont="1" applyNumberFormat="1" borderId="0" fillId="0" fontId="47" numFmtId="21" xfId="0"/>
    <xf applyFont="1" applyNumberFormat="1" borderId="0" fillId="0" fontId="47" numFmtId="11" xfId="0"/>
    <xf applyFont="1" applyNumberFormat="1" borderId="0" fillId="0" fontId="47" numFmtId="2" xfId="0"/>
    <xf applyFont="1" borderId="0" fillId="0" fontId="48" numFmtId="0" xfId="0"/>
    <xf applyBorder="1" applyFont="1" borderId="12" fillId="0" fontId="48" numFmtId="0" xfId="0"/>
    <xf applyBorder="1" applyFont="1" borderId="12" fillId="0" fontId="47" numFmtId="0" xfId="0"/>
    <xf applyBorder="1" applyFont="1" applyNumberFormat="1" borderId="12" fillId="0" fontId="47" numFmtId="2" xfId="0"/>
    <xf applyBorder="1" applyFont="1" borderId="0" fillId="0" fontId="47" numFmtId="0" xfId="0"/>
    <xf applyBorder="1" applyFont="1" borderId="10" fillId="0" fontId="47" numFmtId="0" xfId="0"/>
    <xf applyFont="1" applyNumberFormat="1" borderId="0" fillId="0" fontId="47" numFmtId="3" xfId="0"/>
    <xf applyFont="1" applyNumberFormat="1" borderId="0" fillId="0" fontId="47" numFmtId="17" xfId="0"/>
    <xf applyFont="1" applyNumberFormat="1" borderId="0" fillId="0" fontId="47" numFmtId="16" xfId="0"/>
    <xf applyFont="1" borderId="0" fillId="0" fontId="49" numFmtId="0" xfId="0"/>
    <xf applyFont="1" applyNumberFormat="1" borderId="0" fillId="0" fontId="47" numFmtId="167" xfId="0"/>
    <xf applyBorder="1" applyFont="1" borderId="0" fillId="0" fontId="48" numFmtId="0" xfId="0"/>
    <xf applyAlignment="1" applyBorder="1" applyFont="1" applyNumberFormat="1" borderId="0" fillId="0" fontId="47" numFmtId="1" quotePrefix="1" xfId="0">
      <alignment horizontal="right"/>
    </xf>
    <xf applyBorder="1" applyFont="1" applyNumberFormat="1" borderId="10" fillId="0" fontId="47" numFmtId="167" xfId="0"/>
    <xf applyFont="1" applyNumberFormat="1" borderId="0" fillId="0" fontId="47" numFmtId="0" xfId="0"/>
    <xf applyBorder="1" applyFont="1" applyNumberFormat="1" borderId="10" fillId="0" fontId="47" numFmtId="0" xfId="0"/>
    <xf applyFont="1" applyNumberFormat="1" borderId="0" fillId="0" fontId="47" numFmtId="169" xfId="0"/>
    <xf applyBorder="1" applyFont="1" applyNumberFormat="1" borderId="10" fillId="0" fontId="47" numFmtId="169" xfId="0"/>
    <xf applyFill="1" applyFont="1" borderId="0" fillId="51" fontId="47" numFmtId="0" xfId="0"/>
    <xf applyFill="1" applyFont="1" applyNumberFormat="1" borderId="0" fillId="51" fontId="47" numFmtId="167" xfId="0"/>
    <xf applyBorder="1" applyFont="1" applyNumberFormat="1" borderId="10" fillId="0" fontId="47" numFmtId="3" xfId="0"/>
    <xf applyBorder="1" applyFont="1" applyNumberFormat="1" borderId="12" fillId="0" fontId="47" numFmtId="3" xfId="0"/>
    <xf applyAlignment="1" applyBorder="1" applyFont="1" applyNumberFormat="1" borderId="12" fillId="0" fontId="47" numFmtId="1" quotePrefix="1" xfId="0">
      <alignment horizontal="right"/>
    </xf>
    <xf applyBorder="1" applyFont="1" borderId="10" fillId="0" fontId="48" numFmtId="0" xfId="0"/>
    <xf applyFont="1" applyNumberFormat="1" borderId="0" fillId="0" fontId="7" numFmtId="170" xfId="0"/>
    <xf applyBorder="1" applyFont="1" applyNumberFormat="1" borderId="10" fillId="0" fontId="7" numFmtId="170" xfId="0"/>
    <xf applyFill="1" applyFont="1" borderId="0" fillId="52" fontId="47" numFmtId="0" xfId="0"/>
    <xf applyFont="1" borderId="0" fillId="0" fontId="6" numFmtId="0" xfId="0"/>
    <xf applyBorder="1" applyFill="1" applyFont="1" applyNumberFormat="1" borderId="0" fillId="0" fontId="6" numFmtId="0" xfId="0"/>
    <xf applyBorder="1" applyFill="1" applyFont="1" applyNumberFormat="1" borderId="0" fillId="0" fontId="7" numFmtId="0" xfId="0"/>
    <xf applyAlignment="1" applyBorder="1" applyFill="1" applyFont="1" applyNumberFormat="1" borderId="0" fillId="0" fontId="6" numFmtId="0" xfId="0">
      <alignment horizontal="center"/>
    </xf>
    <xf applyBorder="1" applyFill="1" applyFont="1" applyNumberFormat="1" borderId="0" fillId="0" fontId="47" numFmtId="0" xfId="0"/>
    <xf applyBorder="1" applyFont="1" borderId="12" fillId="0" fontId="6" numFmtId="0" xfId="0"/>
    <xf applyFont="1" applyNumberFormat="1" borderId="0" fillId="0" fontId="7" numFmtId="2" xfId="0"/>
    <xf applyFont="1" applyNumberFormat="1" borderId="0" fillId="0" fontId="7" numFmtId="171" xfId="0"/>
    <xf applyFill="1" applyFont="1" applyNumberFormat="1" borderId="0" fillId="0" fontId="47" numFmtId="172" xfId="0"/>
    <xf applyFill="1" applyFont="1" applyNumberFormat="1" borderId="0" fillId="0" fontId="47" numFmtId="167" xfId="0"/>
    <xf applyFill="1" applyFont="1" applyNumberFormat="1" borderId="0" fillId="51" fontId="47" numFmtId="172" xfId="0"/>
    <xf applyAlignment="1" applyBorder="1" applyFont="1" borderId="0" fillId="0" fontId="26" numFmtId="0" xfId="0">
      <alignment horizontal="center"/>
    </xf>
    <xf applyFont="1" applyNumberFormat="1" borderId="0" fillId="0" fontId="47" numFmtId="14" xfId="0"/>
    <xf applyAlignment="1" applyBorder="1" applyFont="1" borderId="11" fillId="0" fontId="3" numFmtId="0" xfId="0">
      <alignment horizontal="right"/>
    </xf>
    <xf applyFont="1" borderId="0" fillId="0" fontId="6" numFmtId="0" xfId="0"/>
    <xf applyFill="1" applyFont="1" borderId="0" fillId="0" fontId="47" numFmtId="0" xfId="0"/>
    <xf applyFill="1" applyFont="1" borderId="0" fillId="49" fontId="47" numFmtId="0" xfId="0"/>
    <xf applyAlignment="1" applyBorder="1" applyFont="1" borderId="12" fillId="0" fontId="48" numFmtId="0" xfId="0">
      <alignment horizontal="right"/>
    </xf>
    <xf applyBorder="1" applyFont="1" applyNumberFormat="1" borderId="0" fillId="0" fontId="7" numFmtId="3" xfId="94"/>
    <xf applyAlignment="1" applyBorder="1" applyFill="1" applyFont="1" borderId="12" fillId="51" fontId="48" numFmtId="0" xfId="0">
      <alignment horizontal="right"/>
    </xf>
    <xf applyFill="1" applyFont="1" borderId="0" fillId="54" fontId="47" numFmtId="0" xfId="0"/>
    <xf applyBorder="1" applyFill="1" applyFont="1" applyNumberFormat="1" borderId="10" fillId="51" fontId="47" numFmtId="167" xfId="0"/>
    <xf applyBorder="1" applyFont="1" applyNumberFormat="1" borderId="10" fillId="0" fontId="7" numFmtId="3" xfId="94"/>
    <xf applyBorder="1" applyFill="1" applyFont="1" borderId="10" fillId="54" fontId="47" numFmtId="0" xfId="0"/>
    <xf applyAlignment="1" applyBorder="1" applyFill="1" applyFont="1" borderId="12" fillId="54" fontId="48" numFmtId="0" xfId="0">
      <alignment horizontal="right"/>
    </xf>
    <xf applyAlignment="1" applyFont="1" borderId="0" fillId="0" fontId="48" numFmtId="0" xfId="0">
      <alignment horizontal="right"/>
    </xf>
    <xf applyBorder="1" applyFill="1" applyFont="1" borderId="0" fillId="54" fontId="47" numFmtId="0" xfId="0"/>
    <xf applyAlignment="1" applyBorder="1" applyFill="1" applyFont="1" borderId="11" fillId="54" fontId="48" numFmtId="0" xfId="0">
      <alignment horizontal="right"/>
    </xf>
    <xf applyFill="1" applyFont="1" borderId="0" fillId="49" fontId="7" numFmtId="0" xfId="0"/>
    <xf applyFill="1" applyFont="1" applyNumberFormat="1" borderId="0" fillId="50" fontId="45" numFmtId="172" xfId="0"/>
    <xf applyFill="1" applyFont="1" applyNumberFormat="1" borderId="0" fillId="50" fontId="45" numFmtId="167" xfId="0"/>
    <xf applyBorder="1" applyFill="1" applyFont="1" borderId="12" fillId="50" fontId="41" numFmtId="0" xfId="0"/>
    <xf applyAlignment="1" applyBorder="1" applyFill="1" applyFont="1" borderId="12" fillId="50" fontId="41" numFmtId="0" xfId="0">
      <alignment horizontal="right"/>
    </xf>
    <xf applyFill="1" applyFont="1" applyNumberFormat="1" borderId="0" fillId="50" fontId="45" numFmtId="171" xfId="0"/>
    <xf applyFill="1" applyFont="1" applyNumberFormat="1" borderId="0" fillId="50" fontId="45" numFmtId="170" xfId="0"/>
    <xf applyBorder="1" applyFill="1" applyFont="1" applyNumberFormat="1" borderId="0" fillId="50" fontId="51" numFmtId="170" xfId="0"/>
    <xf applyBorder="1" applyFill="1" applyFont="1" applyNumberFormat="1" borderId="10" fillId="50" fontId="51" numFmtId="170" xfId="0"/>
    <xf applyBorder="1" applyFill="1" applyFont="1" applyNumberFormat="1" borderId="10" fillId="0" fontId="47" numFmtId="0" xfId="0"/>
    <xf applyAlignment="1" applyBorder="1" applyFill="1" applyFont="1" applyNumberFormat="1" borderId="12" fillId="54" fontId="48" numFmtId="0" xfId="0">
      <alignment horizontal="right"/>
    </xf>
    <xf applyFill="1" applyFont="1" applyNumberFormat="1" borderId="0" fillId="50" fontId="51" numFmtId="171" xfId="0"/>
    <xf applyBorder="1" applyFill="1" applyFont="1" applyNumberFormat="1" borderId="10" fillId="50" fontId="51" numFmtId="171" xfId="0"/>
    <xf applyFill="1" applyFont="1" applyNumberFormat="1" borderId="0" fillId="51" fontId="7" numFmtId="171" xfId="0"/>
    <xf applyBorder="1" applyFill="1" applyFont="1" applyNumberFormat="1" borderId="10" fillId="51" fontId="7" numFmtId="171" xfId="0"/>
    <xf applyFill="1" applyFont="1" applyNumberFormat="1" borderId="0" fillId="54" fontId="47" numFmtId="171" xfId="0"/>
    <xf applyBorder="1" applyFill="1" applyFont="1" applyNumberFormat="1" borderId="10" fillId="54" fontId="47" numFmtId="171" xfId="0"/>
    <xf applyBorder="1" applyFill="1" applyFont="1" applyNumberFormat="1" borderId="0" fillId="54" fontId="47" numFmtId="171" xfId="0"/>
    <xf applyFill="1" applyFont="1" applyNumberFormat="1" borderId="0" fillId="50" fontId="45" numFmtId="173" xfId="0"/>
    <xf applyBorder="1" applyFill="1" applyFont="1" applyNumberFormat="1" borderId="10" fillId="50" fontId="45" numFmtId="173" xfId="0"/>
    <xf applyFill="1" applyFont="1" applyNumberFormat="1" borderId="0" fillId="54" fontId="47" numFmtId="173" xfId="0"/>
    <xf applyBorder="1" applyFill="1" applyFont="1" applyNumberFormat="1" borderId="10" fillId="54" fontId="47" numFmtId="173" xfId="0"/>
    <xf applyBorder="1" applyFill="1" applyFont="1" borderId="23" fillId="53" fontId="46" numFmtId="0" xfId="0"/>
    <xf applyBorder="1" applyFill="1" applyFont="1" borderId="24" fillId="53" fontId="47" numFmtId="0" xfId="0"/>
    <xf applyBorder="1" applyFill="1" applyFont="1" borderId="25" fillId="53" fontId="47" numFmtId="0" xfId="0"/>
    <xf applyBorder="1" applyFill="1" applyFont="1" borderId="26" fillId="53" fontId="47" numFmtId="0" xfId="0"/>
    <xf applyBorder="1" applyFill="1" applyFont="1" borderId="0" fillId="53" fontId="47" numFmtId="0" xfId="0"/>
    <xf applyBorder="1" applyFill="1" applyFont="1" borderId="27" fillId="53" fontId="47" numFmtId="0" xfId="0"/>
    <xf applyBorder="1" applyFill="1" applyFont="1" borderId="12" fillId="53" fontId="47" numFmtId="0" xfId="0"/>
    <xf applyBorder="1" applyFill="1" applyFont="1" borderId="29" fillId="53" fontId="47" numFmtId="0" xfId="0"/>
    <xf applyAlignment="1" applyBorder="1" applyFill="1" applyFont="1" borderId="28" fillId="53" fontId="48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7" numFmtId="0" xfId="0"/>
    <xf applyBorder="1" applyFont="1" applyNumberFormat="1" borderId="13" fillId="0" fontId="27" numFmtId="2" xfId="0"/>
    <xf applyBorder="1" applyFont="1" borderId="0" fillId="0" fontId="4" numFmtId="0" xfId="0"/>
    <xf applyBorder="1" applyFont="1" applyNumberFormat="1" borderId="0" fillId="0" fontId="27" numFmtId="3" xfId="0"/>
    <xf applyBorder="1" applyFont="1" borderId="0" fillId="0" fontId="0" numFmtId="9" xfId="92"/>
    <xf applyBorder="1" applyFont="1" applyNumberFormat="1" borderId="0" fillId="0" fontId="27" numFmtId="9" xfId="0"/>
    <xf applyFont="1" borderId="0" fillId="0" fontId="27" numFmtId="9" xfId="92"/>
    <xf applyBorder="1" applyFont="1" applyNumberFormat="1" borderId="0" fillId="0" fontId="47" numFmtId="174" xfId="159"/>
    <xf applyFont="1" applyNumberFormat="1" borderId="0" fillId="0" fontId="0" numFmtId="174" xfId="159"/>
    <xf applyFont="1" applyNumberFormat="1" borderId="0" fillId="0" fontId="27" numFmtId="174" xfId="159"/>
    <xf applyBorder="1" applyFont="1" applyNumberFormat="1" borderId="13" fillId="0" fontId="47" numFmtId="3" xfId="0"/>
    <xf applyBorder="1" applyFont="1" applyNumberFormat="1" borderId="13" fillId="0" fontId="47" numFmtId="2" xfId="0"/>
    <xf applyFont="1" applyNumberFormat="1" borderId="0" fillId="0" fontId="47" numFmtId="174" xfId="159"/>
    <xf applyFont="1" borderId="0" fillId="0" fontId="6" numFmtId="0" xfId="0"/>
    <xf applyBorder="1" applyFont="1" applyNumberFormat="1" borderId="10" fillId="0" fontId="7" numFmtId="4" xfId="0"/>
    <xf applyFill="1" applyFont="1" applyNumberFormat="1" borderId="0" fillId="0" fontId="45" numFmtId="167" xfId="0"/>
    <xf applyBorder="1" applyFont="1" applyNumberFormat="1" borderId="10" fillId="0" fontId="7" numFmtId="2" xfId="0"/>
    <xf applyBorder="1" applyFont="1" applyNumberFormat="1" borderId="10" fillId="0" fontId="47" numFmtId="4" xfId="0"/>
    <xf applyBorder="1" applyFill="1" applyFont="1" applyNumberFormat="1" borderId="24" fillId="0" fontId="7" numFmtId="3" xfId="0"/>
    <xf applyBorder="1" applyFont="1" applyNumberFormat="1" borderId="0" fillId="0" fontId="4" numFmtId="3" xfId="0"/>
    <xf applyFill="1" applyFont="1" applyNumberFormat="1" borderId="0" fillId="0" fontId="7" numFmtId="2" xfId="0"/>
    <xf applyBorder="1" applyFont="1" applyNumberFormat="1" borderId="24" fillId="0" fontId="27" numFmtId="9" xfId="0"/>
    <xf applyBorder="1" applyFont="1" borderId="12" fillId="0" fontId="27" numFmtId="9" xfId="92"/>
    <xf applyBorder="1" applyFont="1" borderId="10" fillId="0" fontId="27" numFmtId="9" xfId="92"/>
    <xf applyBorder="1" applyFont="1" applyNumberFormat="1" borderId="0" fillId="0" fontId="27" numFmtId="2" xfId="0"/>
    <xf applyBorder="1" applyFont="1" applyNumberFormat="1" borderId="24" fillId="0" fontId="27" numFmtId="2" xfId="0"/>
    <xf applyBorder="1" applyFont="1" borderId="0" fillId="0" fontId="27" numFmtId="9" xfId="92"/>
    <xf applyBorder="1" applyFont="1" applyNumberFormat="1" borderId="10" fillId="0" fontId="7" numFmtId="171" xfId="0"/>
    <xf applyFont="1" borderId="0" fillId="0" fontId="6" numFmtId="0" xfId="0"/>
    <xf applyFont="1" applyNumberFormat="1" borderId="0" fillId="0" fontId="7" numFmtId="174" xfId="159"/>
    <xf applyFont="1" borderId="0" fillId="0" fontId="47" numFmtId="9" xfId="92"/>
    <xf applyBorder="1" applyFont="1" borderId="12" fillId="0" fontId="47" numFmtId="9" xfId="92"/>
    <xf applyBorder="1" applyFont="1" borderId="13" fillId="0" fontId="47" numFmtId="9" xfId="92"/>
    <xf applyBorder="1" applyFont="1" applyNumberFormat="1" borderId="0" fillId="0" fontId="47" numFmtId="3" xfId="0"/>
    <xf applyFont="1" borderId="0" fillId="0" fontId="47" numFmtId="43" xfId="159"/>
    <xf applyFont="1" applyNumberFormat="1" borderId="0" fillId="0" fontId="47" numFmtId="43" xfId="0"/>
    <xf applyBorder="1" applyFont="1" applyNumberFormat="1" borderId="24" fillId="0" fontId="7" numFmtId="4" xfId="0"/>
    <xf applyBorder="1" applyFont="1" applyNumberFormat="1" borderId="0" fillId="0" fontId="7" numFmtId="4" xfId="0"/>
    <xf applyBorder="1" applyFont="1" applyNumberFormat="1" borderId="10" fillId="0" fontId="47" numFmtId="2" xfId="0"/>
    <xf applyAlignment="1" applyFill="1" applyFont="1" borderId="0" fillId="0" fontId="48" numFmtId="0" xfId="0">
      <alignment horizontal="right"/>
    </xf>
    <xf applyFill="1" applyFont="1" applyNumberFormat="1" borderId="0" fillId="0" fontId="47" numFmtId="1" xfId="0"/>
    <xf applyFont="1" borderId="0" fillId="0" fontId="47" numFmtId="9" xfId="158"/>
    <xf applyBorder="1" applyFont="1" borderId="12" fillId="0" fontId="47" numFmtId="9" xfId="158"/>
    <xf applyAlignment="1" applyBorder="1" applyFont="1" borderId="30" fillId="0" fontId="6" numFmtId="0" xfId="0">
      <alignment horizontal="center"/>
    </xf>
    <xf applyFont="1" applyNumberFormat="1" borderId="0" fillId="0" fontId="47" numFmtId="164" xfId="158"/>
    <xf applyBorder="1" applyFill="1" applyFont="1" applyNumberFormat="1" borderId="0" fillId="55" fontId="7" numFmtId="4" xfId="0"/>
    <xf applyBorder="1" applyFill="1" applyFont="1" applyNumberFormat="1" borderId="24" fillId="55" fontId="7" numFmtId="4" xfId="0"/>
    <xf applyAlignment="1" applyFill="1" applyFont="1" applyNumberFormat="1" borderId="0" fillId="55" fontId="7" numFmtId="3" quotePrefix="1" xfId="0">
      <alignment horizontal="right"/>
    </xf>
    <xf applyFill="1" applyFont="1" applyNumberFormat="1" borderId="0" fillId="55" fontId="7" numFmtId="3" xfId="0"/>
    <xf applyAlignment="1" applyBorder="1" applyFont="1" borderId="12" fillId="0" fontId="6" numFmtId="0" xfId="0">
      <alignment horizontal="right"/>
    </xf>
    <xf applyBorder="1" applyFont="1" applyNumberFormat="1" borderId="24" fillId="0" fontId="7" numFmtId="2" xfId="0"/>
    <xf applyBorder="1" applyFont="1" applyNumberFormat="1" borderId="0" fillId="0" fontId="7" numFmtId="2" xfId="0"/>
    <xf applyFont="1" applyNumberFormat="1" borderId="0" fillId="0" fontId="48" numFmtId="3" xfId="0"/>
    <xf applyFont="1" applyNumberFormat="1" borderId="0" fillId="0" fontId="6" numFmtId="2" xfId="0"/>
    <xf applyBorder="1" applyFont="1" borderId="13" fillId="0" fontId="47" numFmtId="9" xfId="158"/>
    <xf applyBorder="1" applyFill="1" applyFont="1" borderId="10" fillId="56" fontId="53" numFmtId="0" xfId="0"/>
    <xf applyAlignment="1" applyFont="1" borderId="0" fillId="0" fontId="54" numFmtId="0" xfId="0">
      <alignment horizontal="right"/>
    </xf>
    <xf applyFill="1" applyFont="1" borderId="0" fillId="56" fontId="54" numFmtId="0" xfId="0"/>
    <xf applyFont="1" borderId="0" fillId="0" fontId="53" numFmtId="0" xfId="0"/>
    <xf applyAlignment="1" applyFont="1" borderId="0" fillId="0" fontId="7" numFmtId="0" xfId="0">
      <alignment horizontal="right"/>
    </xf>
    <xf applyAlignment="1" applyFill="1" applyFont="1" borderId="0" fillId="0" fontId="7" numFmtId="0" xfId="0">
      <alignment horizontal="right"/>
    </xf>
    <xf applyFont="1" borderId="0" fillId="0" fontId="6" numFmtId="0" xfId="0"/>
  </cellXfs>
  <cellStyles count="160">
    <cellStyle builtinId="30" customBuiltin="1" name="20% - Accent1" xfId="1"/>
    <cellStyle name="20% - Accent1 2" xfId="68"/>
    <cellStyle name="20% - Accent1 2 2" xfId="145"/>
    <cellStyle name="20% - Accent1 3" xfId="95"/>
    <cellStyle builtinId="34" customBuiltin="1" name="20% - Accent2" xfId="2"/>
    <cellStyle name="20% - Accent2 2" xfId="72"/>
    <cellStyle name="20% - Accent2 2 2" xfId="147"/>
    <cellStyle name="20% - Accent2 3" xfId="96"/>
    <cellStyle builtinId="38" customBuiltin="1" name="20% - Accent3" xfId="3"/>
    <cellStyle name="20% - Accent3 2" xfId="76"/>
    <cellStyle name="20% - Accent3 2 2" xfId="149"/>
    <cellStyle name="20% - Accent3 3" xfId="97"/>
    <cellStyle builtinId="42" customBuiltin="1" name="20% - Accent4" xfId="4"/>
    <cellStyle name="20% - Accent4 2" xfId="80"/>
    <cellStyle name="20% - Accent4 2 2" xfId="151"/>
    <cellStyle name="20% - Accent4 3" xfId="98"/>
    <cellStyle builtinId="46" customBuiltin="1" name="20% - Accent5" xfId="5"/>
    <cellStyle name="20% - Accent5 2" xfId="84"/>
    <cellStyle name="20% - Accent5 2 2" xfId="153"/>
    <cellStyle name="20% - Accent5 3" xfId="99"/>
    <cellStyle builtinId="50" customBuiltin="1" name="20% - Accent6" xfId="6"/>
    <cellStyle name="20% - Accent6 2" xfId="88"/>
    <cellStyle name="20% - Accent6 2 2" xfId="155"/>
    <cellStyle name="20% - Accent6 3" xfId="100"/>
    <cellStyle builtinId="31" customBuiltin="1" name="40% - Accent1" xfId="7"/>
    <cellStyle name="40% - Accent1 2" xfId="69"/>
    <cellStyle name="40% - Accent1 2 2" xfId="146"/>
    <cellStyle name="40% - Accent1 3" xfId="101"/>
    <cellStyle builtinId="35" customBuiltin="1" name="40% - Accent2" xfId="8"/>
    <cellStyle name="40% - Accent2 2" xfId="73"/>
    <cellStyle name="40% - Accent2 2 2" xfId="148"/>
    <cellStyle name="40% - Accent2 3" xfId="102"/>
    <cellStyle builtinId="39" customBuiltin="1" name="40% - Accent3" xfId="9"/>
    <cellStyle name="40% - Accent3 2" xfId="77"/>
    <cellStyle name="40% - Accent3 2 2" xfId="150"/>
    <cellStyle name="40% - Accent3 3" xfId="103"/>
    <cellStyle builtinId="43" customBuiltin="1" name="40% - Accent4" xfId="10"/>
    <cellStyle name="40% - Accent4 2" xfId="81"/>
    <cellStyle name="40% - Accent4 2 2" xfId="152"/>
    <cellStyle name="40% - Accent4 3" xfId="104"/>
    <cellStyle builtinId="47" customBuiltin="1" name="40% - Accent5" xfId="11"/>
    <cellStyle name="40% - Accent5 2" xfId="85"/>
    <cellStyle name="40% - Accent5 2 2" xfId="154"/>
    <cellStyle name="40% - Accent5 3" xfId="105"/>
    <cellStyle builtinId="51" customBuiltin="1" name="40% - Accent6" xfId="12"/>
    <cellStyle name="40% - Accent6 2" xfId="89"/>
    <cellStyle name="40% - Accent6 2 2" xfId="156"/>
    <cellStyle name="40% - Accent6 3" xfId="106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builtinId="10" customBuiltin="1" name="Note" xfId="37"/>
    <cellStyle name="Note 2" xfId="64"/>
    <cellStyle name="Note 2 2" xfId="144"/>
    <cellStyle name="Note 3" xfId="13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theme/theme1.xml" Type="http://schemas.openxmlformats.org/officeDocument/2006/relationships/theme"/>
    <Relationship Id="rId2" Target="worksheets/sheet2.xml" Type="http://schemas.openxmlformats.org/officeDocument/2006/relationships/worksheet"/>
    <Relationship Id="rId20" Target="styles.xml" Type="http://schemas.openxmlformats.org/officeDocument/2006/relationships/styles"/>
    <Relationship Id="rId21" Target="sharedStrings.xml" Type="http://schemas.openxmlformats.org/officeDocument/2006/relationships/sharedStrings"/>
    <Relationship Id="rId22" Target="calcChain.xml" Type="http://schemas.openxmlformats.org/officeDocument/2006/relationships/calcChain"/>
    <Relationship Id="rId23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2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3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Summary!$L$31:$L$38</c:f>
              <c:numCache>
                <c:formatCode>0%</c:formatCode>
                <c:ptCount val="8"/>
                <c:pt idx="0">
                  <c:v>0.3321854152956244</c:v>
                </c:pt>
                <c:pt idx="1">
                  <c:v>0.13313374842884679</c:v>
                </c:pt>
                <c:pt idx="2">
                  <c:v>0.10678386599169945</c:v>
                </c:pt>
                <c:pt idx="3">
                  <c:v>0.12575608307322839</c:v>
                </c:pt>
                <c:pt idx="4">
                  <c:v>8.5446693882925182E-2</c:v>
                </c:pt>
                <c:pt idx="5">
                  <c:v>4.8907745994577999E-2</c:v>
                </c:pt>
                <c:pt idx="6">
                  <c:v>0.11759817166467426</c:v>
                </c:pt>
                <c:pt idx="7">
                  <c:v>5.0188275668423467E-2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4-449B-9B7D-E0CECD16D7E7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Summary!$A$31:$A$38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workbased</c:v>
                </c:pt>
              </c:strCache>
            </c:strRef>
          </c:cat>
          <c:val>
            <c:numRef>
              <c:f>Summary!$M$31:$M$38</c:f>
              <c:numCache>
                <c:formatCode>0%</c:formatCode>
                <c:ptCount val="8"/>
                <c:pt idx="0">
                  <c:v>0.34062876156720723</c:v>
                </c:pt>
                <c:pt idx="1">
                  <c:v>0.11652614284034922</c:v>
                </c:pt>
                <c:pt idx="2">
                  <c:v>0.10552394681637232</c:v>
                </c:pt>
                <c:pt idx="3">
                  <c:v>0.12860344685804104</c:v>
                </c:pt>
                <c:pt idx="4">
                  <c:v>8.7204614354678564E-2</c:v>
                </c:pt>
                <c:pt idx="5">
                  <c:v>5.0399274578055986E-2</c:v>
                </c:pt>
                <c:pt idx="6">
                  <c:v>0.11766692734908062</c:v>
                </c:pt>
                <c:pt idx="7">
                  <c:v>5.3446885636215025E-2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4-449B-9B7D-E0CECD16D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Summary!$L$46:$L$53</c:f>
              <c:numCache>
                <c:formatCode>0%</c:formatCode>
                <c:ptCount val="8"/>
                <c:pt idx="0">
                  <c:v>0.46008610063959005</c:v>
                </c:pt>
                <c:pt idx="1">
                  <c:v>9.8352695419539712E-2</c:v>
                </c:pt>
                <c:pt idx="2">
                  <c:v>8.9906500640182255E-2</c:v>
                </c:pt>
                <c:pt idx="3">
                  <c:v>0.13865904222771494</c:v>
                </c:pt>
                <c:pt idx="4">
                  <c:v>3.2192008759426169E-2</c:v>
                </c:pt>
                <c:pt idx="5">
                  <c:v>2.1132225168153752E-2</c:v>
                </c:pt>
                <c:pt idx="6">
                  <c:v>0.15967142714539306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8-4FFF-945C-75A77570CDB0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Summary!$A$46:$A$53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Summary!$M$46:$M$53</c:f>
              <c:numCache>
                <c:formatCode>0%</c:formatCode>
                <c:ptCount val="8"/>
                <c:pt idx="0">
                  <c:v>0.49499727083725414</c:v>
                </c:pt>
                <c:pt idx="1">
                  <c:v>8.2685628598755681E-2</c:v>
                </c:pt>
                <c:pt idx="2">
                  <c:v>0.10546765266064392</c:v>
                </c:pt>
                <c:pt idx="3">
                  <c:v>0.12751730079457546</c:v>
                </c:pt>
                <c:pt idx="4">
                  <c:v>2.6740827777964812E-2</c:v>
                </c:pt>
                <c:pt idx="5">
                  <c:v>2.2493930441395853E-2</c:v>
                </c:pt>
                <c:pt idx="6">
                  <c:v>0.14009738888941012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8-4FFF-945C-75A77570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Summary!$O$61:$O$68</c:f>
              <c:numCache>
                <c:formatCode>0%</c:formatCode>
                <c:ptCount val="8"/>
                <c:pt idx="0">
                  <c:v>0.16518499072886189</c:v>
                </c:pt>
                <c:pt idx="1">
                  <c:v>5.1849290639397472E-2</c:v>
                </c:pt>
                <c:pt idx="2">
                  <c:v>8.4308586623897105E-2</c:v>
                </c:pt>
                <c:pt idx="3">
                  <c:v>0.1338227071959357</c:v>
                </c:pt>
                <c:pt idx="4">
                  <c:v>9.4168553638642558E-2</c:v>
                </c:pt>
                <c:pt idx="5">
                  <c:v>5.0757902894485792E-2</c:v>
                </c:pt>
                <c:pt idx="6">
                  <c:v>7.6435349600579378E-2</c:v>
                </c:pt>
                <c:pt idx="7">
                  <c:v>0.34347261867820023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7-42B8-8D93-8D4570322EFC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Summary!$A$61:$A$68</c:f>
              <c:strCache>
                <c:ptCount val="8"/>
                <c:pt idx="0">
                  <c:v>work</c:v>
                </c:pt>
                <c:pt idx="1">
                  <c:v>school</c:v>
                </c:pt>
                <c:pt idx="2">
                  <c:v>escort</c:v>
                </c:pt>
                <c:pt idx="3">
                  <c:v>pers.bus</c:v>
                </c:pt>
                <c:pt idx="4">
                  <c:v>shop</c:v>
                </c:pt>
                <c:pt idx="5">
                  <c:v>meal</c:v>
                </c:pt>
                <c:pt idx="6">
                  <c:v>soc/rec</c:v>
                </c:pt>
                <c:pt idx="7">
                  <c:v>home</c:v>
                </c:pt>
              </c:strCache>
            </c:strRef>
          </c:cat>
          <c:val>
            <c:numRef>
              <c:f>Summary!$P$61:$P$68</c:f>
              <c:numCache>
                <c:formatCode>0%</c:formatCode>
                <c:ptCount val="8"/>
                <c:pt idx="0">
                  <c:v>0.17397680491680059</c:v>
                </c:pt>
                <c:pt idx="1">
                  <c:v>4.6075709401712892E-2</c:v>
                </c:pt>
                <c:pt idx="2">
                  <c:v>8.1964033062090352E-2</c:v>
                </c:pt>
                <c:pt idx="3">
                  <c:v>0.13371671222549589</c:v>
                </c:pt>
                <c:pt idx="4">
                  <c:v>8.7866227543125022E-2</c:v>
                </c:pt>
                <c:pt idx="5">
                  <c:v>5.3168552421717051E-2</c:v>
                </c:pt>
                <c:pt idx="6">
                  <c:v>7.3164954543607524E-2</c:v>
                </c:pt>
                <c:pt idx="7">
                  <c:v>0.35006700588545064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47-42B8-8D93-8D4570322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Trips by Person Type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Summary!$L$30</c:f>
              <c:strCache>
                <c:ptCount val="1"/>
                <c:pt idx="0">
                  <c:v>ExpandSurv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Summary!$O$76:$O$83</c:f>
              <c:numCache>
                <c:formatCode>0%</c:formatCode>
                <c:ptCount val="8"/>
                <c:pt idx="0">
                  <c:v>0.46509316330147027</c:v>
                </c:pt>
                <c:pt idx="1">
                  <c:v>0.10151311325018242</c:v>
                </c:pt>
                <c:pt idx="2">
                  <c:v>9.5763757816873879E-2</c:v>
                </c:pt>
                <c:pt idx="3">
                  <c:v>0.1433696754588083</c:v>
                </c:pt>
                <c:pt idx="4">
                  <c:v>3.1025289139656489E-2</c:v>
                </c:pt>
                <c:pt idx="5">
                  <c:v>2.0022060232999624E-2</c:v>
                </c:pt>
                <c:pt idx="6">
                  <c:v>0.14321294080000893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E-4C1F-A16E-EE2A9205F3CB}"/>
            </c:ext>
          </c:extLst>
        </c:ser>
        <c:ser>
          <c:idx val="1"/>
          <c:order val="1"/>
          <c:tx>
            <c:strRef>
              <c:f>Summary!$M$30</c:f>
              <c:strCache>
                <c:ptCount val="1"/>
                <c:pt idx="0">
                  <c:v>SynthPop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Summary!$A$76:$A$83</c:f>
              <c:strCache>
                <c:ptCount val="8"/>
                <c:pt idx="0">
                  <c:v>ft worker</c:v>
                </c:pt>
                <c:pt idx="1">
                  <c:v>pt worker</c:v>
                </c:pt>
                <c:pt idx="2">
                  <c:v>retired</c:v>
                </c:pt>
                <c:pt idx="3">
                  <c:v>nonworker</c:v>
                </c:pt>
                <c:pt idx="4">
                  <c:v>uinv.stud</c:v>
                </c:pt>
                <c:pt idx="5">
                  <c:v>stud 16+</c:v>
                </c:pt>
                <c:pt idx="6">
                  <c:v>stud.5-15</c:v>
                </c:pt>
                <c:pt idx="7">
                  <c:v>under 5</c:v>
                </c:pt>
              </c:strCache>
            </c:strRef>
          </c:cat>
          <c:val>
            <c:numRef>
              <c:f>Summary!$P$76:$P$83</c:f>
              <c:numCache>
                <c:formatCode>0%</c:formatCode>
                <c:ptCount val="8"/>
                <c:pt idx="0">
                  <c:v>0.493308498036992</c:v>
                </c:pt>
                <c:pt idx="1">
                  <c:v>9.7169049835512444E-2</c:v>
                </c:pt>
                <c:pt idx="2">
                  <c:v>0.10962869367008274</c:v>
                </c:pt>
                <c:pt idx="3">
                  <c:v>0.12808772778478728</c:v>
                </c:pt>
                <c:pt idx="4">
                  <c:v>2.4315489396162931E-2</c:v>
                </c:pt>
                <c:pt idx="5">
                  <c:v>1.9268658785775356E-2</c:v>
                </c:pt>
                <c:pt idx="6">
                  <c:v>0.12822188249068728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CE-4C1F-A16E-EE2A9205F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8391647"/>
        <c:axId val="538384575"/>
      </c:barChart>
      <c:catAx>
        <c:axId val="53839164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84575"/>
        <c:crosses val="autoZero"/>
        <c:auto val="1"/>
        <c:lblAlgn val="ctr"/>
        <c:lblOffset val="100"/>
        <c:noMultiLvlLbl val="0"/>
      </c:catAx>
      <c:valAx>
        <c:axId val="538384575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9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504264</xdr:colOff>
      <xdr:row>25</xdr:row>
      <xdr:rowOff>29135</xdr:rowOff>
    </xdr:from>
    <xdr:to>
      <xdr:col>19</xdr:col>
      <xdr:colOff>324970</xdr:colOff>
      <xdr:row>38</xdr:row>
      <xdr:rowOff>179293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481853</xdr:colOff>
      <xdr:row>41</xdr:row>
      <xdr:rowOff>67234</xdr:rowOff>
    </xdr:from>
    <xdr:to>
      <xdr:col>19</xdr:col>
      <xdr:colOff>302559</xdr:colOff>
      <xdr:row>54</xdr:row>
      <xdr:rowOff>217393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369794</xdr:colOff>
      <xdr:row>57</xdr:row>
      <xdr:rowOff>89647</xdr:rowOff>
    </xdr:from>
    <xdr:to>
      <xdr:col>22</xdr:col>
      <xdr:colOff>705970</xdr:colOff>
      <xdr:row>71</xdr:row>
      <xdr:rowOff>15688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23</xdr:col>
      <xdr:colOff>336177</xdr:colOff>
      <xdr:row>86</xdr:row>
      <xdr:rowOff>150158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14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4"/>
  <sheetViews>
    <sheetView tabSelected="1" topLeftCell="E54" workbookViewId="0" zoomScale="85" zoomScaleNormal="85">
      <selection activeCell="Z66" sqref="Z66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1" x14ac:dyDescent="0.2">
      <c r="A1" s="62" t="s">
        <v>185</v>
      </c>
    </row>
    <row customHeight="1" ht="18" r="2" spans="1:11" thickBot="1" x14ac:dyDescent="0.25">
      <c r="B2" s="66"/>
      <c r="C2" s="66"/>
      <c r="D2" s="66"/>
      <c r="E2" s="66"/>
      <c r="F2" s="68"/>
      <c r="G2" s="68"/>
    </row>
    <row customFormat="1" customHeight="1" ht="18" r="3" s="68" spans="1:11" x14ac:dyDescent="0.2">
      <c r="A3" s="67" t="s">
        <v>1210</v>
      </c>
      <c r="B3" s="63" t="s">
        <v>259</v>
      </c>
      <c r="C3" s="63" t="s">
        <v>260</v>
      </c>
      <c r="D3" s="63" t="s">
        <v>259</v>
      </c>
      <c r="E3" s="63" t="s">
        <v>260</v>
      </c>
    </row>
    <row customFormat="1" customHeight="1" ht="18" r="4" s="68" spans="1:11" x14ac:dyDescent="0.2">
      <c r="A4" s="65">
        <v>1</v>
      </c>
      <c r="B4" s="84">
        <f>SUM(ToursByTourPurpose!B118)</f>
        <v>571262.1889448663</v>
      </c>
      <c r="C4" s="84">
        <f>SUM(ToursByTourPurpose!N118)</f>
        <v>610048</v>
      </c>
      <c r="D4" s="213">
        <f>B4/B$11</f>
        <v>0.41722181042639073</v>
      </c>
      <c r="E4" s="228">
        <f>C4/C$11</f>
        <v>0.40609493885756509</v>
      </c>
    </row>
    <row customFormat="1" customHeight="1" ht="18" r="5" s="68" spans="1:11" x14ac:dyDescent="0.2">
      <c r="A5">
        <v>2</v>
      </c>
      <c r="B5" s="84">
        <f>SUM(ToursByTourPurpose!C118)</f>
        <v>74462</v>
      </c>
      <c r="C5" s="84">
        <f>ToursByTourPurpose!O118</f>
        <v>79684</v>
      </c>
      <c r="D5" s="213">
        <f ref="D5:D10" si="0" t="shared">B5/B$11</f>
        <v>5.4383383058051939E-2</v>
      </c>
      <c r="E5" s="212">
        <f ref="E5:E10" si="1" t="shared">C5/C$11</f>
        <v>5.3043808205135032E-2</v>
      </c>
    </row>
    <row customFormat="1" customHeight="1" ht="18" r="6" s="68" spans="1:11" x14ac:dyDescent="0.2">
      <c r="A6">
        <v>3</v>
      </c>
      <c r="B6" s="84">
        <f>SUM(ToursByTourPurpose!D118)</f>
        <v>61201.999999999993</v>
      </c>
      <c r="C6" s="84">
        <f>ToursByTourPurpose!P118</f>
        <v>62628</v>
      </c>
      <c r="D6" s="213">
        <f si="0" t="shared"/>
        <v>4.4698931131569045E-2</v>
      </c>
      <c r="E6" s="212">
        <f si="1" t="shared"/>
        <v>4.1690020835690941E-2</v>
      </c>
    </row>
    <row customFormat="1" customHeight="1" ht="18" r="7" s="68" spans="1:11" x14ac:dyDescent="0.2">
      <c r="A7">
        <v>4</v>
      </c>
      <c r="B7" s="84">
        <f>SUM(ToursByTourPurpose!E118)</f>
        <v>239449.81105513356</v>
      </c>
      <c r="C7" s="84">
        <f>ToursByTourPurpose!Q118</f>
        <v>274057</v>
      </c>
      <c r="D7" s="213">
        <f si="0" t="shared"/>
        <v>0.17488236681514716</v>
      </c>
      <c r="E7" s="212">
        <f si="1" t="shared"/>
        <v>0.18243344893924365</v>
      </c>
    </row>
    <row customFormat="1" customHeight="1" ht="18" r="8" s="68" spans="1:11" x14ac:dyDescent="0.2">
      <c r="A8">
        <v>5</v>
      </c>
      <c r="B8" s="84">
        <f>SUM(ToursByTourPurpose!F118)</f>
        <v>148325</v>
      </c>
      <c r="C8" s="84">
        <f>ToursByTourPurpose!R118</f>
        <v>158939</v>
      </c>
      <c r="D8" s="213">
        <f si="0" t="shared"/>
        <v>0.1083292859725169</v>
      </c>
      <c r="E8" s="212">
        <f si="1" t="shared"/>
        <v>0.10580204096576423</v>
      </c>
    </row>
    <row customFormat="1" customHeight="1" ht="18" r="9" s="68" spans="1:11" x14ac:dyDescent="0.2">
      <c r="A9">
        <v>6</v>
      </c>
      <c r="B9" s="84">
        <f>SUM(ToursByTourPurpose!G118)</f>
        <v>168740.99999999997</v>
      </c>
      <c r="C9" s="84">
        <f>ToursByTourPurpose!S118</f>
        <v>200422</v>
      </c>
      <c r="D9" s="213">
        <f si="0" t="shared"/>
        <v>0.12324012839567484</v>
      </c>
      <c r="E9" s="212">
        <f si="1" t="shared"/>
        <v>0.13341632106934356</v>
      </c>
    </row>
    <row customFormat="1" customHeight="1" ht="18" r="10" s="68" spans="1:11" x14ac:dyDescent="0.2">
      <c r="A10">
        <v>7</v>
      </c>
      <c r="B10" s="84">
        <f>SUM(ToursByTourPurpose!H118)</f>
        <v>105763</v>
      </c>
      <c r="C10" s="84">
        <f>SUM(ToursByTourPurpose!T118)</f>
        <v>116452</v>
      </c>
      <c r="D10" s="229">
        <f si="0" t="shared"/>
        <v>7.7244094200649288E-2</v>
      </c>
      <c r="E10" s="75">
        <f si="1" t="shared"/>
        <v>7.7519421127257473E-2</v>
      </c>
    </row>
    <row customFormat="1" customHeight="1" ht="18" r="11" s="68" spans="1:11" thickBot="1" x14ac:dyDescent="0.25">
      <c r="A11" s="85" t="s">
        <v>220</v>
      </c>
      <c r="B11" s="86">
        <f>SUM(B4:B10)</f>
        <v>1369205</v>
      </c>
      <c r="C11" s="86">
        <f>SUM(C4:C10)</f>
        <v>1502230</v>
      </c>
      <c r="D11" s="230">
        <f>B11/B$11</f>
        <v>1</v>
      </c>
      <c r="E11" s="77">
        <f>C11/C$11</f>
        <v>1</v>
      </c>
      <c r="I11" s="157"/>
    </row>
    <row customFormat="1" customHeight="1" ht="18" r="12" s="68" spans="1:11" x14ac:dyDescent="0.2">
      <c r="A12" s="209"/>
      <c r="B12" s="226"/>
      <c r="C12" s="226"/>
      <c r="D12" s="233"/>
      <c r="E12" s="212"/>
      <c r="I12" s="157"/>
    </row>
    <row customHeight="1" ht="18" r="13" spans="1:11" x14ac:dyDescent="0.2">
      <c r="A13" s="62" t="s">
        <v>290</v>
      </c>
      <c r="D13" s="209"/>
      <c r="E13" s="209"/>
    </row>
    <row customHeight="1" ht="18" r="14" spans="1:11" thickBot="1" x14ac:dyDescent="0.25">
      <c r="B14" s="66"/>
      <c r="C14" s="66"/>
      <c r="D14" s="66"/>
      <c r="E14" s="66"/>
      <c r="G14" s="66"/>
      <c r="H14" s="66"/>
      <c r="I14" s="68"/>
      <c r="J14" s="209"/>
      <c r="K14" s="209"/>
    </row>
    <row customFormat="1" customHeight="1" ht="18" r="15" s="68" spans="1:11" x14ac:dyDescent="0.2">
      <c r="A15" s="67" t="s">
        <v>155</v>
      </c>
      <c r="B15" s="63" t="s">
        <v>259</v>
      </c>
      <c r="C15" s="63" t="s">
        <v>260</v>
      </c>
      <c r="D15" s="63" t="s">
        <v>154</v>
      </c>
      <c r="E15" s="63" t="s">
        <v>261</v>
      </c>
      <c r="G15" s="63" t="str">
        <f>B15</f>
        <v>ExpandSurv</v>
      </c>
      <c r="H15" s="63" t="str">
        <f>C15</f>
        <v>SynthPop</v>
      </c>
      <c r="I15" s="73"/>
      <c r="J15" s="157"/>
      <c r="K15" s="157"/>
    </row>
    <row customFormat="1" customHeight="1" ht="18" r="16" s="68" spans="1:11" x14ac:dyDescent="0.2">
      <c r="A16" s="68" t="s">
        <v>146</v>
      </c>
      <c r="B16" s="69">
        <f>ToursByTourPurpose!B15</f>
        <v>588749</v>
      </c>
      <c r="C16" s="69">
        <f>ToursByTourPurpose!N15</f>
        <v>682545</v>
      </c>
      <c r="D16" s="69">
        <f ref="D16:D24" si="2" t="shared">C16-B16</f>
        <v>93796</v>
      </c>
      <c r="E16" s="228">
        <f>IF(B16&gt;0,D16/B16,0)</f>
        <v>0.15931407102177669</v>
      </c>
      <c r="G16" s="213">
        <f>B16/B$24</f>
        <v>0.42999331728996021</v>
      </c>
      <c r="H16" s="228">
        <f>C16/C$24</f>
        <v>0.45435452627094386</v>
      </c>
      <c r="I16" s="73"/>
      <c r="J16" s="210"/>
      <c r="K16" s="211"/>
    </row>
    <row customFormat="1" customHeight="1" ht="18" r="17" s="68" spans="1:13" x14ac:dyDescent="0.2">
      <c r="A17" s="68" t="s">
        <v>147</v>
      </c>
      <c r="B17" s="69">
        <f>ToursByTourPurpose!C15</f>
        <v>81618</v>
      </c>
      <c r="C17" s="69">
        <f>ToursByTourPurpose!O15</f>
        <v>84137</v>
      </c>
      <c r="D17" s="69">
        <f si="2" t="shared"/>
        <v>2519</v>
      </c>
      <c r="E17" s="212">
        <f ref="E17:E23" si="3" t="shared">IF(B17&gt;0,D17/B17,0)</f>
        <v>3.0863289960547918E-2</v>
      </c>
      <c r="G17" s="213">
        <f ref="G17:H24" si="4" t="shared">B17/B$24</f>
        <v>5.9609773554727012E-2</v>
      </c>
      <c r="H17" s="212">
        <f si="4" t="shared"/>
        <v>5.6008068005565056E-2</v>
      </c>
      <c r="I17" s="73"/>
      <c r="J17" s="210"/>
      <c r="K17" s="211"/>
    </row>
    <row customFormat="1" customHeight="1" ht="18" r="18" s="68" spans="1:13" x14ac:dyDescent="0.2">
      <c r="A18" s="68" t="s">
        <v>148</v>
      </c>
      <c r="B18" s="69">
        <f>ToursByTourPurpose!D15</f>
        <v>128486.99999999996</v>
      </c>
      <c r="C18" s="69">
        <f>ToursByTourPurpose!P15</f>
        <v>164943</v>
      </c>
      <c r="D18" s="69">
        <f si="2" t="shared"/>
        <v>36456.000000000044</v>
      </c>
      <c r="E18" s="212">
        <f si="3" t="shared"/>
        <v>0.28373298465992713</v>
      </c>
      <c r="G18" s="213">
        <f si="4" t="shared"/>
        <v>9.384058632564149E-2</v>
      </c>
      <c r="H18" s="212">
        <f si="4" t="shared"/>
        <v>0.10979876583479227</v>
      </c>
      <c r="I18" s="73"/>
      <c r="J18" s="210"/>
      <c r="K18" s="211"/>
    </row>
    <row customFormat="1" customHeight="1" ht="18" r="19" s="68" spans="1:13" x14ac:dyDescent="0.2">
      <c r="A19" s="68" t="s">
        <v>242</v>
      </c>
      <c r="B19" s="69">
        <f>ToursByTourPurpose!E15</f>
        <v>228649</v>
      </c>
      <c r="C19" s="69">
        <f>ToursByTourPurpose!Q15</f>
        <v>240520</v>
      </c>
      <c r="D19" s="69">
        <f si="2" t="shared"/>
        <v>11871</v>
      </c>
      <c r="E19" s="212">
        <f si="3" t="shared"/>
        <v>5.1918005326942171E-2</v>
      </c>
      <c r="G19" s="213">
        <f si="4" t="shared"/>
        <v>0.1669939855609642</v>
      </c>
      <c r="H19" s="212">
        <f si="4" t="shared"/>
        <v>0.16010863849077706</v>
      </c>
      <c r="I19" s="73"/>
      <c r="J19" s="210"/>
      <c r="K19" s="211"/>
    </row>
    <row customFormat="1" customHeight="1" ht="18" r="20" s="68" spans="1:13" x14ac:dyDescent="0.2">
      <c r="A20" s="68" t="s">
        <v>243</v>
      </c>
      <c r="B20" s="69">
        <f>ToursByTourPurpose!F15</f>
        <v>72655</v>
      </c>
      <c r="C20" s="69">
        <f>ToursByTourPurpose!R15</f>
        <v>60810</v>
      </c>
      <c r="D20" s="69">
        <f si="2" t="shared"/>
        <v>-11845</v>
      </c>
      <c r="E20" s="212">
        <f si="3" t="shared"/>
        <v>-0.1630307618195582</v>
      </c>
      <c r="G20" s="213">
        <f si="4" t="shared"/>
        <v>5.3063639119050834E-2</v>
      </c>
      <c r="H20" s="212">
        <f si="4" t="shared"/>
        <v>4.0479820000931949E-2</v>
      </c>
      <c r="I20" s="73"/>
      <c r="J20" s="210"/>
      <c r="K20" s="211"/>
    </row>
    <row customFormat="1" customHeight="1" ht="18" r="21" s="68" spans="1:13" x14ac:dyDescent="0.2">
      <c r="A21" s="68" t="s">
        <v>244</v>
      </c>
      <c r="B21" s="69">
        <f>ToursByTourPurpose!G15</f>
        <v>49417</v>
      </c>
      <c r="C21" s="69">
        <f>ToursByTourPurpose!S15</f>
        <v>56338</v>
      </c>
      <c r="D21" s="69">
        <f si="2" t="shared"/>
        <v>6921</v>
      </c>
      <c r="E21" s="212">
        <f si="3" t="shared"/>
        <v>0.14005301819212013</v>
      </c>
      <c r="G21" s="213">
        <f si="4" t="shared"/>
        <v>3.6091746670513181E-2</v>
      </c>
      <c r="H21" s="212">
        <f si="4" t="shared"/>
        <v>3.7502912336992336E-2</v>
      </c>
      <c r="I21" s="73"/>
      <c r="J21" s="210"/>
      <c r="K21" s="211"/>
    </row>
    <row customFormat="1" customHeight="1" ht="18" r="22" s="68" spans="1:13" x14ac:dyDescent="0.2">
      <c r="A22" s="73" t="s">
        <v>245</v>
      </c>
      <c r="B22" s="69">
        <f>ToursByTourPurpose!I15</f>
        <v>219630</v>
      </c>
      <c r="C22" s="69">
        <f>ToursByTourPurpose!U15</f>
        <v>212937</v>
      </c>
      <c r="D22" s="69">
        <f si="2" t="shared"/>
        <v>-6693</v>
      </c>
      <c r="E22" s="212">
        <f si="3" t="shared"/>
        <v>-3.0473978964622318E-2</v>
      </c>
      <c r="G22" s="213">
        <f si="4" t="shared"/>
        <v>0.160406951479143</v>
      </c>
      <c r="H22" s="212">
        <f si="4" t="shared"/>
        <v>0.14174726905999746</v>
      </c>
      <c r="I22" s="73"/>
      <c r="J22" s="210"/>
      <c r="K22" s="211"/>
    </row>
    <row customFormat="1" customHeight="1" ht="18" r="23" s="68" spans="1:13" x14ac:dyDescent="0.2">
      <c r="A23" s="73" t="s">
        <v>170</v>
      </c>
      <c r="B23" s="74">
        <f>ToursByTourPurpose!J15</f>
        <v>0</v>
      </c>
      <c r="C23" s="74">
        <f>ToursByTourPurpose!V15</f>
        <v>0</v>
      </c>
      <c r="D23" s="74">
        <f si="2" t="shared"/>
        <v>0</v>
      </c>
      <c r="E23" s="75">
        <f si="3" t="shared"/>
        <v>0</v>
      </c>
      <c r="G23" s="229">
        <f si="4" t="shared"/>
        <v>0</v>
      </c>
      <c r="H23" s="75">
        <f si="4" t="shared"/>
        <v>0</v>
      </c>
      <c r="I23" s="73"/>
      <c r="J23" s="210"/>
      <c r="K23" s="212"/>
    </row>
    <row customFormat="1" customHeight="1" ht="18" r="24" s="68" spans="1:13" thickBot="1" x14ac:dyDescent="0.25">
      <c r="A24" s="70" t="s">
        <v>220</v>
      </c>
      <c r="B24" s="76">
        <f>SUM(B16:B23)</f>
        <v>1369205</v>
      </c>
      <c r="C24" s="76">
        <f>SUM(C16:C23)</f>
        <v>1502230</v>
      </c>
      <c r="D24" s="76">
        <f si="2" t="shared"/>
        <v>133025</v>
      </c>
      <c r="E24" s="77">
        <f ref="E24" si="5" t="shared">D24/B24</f>
        <v>9.7154918365036647E-2</v>
      </c>
      <c r="G24" s="230">
        <f si="4" t="shared"/>
        <v>1</v>
      </c>
      <c r="H24" s="77">
        <f si="4" t="shared"/>
        <v>1</v>
      </c>
      <c r="I24" s="73"/>
      <c r="J24" s="210"/>
      <c r="K24" s="212"/>
    </row>
    <row customFormat="1" customHeight="1" ht="18" r="25" s="68" spans="1:13" x14ac:dyDescent="0.2"/>
    <row customFormat="1" customHeight="1" ht="18" r="26" s="68" spans="1:13" x14ac:dyDescent="0.2"/>
    <row customFormat="1" customHeight="1" ht="18" r="27" s="68" spans="1:13" x14ac:dyDescent="0.2"/>
    <row customHeight="1" ht="18" r="28" spans="1:13" x14ac:dyDescent="0.2">
      <c r="A28" s="62" t="s">
        <v>262</v>
      </c>
      <c r="G28" s="62" t="s">
        <v>1159</v>
      </c>
    </row>
    <row customHeight="1" ht="18" r="29" spans="1:13" thickBot="1" x14ac:dyDescent="0.25">
      <c r="B29" s="66"/>
      <c r="C29" s="66"/>
      <c r="D29" s="66"/>
      <c r="E29" s="66"/>
      <c r="G29" s="66"/>
      <c r="H29" s="66"/>
      <c r="I29" s="66"/>
      <c r="J29" s="66"/>
      <c r="L29" s="66"/>
      <c r="M29" s="66"/>
    </row>
    <row customFormat="1" customHeight="1" ht="18" r="30" s="68" spans="1:13" x14ac:dyDescent="0.2">
      <c r="A30" s="67" t="s">
        <v>159</v>
      </c>
      <c r="B30" s="63" t="s">
        <v>259</v>
      </c>
      <c r="C30" s="63" t="s">
        <v>260</v>
      </c>
      <c r="D30" s="63" t="s">
        <v>154</v>
      </c>
      <c r="E30" s="157" t="s">
        <v>261</v>
      </c>
      <c r="G30" s="63" t="s">
        <v>259</v>
      </c>
      <c r="H30" s="63" t="s">
        <v>260</v>
      </c>
      <c r="I30" s="63" t="s">
        <v>154</v>
      </c>
      <c r="J30" s="63" t="s">
        <v>261</v>
      </c>
      <c r="L30" s="63" t="str">
        <f>B30</f>
        <v>ExpandSurv</v>
      </c>
      <c r="M30" s="63" t="str">
        <f>C30</f>
        <v>SynthPop</v>
      </c>
    </row>
    <row customFormat="1" customHeight="1" ht="18" r="31" s="68" spans="1:13" x14ac:dyDescent="0.2">
      <c r="A31" s="68" t="s">
        <v>210</v>
      </c>
      <c r="B31" s="69">
        <f>ToursByTourPurpose!F74</f>
        <v>551267.24973299995</v>
      </c>
      <c r="C31" s="69">
        <f>ToursByTourPurpose!W5</f>
        <v>617189</v>
      </c>
      <c r="D31" s="69">
        <f ref="D31:D39" si="6" t="shared">C31-B31</f>
        <v>65921.750267000054</v>
      </c>
      <c r="E31" s="228">
        <f>IF(B31&gt;0,D31/B31,0)</f>
        <v>0.11958219955734448</v>
      </c>
      <c r="G31" s="78">
        <f>B31/B$24</f>
        <v>0.40261849009680795</v>
      </c>
      <c r="H31" s="78">
        <f>C31/C$24</f>
        <v>0.4108485385060876</v>
      </c>
      <c r="I31" s="78">
        <f>H31-G31</f>
        <v>8.2300484092796555E-3</v>
      </c>
      <c r="J31" s="72">
        <f>I31/G31</f>
        <v>2.0441307619281902E-2</v>
      </c>
      <c r="L31" s="213">
        <f>B31/B$39</f>
        <v>0.3321854152956244</v>
      </c>
      <c r="M31" s="228">
        <f>C31/C$39</f>
        <v>0.34062876156720723</v>
      </c>
    </row>
    <row customFormat="1" customHeight="1" ht="18" r="32" s="68" spans="1:13" x14ac:dyDescent="0.2">
      <c r="A32" s="68" t="s">
        <v>211</v>
      </c>
      <c r="B32" s="69">
        <f>ToursByTourPurpose!F75</f>
        <v>220937.68107700002</v>
      </c>
      <c r="C32" s="69">
        <f>ToursByTourPurpose!W6</f>
        <v>211135</v>
      </c>
      <c r="D32" s="69">
        <f si="6" t="shared"/>
        <v>-9802.6810770000156</v>
      </c>
      <c r="E32" s="212">
        <f ref="E32:E38" si="7" t="shared">IF(B32&gt;0,D32/B32,0)</f>
        <v>-4.436853428177169E-2</v>
      </c>
      <c r="G32" s="78">
        <f ref="G32:G39" si="8" t="shared">B32/B$24</f>
        <v>0.16136201743128312</v>
      </c>
      <c r="H32" s="78">
        <f ref="H32:H39" si="9" t="shared">C32/C$24</f>
        <v>0.14054771905766761</v>
      </c>
      <c r="I32" s="78">
        <f ref="I32:I39" si="10" t="shared">H32-G32</f>
        <v>-2.0814298373615508E-2</v>
      </c>
      <c r="J32" s="72">
        <f ref="J32:J39" si="11" t="shared">I32/G32</f>
        <v>-0.12899131223665686</v>
      </c>
      <c r="L32" s="213">
        <f ref="L32:M39" si="12" t="shared">B32/B$39</f>
        <v>0.13313374842884679</v>
      </c>
      <c r="M32" s="212">
        <f si="12" t="shared"/>
        <v>0.11652614284034922</v>
      </c>
    </row>
    <row customFormat="1" customHeight="1" ht="18" r="33" s="68" spans="1:13" x14ac:dyDescent="0.2">
      <c r="A33" s="68" t="s">
        <v>212</v>
      </c>
      <c r="B33" s="69">
        <f>ToursByTourPurpose!F76</f>
        <v>177209.61068899999</v>
      </c>
      <c r="C33" s="69">
        <f>ToursByTourPurpose!W7</f>
        <v>191200</v>
      </c>
      <c r="D33" s="69">
        <f si="6" t="shared"/>
        <v>13990.389311000006</v>
      </c>
      <c r="E33" s="212">
        <f si="7" t="shared"/>
        <v>7.8948253746535871E-2</v>
      </c>
      <c r="G33" s="78">
        <f si="8" t="shared"/>
        <v>0.12942518519067633</v>
      </c>
      <c r="H33" s="78">
        <f si="9" t="shared"/>
        <v>0.12727744752800835</v>
      </c>
      <c r="I33" s="78">
        <f si="10" t="shared"/>
        <v>-2.1477376626679867E-3</v>
      </c>
      <c r="J33" s="72">
        <f si="11" t="shared"/>
        <v>-1.6594433761124783E-2</v>
      </c>
      <c r="L33" s="213">
        <f si="12" t="shared"/>
        <v>0.10678386599169945</v>
      </c>
      <c r="M33" s="212">
        <f si="12" t="shared"/>
        <v>0.10552394681637232</v>
      </c>
    </row>
    <row customFormat="1" customHeight="1" ht="18" r="34" s="68" spans="1:13" x14ac:dyDescent="0.2">
      <c r="A34" s="68" t="s">
        <v>213</v>
      </c>
      <c r="B34" s="69">
        <f>ToursByTourPurpose!F77</f>
        <v>208694.32208900002</v>
      </c>
      <c r="C34" s="69">
        <f>ToursByTourPurpose!W8</f>
        <v>233018</v>
      </c>
      <c r="D34" s="69">
        <f si="6" t="shared"/>
        <v>24323.677910999977</v>
      </c>
      <c r="E34" s="212">
        <f si="7" t="shared"/>
        <v>0.11655169947856499</v>
      </c>
      <c r="G34" s="78">
        <f si="8" t="shared"/>
        <v>0.15242007010564526</v>
      </c>
      <c r="H34" s="78">
        <f si="9" t="shared"/>
        <v>0.15511472943557245</v>
      </c>
      <c r="I34" s="78">
        <f si="10" t="shared"/>
        <v>2.6946593299271848E-3</v>
      </c>
      <c r="J34" s="72">
        <f si="11" t="shared"/>
        <v>1.7679163433394731E-2</v>
      </c>
      <c r="L34" s="213">
        <f si="12" t="shared"/>
        <v>0.12575608307322839</v>
      </c>
      <c r="M34" s="212">
        <f si="12" t="shared"/>
        <v>0.12860344685804104</v>
      </c>
    </row>
    <row customFormat="1" customHeight="1" ht="18" r="35" s="68" spans="1:13" x14ac:dyDescent="0.2">
      <c r="A35" s="68" t="s">
        <v>214</v>
      </c>
      <c r="B35" s="69">
        <f>ToursByTourPurpose!F78</f>
        <v>141800.21688700002</v>
      </c>
      <c r="C35" s="69">
        <f>ToursByTourPurpose!W9</f>
        <v>158007</v>
      </c>
      <c r="D35" s="69">
        <f si="6" t="shared"/>
        <v>16206.783112999983</v>
      </c>
      <c r="E35" s="212">
        <f si="7" t="shared"/>
        <v>0.11429307704032003</v>
      </c>
      <c r="G35" s="78">
        <f si="8" t="shared"/>
        <v>0.10356390524939656</v>
      </c>
      <c r="H35" s="78">
        <f si="9" t="shared"/>
        <v>0.10518162997676787</v>
      </c>
      <c r="I35" s="78">
        <f si="10" t="shared"/>
        <v>1.6177247273713169E-3</v>
      </c>
      <c r="J35" s="72">
        <f si="11" t="shared"/>
        <v>1.5620545821206786E-2</v>
      </c>
      <c r="L35" s="213">
        <f si="12" t="shared"/>
        <v>8.5446693882925182E-2</v>
      </c>
      <c r="M35" s="212">
        <f si="12" t="shared"/>
        <v>8.7204614354678564E-2</v>
      </c>
    </row>
    <row customFormat="1" customHeight="1" ht="18" r="36" s="68" spans="1:13" x14ac:dyDescent="0.2">
      <c r="A36" s="68" t="s">
        <v>129</v>
      </c>
      <c r="B36" s="69">
        <f>ToursByTourPurpose!F79</f>
        <v>81163.222055000006</v>
      </c>
      <c r="C36" s="69">
        <f>ToursByTourPurpose!W10</f>
        <v>91319</v>
      </c>
      <c r="D36" s="69">
        <f si="6" t="shared"/>
        <v>10155.777944999994</v>
      </c>
      <c r="E36" s="212">
        <f si="7" t="shared"/>
        <v>0.1251278311513799</v>
      </c>
      <c r="G36" s="78">
        <f si="8" t="shared"/>
        <v>5.9277626107850909E-2</v>
      </c>
      <c r="H36" s="78">
        <f si="9" t="shared"/>
        <v>6.0788960412187218E-2</v>
      </c>
      <c r="I36" s="78">
        <f si="10" t="shared"/>
        <v>1.5113343043363092E-3</v>
      </c>
      <c r="J36" s="72">
        <f si="11" t="shared"/>
        <v>2.5495864182998103E-2</v>
      </c>
      <c r="L36" s="213">
        <f si="12" t="shared"/>
        <v>4.8907745994577999E-2</v>
      </c>
      <c r="M36" s="212">
        <f si="12" t="shared"/>
        <v>5.0399274578055986E-2</v>
      </c>
    </row>
    <row customFormat="1" customHeight="1" ht="18" r="37" s="68" spans="1:13" x14ac:dyDescent="0.2">
      <c r="A37" s="73" t="s">
        <v>130</v>
      </c>
      <c r="B37" s="69">
        <f>ToursByTourPurpose!F80</f>
        <v>195156.13173299999</v>
      </c>
      <c r="C37" s="69">
        <f>ToursByTourPurpose!W11</f>
        <v>213202</v>
      </c>
      <c r="D37" s="69">
        <f si="6" t="shared"/>
        <v>18045.868267000013</v>
      </c>
      <c r="E37" s="212">
        <f si="7" t="shared"/>
        <v>9.2468876620741811E-2</v>
      </c>
      <c r="G37" s="78">
        <f si="8" t="shared"/>
        <v>0.14253244162342379</v>
      </c>
      <c r="H37" s="78">
        <f si="9" t="shared"/>
        <v>0.1419236734721048</v>
      </c>
      <c r="I37" s="78">
        <f si="10" t="shared"/>
        <v>-6.0876815131899464E-4</v>
      </c>
      <c r="J37" s="72">
        <f si="11" t="shared"/>
        <v>-4.271084844862081E-3</v>
      </c>
      <c r="L37" s="213">
        <f si="12" t="shared"/>
        <v>0.11759817166467426</v>
      </c>
      <c r="M37" s="212">
        <f si="12" t="shared"/>
        <v>0.11766692734908062</v>
      </c>
    </row>
    <row customFormat="1" customHeight="1" ht="18" r="38" s="68" spans="1:13" x14ac:dyDescent="0.2">
      <c r="A38" s="73" t="s">
        <v>246</v>
      </c>
      <c r="B38" s="74">
        <f>ToursByTourPurpose!F81</f>
        <v>83288.282455000008</v>
      </c>
      <c r="C38" s="74">
        <f>ToursByTourPurpose!W12</f>
        <v>96841</v>
      </c>
      <c r="D38" s="74">
        <f si="6" t="shared"/>
        <v>13552.717544999992</v>
      </c>
      <c r="E38" s="75">
        <f si="7" t="shared"/>
        <v>0.16272057900008224</v>
      </c>
      <c r="G38" s="78">
        <f si="8" t="shared"/>
        <v>6.0829665722079609E-2</v>
      </c>
      <c r="H38" s="78">
        <f si="9" t="shared"/>
        <v>6.4464828954287956E-2</v>
      </c>
      <c r="I38" s="79">
        <f si="10" t="shared"/>
        <v>3.6351632322083466E-3</v>
      </c>
      <c r="J38" s="75">
        <f si="11" t="shared"/>
        <v>5.9759710809801074E-2</v>
      </c>
      <c r="L38" s="229">
        <f si="12" t="shared"/>
        <v>5.0188275668423467E-2</v>
      </c>
      <c r="M38" s="75">
        <f si="12" t="shared"/>
        <v>5.3446885636215025E-2</v>
      </c>
    </row>
    <row customFormat="1" customHeight="1" ht="18" r="39" s="68" spans="1:13" thickBot="1" x14ac:dyDescent="0.25">
      <c r="A39" s="70" t="s">
        <v>220</v>
      </c>
      <c r="B39" s="76">
        <f>ToursByTourPurpose!F82</f>
        <v>1659516.7167180001</v>
      </c>
      <c r="C39" s="76">
        <f>ToursByTourPurpose!W13</f>
        <v>1811911</v>
      </c>
      <c r="D39" s="76">
        <f si="6" t="shared"/>
        <v>152394.28328199987</v>
      </c>
      <c r="E39" s="77">
        <f ref="E39" si="13" t="shared">D39/B39</f>
        <v>9.1830520142868841E-2</v>
      </c>
      <c r="G39" s="208">
        <f si="8" t="shared"/>
        <v>1.2120294015271638</v>
      </c>
      <c r="H39" s="208">
        <f si="9" t="shared"/>
        <v>1.2061475273426838</v>
      </c>
      <c r="I39" s="80">
        <f si="10" t="shared"/>
        <v>-5.8818741844799405E-3</v>
      </c>
      <c r="J39" s="77">
        <f si="11" t="shared"/>
        <v>-4.852913780035985E-3</v>
      </c>
      <c r="L39" s="230">
        <f si="12" t="shared"/>
        <v>1</v>
      </c>
      <c r="M39" s="77">
        <f si="12" t="shared"/>
        <v>1</v>
      </c>
    </row>
    <row customFormat="1" customHeight="1" ht="18" r="40" s="68" spans="1:13" x14ac:dyDescent="0.2">
      <c r="A40" s="73"/>
      <c r="B40" s="69"/>
      <c r="C40" s="69"/>
      <c r="D40" s="69"/>
    </row>
    <row customFormat="1" customHeight="1" ht="18" r="41" s="68" spans="1:13" x14ac:dyDescent="0.2">
      <c r="A41" s="73"/>
      <c r="B41" s="69"/>
      <c r="C41" s="69"/>
      <c r="D41" s="69"/>
    </row>
    <row customFormat="1" customHeight="1" ht="18" r="42" s="68" spans="1:13" x14ac:dyDescent="0.2">
      <c r="A42" s="73"/>
      <c r="B42" s="69"/>
      <c r="C42" s="69"/>
      <c r="D42" s="69"/>
    </row>
    <row customHeight="1" ht="18" r="43" spans="1:13" x14ac:dyDescent="0.2">
      <c r="A43" s="62" t="s">
        <v>287</v>
      </c>
      <c r="G43" s="62" t="s">
        <v>1161</v>
      </c>
    </row>
    <row customHeight="1" ht="18" r="44" spans="1:13" thickBot="1" x14ac:dyDescent="0.25">
      <c r="B44" s="66"/>
      <c r="C44" s="66"/>
      <c r="D44" s="66"/>
      <c r="E44" s="66"/>
      <c r="G44" s="66"/>
      <c r="H44" s="66"/>
      <c r="I44" s="66"/>
      <c r="J44" s="66"/>
      <c r="L44" s="66"/>
      <c r="M44" s="66"/>
    </row>
    <row customFormat="1" customHeight="1" ht="18" r="45" s="68" spans="1:13" x14ac:dyDescent="0.2">
      <c r="A45" s="67" t="s">
        <v>155</v>
      </c>
      <c r="B45" s="63" t="s">
        <v>259</v>
      </c>
      <c r="C45" s="63" t="s">
        <v>260</v>
      </c>
      <c r="D45" s="63" t="s">
        <v>154</v>
      </c>
      <c r="E45" s="157" t="s">
        <v>261</v>
      </c>
      <c r="G45" s="157" t="s">
        <v>259</v>
      </c>
      <c r="H45" s="157" t="s">
        <v>260</v>
      </c>
      <c r="I45" s="63" t="s">
        <v>154</v>
      </c>
      <c r="J45" s="63" t="s">
        <v>261</v>
      </c>
      <c r="L45" s="63" t="str">
        <f>B45</f>
        <v>ExpandSurv</v>
      </c>
      <c r="M45" s="63" t="str">
        <f>C45</f>
        <v>SynthPop</v>
      </c>
    </row>
    <row customFormat="1" customHeight="1" ht="18" r="46" s="68" spans="1:13" x14ac:dyDescent="0.2">
      <c r="A46" s="68" t="s">
        <v>146</v>
      </c>
      <c r="B46" s="69">
        <f>ToursByTourPurpose!B13</f>
        <v>763520.57514099975</v>
      </c>
      <c r="C46" s="69">
        <f>ToursByTourPurpose!N13</f>
        <v>896891</v>
      </c>
      <c r="D46" s="69">
        <f ref="D46:D54" si="14" t="shared">C46-B46</f>
        <v>133370.42485900025</v>
      </c>
      <c r="E46" s="228">
        <f>IF(B46&gt;0,D46/B46,0)</f>
        <v>0.17467823291385523</v>
      </c>
      <c r="G46" s="232">
        <f>IF(B46&gt;0,B46/B16,0)</f>
        <v>1.2968524365068981</v>
      </c>
      <c r="H46" s="232">
        <f>IF(C46&gt;0,C46/C16,0)</f>
        <v>1.3140393673677193</v>
      </c>
      <c r="I46" s="78">
        <f ref="I46:I54" si="15" t="shared">H46-G46</f>
        <v>1.7186930860821237E-2</v>
      </c>
      <c r="J46" s="228">
        <f>IF(G46&gt;0,I46/G46,0)</f>
        <v>1.3252803770885939E-2</v>
      </c>
      <c r="L46" s="213">
        <f>B46/B$54</f>
        <v>0.46008610063959005</v>
      </c>
      <c r="M46" s="228">
        <f>C46/C$54</f>
        <v>0.49499727083725414</v>
      </c>
    </row>
    <row customFormat="1" customHeight="1" ht="18" r="47" s="68" spans="1:13" x14ac:dyDescent="0.2">
      <c r="A47" s="68" t="s">
        <v>147</v>
      </c>
      <c r="B47" s="69">
        <f>ToursByTourPurpose!C13</f>
        <v>163217.94218300001</v>
      </c>
      <c r="C47" s="69">
        <f>ToursByTourPurpose!O13</f>
        <v>149819</v>
      </c>
      <c r="D47" s="69">
        <f si="14" t="shared"/>
        <v>-13398.942183000006</v>
      </c>
      <c r="E47" s="212">
        <f ref="E47:E53" si="16" t="shared">IF(B47&gt;0,D47/B47,0)</f>
        <v>-8.2092336196575175E-2</v>
      </c>
      <c r="G47" s="231">
        <f ref="G47:H47" si="17" t="shared">IF(B47&gt;0,B47/B17,0)</f>
        <v>1.999778752027739</v>
      </c>
      <c r="H47" s="231">
        <f si="17" t="shared"/>
        <v>1.7806553597109476</v>
      </c>
      <c r="I47" s="78">
        <f si="15" t="shared"/>
        <v>-0.21912339231679145</v>
      </c>
      <c r="J47" s="212">
        <f ref="J47:J53" si="18" t="shared">IF(G47&gt;0,I47/G47,0)</f>
        <v>-0.1095738176508798</v>
      </c>
      <c r="L47" s="213">
        <f ref="L47:L54" si="19" t="shared">B47/B$54</f>
        <v>9.8352695419539712E-2</v>
      </c>
      <c r="M47" s="212">
        <f ref="M47:M54" si="20" t="shared">C47/C$54</f>
        <v>8.2685628598755681E-2</v>
      </c>
    </row>
    <row customFormat="1" customHeight="1" ht="18" r="48" s="68" spans="1:13" x14ac:dyDescent="0.2">
      <c r="A48" s="68" t="s">
        <v>148</v>
      </c>
      <c r="B48" s="69">
        <f>ToursByTourPurpose!D13</f>
        <v>149201.340754</v>
      </c>
      <c r="C48" s="69">
        <f>ToursByTourPurpose!P13</f>
        <v>191098</v>
      </c>
      <c r="D48" s="69">
        <f si="14" t="shared"/>
        <v>41896.659245999996</v>
      </c>
      <c r="E48" s="212">
        <f si="16" t="shared"/>
        <v>0.28080618467818136</v>
      </c>
      <c r="G48" s="231">
        <f ref="G48:H48" si="21" t="shared">IF(B48&gt;0,B48/B18,0)</f>
        <v>1.1612174052939213</v>
      </c>
      <c r="H48" s="231">
        <f si="21" t="shared"/>
        <v>1.1585699302183179</v>
      </c>
      <c r="I48" s="78">
        <f si="15" t="shared"/>
        <v>-2.6474750756033671E-3</v>
      </c>
      <c r="J48" s="212">
        <f si="18" t="shared"/>
        <v>-2.2799133594912421E-3</v>
      </c>
      <c r="L48" s="213">
        <f si="19" t="shared"/>
        <v>8.9906500640182255E-2</v>
      </c>
      <c r="M48" s="212">
        <f si="20" t="shared"/>
        <v>0.10546765266064392</v>
      </c>
    </row>
    <row customFormat="1" customHeight="1" ht="18" r="49" s="68" spans="1:16" x14ac:dyDescent="0.2">
      <c r="A49" s="68" t="s">
        <v>242</v>
      </c>
      <c r="B49" s="69">
        <f>ToursByTourPurpose!E13</f>
        <v>230106.99850099999</v>
      </c>
      <c r="C49" s="69">
        <f>ToursByTourPurpose!Q13</f>
        <v>231050</v>
      </c>
      <c r="D49" s="69">
        <f si="14" t="shared"/>
        <v>943.00149900000542</v>
      </c>
      <c r="E49" s="212">
        <f si="16" t="shared"/>
        <v>4.0981000366918756E-3</v>
      </c>
      <c r="G49" s="231">
        <f ref="G49:H49" si="22" t="shared">IF(B49&gt;0,B49/B19,0)</f>
        <v>1.0063765793902444</v>
      </c>
      <c r="H49" s="231">
        <f si="22" t="shared"/>
        <v>0.96062697488774318</v>
      </c>
      <c r="I49" s="78">
        <f si="15" t="shared"/>
        <v>-4.5749604502501207E-2</v>
      </c>
      <c r="J49" s="212">
        <f si="18" t="shared"/>
        <v>-4.545972694458026E-2</v>
      </c>
      <c r="L49" s="213">
        <f si="19" t="shared"/>
        <v>0.13865904222771494</v>
      </c>
      <c r="M49" s="212">
        <f si="20" t="shared"/>
        <v>0.12751730079457546</v>
      </c>
    </row>
    <row customFormat="1" customHeight="1" ht="18" r="50" s="68" spans="1:16" x14ac:dyDescent="0.2">
      <c r="A50" s="68" t="s">
        <v>243</v>
      </c>
      <c r="B50" s="69">
        <f>ToursByTourPurpose!F13</f>
        <v>53423.176681000004</v>
      </c>
      <c r="C50" s="69">
        <f>ToursByTourPurpose!R13</f>
        <v>48452</v>
      </c>
      <c r="D50" s="69">
        <f si="14" t="shared"/>
        <v>-4971.1766810000045</v>
      </c>
      <c r="E50" s="212">
        <f si="16" t="shared"/>
        <v>-9.3052809470388673E-2</v>
      </c>
      <c r="G50" s="231">
        <f ref="G50:H50" si="23" t="shared">IF(B50&gt;0,B50/B20,0)</f>
        <v>0.73529938312573129</v>
      </c>
      <c r="H50" s="231">
        <f si="23" t="shared"/>
        <v>0.79677684591350106</v>
      </c>
      <c r="I50" s="78">
        <f si="15" t="shared"/>
        <v>6.1477462787769777E-2</v>
      </c>
      <c r="J50" s="212">
        <f si="18" t="shared"/>
        <v>8.360875066483979E-2</v>
      </c>
      <c r="L50" s="213">
        <f si="19" t="shared"/>
        <v>3.2192008759426169E-2</v>
      </c>
      <c r="M50" s="212">
        <f si="20" t="shared"/>
        <v>2.6740827777964812E-2</v>
      </c>
    </row>
    <row customFormat="1" customHeight="1" ht="18" r="51" s="68" spans="1:16" x14ac:dyDescent="0.2">
      <c r="A51" s="68" t="s">
        <v>244</v>
      </c>
      <c r="B51" s="69">
        <f>ToursByTourPurpose!G13</f>
        <v>35069.280928</v>
      </c>
      <c r="C51" s="69">
        <f>ToursByTourPurpose!S13</f>
        <v>40757</v>
      </c>
      <c r="D51" s="69">
        <f si="14" t="shared"/>
        <v>5687.7190719999999</v>
      </c>
      <c r="E51" s="212">
        <f si="16" t="shared"/>
        <v>0.16218522083978099</v>
      </c>
      <c r="G51" s="231">
        <f ref="G51:H51" si="24" t="shared">IF(B51&gt;0,B51/B21,0)</f>
        <v>0.7096602571584677</v>
      </c>
      <c r="H51" s="231">
        <f si="24" t="shared"/>
        <v>0.72343711171855585</v>
      </c>
      <c r="I51" s="78">
        <f si="15" t="shared"/>
        <v>1.3776854560088148E-2</v>
      </c>
      <c r="J51" s="212">
        <f si="18" t="shared"/>
        <v>1.94133099904054E-2</v>
      </c>
      <c r="L51" s="213">
        <f si="19" t="shared"/>
        <v>2.1132225168153752E-2</v>
      </c>
      <c r="M51" s="212">
        <f si="20" t="shared"/>
        <v>2.2493930441395853E-2</v>
      </c>
    </row>
    <row customFormat="1" customHeight="1" ht="18" r="52" s="68" spans="1:16" x14ac:dyDescent="0.2">
      <c r="A52" s="73" t="s">
        <v>245</v>
      </c>
      <c r="B52" s="69">
        <f>ToursByTourPurpose!I13</f>
        <v>264977.40253000002</v>
      </c>
      <c r="C52" s="69">
        <f>ToursByTourPurpose!U13</f>
        <v>253844</v>
      </c>
      <c r="D52" s="69">
        <f si="14" t="shared"/>
        <v>-11133.402530000021</v>
      </c>
      <c r="E52" s="212">
        <f si="16" t="shared"/>
        <v>-4.2016422622074452E-2</v>
      </c>
      <c r="G52" s="231">
        <f ref="G52:H52" si="25" t="shared">IF(B52&gt;0,B52/B22,0)</f>
        <v>1.206471804990211</v>
      </c>
      <c r="H52" s="231">
        <f si="25" t="shared"/>
        <v>1.1921084640057857</v>
      </c>
      <c r="I52" s="78">
        <f si="15" t="shared"/>
        <v>-1.4363340984425266E-2</v>
      </c>
      <c r="J52" s="212">
        <f si="18" t="shared"/>
        <v>-1.1905243806789008E-2</v>
      </c>
      <c r="L52" s="213">
        <f si="19" t="shared"/>
        <v>0.15967142714539306</v>
      </c>
      <c r="M52" s="212">
        <f si="20" t="shared"/>
        <v>0.14009738888941012</v>
      </c>
    </row>
    <row customFormat="1" customHeight="1" ht="18" r="53" s="68" spans="1:16" x14ac:dyDescent="0.2">
      <c r="A53" s="73" t="s">
        <v>170</v>
      </c>
      <c r="B53" s="74">
        <f>ToursByTourPurpose!J13</f>
        <v>0</v>
      </c>
      <c r="C53" s="74">
        <f>ToursByTourPurpose!V13</f>
        <v>0</v>
      </c>
      <c r="D53" s="74">
        <f si="14" t="shared"/>
        <v>0</v>
      </c>
      <c r="E53" s="75">
        <f si="16" t="shared"/>
        <v>0</v>
      </c>
      <c r="G53" s="79">
        <f>IF(B53&gt;0,B53/B23,0)</f>
        <v>0</v>
      </c>
      <c r="H53" s="79">
        <f>IF(C53&gt;0,C53/C23,0)</f>
        <v>0</v>
      </c>
      <c r="I53" s="79">
        <f si="15" t="shared"/>
        <v>0</v>
      </c>
      <c r="J53" s="75">
        <f si="18" t="shared"/>
        <v>0</v>
      </c>
      <c r="L53" s="229">
        <f si="19" t="shared"/>
        <v>0</v>
      </c>
      <c r="M53" s="75">
        <f si="20" t="shared"/>
        <v>0</v>
      </c>
    </row>
    <row customFormat="1" customHeight="1" ht="18" r="54" s="68" spans="1:16" thickBot="1" x14ac:dyDescent="0.25">
      <c r="A54" s="70" t="s">
        <v>220</v>
      </c>
      <c r="B54" s="76">
        <f>SUM(B46:B53)</f>
        <v>1659516.7167179999</v>
      </c>
      <c r="C54" s="76">
        <f>ToursByTourPurpose!W13</f>
        <v>1811911</v>
      </c>
      <c r="D54" s="76">
        <f si="14" t="shared"/>
        <v>152394.28328200011</v>
      </c>
      <c r="E54" s="77">
        <f ref="E54" si="26" t="shared">D54/B54</f>
        <v>9.1830520142868993E-2</v>
      </c>
      <c r="G54" s="80">
        <f>B54/B24</f>
        <v>1.2120294015271635</v>
      </c>
      <c r="H54" s="80">
        <f>C54/C24</f>
        <v>1.2061475273426838</v>
      </c>
      <c r="I54" s="80">
        <f si="15" t="shared"/>
        <v>-5.8818741844797184E-3</v>
      </c>
      <c r="J54" s="77">
        <f ref="J54" si="27" t="shared">I54/G54</f>
        <v>-4.8529137800358019E-3</v>
      </c>
      <c r="L54" s="230">
        <f si="19" t="shared"/>
        <v>1</v>
      </c>
      <c r="M54" s="77">
        <f si="20" t="shared"/>
        <v>1</v>
      </c>
      <c r="N54" s="216"/>
      <c r="O54" s="216"/>
    </row>
    <row customFormat="1" customHeight="1" ht="18" r="55" s="68" spans="1:16" x14ac:dyDescent="0.2"/>
    <row customFormat="1" customHeight="1" ht="18" r="56" s="68" spans="1:16" x14ac:dyDescent="0.2"/>
    <row customFormat="1" customHeight="1" ht="18" r="57" s="68" spans="1:16" x14ac:dyDescent="0.2"/>
    <row customHeight="1" ht="18" r="58" spans="1:16" x14ac:dyDescent="0.2">
      <c r="A58" s="64" t="s">
        <v>218</v>
      </c>
      <c r="G58" s="62" t="s">
        <v>1160</v>
      </c>
      <c r="L58" s="62" t="s">
        <v>1163</v>
      </c>
    </row>
    <row customHeight="1" ht="18" r="59" spans="1:16" thickBot="1" x14ac:dyDescent="0.25">
      <c r="B59" s="66"/>
      <c r="C59" s="66"/>
      <c r="D59" s="66"/>
      <c r="E59" s="66"/>
      <c r="G59" s="66"/>
      <c r="H59" s="66"/>
      <c r="I59" s="66"/>
      <c r="J59" s="66"/>
      <c r="L59" s="66"/>
      <c r="M59" s="66"/>
      <c r="O59" s="66"/>
      <c r="P59" s="66"/>
    </row>
    <row customFormat="1" customHeight="1" ht="18" r="60" s="68" spans="1:16" x14ac:dyDescent="0.2">
      <c r="A60" s="67" t="s">
        <v>144</v>
      </c>
      <c r="B60" s="63" t="s">
        <v>259</v>
      </c>
      <c r="C60" s="63" t="s">
        <v>260</v>
      </c>
      <c r="D60" s="63" t="s">
        <v>154</v>
      </c>
      <c r="E60" s="63" t="s">
        <v>261</v>
      </c>
      <c r="G60" s="63" t="s">
        <v>259</v>
      </c>
      <c r="H60" s="63" t="s">
        <v>260</v>
      </c>
      <c r="I60" s="63" t="s">
        <v>154</v>
      </c>
      <c r="J60" s="63" t="s">
        <v>261</v>
      </c>
      <c r="L60" s="63" t="s">
        <v>259</v>
      </c>
      <c r="M60" s="63" t="s">
        <v>260</v>
      </c>
      <c r="O60" s="63" t="str">
        <f>B60</f>
        <v>ExpandSurv</v>
      </c>
      <c r="P60" s="63" t="str">
        <f>C60</f>
        <v>SynthPop</v>
      </c>
    </row>
    <row customFormat="1" customHeight="1" ht="18" r="61" s="68" spans="1:16" x14ac:dyDescent="0.2">
      <c r="A61" s="68" t="s">
        <v>210</v>
      </c>
      <c r="B61" s="69">
        <f>TripsByDestinationPurpose!F73</f>
        <v>754506.68301899999</v>
      </c>
      <c r="C61" s="69">
        <f>TripsByDestinationPurpose!W5</f>
        <v>852022</v>
      </c>
      <c r="D61" s="69">
        <f ref="D61:D69" si="28" t="shared">C61-B61</f>
        <v>97515.316981000011</v>
      </c>
      <c r="E61" s="72">
        <f ref="E61:E69" si="29" t="shared">D61/B61</f>
        <v>0.12924380814072178</v>
      </c>
      <c r="G61" s="78">
        <f>B61/B$24</f>
        <v>0.5510545776702539</v>
      </c>
      <c r="H61" s="78">
        <f>C61/C$24</f>
        <v>0.56717147174533855</v>
      </c>
      <c r="I61" s="78">
        <f ref="I61:I69" si="30" t="shared">H61-G61</f>
        <v>1.6116894075084653E-2</v>
      </c>
      <c r="J61" s="72">
        <f ref="J61:J69" si="31" t="shared">I61/G61</f>
        <v>2.9247364468368245E-2</v>
      </c>
      <c r="L61" s="78">
        <f>B61/B31</f>
        <v>1.3686767777052542</v>
      </c>
      <c r="M61" s="78">
        <f>C61/C31</f>
        <v>1.3804879866621083</v>
      </c>
      <c r="O61" s="213">
        <f>B61/B$69</f>
        <v>0.16518499072886189</v>
      </c>
      <c r="P61" s="228">
        <f>C61/C$69</f>
        <v>0.17397680491680059</v>
      </c>
    </row>
    <row customFormat="1" customHeight="1" ht="18" r="62" s="68" spans="1:16" x14ac:dyDescent="0.2">
      <c r="A62" s="68" t="s">
        <v>211</v>
      </c>
      <c r="B62" s="69">
        <f>TripsByDestinationPurpose!F74</f>
        <v>236829.24292699998</v>
      </c>
      <c r="C62" s="69">
        <f>TripsByDestinationPurpose!W6</f>
        <v>225648</v>
      </c>
      <c r="D62" s="69">
        <f si="28" t="shared"/>
        <v>-11181.242926999985</v>
      </c>
      <c r="E62" s="72">
        <f si="29" t="shared"/>
        <v>-4.7212256344738981E-2</v>
      </c>
      <c r="G62" s="78">
        <f ref="G62:G69" si="32" t="shared">B62/B$24</f>
        <v>0.17296843272336865</v>
      </c>
      <c r="H62" s="78">
        <f ref="H62:H69" si="33" t="shared">C62/C$24</f>
        <v>0.1502086897479081</v>
      </c>
      <c r="I62" s="78">
        <f si="30" t="shared"/>
        <v>-2.2759742975460545E-2</v>
      </c>
      <c r="J62" s="72">
        <f si="31" t="shared"/>
        <v>-0.13158321791503186</v>
      </c>
      <c r="L62" s="78">
        <f ref="L62:M62" si="34" t="shared">B62/B32</f>
        <v>1.0719278023220562</v>
      </c>
      <c r="M62" s="78">
        <f si="34" t="shared"/>
        <v>1.0687380112250455</v>
      </c>
      <c r="O62" s="213">
        <f ref="O62:O69" si="35" t="shared">B62/B$69</f>
        <v>5.1849290639397472E-2</v>
      </c>
      <c r="P62" s="212">
        <f ref="P62:P69" si="36" t="shared">C62/C$69</f>
        <v>4.6075709401712892E-2</v>
      </c>
    </row>
    <row customFormat="1" customHeight="1" ht="18" r="63" s="68" spans="1:16" x14ac:dyDescent="0.2">
      <c r="A63" s="68" t="s">
        <v>212</v>
      </c>
      <c r="B63" s="69">
        <f>TripsByDestinationPurpose!F75</f>
        <v>385091.840142</v>
      </c>
      <c r="C63" s="69">
        <f>TripsByDestinationPurpose!W7</f>
        <v>401405</v>
      </c>
      <c r="D63" s="69">
        <f si="28" t="shared"/>
        <v>16313.159857999999</v>
      </c>
      <c r="E63" s="72">
        <f si="29" t="shared"/>
        <v>4.2361738571205849E-2</v>
      </c>
      <c r="G63" s="78">
        <f si="32" t="shared"/>
        <v>0.28125214277043981</v>
      </c>
      <c r="H63" s="78">
        <f si="33" t="shared"/>
        <v>0.26720608695073322</v>
      </c>
      <c r="I63" s="78">
        <f si="30" t="shared"/>
        <v>-1.4046055819706582E-2</v>
      </c>
      <c r="J63" s="72">
        <f si="31" t="shared"/>
        <v>-4.9941151314786894E-2</v>
      </c>
      <c r="L63" s="78">
        <f ref="L63:M63" si="37" t="shared">B63/B33</f>
        <v>2.1730866550902252</v>
      </c>
      <c r="M63" s="78">
        <f si="37" t="shared"/>
        <v>2.0993985355648537</v>
      </c>
      <c r="O63" s="213">
        <f si="35" t="shared"/>
        <v>8.4308586623897105E-2</v>
      </c>
      <c r="P63" s="212">
        <f si="36" t="shared"/>
        <v>8.1964033062090352E-2</v>
      </c>
    </row>
    <row customFormat="1" customHeight="1" ht="18" r="64" s="68" spans="1:16" x14ac:dyDescent="0.2">
      <c r="A64" s="68" t="s">
        <v>213</v>
      </c>
      <c r="B64" s="69">
        <f>TripsByDestinationPurpose!F76</f>
        <v>611254.85114299995</v>
      </c>
      <c r="C64" s="69">
        <f>TripsByDestinationPurpose!W8</f>
        <v>654855</v>
      </c>
      <c r="D64" s="69">
        <f si="28" t="shared"/>
        <v>43600.148857000051</v>
      </c>
      <c r="E64" s="72">
        <f si="29" t="shared"/>
        <v>7.1328920785611927E-2</v>
      </c>
      <c r="G64" s="78">
        <f si="32" t="shared"/>
        <v>0.44643048421748383</v>
      </c>
      <c r="H64" s="78">
        <f si="33" t="shared"/>
        <v>0.43592192939829455</v>
      </c>
      <c r="I64" s="78">
        <f si="30" t="shared"/>
        <v>-1.0508554819189275E-2</v>
      </c>
      <c r="J64" s="72">
        <f si="31" t="shared"/>
        <v>-2.3539061938409003E-2</v>
      </c>
      <c r="L64" s="78">
        <f ref="L64:M64" si="38" t="shared">B64/B34</f>
        <v>2.9289481621944824</v>
      </c>
      <c r="M64" s="78">
        <f si="38" t="shared"/>
        <v>2.810319374468925</v>
      </c>
      <c r="O64" s="213">
        <f si="35" t="shared"/>
        <v>0.1338227071959357</v>
      </c>
      <c r="P64" s="212">
        <f si="36" t="shared"/>
        <v>0.13371671222549589</v>
      </c>
    </row>
    <row customFormat="1" customHeight="1" ht="18" r="65" s="68" spans="1:16" x14ac:dyDescent="0.2">
      <c r="A65" s="68" t="s">
        <v>214</v>
      </c>
      <c r="B65" s="69">
        <f>TripsByDestinationPurpose!F77</f>
        <v>430128.68625099998</v>
      </c>
      <c r="C65" s="69">
        <f>TripsByDestinationPurpose!W9</f>
        <v>430310</v>
      </c>
      <c r="D65" s="69">
        <f si="28" t="shared"/>
        <v>181.31374900002265</v>
      </c>
      <c r="E65" s="72">
        <f si="29" t="shared"/>
        <v>4.2153372884834212E-4</v>
      </c>
      <c r="G65" s="78">
        <f si="32" t="shared"/>
        <v>0.31414484043733404</v>
      </c>
      <c r="H65" s="78">
        <f si="33" t="shared"/>
        <v>0.28644748141096904</v>
      </c>
      <c r="I65" s="78">
        <f si="30" t="shared"/>
        <v>-2.7697359026364998E-2</v>
      </c>
      <c r="J65" s="72">
        <f si="31" t="shared"/>
        <v>-8.8167480286502106E-2</v>
      </c>
      <c r="L65" s="78">
        <f ref="L65:M65" si="39" t="shared">B65/B35</f>
        <v>3.0333429362366044</v>
      </c>
      <c r="M65" s="78">
        <f si="39" t="shared"/>
        <v>2.7233603574525178</v>
      </c>
      <c r="O65" s="213">
        <f si="35" t="shared"/>
        <v>9.4168553638642558E-2</v>
      </c>
      <c r="P65" s="212">
        <f si="36" t="shared"/>
        <v>8.7866227543125022E-2</v>
      </c>
    </row>
    <row customFormat="1" customHeight="1" ht="18" r="66" s="68" spans="1:16" x14ac:dyDescent="0.2">
      <c r="A66" s="68" t="s">
        <v>129</v>
      </c>
      <c r="B66" s="69">
        <f>TripsByDestinationPurpose!F78</f>
        <v>231844.169261</v>
      </c>
      <c r="C66" s="69">
        <f>TripsByDestinationPurpose!W10</f>
        <v>260384</v>
      </c>
      <c r="D66" s="69">
        <f si="28" t="shared"/>
        <v>28539.830738999997</v>
      </c>
      <c r="E66" s="72">
        <f si="29" t="shared"/>
        <v>0.12309919559318788</v>
      </c>
      <c r="G66" s="78">
        <f si="32" t="shared"/>
        <v>0.16932758006361356</v>
      </c>
      <c r="H66" s="78">
        <f si="33" t="shared"/>
        <v>0.17333164695153205</v>
      </c>
      <c r="I66" s="78">
        <f si="30" t="shared"/>
        <v>4.0040668879184893E-3</v>
      </c>
      <c r="J66" s="72">
        <f si="31" t="shared"/>
        <v>2.3646867724763015E-2</v>
      </c>
      <c r="L66" s="78">
        <f ref="L66:M66" si="40" t="shared">B66/B36</f>
        <v>2.8565175628918666</v>
      </c>
      <c r="M66" s="78">
        <f si="40" t="shared"/>
        <v>2.8513671853612061</v>
      </c>
      <c r="O66" s="213">
        <f si="35" t="shared"/>
        <v>5.0757902894485792E-2</v>
      </c>
      <c r="P66" s="212">
        <f si="36" t="shared"/>
        <v>5.3168552421717051E-2</v>
      </c>
    </row>
    <row customFormat="1" customHeight="1" ht="18" r="67" s="68" spans="1:16" x14ac:dyDescent="0.2">
      <c r="A67" s="68" t="s">
        <v>130</v>
      </c>
      <c r="B67" s="69">
        <f>TripsByDestinationPurpose!F79</f>
        <v>349129.67478499998</v>
      </c>
      <c r="C67" s="69">
        <f>TripsByDestinationPurpose!W11</f>
        <v>358313</v>
      </c>
      <c r="D67" s="69">
        <f si="28" t="shared"/>
        <v>9183.3252150000189</v>
      </c>
      <c r="E67" s="72">
        <f si="29" t="shared"/>
        <v>2.6303479418228391E-2</v>
      </c>
      <c r="G67" s="78">
        <f si="32" t="shared"/>
        <v>0.25498714566847186</v>
      </c>
      <c r="H67" s="78">
        <f si="33" t="shared"/>
        <v>0.23852073251100031</v>
      </c>
      <c r="I67" s="78">
        <f si="30" t="shared"/>
        <v>-1.6466413157471549E-2</v>
      </c>
      <c r="J67" s="72">
        <f si="31" t="shared"/>
        <v>-6.4577424537630546E-2</v>
      </c>
      <c r="L67" s="78">
        <f ref="L67:M67" si="41" t="shared">B67/B37</f>
        <v>1.7889761991319681</v>
      </c>
      <c r="M67" s="78">
        <f si="41" t="shared"/>
        <v>1.6806268233881483</v>
      </c>
      <c r="O67" s="213">
        <f si="35" t="shared"/>
        <v>7.6435349600579378E-2</v>
      </c>
      <c r="P67" s="212">
        <f si="36" t="shared"/>
        <v>7.3164954543607524E-2</v>
      </c>
    </row>
    <row customFormat="1" customHeight="1" ht="18" r="68" s="68" spans="1:16" x14ac:dyDescent="0.2">
      <c r="A68" s="81" t="s">
        <v>145</v>
      </c>
      <c r="B68" s="74">
        <f>TripsByDestinationPurpose!F80</f>
        <v>1568861.584114</v>
      </c>
      <c r="C68" s="74">
        <f>TripsByDestinationPurpose!W12</f>
        <v>1714394</v>
      </c>
      <c r="D68" s="74">
        <f si="28" t="shared"/>
        <v>145532.41588600003</v>
      </c>
      <c r="E68" s="75">
        <f si="29" t="shared"/>
        <v>9.2763069323408873E-2</v>
      </c>
      <c r="G68" s="78">
        <f si="32" t="shared"/>
        <v>1.1458193507283423</v>
      </c>
      <c r="H68" s="78">
        <f si="33" t="shared"/>
        <v>1.1412327007182654</v>
      </c>
      <c r="I68" s="79">
        <f si="30" t="shared"/>
        <v>-4.5866500100768537E-3</v>
      </c>
      <c r="J68" s="75">
        <f si="31" t="shared"/>
        <v>-4.0029434021701072E-3</v>
      </c>
      <c r="L68" s="78">
        <f ref="L68" si="42" t="shared">B68/B38</f>
        <v>18.836522231823466</v>
      </c>
      <c r="M68" s="78">
        <f ref="M68" si="43" t="shared">C68/C38</f>
        <v>17.703183568942908</v>
      </c>
      <c r="O68" s="229">
        <f si="35" t="shared"/>
        <v>0.34347261867820023</v>
      </c>
      <c r="P68" s="75">
        <f si="36" t="shared"/>
        <v>0.35006700588545064</v>
      </c>
    </row>
    <row customFormat="1" customHeight="1" ht="18" r="69" s="68" spans="1:16" thickBot="1" x14ac:dyDescent="0.25">
      <c r="A69" s="70" t="s">
        <v>220</v>
      </c>
      <c r="B69" s="71">
        <f>SUM(B61:B68)</f>
        <v>4567646.7316419994</v>
      </c>
      <c r="C69" s="71">
        <f>TripsByDestinationPurpose!W13</f>
        <v>4897331</v>
      </c>
      <c r="D69" s="71">
        <f si="28" t="shared"/>
        <v>329684.26835800055</v>
      </c>
      <c r="E69" s="82">
        <f si="29" t="shared"/>
        <v>7.217814505533883E-2</v>
      </c>
      <c r="G69" s="208">
        <f si="32" t="shared"/>
        <v>3.3359845542793076</v>
      </c>
      <c r="H69" s="208">
        <f si="33" t="shared"/>
        <v>3.2600407394340416</v>
      </c>
      <c r="I69" s="80">
        <f si="30" t="shared"/>
        <v>-7.5943814845266022E-2</v>
      </c>
      <c r="J69" s="77">
        <f si="31" t="shared"/>
        <v>-2.2765037909976957E-2</v>
      </c>
      <c r="L69" s="208">
        <f>B69/B39</f>
        <v>2.7523957340275316</v>
      </c>
      <c r="M69" s="208">
        <f>C69/C39</f>
        <v>2.7028540585050811</v>
      </c>
      <c r="O69" s="230">
        <f si="35" t="shared"/>
        <v>1</v>
      </c>
      <c r="P69" s="77">
        <f si="36" t="shared"/>
        <v>1</v>
      </c>
    </row>
    <row customFormat="1" customHeight="1" ht="18" r="70" s="68" spans="1:16" x14ac:dyDescent="0.2"/>
    <row customFormat="1" customHeight="1" ht="18" r="71" s="68" spans="1:16" x14ac:dyDescent="0.2"/>
    <row customFormat="1" customHeight="1" ht="18" r="72" s="68" spans="1:16" x14ac:dyDescent="0.2"/>
    <row customFormat="1" customHeight="1" ht="18" r="73" s="68" spans="1:16" x14ac:dyDescent="0.2">
      <c r="A73" s="62" t="s">
        <v>219</v>
      </c>
      <c r="G73" s="62" t="s">
        <v>1162</v>
      </c>
    </row>
    <row customFormat="1" customHeight="1" ht="18" r="74" s="68" spans="1:16" thickBot="1" x14ac:dyDescent="0.25">
      <c r="A74" s="65"/>
      <c r="B74" s="83"/>
      <c r="C74" s="83"/>
      <c r="D74" s="83"/>
      <c r="E74" s="83"/>
      <c r="G74" s="83"/>
      <c r="H74" s="83"/>
      <c r="I74" s="83"/>
      <c r="J74" s="83"/>
      <c r="O74" s="66"/>
      <c r="P74" s="66"/>
    </row>
    <row customFormat="1" customHeight="1" ht="18" r="75" s="68" spans="1:16" x14ac:dyDescent="0.2">
      <c r="A75" s="67" t="s">
        <v>155</v>
      </c>
      <c r="B75" s="63" t="s">
        <v>259</v>
      </c>
      <c r="C75" s="63" t="s">
        <v>260</v>
      </c>
      <c r="D75" s="63" t="s">
        <v>154</v>
      </c>
      <c r="E75" s="63" t="s">
        <v>261</v>
      </c>
      <c r="G75" s="63" t="s">
        <v>259</v>
      </c>
      <c r="H75" s="63" t="s">
        <v>260</v>
      </c>
      <c r="I75" s="63" t="s">
        <v>154</v>
      </c>
      <c r="J75" s="63" t="s">
        <v>261</v>
      </c>
      <c r="O75" s="63" t="str">
        <f>B75</f>
        <v>ExpandSurv</v>
      </c>
      <c r="P75" s="63" t="str">
        <f>C75</f>
        <v>SynthPop</v>
      </c>
    </row>
    <row customFormat="1" customHeight="1" ht="18" r="76" s="68" spans="1:16" x14ac:dyDescent="0.2">
      <c r="A76" s="68" t="s">
        <v>146</v>
      </c>
      <c r="B76" s="69">
        <f>TripsByDestinationPurpose!B13</f>
        <v>2124381.2672629999</v>
      </c>
      <c r="C76" s="69">
        <f>TripsByDestinationPurpose!N13</f>
        <v>2415895</v>
      </c>
      <c r="D76" s="69">
        <f ref="D76:D83" si="44" t="shared">C76-B76</f>
        <v>291513.7327370001</v>
      </c>
      <c r="E76" s="228">
        <f>IF(B76&gt;0,D76/B76,0)</f>
        <v>0.13722288801415536</v>
      </c>
      <c r="G76" s="78">
        <f ref="G76:H76" si="45" t="shared">B76/B16</f>
        <v>3.6082970285520655</v>
      </c>
      <c r="H76" s="78">
        <f si="45" t="shared"/>
        <v>3.5395395175409679</v>
      </c>
      <c r="I76" s="78">
        <f ref="I76:I84" si="46" t="shared">H76-G76</f>
        <v>-6.8757511011097616E-2</v>
      </c>
      <c r="J76" s="72">
        <f>I76/G76</f>
        <v>-1.9055391079788288E-2</v>
      </c>
      <c r="O76" s="213">
        <f>B76/B$84</f>
        <v>0.46509316330147027</v>
      </c>
      <c r="P76" s="228">
        <f>C76/C$84</f>
        <v>0.493308498036992</v>
      </c>
    </row>
    <row customFormat="1" customHeight="1" ht="18" r="77" s="68" spans="1:16" x14ac:dyDescent="0.2">
      <c r="A77" s="68" t="s">
        <v>147</v>
      </c>
      <c r="B77" s="69">
        <f>TripsByDestinationPurpose!C13</f>
        <v>463676.03995599999</v>
      </c>
      <c r="C77" s="69">
        <f>TripsByDestinationPurpose!O13</f>
        <v>475869</v>
      </c>
      <c r="D77" s="69">
        <f si="44" t="shared"/>
        <v>12192.960044000007</v>
      </c>
      <c r="E77" s="212">
        <f ref="E77:E83" si="47" t="shared">IF(B77&gt;0,D77/B77,0)</f>
        <v>2.6296290930100774E-2</v>
      </c>
      <c r="G77" s="78">
        <f ref="G77:G82" si="48" t="shared">B77/B17</f>
        <v>5.6810512381582496</v>
      </c>
      <c r="H77" s="78">
        <f ref="H77:H82" si="49" t="shared">C77/C17</f>
        <v>5.6558826675541081</v>
      </c>
      <c r="I77" s="78">
        <f si="46" t="shared"/>
        <v>-2.5168570604141571E-2</v>
      </c>
      <c r="J77" s="72">
        <f ref="J77:J84" si="50" t="shared">I77/G77</f>
        <v>-4.4302664329253644E-3</v>
      </c>
      <c r="O77" s="213">
        <f ref="O77:O84" si="51" t="shared">B77/B$84</f>
        <v>0.10151311325018242</v>
      </c>
      <c r="P77" s="212">
        <f ref="P77:P84" si="52" t="shared">C77/C$84</f>
        <v>9.7169049835512444E-2</v>
      </c>
    </row>
    <row customFormat="1" customHeight="1" ht="18" r="78" s="68" spans="1:16" x14ac:dyDescent="0.2">
      <c r="A78" s="68" t="s">
        <v>148</v>
      </c>
      <c r="B78" s="69">
        <f>TripsByDestinationPurpose!D13</f>
        <v>437415.01540200005</v>
      </c>
      <c r="C78" s="69">
        <f>TripsByDestinationPurpose!P13</f>
        <v>536888</v>
      </c>
      <c r="D78" s="69">
        <f si="44" t="shared"/>
        <v>99472.984597999952</v>
      </c>
      <c r="E78" s="212">
        <f si="47" t="shared"/>
        <v>0.2274109966402976</v>
      </c>
      <c r="G78" s="78">
        <f si="48" t="shared"/>
        <v>3.4043523111443195</v>
      </c>
      <c r="H78" s="78">
        <f si="49" t="shared"/>
        <v>3.2549911181438436</v>
      </c>
      <c r="I78" s="78">
        <f si="46" t="shared"/>
        <v>-0.1493611930004759</v>
      </c>
      <c r="J78" s="72">
        <f si="50" t="shared"/>
        <v>-4.3873600423650183E-2</v>
      </c>
      <c r="O78" s="213">
        <f si="51" t="shared"/>
        <v>9.5763757816873879E-2</v>
      </c>
      <c r="P78" s="212">
        <f si="52" t="shared"/>
        <v>0.10962869367008274</v>
      </c>
    </row>
    <row customFormat="1" customHeight="1" ht="18" r="79" s="68" spans="1:16" x14ac:dyDescent="0.2">
      <c r="A79" s="68" t="s">
        <v>242</v>
      </c>
      <c r="B79" s="69">
        <f>TripsByDestinationPurpose!E13</f>
        <v>654862.02952600003</v>
      </c>
      <c r="C79" s="69">
        <f>TripsByDestinationPurpose!Q13</f>
        <v>627288</v>
      </c>
      <c r="D79" s="69">
        <f si="44" t="shared"/>
        <v>-27574.029526000028</v>
      </c>
      <c r="E79" s="212">
        <f si="47" t="shared"/>
        <v>-4.210662442279417E-2</v>
      </c>
      <c r="G79" s="78">
        <f si="48" t="shared"/>
        <v>2.8640493924136998</v>
      </c>
      <c r="H79" s="78">
        <f si="49" t="shared"/>
        <v>2.6080492266755364</v>
      </c>
      <c r="I79" s="78">
        <f si="46" t="shared"/>
        <v>-0.25600016573816342</v>
      </c>
      <c r="J79" s="72">
        <f si="50" t="shared"/>
        <v>-8.938399121755973E-2</v>
      </c>
      <c r="O79" s="213">
        <f si="51" t="shared"/>
        <v>0.1433696754588083</v>
      </c>
      <c r="P79" s="212">
        <f si="52" t="shared"/>
        <v>0.12808772778478728</v>
      </c>
    </row>
    <row customFormat="1" customHeight="1" ht="18" r="80" s="68" spans="1:16" x14ac:dyDescent="0.2">
      <c r="A80" s="68" t="s">
        <v>243</v>
      </c>
      <c r="B80" s="69">
        <f>TripsByDestinationPurpose!F13</f>
        <v>141712.56053700001</v>
      </c>
      <c r="C80" s="69">
        <f>TripsByDestinationPurpose!R13</f>
        <v>119081</v>
      </c>
      <c r="D80" s="69">
        <f si="44" t="shared"/>
        <v>-22631.560537000012</v>
      </c>
      <c r="E80" s="212">
        <f si="47" t="shared"/>
        <v>-0.15970045598809918</v>
      </c>
      <c r="G80" s="78">
        <f si="48" t="shared"/>
        <v>1.9504860028490814</v>
      </c>
      <c r="H80" s="78">
        <f si="49" t="shared"/>
        <v>1.9582469988488735</v>
      </c>
      <c r="I80" s="78">
        <f si="46" t="shared"/>
        <v>7.7609959997921862E-3</v>
      </c>
      <c r="J80" s="72">
        <f si="50" t="shared"/>
        <v>3.9790062520088194E-3</v>
      </c>
      <c r="O80" s="213">
        <f si="51" t="shared"/>
        <v>3.1025289139656489E-2</v>
      </c>
      <c r="P80" s="212">
        <f si="52" t="shared"/>
        <v>2.4315489396162931E-2</v>
      </c>
    </row>
    <row customFormat="1" customHeight="1" ht="18" r="81" s="68" spans="1:16" x14ac:dyDescent="0.2">
      <c r="A81" s="68" t="s">
        <v>244</v>
      </c>
      <c r="B81" s="69">
        <f>TripsByDestinationPurpose!G13</f>
        <v>91453.697983999999</v>
      </c>
      <c r="C81" s="69">
        <f>TripsByDestinationPurpose!S13</f>
        <v>94365</v>
      </c>
      <c r="D81" s="69">
        <f si="44" t="shared"/>
        <v>2911.3020160000015</v>
      </c>
      <c r="E81" s="212">
        <f si="47" t="shared"/>
        <v>3.1833617231195391E-2</v>
      </c>
      <c r="G81" s="78">
        <f si="48" t="shared"/>
        <v>1.8506525686302284</v>
      </c>
      <c r="H81" s="78">
        <f si="49" t="shared"/>
        <v>1.6749795874897937</v>
      </c>
      <c r="I81" s="78">
        <f si="46" t="shared"/>
        <v>-0.17567298114043473</v>
      </c>
      <c r="J81" s="72">
        <f si="50" t="shared"/>
        <v>-9.4924884399269022E-2</v>
      </c>
      <c r="O81" s="213">
        <f si="51" t="shared"/>
        <v>2.0022060232999624E-2</v>
      </c>
      <c r="P81" s="212">
        <f si="52" t="shared"/>
        <v>1.9268658785775356E-2</v>
      </c>
    </row>
    <row customFormat="1" customHeight="1" ht="18" r="82" s="68" spans="1:16" x14ac:dyDescent="0.2">
      <c r="A82" s="73" t="s">
        <v>245</v>
      </c>
      <c r="B82" s="69">
        <f>TripsByDestinationPurpose!I13</f>
        <v>654146.12097400008</v>
      </c>
      <c r="C82" s="69">
        <f>TripsByDestinationPurpose!U13</f>
        <v>627945</v>
      </c>
      <c r="D82" s="69">
        <f si="44" t="shared"/>
        <v>-26201.120974000078</v>
      </c>
      <c r="E82" s="212">
        <f si="47" t="shared"/>
        <v>-4.005392699568034E-2</v>
      </c>
      <c r="G82" s="78">
        <f si="48" t="shared"/>
        <v>2.9784005872330743</v>
      </c>
      <c r="H82" s="78">
        <f si="49" t="shared"/>
        <v>2.9489708223559079</v>
      </c>
      <c r="I82" s="78">
        <f si="46" t="shared"/>
        <v>-2.942976487716642E-2</v>
      </c>
      <c r="J82" s="72">
        <f si="50" t="shared"/>
        <v>-9.8810633476629113E-3</v>
      </c>
      <c r="O82" s="213">
        <f si="51" t="shared"/>
        <v>0.14321294080000893</v>
      </c>
      <c r="P82" s="212">
        <f si="52" t="shared"/>
        <v>0.12822188249068728</v>
      </c>
    </row>
    <row customFormat="1" customHeight="1" ht="18" r="83" s="68" spans="1:16" x14ac:dyDescent="0.2">
      <c r="A83" s="73" t="s">
        <v>170</v>
      </c>
      <c r="B83" s="74">
        <f>TripsByDestinationPurpose!J13</f>
        <v>0</v>
      </c>
      <c r="C83" s="74">
        <f>TripsByDestinationPurpose!V13</f>
        <v>0</v>
      </c>
      <c r="D83" s="74">
        <f si="44" t="shared"/>
        <v>0</v>
      </c>
      <c r="E83" s="75">
        <f si="47" t="shared"/>
        <v>0</v>
      </c>
      <c r="G83" s="78">
        <f>IF(B83&gt;0,B83/B23,0)</f>
        <v>0</v>
      </c>
      <c r="H83" s="78">
        <f>IF(C83&gt;0,C83/C23,0)</f>
        <v>0</v>
      </c>
      <c r="I83" s="79">
        <f si="46" t="shared"/>
        <v>0</v>
      </c>
      <c r="J83" s="75">
        <f>IF(G83&gt;0,I83/G83,0)</f>
        <v>0</v>
      </c>
      <c r="O83" s="229">
        <f si="51" t="shared"/>
        <v>0</v>
      </c>
      <c r="P83" s="75">
        <f si="52" t="shared"/>
        <v>0</v>
      </c>
    </row>
    <row customFormat="1" customHeight="1" ht="18" r="84" s="68" spans="1:16" thickBot="1" x14ac:dyDescent="0.25">
      <c r="A84" s="70" t="s">
        <v>220</v>
      </c>
      <c r="B84" s="76">
        <f>SUM(B76:B83)</f>
        <v>4567646.7316420004</v>
      </c>
      <c r="C84" s="76">
        <f>SUM(C76:C83)</f>
        <v>4897331</v>
      </c>
      <c r="D84" s="76">
        <f>SUM(D76:D83)</f>
        <v>329684.26835799997</v>
      </c>
      <c r="E84" s="77">
        <f ref="E84" si="53" t="shared">D84/B84</f>
        <v>7.2178145055338691E-2</v>
      </c>
      <c r="G84" s="208">
        <f ref="G84" si="54" t="shared">B84/B24</f>
        <v>3.3359845542793085</v>
      </c>
      <c r="H84" s="208">
        <f ref="H84" si="55" t="shared">C84/C24</f>
        <v>3.2600407394340416</v>
      </c>
      <c r="I84" s="80">
        <f si="46" t="shared"/>
        <v>-7.594381484526691E-2</v>
      </c>
      <c r="J84" s="77">
        <f si="50" t="shared"/>
        <v>-2.2765037909977217E-2</v>
      </c>
      <c r="K84" s="78"/>
      <c r="L84" s="78"/>
      <c r="O84" s="230">
        <f si="51" t="shared"/>
        <v>1</v>
      </c>
      <c r="P84" s="77">
        <f si="52" t="shared"/>
        <v>1</v>
      </c>
    </row>
    <row customFormat="1" customHeight="1" ht="18" r="85" s="68" spans="1:16" x14ac:dyDescent="0.2"/>
    <row customFormat="1" customHeight="1" ht="18" r="86" s="68" spans="1:16" x14ac:dyDescent="0.2">
      <c r="A86"/>
      <c r="B86" s="215"/>
      <c r="C86" s="215"/>
      <c r="D86"/>
      <c r="E86"/>
    </row>
    <row customFormat="1" customHeight="1" ht="18" r="87" s="68" spans="1:16" x14ac:dyDescent="0.2">
      <c r="A87"/>
      <c r="B87"/>
      <c r="C87"/>
      <c r="D87"/>
      <c r="E87"/>
    </row>
    <row customFormat="1" customHeight="1" ht="18" r="88" s="68" spans="1:16" x14ac:dyDescent="0.2">
      <c r="A88"/>
      <c r="B88"/>
      <c r="C88"/>
      <c r="D88"/>
      <c r="E88"/>
    </row>
    <row customFormat="1" customHeight="1" ht="18" r="89" s="68" spans="1:16" x14ac:dyDescent="0.2">
      <c r="A89"/>
      <c r="B89"/>
      <c r="C89"/>
      <c r="D89"/>
      <c r="E89"/>
    </row>
    <row customFormat="1" customHeight="1" ht="18" r="90" s="68" spans="1:16" x14ac:dyDescent="0.2">
      <c r="A90"/>
      <c r="B90"/>
      <c r="C90"/>
      <c r="D90"/>
      <c r="E90"/>
    </row>
    <row customFormat="1" customHeight="1" ht="18" r="91" s="68" spans="1:16" x14ac:dyDescent="0.2">
      <c r="A91"/>
      <c r="B91"/>
      <c r="C91"/>
      <c r="D91"/>
      <c r="E91"/>
    </row>
    <row customFormat="1" customHeight="1" ht="18" r="92" s="68" spans="1:16" x14ac:dyDescent="0.2">
      <c r="A92"/>
      <c r="B92"/>
      <c r="C92"/>
      <c r="D92"/>
      <c r="E92"/>
    </row>
    <row customFormat="1" customHeight="1" ht="18" r="93" s="68" spans="1:16" x14ac:dyDescent="0.2">
      <c r="A93"/>
      <c r="B93"/>
      <c r="C93"/>
      <c r="D93"/>
      <c r="E93"/>
    </row>
    <row customHeight="1" ht="18" r="94" spans="1:16" x14ac:dyDescent="0.2">
      <c r="A94"/>
      <c r="B94"/>
      <c r="C94"/>
      <c r="D94"/>
      <c r="E94"/>
    </row>
    <row customHeight="1" ht="18" r="95" spans="1:16" x14ac:dyDescent="0.2">
      <c r="A95"/>
      <c r="B95"/>
      <c r="C95"/>
      <c r="D95"/>
      <c r="E95"/>
    </row>
    <row customHeight="1" ht="18" r="96" spans="1:16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r="100" spans="1:5" x14ac:dyDescent="0.2">
      <c r="A100"/>
      <c r="B100"/>
      <c r="C100"/>
      <c r="D100"/>
      <c r="E100"/>
    </row>
    <row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</sheetData>
  <phoneticPr fontId="5"/>
  <pageMargins bottom="1" footer="0.5" header="0.5" left="0.75" right="0.75" top="1"/>
  <pageSetup horizontalDpi="4294967292" orientation="portrait" r:id="rId1" verticalDpi="4294967292"/>
  <headerFooter alignWithMargins="0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N398"/>
  <sheetViews>
    <sheetView topLeftCell="A170" workbookViewId="0" zoomScale="85" zoomScaleNormal="85">
      <selection activeCell="M191" sqref="M191"/>
    </sheetView>
  </sheetViews>
  <sheetFormatPr defaultRowHeight="15" x14ac:dyDescent="0.25"/>
  <cols>
    <col min="1" max="2" style="115" width="9.0" collapsed="true"/>
    <col min="3" max="3" bestFit="true" customWidth="true" style="115" width="12.375" collapsed="true"/>
    <col min="4" max="4" bestFit="true" customWidth="true" style="115" width="15.0" collapsed="true"/>
    <col min="5" max="5" customWidth="true" style="115" width="10.375" collapsed="true"/>
    <col min="6" max="6" bestFit="true" customWidth="true" style="115" width="9.25" collapsed="true"/>
    <col min="7" max="7" customWidth="true" style="115" width="14.875" collapsed="true"/>
    <col min="8" max="8" bestFit="true" customWidth="true" style="115" width="9.25" collapsed="true"/>
    <col min="9" max="9" bestFit="true" customWidth="true" style="115" width="10.125" collapsed="true"/>
    <col min="10" max="10" bestFit="true" customWidth="true" style="115" width="14.375" collapsed="true"/>
    <col min="11" max="11" style="115" width="9.0" collapsed="true"/>
    <col min="12" max="13" bestFit="true" customWidth="true" style="115" width="12.5" collapsed="true"/>
    <col min="14" max="14" customWidth="true" style="115" width="12.75" collapsed="true"/>
    <col min="15" max="15" bestFit="true" customWidth="true" style="115" width="12.5" collapsed="true"/>
    <col min="16" max="19" style="115" width="9.0" collapsed="true"/>
    <col min="20" max="21" customWidth="true" style="115" width="27.5" collapsed="true"/>
    <col min="22" max="23" style="115" width="9.0" collapsed="true"/>
    <col min="24" max="25" bestFit="true" customWidth="true" style="115" width="13.75" collapsed="true"/>
    <col min="26" max="26" customWidth="true" style="115" width="13.75" collapsed="true"/>
    <col min="27" max="29" style="115" width="9.0" collapsed="true"/>
    <col min="30" max="31" bestFit="true" customWidth="true" style="115" width="14.75" collapsed="true"/>
    <col min="32" max="35" style="115" width="9.0" collapsed="true"/>
    <col min="36" max="36" bestFit="true" customWidth="true" style="115" width="78.125" collapsed="true"/>
    <col min="37" max="16384" style="115" width="9.0" collapsed="true"/>
  </cols>
  <sheetData>
    <row r="1" spans="2:39" x14ac:dyDescent="0.25">
      <c r="N1"/>
      <c r="P1" s="128" t="s">
        <v>1140</v>
      </c>
      <c r="V1" s="128" t="s">
        <v>1140</v>
      </c>
      <c r="AB1" s="128" t="s">
        <v>1102</v>
      </c>
      <c r="AI1" s="128" t="s">
        <v>1035</v>
      </c>
    </row>
    <row r="2" spans="2:39" x14ac:dyDescent="0.25">
      <c r="B2" s="128" t="s">
        <v>1025</v>
      </c>
      <c r="H2" s="128" t="s">
        <v>1025</v>
      </c>
      <c r="I2" s="119" t="s">
        <v>1131</v>
      </c>
      <c r="J2" s="162">
        <v>0</v>
      </c>
      <c r="N2"/>
      <c r="Q2" s="114" t="s">
        <v>1149</v>
      </c>
      <c r="R2"/>
      <c r="X2" s="171" t="s">
        <v>1032</v>
      </c>
      <c r="Y2" s="171" t="s">
        <v>1033</v>
      </c>
      <c r="Z2" s="246" t="s">
        <v>13588</v>
      </c>
      <c r="AD2" s="171" t="s">
        <v>1032</v>
      </c>
      <c r="AE2" s="171" t="s">
        <v>1033</v>
      </c>
      <c r="AF2" s="246" t="s">
        <v>13588</v>
      </c>
      <c r="AK2" s="115" t="s">
        <v>1032</v>
      </c>
      <c r="AL2" s="115" t="s">
        <v>1033</v>
      </c>
      <c r="AM2" s="115" t="s">
        <v>1164</v>
      </c>
    </row>
    <row ht="15.75" r="3" spans="2:39" thickBot="1" x14ac:dyDescent="0.3">
      <c r="B3" s="124"/>
      <c r="C3" s="124"/>
      <c r="D3" s="124"/>
      <c r="E3" s="124"/>
      <c r="F3" s="124"/>
      <c r="G3" s="123"/>
      <c r="H3" s="142" t="s">
        <v>1034</v>
      </c>
      <c r="I3" s="124"/>
      <c r="J3" s="124"/>
      <c r="K3" s="1"/>
      <c r="L3" s="124"/>
      <c r="M3" s="124"/>
      <c r="N3" s="124"/>
      <c r="P3">
        <v>1</v>
      </c>
      <c r="Q3" s="65" t="s">
        <v>1216</v>
      </c>
      <c r="R3"/>
      <c r="V3" s="137">
        <f>DayPatternCoefficients!A11</f>
        <v>100</v>
      </c>
      <c r="W3" s="137" t="str">
        <f>DayPatternCoefficients!B11</f>
        <v>W-TASC</v>
      </c>
      <c r="X3" s="138">
        <f>DayPatternCoefficients!D11</f>
        <v>1.9017439303100001</v>
      </c>
      <c r="Y3" s="176">
        <f>_xlfn.IFNA(VLOOKUP(V3,$L$63:$N$105,3,FALSE),_xlfn.IFNA(VLOOKUP(V3,$H$5:$L$11,5,FALSE),_xlfn.IFNA(VLOOKUP(V3,$J$33:$N$39,5,FALSE),X3)))</f>
        <v>1.9017439303100001</v>
      </c>
      <c r="Z3" s="247">
        <f>IF(X3=Y3,0,1)</f>
        <v>0</v>
      </c>
      <c r="AB3" s="145">
        <v>1</v>
      </c>
      <c r="AC3" s="145" t="s">
        <v>1103</v>
      </c>
      <c r="AD3" s="156">
        <f>WorkbasedSubtourGenerationCoeff!E11</f>
        <v>-1.427506529303</v>
      </c>
      <c r="AE3" s="175">
        <f ref="AE3:AE9" si="0" t="shared">L148</f>
        <v>-1.427506529303</v>
      </c>
      <c r="AF3" s="247">
        <f>IF(AD3=AE3,0,1)</f>
        <v>0</v>
      </c>
      <c r="AI3" s="115">
        <v>1</v>
      </c>
      <c r="AJ3" s="115" t="s">
        <v>1040</v>
      </c>
      <c r="AK3" s="115">
        <v>0.42649170864199998</v>
      </c>
      <c r="AM3" s="115" t="s">
        <v>1065</v>
      </c>
    </row>
    <row r="4" spans="2:39" x14ac:dyDescent="0.25">
      <c r="B4" s="120" t="str">
        <f>Summary!A30</f>
        <v>Purpose</v>
      </c>
      <c r="C4" s="163" t="str">
        <f>Summary!B30</f>
        <v>ExpandSurv</v>
      </c>
      <c r="D4" s="163" t="s">
        <v>1211</v>
      </c>
      <c r="E4" s="163" t="s">
        <v>8703</v>
      </c>
      <c r="F4" s="163" t="s">
        <v>1026</v>
      </c>
      <c r="G4" s="130"/>
      <c r="H4" s="120" t="s">
        <v>1020</v>
      </c>
      <c r="I4" s="120" t="s">
        <v>316</v>
      </c>
      <c r="J4" s="165" t="s">
        <v>1027</v>
      </c>
      <c r="K4" s="163" t="s">
        <v>1028</v>
      </c>
      <c r="L4" s="178" t="s">
        <v>1029</v>
      </c>
      <c r="M4" s="170" t="s">
        <v>1136</v>
      </c>
      <c r="N4" s="170" t="s">
        <v>1135</v>
      </c>
      <c r="P4">
        <v>2</v>
      </c>
      <c r="Q4" s="65" t="s">
        <v>1152</v>
      </c>
      <c r="R4"/>
      <c r="V4" s="137">
        <f>DayPatternCoefficients!A12</f>
        <v>101</v>
      </c>
      <c r="W4" s="137" t="str">
        <f>DayPatternCoefficients!B12</f>
        <v>W-SASC</v>
      </c>
      <c r="X4" s="138">
        <f>DayPatternCoefficients!D12</f>
        <v>3.6928987586500002</v>
      </c>
      <c r="Y4" s="176">
        <f ref="Y4:Y67" si="1" t="shared">_xlfn.IFNA(VLOOKUP(V4,$L$63:$N$105,3,FALSE),_xlfn.IFNA(VLOOKUP(V4,$H$5:$L$11,5,FALSE),_xlfn.IFNA(VLOOKUP(V4,$J$33:$N$39,5,FALSE),X4)))</f>
        <v>3.6928987586500002</v>
      </c>
      <c r="Z4" s="247">
        <f ref="Z4:Z67" si="2" t="shared">IF(X4=Y4,0,1)</f>
        <v>0</v>
      </c>
      <c r="AB4" s="145">
        <v>3</v>
      </c>
      <c r="AC4" s="145" t="s">
        <v>1104</v>
      </c>
      <c r="AD4" s="156">
        <f>WorkbasedSubtourGenerationCoeff!E12</f>
        <v>-2.1173031158029998</v>
      </c>
      <c r="AE4" s="175">
        <f si="0" t="shared"/>
        <v>-2.1173031158029998</v>
      </c>
      <c r="AF4" s="247">
        <f ref="AF4:AF17" si="3" t="shared">IF(AD4=AE4,0,1)</f>
        <v>0</v>
      </c>
      <c r="AI4" s="115">
        <v>2</v>
      </c>
      <c r="AJ4" s="115" t="s">
        <v>1041</v>
      </c>
      <c r="AK4" s="115">
        <v>0.52969549157399998</v>
      </c>
      <c r="AM4" s="115" t="s">
        <v>1065</v>
      </c>
    </row>
    <row r="5" spans="2:39" x14ac:dyDescent="0.25">
      <c r="B5" s="115" t="str">
        <f>Summary!A31</f>
        <v>work</v>
      </c>
      <c r="C5" s="125">
        <f>D190</f>
        <v>626655.11395604303</v>
      </c>
      <c r="D5" s="125">
        <f>C5*E$13/C$13</f>
        <v>620906.37530128565</v>
      </c>
      <c r="E5" s="125">
        <f>ToursByTourPurpose!R74</f>
        <v>617189</v>
      </c>
      <c r="F5" s="118">
        <f>C5/E5</f>
        <v>1.0153374638174741</v>
      </c>
      <c r="G5" s="240"/>
      <c r="H5" s="133">
        <v>100</v>
      </c>
      <c r="I5" s="129" t="s">
        <v>320</v>
      </c>
      <c r="J5" s="138">
        <f ref="J5:J11" si="4" t="shared">VLOOKUP(H5,$V$3:$X$352,3,FALSE)</f>
        <v>1.9017439303100001</v>
      </c>
      <c r="K5" s="135">
        <f ref="K5:K11" si="5" t="shared">$J$2*LN(F5)</f>
        <v>0</v>
      </c>
      <c r="L5" s="192">
        <f>J5+K5</f>
        <v>1.9017439303100001</v>
      </c>
      <c r="M5" s="194">
        <f ref="M5:M11" si="6" t="shared">VLOOKUP(H5,$V$3:$Y$352,4,FALSE)</f>
        <v>1.9017439303100001</v>
      </c>
      <c r="N5" s="166">
        <f>IF(L5=M5,0,1)</f>
        <v>0</v>
      </c>
      <c r="P5">
        <v>3</v>
      </c>
      <c r="Q5" s="115" t="s">
        <v>1153</v>
      </c>
      <c r="V5" s="137">
        <f>DayPatternCoefficients!A13</f>
        <v>102</v>
      </c>
      <c r="W5" s="137" t="str">
        <f>DayPatternCoefficients!B13</f>
        <v>W-PTW</v>
      </c>
      <c r="X5" s="138">
        <f>DayPatternCoefficients!D13</f>
        <v>-0.12630532374</v>
      </c>
      <c r="Y5" s="176">
        <f si="1" t="shared"/>
        <v>1.1441894555397427</v>
      </c>
      <c r="Z5" s="247">
        <f si="2" t="shared"/>
        <v>1</v>
      </c>
      <c r="AB5" s="145">
        <v>4</v>
      </c>
      <c r="AC5" s="145" t="s">
        <v>1105</v>
      </c>
      <c r="AD5" s="156">
        <f>WorkbasedSubtourGenerationCoeff!E13</f>
        <v>-2.9720527882979999</v>
      </c>
      <c r="AE5" s="175">
        <f si="0" t="shared"/>
        <v>-2.9720527882979999</v>
      </c>
      <c r="AF5" s="247">
        <f si="3" t="shared"/>
        <v>0</v>
      </c>
      <c r="AI5" s="115">
        <v>3</v>
      </c>
      <c r="AJ5" s="115" t="s">
        <v>1042</v>
      </c>
      <c r="AK5" s="115">
        <v>0.75024585208399996</v>
      </c>
      <c r="AM5" s="115" t="s">
        <v>1065</v>
      </c>
    </row>
    <row r="6" spans="2:39" x14ac:dyDescent="0.25">
      <c r="B6" s="115" t="str">
        <f>Summary!A32</f>
        <v>school</v>
      </c>
      <c r="C6" s="125">
        <f ref="C6:C12" si="7" t="shared">D191</f>
        <v>216711.84319579066</v>
      </c>
      <c r="D6" s="125">
        <f ref="D6:D12" si="8" t="shared">C6*E$13/C$13</f>
        <v>214723.79630655592</v>
      </c>
      <c r="E6" s="125">
        <f>ToursByTourPurpose!R75</f>
        <v>211135</v>
      </c>
      <c r="F6" s="118">
        <f ref="F6:F13" si="9" t="shared">C6/E6</f>
        <v>1.0264136367527443</v>
      </c>
      <c r="G6" s="240"/>
      <c r="H6" s="133">
        <v>200</v>
      </c>
      <c r="I6" s="129" t="s">
        <v>372</v>
      </c>
      <c r="J6" s="138">
        <f si="4" t="shared"/>
        <v>-1.1650098583199999</v>
      </c>
      <c r="K6" s="135">
        <f si="5" t="shared"/>
        <v>0</v>
      </c>
      <c r="L6" s="192">
        <f ref="L6:L11" si="10" t="shared">J6+K6</f>
        <v>-1.1650098583199999</v>
      </c>
      <c r="M6" s="194">
        <f si="6" t="shared"/>
        <v>-1.1650098583199999</v>
      </c>
      <c r="N6" s="166">
        <f ref="N6:N11" si="11" t="shared">IF(L6=M6,0,1)</f>
        <v>0</v>
      </c>
      <c r="P6">
        <v>4</v>
      </c>
      <c r="Q6" s="115" t="s">
        <v>1148</v>
      </c>
      <c r="V6" s="137">
        <f>DayPatternCoefficients!A14</f>
        <v>105</v>
      </c>
      <c r="W6" s="137" t="str">
        <f>DayPatternCoefficients!B14</f>
        <v>W-UNI</v>
      </c>
      <c r="X6" s="138">
        <f>DayPatternCoefficients!D14</f>
        <v>-2.5142965129700001</v>
      </c>
      <c r="Y6" s="176">
        <f si="1" t="shared"/>
        <v>-2.5142965129700001</v>
      </c>
      <c r="Z6" s="247">
        <f si="2" t="shared"/>
        <v>0</v>
      </c>
      <c r="AB6" s="145">
        <v>6</v>
      </c>
      <c r="AC6" s="145" t="s">
        <v>1106</v>
      </c>
      <c r="AD6" s="156">
        <f>WorkbasedSubtourGenerationCoeff!E14</f>
        <v>-2.0696298973410001</v>
      </c>
      <c r="AE6" s="175">
        <f si="0" t="shared"/>
        <v>-2.0696298973410001</v>
      </c>
      <c r="AF6" s="247">
        <f si="3" t="shared"/>
        <v>0</v>
      </c>
      <c r="AI6" s="115">
        <v>4</v>
      </c>
      <c r="AJ6" s="115" t="s">
        <v>1043</v>
      </c>
      <c r="AK6" s="115">
        <v>0.751938985542</v>
      </c>
      <c r="AM6" s="115" t="s">
        <v>1065</v>
      </c>
    </row>
    <row r="7" spans="2:39" x14ac:dyDescent="0.25">
      <c r="B7" s="115" t="str">
        <f>Summary!A33</f>
        <v>escort</v>
      </c>
      <c r="C7" s="125">
        <f si="7" t="shared"/>
        <v>192162.82172230736</v>
      </c>
      <c r="D7" s="125">
        <f si="8" t="shared"/>
        <v>190399.97990287593</v>
      </c>
      <c r="E7" s="125">
        <f>ToursByTourPurpose!R76</f>
        <v>191200</v>
      </c>
      <c r="F7" s="118">
        <f si="9" t="shared"/>
        <v>1.0050356784639507</v>
      </c>
      <c r="G7" s="240"/>
      <c r="H7" s="133">
        <v>300</v>
      </c>
      <c r="I7" s="129" t="s">
        <v>428</v>
      </c>
      <c r="J7" s="138">
        <f si="4" t="shared"/>
        <v>-3.20782328605</v>
      </c>
      <c r="K7" s="135">
        <f si="5" t="shared"/>
        <v>0</v>
      </c>
      <c r="L7" s="192">
        <f si="10" t="shared"/>
        <v>-3.20782328605</v>
      </c>
      <c r="M7" s="194">
        <f si="6" t="shared"/>
        <v>-3.20782328605</v>
      </c>
      <c r="N7" s="166">
        <f si="11" t="shared"/>
        <v>0</v>
      </c>
      <c r="P7" s="115">
        <v>5</v>
      </c>
      <c r="Q7" s="115" t="s">
        <v>1154</v>
      </c>
      <c r="V7" s="137">
        <f>DayPatternCoefficients!A15</f>
        <v>106</v>
      </c>
      <c r="W7" s="137" t="str">
        <f>DayPatternCoefficients!B15</f>
        <v>W-DAS</v>
      </c>
      <c r="X7" s="138">
        <f>DayPatternCoefficients!D15</f>
        <v>-3.8295481163199998</v>
      </c>
      <c r="Y7" s="176">
        <f si="1" t="shared"/>
        <v>-3.8295481163199998</v>
      </c>
      <c r="Z7" s="247">
        <f si="2" t="shared"/>
        <v>0</v>
      </c>
      <c r="AB7" s="145">
        <v>8</v>
      </c>
      <c r="AC7" s="145" t="s">
        <v>1107</v>
      </c>
      <c r="AD7" s="156">
        <f>WorkbasedSubtourGenerationCoeff!E15</f>
        <v>-2.299467632007</v>
      </c>
      <c r="AE7" s="175">
        <f si="0" t="shared"/>
        <v>-2.299467632007</v>
      </c>
      <c r="AF7" s="247">
        <f si="3" t="shared"/>
        <v>0</v>
      </c>
      <c r="AI7" s="115">
        <v>5</v>
      </c>
      <c r="AJ7" s="115" t="s">
        <v>1044</v>
      </c>
      <c r="AK7" s="115">
        <v>0.75835463608200004</v>
      </c>
      <c r="AM7" s="115" t="s">
        <v>1065</v>
      </c>
    </row>
    <row r="8" spans="2:39" x14ac:dyDescent="0.25">
      <c r="B8" s="115" t="str">
        <f>Summary!A34</f>
        <v>pers.bus</v>
      </c>
      <c r="C8" s="125">
        <f si="7" t="shared"/>
        <v>235525.00436432532</v>
      </c>
      <c r="D8" s="125">
        <f si="8" t="shared"/>
        <v>233364.37139956176</v>
      </c>
      <c r="E8" s="125">
        <f>ToursByTourPurpose!R77</f>
        <v>233018</v>
      </c>
      <c r="F8" s="118">
        <f si="9" t="shared"/>
        <v>1.0107588442280224</v>
      </c>
      <c r="G8" s="240"/>
      <c r="H8" s="133">
        <v>400</v>
      </c>
      <c r="I8" s="129" t="s">
        <v>487</v>
      </c>
      <c r="J8" s="138">
        <f si="4" t="shared"/>
        <v>-1.5432299922999999</v>
      </c>
      <c r="K8" s="135">
        <f si="5" t="shared"/>
        <v>0</v>
      </c>
      <c r="L8" s="192">
        <f si="10" t="shared"/>
        <v>-1.5432299922999999</v>
      </c>
      <c r="M8" s="194">
        <f si="6" t="shared"/>
        <v>-1.5432299922999999</v>
      </c>
      <c r="N8" s="166">
        <f si="11" t="shared"/>
        <v>0</v>
      </c>
      <c r="V8" s="161">
        <f>DayPatternCoefficients!A16</f>
        <v>109</v>
      </c>
      <c r="W8" s="161" t="str">
        <f>DayPatternCoefficients!B16</f>
        <v>W-VLINC</v>
      </c>
      <c r="X8" s="155">
        <f>DayPatternCoefficients!D16</f>
        <v>0</v>
      </c>
      <c r="Y8" s="176">
        <f si="1" t="shared"/>
        <v>0</v>
      </c>
      <c r="Z8" s="247">
        <f si="2" t="shared"/>
        <v>0</v>
      </c>
      <c r="AB8" s="145">
        <v>10</v>
      </c>
      <c r="AC8" s="145" t="s">
        <v>1108</v>
      </c>
      <c r="AD8" s="156">
        <f>WorkbasedSubtourGenerationCoeff!E16</f>
        <v>-1.0725277546400001</v>
      </c>
      <c r="AE8" s="175">
        <f si="0" t="shared"/>
        <v>-1.0725277546400001</v>
      </c>
      <c r="AF8" s="247">
        <f si="3" t="shared"/>
        <v>0</v>
      </c>
      <c r="AI8" s="115">
        <v>6</v>
      </c>
      <c r="AJ8" s="115" t="s">
        <v>1045</v>
      </c>
      <c r="AK8" s="115">
        <v>0.99547769337100001</v>
      </c>
      <c r="AM8" s="115" t="s">
        <v>1065</v>
      </c>
    </row>
    <row r="9" spans="2:39" x14ac:dyDescent="0.25">
      <c r="B9" s="115" t="str">
        <f>Summary!A35</f>
        <v>shop</v>
      </c>
      <c r="C9" s="125">
        <f si="7" t="shared"/>
        <v>158405.08088964329</v>
      </c>
      <c r="D9" s="125">
        <f si="8" t="shared"/>
        <v>156951.92206058418</v>
      </c>
      <c r="E9" s="125">
        <f>ToursByTourPurpose!R78</f>
        <v>158007</v>
      </c>
      <c r="F9" s="118">
        <f si="9" t="shared"/>
        <v>1.0025193876830982</v>
      </c>
      <c r="G9" s="240"/>
      <c r="H9" s="133">
        <v>500</v>
      </c>
      <c r="I9" s="129" t="s">
        <v>546</v>
      </c>
      <c r="J9" s="138">
        <f si="4" t="shared"/>
        <v>-1.8946560162599999</v>
      </c>
      <c r="K9" s="135">
        <f si="5" t="shared"/>
        <v>0</v>
      </c>
      <c r="L9" s="192">
        <f si="10" t="shared"/>
        <v>-1.8946560162599999</v>
      </c>
      <c r="M9" s="194">
        <f si="6" t="shared"/>
        <v>-1.8946560162599999</v>
      </c>
      <c r="N9" s="166">
        <f si="11" t="shared"/>
        <v>0</v>
      </c>
      <c r="Q9" s="128" t="s">
        <v>1144</v>
      </c>
      <c r="V9" s="161">
        <f>DayPatternCoefficients!A17</f>
        <v>110</v>
      </c>
      <c r="W9" s="161" t="str">
        <f>DayPatternCoefficients!B17</f>
        <v>W-LOINC</v>
      </c>
      <c r="X9" s="155">
        <f>DayPatternCoefficients!D17</f>
        <v>0</v>
      </c>
      <c r="Y9" s="176">
        <f si="1" t="shared"/>
        <v>0</v>
      </c>
      <c r="Z9" s="247">
        <f si="2" t="shared"/>
        <v>0</v>
      </c>
      <c r="AB9" s="145">
        <v>13</v>
      </c>
      <c r="AC9" s="145" t="s">
        <v>1109</v>
      </c>
      <c r="AD9" s="156">
        <f>WorkbasedSubtourGenerationCoeff!E17</f>
        <v>-2.2431847091349999</v>
      </c>
      <c r="AE9" s="175">
        <f si="0" t="shared"/>
        <v>-2.2431847091349999</v>
      </c>
      <c r="AF9" s="247">
        <f si="3" t="shared"/>
        <v>0</v>
      </c>
      <c r="AI9" s="115">
        <v>7</v>
      </c>
      <c r="AJ9" s="115" t="s">
        <v>1046</v>
      </c>
      <c r="AK9" s="115">
        <v>0.95328729751300001</v>
      </c>
      <c r="AM9" s="115" t="s">
        <v>1065</v>
      </c>
    </row>
    <row r="10" spans="2:39" x14ac:dyDescent="0.25">
      <c r="B10" s="115" t="str">
        <f>Summary!A36</f>
        <v>meal</v>
      </c>
      <c r="C10" s="125">
        <f si="7" t="shared"/>
        <v>91345.23735001625</v>
      </c>
      <c r="D10" s="125">
        <f si="8" t="shared"/>
        <v>90507.264619582478</v>
      </c>
      <c r="E10" s="125">
        <f>ToursByTourPurpose!R79</f>
        <v>91319</v>
      </c>
      <c r="F10" s="118">
        <f si="9" t="shared"/>
        <v>1.0002873153452869</v>
      </c>
      <c r="G10" s="240"/>
      <c r="H10" s="133">
        <v>600</v>
      </c>
      <c r="I10" s="129" t="s">
        <v>605</v>
      </c>
      <c r="J10" s="138">
        <f si="4" t="shared"/>
        <v>-2.06583195268</v>
      </c>
      <c r="K10" s="135">
        <f si="5" t="shared"/>
        <v>0</v>
      </c>
      <c r="L10" s="192">
        <f si="10" t="shared"/>
        <v>-2.06583195268</v>
      </c>
      <c r="M10" s="194">
        <f si="6" t="shared"/>
        <v>-2.06583195268</v>
      </c>
      <c r="N10" s="166">
        <f si="11" t="shared"/>
        <v>0</v>
      </c>
      <c r="P10" s="115">
        <v>1</v>
      </c>
      <c r="Q10" s="65" t="s">
        <v>1216</v>
      </c>
      <c r="V10" s="161">
        <f>DayPatternCoefficients!A18</f>
        <v>111</v>
      </c>
      <c r="W10" s="161" t="str">
        <f>DayPatternCoefficients!B18</f>
        <v>W-HIINC</v>
      </c>
      <c r="X10" s="155">
        <f>DayPatternCoefficients!D18</f>
        <v>8.8907504740000004E-2</v>
      </c>
      <c r="Y10" s="176">
        <f si="1" t="shared"/>
        <v>8.8907504740000004E-2</v>
      </c>
      <c r="Z10" s="247">
        <f si="2" t="shared"/>
        <v>0</v>
      </c>
      <c r="AB10" s="115">
        <v>15</v>
      </c>
      <c r="AC10" s="115" t="s">
        <v>1110</v>
      </c>
      <c r="AD10" s="154">
        <f>WorkbasedSubtourGenerationCoeff!E18</f>
        <v>1.5746620251300001</v>
      </c>
      <c r="AE10" s="175">
        <f>AD10</f>
        <v>1.5746620251300001</v>
      </c>
      <c r="AF10" s="247">
        <f si="3" t="shared"/>
        <v>0</v>
      </c>
      <c r="AI10" s="115">
        <v>8</v>
      </c>
      <c r="AJ10" s="115" t="s">
        <v>1047</v>
      </c>
      <c r="AK10" s="115">
        <v>1.0428398506300001</v>
      </c>
      <c r="AM10" s="115" t="s">
        <v>1065</v>
      </c>
    </row>
    <row ht="15.75" r="11" spans="2:39" thickBot="1" x14ac:dyDescent="0.3">
      <c r="B11" s="115" t="str">
        <f>Summary!A37</f>
        <v>soc/rec</v>
      </c>
      <c r="C11" s="125">
        <f si="7" t="shared"/>
        <v>212242.10894186818</v>
      </c>
      <c r="D11" s="125">
        <f si="8" t="shared"/>
        <v>210295.06600123251</v>
      </c>
      <c r="E11" s="125">
        <f>ToursByTourPurpose!R80</f>
        <v>213202</v>
      </c>
      <c r="F11" s="118">
        <f si="9" t="shared"/>
        <v>0.99549773896055471</v>
      </c>
      <c r="G11" s="240"/>
      <c r="H11" s="134">
        <v>700</v>
      </c>
      <c r="I11" s="132" t="s">
        <v>664</v>
      </c>
      <c r="J11" s="167">
        <f si="4" t="shared"/>
        <v>-1.2801669037600001</v>
      </c>
      <c r="K11" s="136">
        <f si="5" t="shared"/>
        <v>0</v>
      </c>
      <c r="L11" s="193">
        <f si="10" t="shared"/>
        <v>-1.2801669037600001</v>
      </c>
      <c r="M11" s="195">
        <f si="6" t="shared"/>
        <v>-1.2801669037600001</v>
      </c>
      <c r="N11" s="169">
        <f si="11" t="shared"/>
        <v>0</v>
      </c>
      <c r="P11" s="115">
        <v>2</v>
      </c>
      <c r="Q11" s="115" t="s">
        <v>1156</v>
      </c>
      <c r="V11" s="161">
        <f>DayPatternCoefficients!A19</f>
        <v>112</v>
      </c>
      <c r="W11" s="161" t="str">
        <f>DayPatternCoefficients!B19</f>
        <v>W-CARSPD</v>
      </c>
      <c r="X11" s="155">
        <f>DayPatternCoefficients!D19</f>
        <v>0</v>
      </c>
      <c r="Y11" s="176">
        <f si="1" t="shared"/>
        <v>0</v>
      </c>
      <c r="Z11" s="247">
        <f si="2" t="shared"/>
        <v>0</v>
      </c>
      <c r="AB11" s="115">
        <v>16</v>
      </c>
      <c r="AC11" s="115" t="s">
        <v>1111</v>
      </c>
      <c r="AD11" s="154">
        <f>WorkbasedSubtourGenerationCoeff!E19</f>
        <v>0.37706326152399999</v>
      </c>
      <c r="AE11" s="175">
        <f ref="AE11:AE17" si="12" t="shared">AD11</f>
        <v>0.37706326152399999</v>
      </c>
      <c r="AF11" s="247">
        <f si="3" t="shared"/>
        <v>0</v>
      </c>
      <c r="AI11" s="115">
        <v>9</v>
      </c>
      <c r="AJ11" s="115" t="s">
        <v>1048</v>
      </c>
      <c r="AK11" s="115">
        <v>0.32698344901800003</v>
      </c>
      <c r="AM11" s="115" t="s">
        <v>1065</v>
      </c>
    </row>
    <row r="12" spans="2:39" x14ac:dyDescent="0.25">
      <c r="B12" s="121" t="str">
        <f>Summary!A38</f>
        <v>workbased</v>
      </c>
      <c r="C12" s="140">
        <f si="7" t="shared"/>
        <v>95639.592211482843</v>
      </c>
      <c r="D12" s="140">
        <f si="8" t="shared"/>
        <v>94762.224408321577</v>
      </c>
      <c r="E12" s="140">
        <f>ToursByTourPurpose!R81</f>
        <v>96841</v>
      </c>
      <c r="F12" s="122">
        <f si="9" t="shared"/>
        <v>0.98759401711550732</v>
      </c>
      <c r="G12" s="240"/>
      <c r="H12" s="123"/>
      <c r="I12" s="123"/>
      <c r="J12" s="123"/>
      <c r="K12" s="123"/>
      <c r="L12" s="123"/>
      <c r="N12" s="119">
        <f>SUM(N5:N11)</f>
        <v>0</v>
      </c>
      <c r="P12" s="115">
        <v>3</v>
      </c>
      <c r="Q12" s="115" t="s">
        <v>1145</v>
      </c>
      <c r="V12" s="161">
        <f>DayPatternCoefficients!A20</f>
        <v>113</v>
      </c>
      <c r="W12" s="161" t="str">
        <f>DayPatternCoefficients!B20</f>
        <v>W-ONLYAD</v>
      </c>
      <c r="X12" s="155">
        <f>DayPatternCoefficients!D20</f>
        <v>0</v>
      </c>
      <c r="Y12" s="176">
        <f si="1" t="shared"/>
        <v>0</v>
      </c>
      <c r="Z12" s="247">
        <f si="2" t="shared"/>
        <v>0</v>
      </c>
      <c r="AB12" s="115">
        <v>18</v>
      </c>
      <c r="AC12" s="115" t="s">
        <v>1112</v>
      </c>
      <c r="AD12" s="154">
        <f>WorkbasedSubtourGenerationCoeff!E20</f>
        <v>0.735525734682</v>
      </c>
      <c r="AE12" s="175">
        <f si="12" t="shared"/>
        <v>0.735525734682</v>
      </c>
      <c r="AF12" s="247">
        <f si="3" t="shared"/>
        <v>0</v>
      </c>
      <c r="AI12" s="115">
        <v>10</v>
      </c>
      <c r="AJ12" s="115" t="s">
        <v>1049</v>
      </c>
      <c r="AK12" s="117">
        <v>-4.97436549984E-2</v>
      </c>
      <c r="AM12" s="115" t="s">
        <v>1065</v>
      </c>
    </row>
    <row ht="15.75" r="13" spans="2:39" thickBot="1" x14ac:dyDescent="0.3">
      <c r="B13" s="124" t="str">
        <f>Summary!A39</f>
        <v>Total</v>
      </c>
      <c r="C13" s="139">
        <f>SUM(C5:C12)</f>
        <v>1828686.8026314769</v>
      </c>
      <c r="D13" s="139">
        <f>SUM(D5:D12)</f>
        <v>1811911</v>
      </c>
      <c r="E13" s="139">
        <f>SUM(E5:E12)</f>
        <v>1811911</v>
      </c>
      <c r="F13" s="245">
        <f si="9" t="shared"/>
        <v>1.0092586239784829</v>
      </c>
      <c r="G13" s="214"/>
      <c r="H13" s="123"/>
      <c r="I13" s="123"/>
      <c r="J13" s="123"/>
      <c r="K13" s="123"/>
      <c r="L13" s="123"/>
      <c r="P13" s="115">
        <v>4</v>
      </c>
      <c r="Q13" s="115" t="s">
        <v>1142</v>
      </c>
      <c r="V13" s="161">
        <f>DayPatternCoefficients!A21</f>
        <v>114</v>
      </c>
      <c r="W13" s="161" t="str">
        <f>DayPatternCoefficients!B21</f>
        <v>W-ONLYWK</v>
      </c>
      <c r="X13" s="155">
        <f>DayPatternCoefficients!D21</f>
        <v>0</v>
      </c>
      <c r="Y13" s="176">
        <f si="1" t="shared"/>
        <v>0</v>
      </c>
      <c r="Z13" s="247">
        <f si="2" t="shared"/>
        <v>0</v>
      </c>
      <c r="AB13" s="115">
        <v>22</v>
      </c>
      <c r="AC13" s="115" t="s">
        <v>1113</v>
      </c>
      <c r="AD13" s="154">
        <f>WorkbasedSubtourGenerationCoeff!E21</f>
        <v>2.8900644071999999E-2</v>
      </c>
      <c r="AE13" s="175">
        <f si="12" t="shared"/>
        <v>2.8900644071999999E-2</v>
      </c>
      <c r="AF13" s="247">
        <f si="3" t="shared"/>
        <v>0</v>
      </c>
      <c r="AI13" s="115">
        <v>11</v>
      </c>
      <c r="AJ13" s="115" t="s">
        <v>1050</v>
      </c>
      <c r="AK13" s="115">
        <v>0.97584168442800001</v>
      </c>
      <c r="AM13" s="115" t="s">
        <v>1065</v>
      </c>
    </row>
    <row r="14" spans="2:39" x14ac:dyDescent="0.25">
      <c r="G14" s="123"/>
      <c r="P14" s="115">
        <v>5</v>
      </c>
      <c r="Q14" s="115" t="s">
        <v>1146</v>
      </c>
      <c r="V14" s="161">
        <f>DayPatternCoefficients!A22</f>
        <v>116</v>
      </c>
      <c r="W14" s="161" t="str">
        <f>DayPatternCoefficients!B22</f>
        <v>W-FEMNOC</v>
      </c>
      <c r="X14" s="155">
        <f>DayPatternCoefficients!D22</f>
        <v>8.3424060300000005E-2</v>
      </c>
      <c r="Y14" s="176">
        <f si="1" t="shared"/>
        <v>8.3424060300000005E-2</v>
      </c>
      <c r="Z14" s="247">
        <f si="2" t="shared"/>
        <v>0</v>
      </c>
      <c r="AB14" s="115">
        <v>23</v>
      </c>
      <c r="AC14" s="115" t="s">
        <v>1114</v>
      </c>
      <c r="AD14" s="154">
        <f>WorkbasedSubtourGenerationCoeff!E22</f>
        <v>2.8305073313000001E-2</v>
      </c>
      <c r="AE14" s="175">
        <f si="12" t="shared"/>
        <v>2.8305073313000001E-2</v>
      </c>
      <c r="AF14" s="247">
        <f si="3" t="shared"/>
        <v>0</v>
      </c>
      <c r="AI14" s="115">
        <v>12</v>
      </c>
      <c r="AJ14" s="115" t="s">
        <v>1051</v>
      </c>
      <c r="AK14" s="115">
        <v>0.17427614586599999</v>
      </c>
      <c r="AM14" s="115" t="s">
        <v>1065</v>
      </c>
    </row>
    <row r="15" spans="2:39" x14ac:dyDescent="0.25">
      <c r="G15" s="123"/>
      <c r="P15" s="115">
        <v>6</v>
      </c>
      <c r="Q15" s="115" t="s">
        <v>1147</v>
      </c>
      <c r="V15" s="161">
        <f>DayPatternCoefficients!A23</f>
        <v>117</v>
      </c>
      <c r="W15" s="161" t="str">
        <f>DayPatternCoefficients!B23</f>
        <v>W-FADCU5</v>
      </c>
      <c r="X15" s="155">
        <f>DayPatternCoefficients!D23</f>
        <v>-0.36733346327999999</v>
      </c>
      <c r="Y15" s="176">
        <f si="1" t="shared"/>
        <v>-0.36733346327999999</v>
      </c>
      <c r="Z15" s="247">
        <f si="2" t="shared"/>
        <v>0</v>
      </c>
      <c r="AB15" s="115">
        <v>32</v>
      </c>
      <c r="AC15" s="115" t="s">
        <v>1115</v>
      </c>
      <c r="AD15" s="154">
        <f>WorkbasedSubtourGenerationCoeff!E23</f>
        <v>-5.5020049286000003E-2</v>
      </c>
      <c r="AE15" s="175">
        <f si="12" t="shared"/>
        <v>-5.5020049286000003E-2</v>
      </c>
      <c r="AF15" s="247">
        <f si="3" t="shared"/>
        <v>0</v>
      </c>
      <c r="AI15" s="115">
        <v>16</v>
      </c>
      <c r="AJ15" s="115" t="s">
        <v>1052</v>
      </c>
      <c r="AK15" s="115">
        <v>0.106206083683</v>
      </c>
      <c r="AM15" s="115" t="s">
        <v>1065</v>
      </c>
    </row>
    <row r="16" spans="2:39" x14ac:dyDescent="0.25">
      <c r="B16" s="128" t="s">
        <v>8705</v>
      </c>
      <c r="G16" s="123"/>
      <c r="H16" s="128" t="s">
        <v>1165</v>
      </c>
      <c r="I16" s="119" t="s">
        <v>1131</v>
      </c>
      <c r="J16" s="162">
        <v>0</v>
      </c>
      <c r="P16" s="115">
        <v>7</v>
      </c>
      <c r="Q16" s="115" t="s">
        <v>1148</v>
      </c>
      <c r="V16" s="161">
        <f>DayPatternCoefficients!A24</f>
        <v>118</v>
      </c>
      <c r="W16" s="161" t="str">
        <f>DayPatternCoefficients!B24</f>
        <v>W-FAD515</v>
      </c>
      <c r="X16" s="155">
        <f>DayPatternCoefficients!D24</f>
        <v>0</v>
      </c>
      <c r="Y16" s="176">
        <f si="1" t="shared"/>
        <v>0</v>
      </c>
      <c r="Z16" s="247">
        <f si="2" t="shared"/>
        <v>0</v>
      </c>
      <c r="AB16" s="115">
        <v>39</v>
      </c>
      <c r="AC16" s="115" t="s">
        <v>1116</v>
      </c>
      <c r="AD16" s="154">
        <f>WorkbasedSubtourGenerationCoeff!E24</f>
        <v>0.11888357382299999</v>
      </c>
      <c r="AE16" s="175">
        <f si="12" t="shared"/>
        <v>0.11888357382299999</v>
      </c>
      <c r="AF16" s="247">
        <f si="3" t="shared"/>
        <v>0</v>
      </c>
      <c r="AI16" s="115">
        <v>17</v>
      </c>
      <c r="AJ16" s="115" t="s">
        <v>1053</v>
      </c>
      <c r="AK16" s="115">
        <v>-0.86772791392500004</v>
      </c>
      <c r="AM16" s="115" t="s">
        <v>1065</v>
      </c>
    </row>
    <row ht="15.75" r="17" spans="1:39" thickBot="1" x14ac:dyDescent="0.3">
      <c r="B17" s="124"/>
      <c r="C17" s="124"/>
      <c r="D17" s="124"/>
      <c r="E17" s="124"/>
      <c r="F17" s="124"/>
      <c r="G17" s="123"/>
      <c r="H17" s="142" t="s">
        <v>1034</v>
      </c>
      <c r="I17" s="124"/>
      <c r="J17" s="124"/>
      <c r="K17" s="124"/>
      <c r="L17" s="124"/>
      <c r="M17" s="124"/>
      <c r="N17" s="124"/>
      <c r="P17" s="115">
        <v>8</v>
      </c>
      <c r="Q17" s="115" t="s">
        <v>1143</v>
      </c>
      <c r="V17" s="161">
        <f>DayPatternCoefficients!A25</f>
        <v>119</v>
      </c>
      <c r="W17" s="161" t="str">
        <f>DayPatternCoefficients!B25</f>
        <v>W-MADCU5</v>
      </c>
      <c r="X17" s="155">
        <f>DayPatternCoefficients!D25</f>
        <v>0</v>
      </c>
      <c r="Y17" s="176">
        <f si="1" t="shared"/>
        <v>0</v>
      </c>
      <c r="Z17" s="247">
        <f si="2" t="shared"/>
        <v>0</v>
      </c>
      <c r="AB17" s="115">
        <v>50</v>
      </c>
      <c r="AC17" s="115" t="s">
        <v>1117</v>
      </c>
      <c r="AD17" s="154">
        <f>WorkbasedSubtourGenerationCoeff!E25</f>
        <v>1.3366248075</v>
      </c>
      <c r="AE17" s="175">
        <f si="12" t="shared"/>
        <v>1.3366248075</v>
      </c>
      <c r="AF17" s="247">
        <f si="3" t="shared"/>
        <v>0</v>
      </c>
      <c r="AI17" s="115">
        <v>33</v>
      </c>
      <c r="AJ17" s="115" t="s">
        <v>1055</v>
      </c>
      <c r="AK17" s="115">
        <v>-3.35946120388</v>
      </c>
      <c r="AM17" s="115" t="s">
        <v>1063</v>
      </c>
    </row>
    <row r="18" spans="1:39" x14ac:dyDescent="0.25">
      <c r="B18" s="120" t="str">
        <f>B4</f>
        <v>Purpose</v>
      </c>
      <c r="C18" s="163" t="str">
        <f ref="C18:F18" si="13" t="shared">C4</f>
        <v>ExpandSurv</v>
      </c>
      <c r="D18" s="163" t="s">
        <v>1211</v>
      </c>
      <c r="E18" s="163" t="s">
        <v>8703</v>
      </c>
      <c r="F18" s="163" t="str">
        <f si="13" t="shared"/>
        <v>Ratio</v>
      </c>
      <c r="G18" s="130"/>
      <c r="H18" s="120" t="s">
        <v>1020</v>
      </c>
      <c r="I18" s="120" t="s">
        <v>316</v>
      </c>
      <c r="J18" s="165" t="s">
        <v>1027</v>
      </c>
      <c r="K18" s="120" t="s">
        <v>1028</v>
      </c>
      <c r="L18" s="177" t="s">
        <v>1029</v>
      </c>
      <c r="M18" s="170" t="s">
        <v>1136</v>
      </c>
      <c r="N18" s="170" t="s">
        <v>1135</v>
      </c>
      <c r="V18" s="161">
        <f>DayPatternCoefficients!A26</f>
        <v>120</v>
      </c>
      <c r="W18" s="161" t="str">
        <f>DayPatternCoefficients!B26</f>
        <v>W-MAD515</v>
      </c>
      <c r="X18" s="155">
        <f>DayPatternCoefficients!D26</f>
        <v>0</v>
      </c>
      <c r="Y18" s="176">
        <f si="1" t="shared"/>
        <v>0</v>
      </c>
      <c r="Z18" s="247">
        <f si="2" t="shared"/>
        <v>0</v>
      </c>
      <c r="AI18" s="115">
        <v>34</v>
      </c>
      <c r="AJ18" s="115" t="s">
        <v>1055</v>
      </c>
      <c r="AK18" s="115">
        <v>-0.91027883769600004</v>
      </c>
      <c r="AM18" s="115" t="s">
        <v>1064</v>
      </c>
    </row>
    <row r="19" spans="1:39" x14ac:dyDescent="0.25">
      <c r="A19" s="115">
        <v>1</v>
      </c>
      <c r="B19" s="115" t="str">
        <f>B5</f>
        <v>work</v>
      </c>
      <c r="C19" s="125">
        <f>StopsByStopPurpose!K5</f>
        <v>126601.93023811579</v>
      </c>
      <c r="D19" s="125">
        <f>C19*E$27/C$27</f>
        <v>119207.58909177198</v>
      </c>
      <c r="E19" s="125">
        <f>StopsByStopPurpose!W5</f>
        <v>121193</v>
      </c>
      <c r="F19" s="118">
        <f>D19/E19</f>
        <v>0.98361777571123732</v>
      </c>
      <c r="G19" s="118"/>
      <c r="H19" s="133">
        <v>101</v>
      </c>
      <c r="I19" s="129" t="s">
        <v>323</v>
      </c>
      <c r="J19" s="138">
        <f ref="J19:J25" si="14" t="shared">VLOOKUP(H19,$V$3:$X$352,3,FALSE)</f>
        <v>3.6928987586500002</v>
      </c>
      <c r="K19" s="135">
        <f ref="K19:K25" si="15" t="shared">$J$16*LN(F19)</f>
        <v>0</v>
      </c>
      <c r="L19" s="192">
        <f>J19+K19</f>
        <v>3.6928987586500002</v>
      </c>
      <c r="M19" s="194">
        <f ref="M19:M25" si="16" t="shared">VLOOKUP(H19,$V$3:$Y$352,4,FALSE)</f>
        <v>3.6928987586500002</v>
      </c>
      <c r="N19" s="166">
        <f ref="N19:N25" si="17" t="shared">IF(L19=M19,0,1)</f>
        <v>0</v>
      </c>
      <c r="P19" s="128" t="s">
        <v>1214</v>
      </c>
      <c r="V19" s="161">
        <f>DayPatternCoefficients!A27</f>
        <v>121</v>
      </c>
      <c r="W19" s="161" t="str">
        <f>DayPatternCoefficients!B27</f>
        <v>W-AG1825</v>
      </c>
      <c r="X19" s="155">
        <f>DayPatternCoefficients!D27</f>
        <v>0</v>
      </c>
      <c r="Y19" s="176">
        <f si="1" t="shared"/>
        <v>0</v>
      </c>
      <c r="Z19" s="247">
        <f si="2" t="shared"/>
        <v>0</v>
      </c>
      <c r="AI19" s="115">
        <v>35</v>
      </c>
      <c r="AJ19" s="115" t="s">
        <v>1055</v>
      </c>
      <c r="AK19" s="115">
        <v>-1.36681198819</v>
      </c>
      <c r="AM19" s="115" t="s">
        <v>1069</v>
      </c>
    </row>
    <row r="20" spans="1:39" x14ac:dyDescent="0.25">
      <c r="A20" s="115">
        <v>2</v>
      </c>
      <c r="B20" s="115" t="str">
        <f ref="B20:B27" si="18" t="shared">B6</f>
        <v>school</v>
      </c>
      <c r="C20" s="125">
        <f>StopsByStopPurpose!K6</f>
        <v>16318.205892643691</v>
      </c>
      <c r="D20" s="125">
        <f ref="D20:D25" si="19" t="shared">C20*E$27/C$27</f>
        <v>15365.121045994509</v>
      </c>
      <c r="E20" s="125">
        <f>StopsByStopPurpose!W6</f>
        <v>14014</v>
      </c>
      <c r="F20" s="118">
        <f ref="F20:F25" si="20" t="shared">D20/E20</f>
        <v>1.0964122339085562</v>
      </c>
      <c r="G20" s="118"/>
      <c r="H20" s="133">
        <v>201</v>
      </c>
      <c r="I20" s="129" t="s">
        <v>374</v>
      </c>
      <c r="J20" s="138">
        <f si="14" t="shared"/>
        <v>0.39716470355</v>
      </c>
      <c r="K20" s="135">
        <f si="15" t="shared"/>
        <v>0</v>
      </c>
      <c r="L20" s="192">
        <f ref="L20:L25" si="21" t="shared">J20+K20</f>
        <v>0.39716470355</v>
      </c>
      <c r="M20" s="194">
        <f si="16" t="shared"/>
        <v>0.39716470355</v>
      </c>
      <c r="N20" s="166">
        <f si="17" t="shared"/>
        <v>0</v>
      </c>
      <c r="P20" s="115">
        <v>1</v>
      </c>
      <c r="Q20" s="115" t="s">
        <v>1130</v>
      </c>
      <c r="V20" s="161">
        <f>DayPatternCoefficients!A28</f>
        <v>122</v>
      </c>
      <c r="W20" s="161" t="str">
        <f>DayPatternCoefficients!B28</f>
        <v>W-AG2635</v>
      </c>
      <c r="X20" s="155">
        <f>DayPatternCoefficients!D28</f>
        <v>0</v>
      </c>
      <c r="Y20" s="176">
        <f si="1" t="shared"/>
        <v>0</v>
      </c>
      <c r="Z20" s="247">
        <f si="2" t="shared"/>
        <v>0</v>
      </c>
      <c r="AI20" s="115">
        <v>36</v>
      </c>
      <c r="AJ20" s="115" t="s">
        <v>1055</v>
      </c>
      <c r="AK20" s="115">
        <v>-0.91192691386699998</v>
      </c>
      <c r="AM20" s="115" t="s">
        <v>1077</v>
      </c>
    </row>
    <row r="21" spans="1:39" x14ac:dyDescent="0.25">
      <c r="A21" s="115">
        <v>3</v>
      </c>
      <c r="B21" s="115" t="str">
        <f si="18" t="shared"/>
        <v>escort</v>
      </c>
      <c r="C21" s="125">
        <f>StopsByStopPurpose!K7</f>
        <v>214327.23725219909</v>
      </c>
      <c r="D21" s="125">
        <f si="19" t="shared"/>
        <v>201809.19186209026</v>
      </c>
      <c r="E21" s="125">
        <f>StopsByStopPurpose!W7</f>
        <v>204997</v>
      </c>
      <c r="F21" s="118">
        <f si="20" t="shared"/>
        <v>0.98444948883198413</v>
      </c>
      <c r="G21" s="118"/>
      <c r="H21" s="133">
        <v>301</v>
      </c>
      <c r="I21" s="129" t="s">
        <v>430</v>
      </c>
      <c r="J21" s="138">
        <f si="14" t="shared"/>
        <v>-0.40483252988000001</v>
      </c>
      <c r="K21" s="135">
        <f si="15" t="shared"/>
        <v>0</v>
      </c>
      <c r="L21" s="192">
        <f si="21" t="shared"/>
        <v>-0.40483252988000001</v>
      </c>
      <c r="M21" s="194">
        <f si="16" t="shared"/>
        <v>-0.40483252988000001</v>
      </c>
      <c r="N21" s="166">
        <f si="17" t="shared"/>
        <v>0</v>
      </c>
      <c r="P21" s="115">
        <v>2</v>
      </c>
      <c r="Q21" s="115" t="s">
        <v>1155</v>
      </c>
      <c r="V21" s="161">
        <f>DayPatternCoefficients!A29</f>
        <v>123</v>
      </c>
      <c r="W21" s="161" t="str">
        <f>DayPatternCoefficients!B29</f>
        <v>W-AG5165</v>
      </c>
      <c r="X21" s="155">
        <f>DayPatternCoefficients!D29</f>
        <v>0</v>
      </c>
      <c r="Y21" s="176">
        <f si="1" t="shared"/>
        <v>0</v>
      </c>
      <c r="Z21" s="247">
        <f si="2" t="shared"/>
        <v>0</v>
      </c>
      <c r="AI21" s="115">
        <v>37</v>
      </c>
      <c r="AJ21" s="115" t="s">
        <v>1055</v>
      </c>
      <c r="AK21" s="115">
        <v>-0.51005943175099999</v>
      </c>
      <c r="AM21" s="115" t="s">
        <v>1086</v>
      </c>
    </row>
    <row r="22" spans="1:39" x14ac:dyDescent="0.25">
      <c r="A22" s="115">
        <v>4</v>
      </c>
      <c r="B22" s="115" t="str">
        <f si="18" t="shared"/>
        <v>pers.bus</v>
      </c>
      <c r="C22" s="125">
        <f>StopsByStopPurpose!K8</f>
        <v>406504.69664523099</v>
      </c>
      <c r="D22" s="125">
        <f si="19" t="shared"/>
        <v>382762.29083094053</v>
      </c>
      <c r="E22" s="125">
        <f>StopsByStopPurpose!W8</f>
        <v>404580</v>
      </c>
      <c r="F22" s="118">
        <f si="20" t="shared"/>
        <v>0.94607318906258475</v>
      </c>
      <c r="G22" s="118"/>
      <c r="H22" s="133">
        <v>401</v>
      </c>
      <c r="I22" s="129" t="s">
        <v>489</v>
      </c>
      <c r="J22" s="138">
        <f si="14" t="shared"/>
        <v>3.31854492639</v>
      </c>
      <c r="K22" s="135">
        <f si="15" t="shared"/>
        <v>0</v>
      </c>
      <c r="L22" s="192">
        <f si="21" t="shared"/>
        <v>3.31854492639</v>
      </c>
      <c r="M22" s="194">
        <f si="16" t="shared"/>
        <v>3.31854492639</v>
      </c>
      <c r="N22" s="166">
        <f si="17" t="shared"/>
        <v>0</v>
      </c>
      <c r="P22" s="115">
        <v>3</v>
      </c>
      <c r="Q22" s="115" t="s">
        <v>1215</v>
      </c>
      <c r="V22" s="161">
        <f>DayPatternCoefficients!A30</f>
        <v>124</v>
      </c>
      <c r="W22" s="161" t="str">
        <f>DayPatternCoefficients!B30</f>
        <v>W-WAHOME</v>
      </c>
      <c r="X22" s="155">
        <f>DayPatternCoefficients!D30</f>
        <v>-2.1672870261199999</v>
      </c>
      <c r="Y22" s="176">
        <f si="1" t="shared"/>
        <v>-2.1672870261199999</v>
      </c>
      <c r="Z22" s="247">
        <f si="2" t="shared"/>
        <v>0</v>
      </c>
      <c r="AI22" s="115">
        <v>38</v>
      </c>
      <c r="AJ22" s="115" t="s">
        <v>1090</v>
      </c>
      <c r="AK22" s="115">
        <v>-2.0855290326799998</v>
      </c>
      <c r="AM22" s="115" t="s">
        <v>1091</v>
      </c>
    </row>
    <row r="23" spans="1:39" x14ac:dyDescent="0.25">
      <c r="A23" s="115">
        <v>5</v>
      </c>
      <c r="B23" s="115" t="str">
        <f si="18" t="shared"/>
        <v>shop</v>
      </c>
      <c r="C23" s="125">
        <f>StopsByStopPurpose!K9</f>
        <v>286231.45940423885</v>
      </c>
      <c r="D23" s="125">
        <f si="19" t="shared"/>
        <v>269513.75965297874</v>
      </c>
      <c r="E23" s="125">
        <f>StopsByStopPurpose!W9</f>
        <v>262538</v>
      </c>
      <c r="F23" s="118">
        <f si="20" t="shared"/>
        <v>1.0265704760948082</v>
      </c>
      <c r="G23" s="118"/>
      <c r="H23" s="133">
        <v>501</v>
      </c>
      <c r="I23" s="129" t="s">
        <v>548</v>
      </c>
      <c r="J23" s="138">
        <f si="14" t="shared"/>
        <v>2.2010931360999999</v>
      </c>
      <c r="K23" s="135">
        <f si="15" t="shared"/>
        <v>0</v>
      </c>
      <c r="L23" s="192">
        <f si="21" t="shared"/>
        <v>2.2010931360999999</v>
      </c>
      <c r="M23" s="194">
        <f si="16" t="shared"/>
        <v>2.2010931360999999</v>
      </c>
      <c r="N23" s="166">
        <f si="17" t="shared"/>
        <v>0</v>
      </c>
      <c r="P23" s="115">
        <v>4</v>
      </c>
      <c r="Q23" s="115" t="s">
        <v>1157</v>
      </c>
      <c r="V23" s="161">
        <f>DayPatternCoefficients!A31</f>
        <v>125</v>
      </c>
      <c r="W23" s="161" t="str">
        <f>DayPatternCoefficients!B31</f>
        <v>W-MIXDEN</v>
      </c>
      <c r="X23" s="155">
        <f>DayPatternCoefficients!D31</f>
        <v>0</v>
      </c>
      <c r="Y23" s="176">
        <f si="1" t="shared"/>
        <v>0</v>
      </c>
      <c r="Z23" s="247">
        <f si="2" t="shared"/>
        <v>0</v>
      </c>
      <c r="AI23" s="115">
        <v>39</v>
      </c>
      <c r="AJ23" s="115" t="s">
        <v>1098</v>
      </c>
      <c r="AK23" s="115">
        <v>-0.96265564624099997</v>
      </c>
      <c r="AM23" s="115" t="s">
        <v>1099</v>
      </c>
    </row>
    <row r="24" spans="1:39" x14ac:dyDescent="0.25">
      <c r="A24" s="115">
        <v>6</v>
      </c>
      <c r="B24" s="115" t="str">
        <f si="18" t="shared"/>
        <v>meal</v>
      </c>
      <c r="C24" s="125">
        <f>StopsByStopPurpose!K10</f>
        <v>155118.83943899235</v>
      </c>
      <c r="D24" s="125">
        <f si="19" t="shared"/>
        <v>146058.93320470719</v>
      </c>
      <c r="E24" s="125">
        <f>StopsByStopPurpose!W10</f>
        <v>130137</v>
      </c>
      <c r="F24" s="118">
        <f si="20" t="shared"/>
        <v>1.1223474738522266</v>
      </c>
      <c r="G24" s="118"/>
      <c r="H24" s="133">
        <v>601</v>
      </c>
      <c r="I24" s="129" t="s">
        <v>607</v>
      </c>
      <c r="J24" s="138">
        <f si="14" t="shared"/>
        <v>1.6525579475700001</v>
      </c>
      <c r="K24" s="135">
        <f si="15" t="shared"/>
        <v>0</v>
      </c>
      <c r="L24" s="192">
        <f si="21" t="shared"/>
        <v>1.6525579475700001</v>
      </c>
      <c r="M24" s="194">
        <f si="16" t="shared"/>
        <v>1.6525579475700001</v>
      </c>
      <c r="N24" s="166">
        <f si="17" t="shared"/>
        <v>0</v>
      </c>
      <c r="P24" s="115">
        <v>5</v>
      </c>
      <c r="Q24" s="115" t="s">
        <v>1158</v>
      </c>
      <c r="V24" s="161">
        <f>DayPatternCoefficients!A32</f>
        <v>126</v>
      </c>
      <c r="W24" s="161" t="str">
        <f>DayPatternCoefficients!B32</f>
        <v>W-INTDEN</v>
      </c>
      <c r="X24" s="155">
        <f>DayPatternCoefficients!D32</f>
        <v>0</v>
      </c>
      <c r="Y24" s="176">
        <f si="1" t="shared"/>
        <v>0</v>
      </c>
      <c r="Z24" s="247">
        <f si="2" t="shared"/>
        <v>0</v>
      </c>
      <c r="AI24" s="115">
        <v>40</v>
      </c>
      <c r="AJ24" s="115" t="s">
        <v>1054</v>
      </c>
      <c r="AK24" s="115">
        <v>0.14939280807899999</v>
      </c>
      <c r="AM24" s="115" t="s">
        <v>1065</v>
      </c>
    </row>
    <row ht="15.75" r="25" spans="1:39" thickBot="1" x14ac:dyDescent="0.3">
      <c r="A25" s="115">
        <v>7</v>
      </c>
      <c r="B25" s="115" t="str">
        <f si="18" t="shared"/>
        <v>soc/rec</v>
      </c>
      <c r="C25" s="125">
        <f>StopsByStopPurpose!K11</f>
        <v>151235.19130940284</v>
      </c>
      <c r="D25" s="125">
        <f si="19" t="shared"/>
        <v>142402.11431151666</v>
      </c>
      <c r="E25" s="125">
        <f>StopsByStopPurpose!W11</f>
        <v>139660</v>
      </c>
      <c r="F25" s="118">
        <f si="20" t="shared"/>
        <v>1.019634213887417</v>
      </c>
      <c r="G25" s="118"/>
      <c r="H25" s="134">
        <v>701</v>
      </c>
      <c r="I25" s="132" t="s">
        <v>666</v>
      </c>
      <c r="J25" s="167">
        <f si="14" t="shared"/>
        <v>2.0647581169100002</v>
      </c>
      <c r="K25" s="136">
        <f si="15" t="shared"/>
        <v>0</v>
      </c>
      <c r="L25" s="193">
        <f si="21" t="shared"/>
        <v>2.0647581169100002</v>
      </c>
      <c r="M25" s="195">
        <f si="16" t="shared"/>
        <v>2.0647581169100002</v>
      </c>
      <c r="N25" s="169">
        <f si="17" t="shared"/>
        <v>0</v>
      </c>
      <c r="V25" s="161">
        <f>DayPatternCoefficients!A33</f>
        <v>127</v>
      </c>
      <c r="W25" s="161" t="str">
        <f>DayPatternCoefficients!B33</f>
        <v>W-ACCLOG</v>
      </c>
      <c r="X25" s="155">
        <f>DayPatternCoefficients!D33</f>
        <v>0.38761782790999999</v>
      </c>
      <c r="Y25" s="176">
        <f si="1" t="shared"/>
        <v>0.38761782790999999</v>
      </c>
      <c r="Z25" s="247">
        <f si="2" t="shared"/>
        <v>0</v>
      </c>
      <c r="AI25" s="115">
        <v>46</v>
      </c>
      <c r="AJ25" s="115" t="s">
        <v>1054</v>
      </c>
      <c r="AK25" s="115">
        <v>-1.67372492356</v>
      </c>
      <c r="AM25" s="115" t="s">
        <v>1091</v>
      </c>
    </row>
    <row r="26" spans="1:39" x14ac:dyDescent="0.25">
      <c r="A26" s="115">
        <v>10</v>
      </c>
      <c r="B26" s="121" t="s">
        <v>1174</v>
      </c>
      <c r="C26" s="140"/>
      <c r="D26" s="140"/>
      <c r="E26" s="140"/>
      <c r="F26" s="122"/>
      <c r="G26" s="118"/>
      <c r="H26" s="131"/>
      <c r="I26" s="131"/>
      <c r="N26" s="119">
        <f>SUM(N19:N25)</f>
        <v>0</v>
      </c>
      <c r="V26" s="161">
        <f>DayPatternCoefficients!A34</f>
        <v>128</v>
      </c>
      <c r="W26" s="161" t="str">
        <f>DayPatternCoefficients!B34</f>
        <v>W-TPASS</v>
      </c>
      <c r="X26" s="155">
        <f>DayPatternCoefficients!D34</f>
        <v>0</v>
      </c>
      <c r="Y26" s="176">
        <f si="1" t="shared"/>
        <v>0</v>
      </c>
      <c r="Z26" s="247">
        <f si="2" t="shared"/>
        <v>0</v>
      </c>
      <c r="AI26" s="115">
        <v>49</v>
      </c>
      <c r="AJ26" s="115" t="s">
        <v>1078</v>
      </c>
      <c r="AK26" s="115">
        <v>-1.8826581679000001</v>
      </c>
      <c r="AM26" s="115" t="s">
        <v>1069</v>
      </c>
    </row>
    <row ht="15.75" r="27" spans="1:39" thickBot="1" x14ac:dyDescent="0.3">
      <c r="B27" s="124" t="str">
        <f si="18" t="shared"/>
        <v>Total</v>
      </c>
      <c r="C27" s="139">
        <f>SUM(C19:C25)</f>
        <v>1356337.5601808238</v>
      </c>
      <c r="D27" s="139">
        <f>SUM(D19:D25)</f>
        <v>1277119</v>
      </c>
      <c r="E27" s="139">
        <f>SUM(E19:E25)</f>
        <v>1277119</v>
      </c>
      <c r="F27" s="224">
        <f ref="F27" si="22" t="shared">(C27/$C$27)/(E27/$E$27)</f>
        <v>1</v>
      </c>
      <c r="G27" s="118"/>
      <c r="H27" s="123"/>
      <c r="I27" s="123"/>
      <c r="Q27" s="128" t="s">
        <v>1137</v>
      </c>
      <c r="V27" s="161">
        <f>DayPatternCoefficients!A35</f>
        <v>129</v>
      </c>
      <c r="W27" s="161" t="str">
        <f>DayPatternCoefficients!B35</f>
        <v>W-T-LOGS</v>
      </c>
      <c r="X27" s="155">
        <f>DayPatternCoefficients!D35</f>
        <v>-0.23310400815000001</v>
      </c>
      <c r="Y27" s="176">
        <f si="1" t="shared"/>
        <v>-0.23310400815000001</v>
      </c>
      <c r="Z27" s="247">
        <f si="2" t="shared"/>
        <v>0</v>
      </c>
      <c r="AI27" s="115">
        <v>50</v>
      </c>
      <c r="AJ27" s="115" t="s">
        <v>1078</v>
      </c>
      <c r="AK27" s="115">
        <v>-1.1201828115200001</v>
      </c>
      <c r="AM27" s="115" t="s">
        <v>1077</v>
      </c>
    </row>
    <row r="28" spans="1:39" x14ac:dyDescent="0.25">
      <c r="B28" s="115" t="s">
        <v>1175</v>
      </c>
      <c r="C28" s="219">
        <f>Summary!B39*2+C27</f>
        <v>4675370.993616824</v>
      </c>
      <c r="D28" s="219">
        <f>D13*2+D27</f>
        <v>4900941</v>
      </c>
      <c r="E28" s="219">
        <f>E13*2+E27</f>
        <v>4900941</v>
      </c>
      <c r="Q28" s="115" t="s">
        <v>1138</v>
      </c>
      <c r="V28" s="137">
        <f>DayPatternCoefficients!A36</f>
        <v>130</v>
      </c>
      <c r="W28" s="137" t="str">
        <f>DayPatternCoefficients!B36</f>
        <v>W-T-PPRK</v>
      </c>
      <c r="X28" s="138">
        <f>DayPatternCoefficients!D36</f>
        <v>0</v>
      </c>
      <c r="Y28" s="176">
        <f si="1" t="shared"/>
        <v>0</v>
      </c>
      <c r="Z28" s="247">
        <f si="2" t="shared"/>
        <v>0</v>
      </c>
      <c r="AI28" s="115">
        <v>51</v>
      </c>
      <c r="AJ28" s="115" t="s">
        <v>1078</v>
      </c>
      <c r="AK28" s="115">
        <v>-0.64615152716199997</v>
      </c>
      <c r="AM28" s="115" t="s">
        <v>1086</v>
      </c>
    </row>
    <row r="29" spans="1:39" x14ac:dyDescent="0.25">
      <c r="Q29" s="115" t="s">
        <v>1139</v>
      </c>
      <c r="V29" s="137">
        <f>DayPatternCoefficients!A37</f>
        <v>131</v>
      </c>
      <c r="W29" s="137" t="str">
        <f>DayPatternCoefficients!B37</f>
        <v>W-S-LOGS</v>
      </c>
      <c r="X29" s="138">
        <f>DayPatternCoefficients!D37</f>
        <v>-0.32003778984999998</v>
      </c>
      <c r="Y29" s="176">
        <f si="1" t="shared"/>
        <v>-0.32003778984999998</v>
      </c>
      <c r="Z29" s="247">
        <f si="2" t="shared"/>
        <v>0</v>
      </c>
      <c r="AI29" s="115">
        <v>52</v>
      </c>
      <c r="AJ29" s="115" t="s">
        <v>1078</v>
      </c>
      <c r="AK29" s="115">
        <v>-2.0029030718700001</v>
      </c>
      <c r="AM29" s="115" t="s">
        <v>1091</v>
      </c>
    </row>
    <row r="30" spans="1:39" x14ac:dyDescent="0.25">
      <c r="B30" s="128" t="s">
        <v>13591</v>
      </c>
      <c r="G30" s="123"/>
      <c r="J30" s="128" t="s">
        <v>1165</v>
      </c>
      <c r="K30" s="119" t="s">
        <v>1131</v>
      </c>
      <c r="L30" s="162">
        <v>0</v>
      </c>
      <c r="V30" s="137">
        <f>DayPatternCoefficients!A38</f>
        <v>132</v>
      </c>
      <c r="W30" s="137" t="str">
        <f>DayPatternCoefficients!B38</f>
        <v>W-NODIAR</v>
      </c>
      <c r="X30" s="138">
        <f>DayPatternCoefficients!D38</f>
        <v>-0.91278430805999999</v>
      </c>
      <c r="Y30" s="176">
        <f si="1" t="shared"/>
        <v>-0.91278430805999999</v>
      </c>
      <c r="Z30" s="247">
        <f si="2" t="shared"/>
        <v>0</v>
      </c>
      <c r="AI30" s="115">
        <v>53</v>
      </c>
      <c r="AJ30" s="115" t="s">
        <v>1078</v>
      </c>
      <c r="AK30" s="115">
        <v>-1.02594557043</v>
      </c>
      <c r="AM30" s="115" t="s">
        <v>1099</v>
      </c>
    </row>
    <row ht="15.75" r="31" spans="1:39" thickBot="1" x14ac:dyDescent="0.3">
      <c r="B31" s="124"/>
      <c r="C31" s="124"/>
      <c r="D31" s="124"/>
      <c r="E31" s="124"/>
      <c r="F31" s="124"/>
      <c r="G31" s="124"/>
      <c r="H31" s="124"/>
      <c r="J31" s="142" t="s">
        <v>1034</v>
      </c>
      <c r="K31" s="124"/>
      <c r="L31" s="124"/>
      <c r="M31" s="124"/>
      <c r="N31" s="124"/>
      <c r="O31" s="124"/>
      <c r="P31" s="124"/>
      <c r="V31" s="137">
        <f>DayPatternCoefficients!A39</f>
        <v>133</v>
      </c>
      <c r="W31" s="137" t="str">
        <f>DayPatternCoefficients!B39</f>
        <v>W-PROXY</v>
      </c>
      <c r="X31" s="138">
        <f>DayPatternCoefficients!D39</f>
        <v>-9.7755538330000002E-2</v>
      </c>
      <c r="Y31" s="176">
        <f si="1" t="shared"/>
        <v>-9.7755538330000002E-2</v>
      </c>
      <c r="Z31" s="247">
        <f si="2" t="shared"/>
        <v>0</v>
      </c>
      <c r="AI31" s="115">
        <v>57</v>
      </c>
      <c r="AJ31" s="115" t="s">
        <v>1079</v>
      </c>
      <c r="AK31" s="115">
        <v>-1.15631148732</v>
      </c>
      <c r="AM31" s="115" t="s">
        <v>1077</v>
      </c>
    </row>
    <row r="32" spans="1:39" x14ac:dyDescent="0.25">
      <c r="B32" s="120" t="str">
        <f>B18</f>
        <v>Purpose</v>
      </c>
      <c r="C32" s="163" t="str">
        <f ref="C32" si="23" t="shared">C18</f>
        <v>ExpandSurv</v>
      </c>
      <c r="D32" s="163" t="s">
        <v>13593</v>
      </c>
      <c r="E32" s="163" t="s">
        <v>8703</v>
      </c>
      <c r="F32" s="163" t="s">
        <v>13593</v>
      </c>
      <c r="G32" s="163" t="s">
        <v>13594</v>
      </c>
      <c r="H32" s="163" t="str">
        <f>F18</f>
        <v>Ratio</v>
      </c>
      <c r="J32" s="120" t="s">
        <v>1020</v>
      </c>
      <c r="K32" s="120" t="s">
        <v>316</v>
      </c>
      <c r="L32" s="165" t="s">
        <v>1027</v>
      </c>
      <c r="M32" s="120" t="s">
        <v>1028</v>
      </c>
      <c r="N32" s="177" t="s">
        <v>1029</v>
      </c>
      <c r="O32" s="170" t="s">
        <v>1136</v>
      </c>
      <c r="P32" s="170" t="s">
        <v>1135</v>
      </c>
      <c r="V32" s="137">
        <f>DayPatternCoefficients!A40</f>
        <v>151</v>
      </c>
      <c r="W32" s="137" t="str">
        <f>DayPatternCoefficients!B40</f>
        <v>W-FTW</v>
      </c>
      <c r="X32" s="138">
        <f>DayPatternCoefficients!D40</f>
        <v>-0.47911897977000001</v>
      </c>
      <c r="Y32" s="176">
        <f si="1" t="shared"/>
        <v>-0.47911897977000001</v>
      </c>
      <c r="Z32" s="247">
        <f si="2" t="shared"/>
        <v>0</v>
      </c>
      <c r="AI32" s="115">
        <v>58</v>
      </c>
      <c r="AJ32" s="115" t="s">
        <v>1079</v>
      </c>
      <c r="AK32" s="115">
        <v>-0.64916308040199999</v>
      </c>
      <c r="AM32" s="115" t="s">
        <v>1086</v>
      </c>
    </row>
    <row r="33" spans="1:39" x14ac:dyDescent="0.25">
      <c r="A33" t="s">
        <v>1166</v>
      </c>
      <c r="B33" s="115" t="str">
        <f>B19</f>
        <v>work</v>
      </c>
      <c r="C33" s="125">
        <f>output_NHTS!B344</f>
        <v>67857.632183838985</v>
      </c>
      <c r="D33" s="251">
        <f>C33/C$41</f>
        <v>4.9559877581398681E-2</v>
      </c>
      <c r="E33" s="125">
        <f>output!B344</f>
        <v>81918</v>
      </c>
      <c r="F33" s="251">
        <f>E33/E$41</f>
        <v>5.4530930683051197E-2</v>
      </c>
      <c r="G33" s="251">
        <f>F33-D33</f>
        <v>4.9710531016525158E-3</v>
      </c>
      <c r="H33" s="118">
        <f>IF(F33&gt;0,D33/F33,)</f>
        <v>0.90883975315687082</v>
      </c>
      <c r="J33" s="133">
        <v>101</v>
      </c>
      <c r="K33" s="129" t="s">
        <v>323</v>
      </c>
      <c r="L33" s="138">
        <f ref="L33:L39" si="24" t="shared">VLOOKUP(J33,$V$3:$X$352,3,FALSE)</f>
        <v>3.6928987586500002</v>
      </c>
      <c r="M33" s="135">
        <f>$L$30*LN(H33)</f>
        <v>0</v>
      </c>
      <c r="N33" s="192">
        <f>L33+M33</f>
        <v>3.6928987586500002</v>
      </c>
      <c r="O33" s="194">
        <f ref="O33:O39" si="25" t="shared">VLOOKUP(J33,$V$3:$Y$352,4,FALSE)</f>
        <v>3.6928987586500002</v>
      </c>
      <c r="P33" s="166">
        <f ref="P33:P39" si="26" t="shared">IF(N33=O33,0,1)</f>
        <v>0</v>
      </c>
      <c r="V33" s="137">
        <f>DayPatternCoefficients!A41</f>
        <v>200</v>
      </c>
      <c r="W33" s="137" t="str">
        <f>DayPatternCoefficients!B41</f>
        <v>S-TASC</v>
      </c>
      <c r="X33" s="138">
        <f>DayPatternCoefficients!D41</f>
        <v>-1.1650098583199999</v>
      </c>
      <c r="Y33" s="176">
        <f si="1" t="shared"/>
        <v>-1.1650098583199999</v>
      </c>
      <c r="Z33" s="247">
        <f si="2" t="shared"/>
        <v>0</v>
      </c>
      <c r="AI33" s="115">
        <v>59</v>
      </c>
      <c r="AJ33" s="115" t="s">
        <v>1079</v>
      </c>
      <c r="AK33" s="115">
        <v>-2.1812774888600002</v>
      </c>
      <c r="AM33" s="115" t="s">
        <v>1091</v>
      </c>
    </row>
    <row r="34" spans="1:39" x14ac:dyDescent="0.25">
      <c r="A34" t="s">
        <v>1167</v>
      </c>
      <c r="B34" s="115" t="str">
        <f ref="B34:B41" si="27" t="shared">B20</f>
        <v>school</v>
      </c>
      <c r="C34" s="125">
        <f>output_NHTS!B345</f>
        <v>13854.260302550525</v>
      </c>
      <c r="D34" s="251">
        <f ref="D34:D39" si="28" t="shared">C34/C$41</f>
        <v>1.0118470428132036E-2</v>
      </c>
      <c r="E34" s="125">
        <f>output!B345</f>
        <v>14264</v>
      </c>
      <c r="F34" s="251">
        <f ref="F34:F39" si="29" t="shared">E34/E$41</f>
        <v>9.4952171105622974E-3</v>
      </c>
      <c r="G34" s="251">
        <f ref="G34:G39" si="30" t="shared">F34-D34</f>
        <v>-6.2325331756973856E-4</v>
      </c>
      <c r="H34" s="118">
        <f ref="H34:H39" si="31" t="shared">IF(F34&gt;0,D34/F34,)</f>
        <v>1.0656386589492981</v>
      </c>
      <c r="J34" s="133">
        <v>201</v>
      </c>
      <c r="K34" s="129" t="s">
        <v>374</v>
      </c>
      <c r="L34" s="138">
        <f si="24" t="shared"/>
        <v>0.39716470355</v>
      </c>
      <c r="M34" s="135">
        <f ref="M34:M39" si="32" t="shared">$L$30*LN(H34)</f>
        <v>0</v>
      </c>
      <c r="N34" s="192">
        <f ref="N34:N39" si="33" t="shared">L34+M34</f>
        <v>0.39716470355</v>
      </c>
      <c r="O34" s="194">
        <f si="25" t="shared"/>
        <v>0.39716470355</v>
      </c>
      <c r="P34" s="166">
        <f si="26" t="shared"/>
        <v>0</v>
      </c>
      <c r="V34" s="161">
        <f>DayPatternCoefficients!A42</f>
        <v>201</v>
      </c>
      <c r="W34" s="161" t="str">
        <f>DayPatternCoefficients!B42</f>
        <v>S-SASC</v>
      </c>
      <c r="X34" s="155">
        <f>DayPatternCoefficients!D42</f>
        <v>0.39716470355</v>
      </c>
      <c r="Y34" s="176">
        <f si="1" t="shared"/>
        <v>0.39716470355</v>
      </c>
      <c r="Z34" s="247">
        <f si="2" t="shared"/>
        <v>0</v>
      </c>
      <c r="AI34" s="115">
        <v>60</v>
      </c>
      <c r="AJ34" s="115" t="s">
        <v>1079</v>
      </c>
      <c r="AK34" s="115">
        <v>-1.6624340606700001</v>
      </c>
      <c r="AM34" s="115" t="s">
        <v>1099</v>
      </c>
    </row>
    <row r="35" spans="1:39" x14ac:dyDescent="0.25">
      <c r="A35" t="s">
        <v>1168</v>
      </c>
      <c r="B35" s="115" t="str">
        <f si="27" t="shared"/>
        <v>escort</v>
      </c>
      <c r="C35" s="125">
        <f>output_NHTS!B346</f>
        <v>135968.08467440694</v>
      </c>
      <c r="D35" s="251">
        <f si="28" t="shared"/>
        <v>9.9304402682145437E-2</v>
      </c>
      <c r="E35" s="125">
        <f>output!B346</f>
        <v>130322</v>
      </c>
      <c r="F35" s="251">
        <f si="29" t="shared"/>
        <v>8.6752361489252638E-2</v>
      </c>
      <c r="G35" s="251">
        <f si="30" t="shared"/>
        <v>-1.2552041192892799E-2</v>
      </c>
      <c r="H35" s="118">
        <f si="31" t="shared"/>
        <v>1.1446881788278214</v>
      </c>
      <c r="J35" s="133">
        <v>301</v>
      </c>
      <c r="K35" s="129" t="s">
        <v>430</v>
      </c>
      <c r="L35" s="138">
        <f si="24" t="shared"/>
        <v>-0.40483252988000001</v>
      </c>
      <c r="M35" s="135">
        <f si="32" t="shared"/>
        <v>0</v>
      </c>
      <c r="N35" s="192">
        <f si="33" t="shared"/>
        <v>-0.40483252988000001</v>
      </c>
      <c r="O35" s="194">
        <f si="25" t="shared"/>
        <v>-0.40483252988000001</v>
      </c>
      <c r="P35" s="166">
        <f si="26" t="shared"/>
        <v>0</v>
      </c>
      <c r="V35" s="161">
        <f>DayPatternCoefficients!A43</f>
        <v>205</v>
      </c>
      <c r="W35" s="161" t="str">
        <f>DayPatternCoefficients!B43</f>
        <v>S-UNI</v>
      </c>
      <c r="X35" s="155">
        <f>DayPatternCoefficients!D43</f>
        <v>-0.54322823780999996</v>
      </c>
      <c r="Y35" s="176">
        <f si="1" t="shared"/>
        <v>-0.54322823780999996</v>
      </c>
      <c r="Z35" s="247">
        <f si="2" t="shared"/>
        <v>0</v>
      </c>
      <c r="AI35" s="115">
        <v>64</v>
      </c>
      <c r="AJ35" s="115" t="s">
        <v>1080</v>
      </c>
      <c r="AK35" s="115">
        <v>-1.23583911171</v>
      </c>
      <c r="AM35" s="115" t="s">
        <v>1077</v>
      </c>
    </row>
    <row r="36" spans="1:39" x14ac:dyDescent="0.25">
      <c r="A36" t="s">
        <v>1169</v>
      </c>
      <c r="B36" s="115" t="str">
        <f si="27" t="shared"/>
        <v>pers.bus</v>
      </c>
      <c r="C36" s="125">
        <f>output_NHTS!B347</f>
        <v>248262.91810566306</v>
      </c>
      <c r="D36" s="251">
        <f si="28" t="shared"/>
        <v>0.18131902681166301</v>
      </c>
      <c r="E36" s="125">
        <f>output!B347</f>
        <v>302465</v>
      </c>
      <c r="F36" s="251">
        <f si="29" t="shared"/>
        <v>0.20134400191714985</v>
      </c>
      <c r="G36" s="251">
        <f si="30" t="shared"/>
        <v>2.0024975105486842E-2</v>
      </c>
      <c r="H36" s="118">
        <f si="31" t="shared"/>
        <v>0.90054347328545292</v>
      </c>
      <c r="J36" s="133">
        <v>401</v>
      </c>
      <c r="K36" s="129" t="s">
        <v>489</v>
      </c>
      <c r="L36" s="138">
        <f si="24" t="shared"/>
        <v>3.31854492639</v>
      </c>
      <c r="M36" s="135">
        <f si="32" t="shared"/>
        <v>0</v>
      </c>
      <c r="N36" s="192">
        <f si="33" t="shared"/>
        <v>3.31854492639</v>
      </c>
      <c r="O36" s="194">
        <f si="25" t="shared"/>
        <v>3.31854492639</v>
      </c>
      <c r="P36" s="166">
        <f si="26" t="shared"/>
        <v>0</v>
      </c>
      <c r="V36" s="161">
        <f>DayPatternCoefficients!A44</f>
        <v>206</v>
      </c>
      <c r="W36" s="161" t="str">
        <f>DayPatternCoefficients!B44</f>
        <v>S-DAS</v>
      </c>
      <c r="X36" s="155">
        <f>DayPatternCoefficients!D44</f>
        <v>0.32874149364999999</v>
      </c>
      <c r="Y36" s="176">
        <f si="1" t="shared"/>
        <v>0.32874149364999999</v>
      </c>
      <c r="Z36" s="247">
        <f si="2" t="shared"/>
        <v>0</v>
      </c>
      <c r="AI36" s="115">
        <v>65</v>
      </c>
      <c r="AJ36" s="115" t="s">
        <v>1080</v>
      </c>
      <c r="AK36" s="115">
        <v>-0.32342873795299998</v>
      </c>
      <c r="AM36" s="115" t="s">
        <v>1086</v>
      </c>
    </row>
    <row r="37" spans="1:39" x14ac:dyDescent="0.25">
      <c r="A37" t="s">
        <v>1170</v>
      </c>
      <c r="B37" s="115" t="str">
        <f si="27" t="shared"/>
        <v>shop</v>
      </c>
      <c r="C37" s="125">
        <f>output_NHTS!B348</f>
        <v>204285.49512663938</v>
      </c>
      <c r="D37" s="251">
        <f si="28" t="shared"/>
        <v>0.14920007970073099</v>
      </c>
      <c r="E37" s="125">
        <f>output!B348</f>
        <v>228232</v>
      </c>
      <c r="F37" s="251">
        <f si="29" t="shared"/>
        <v>0.15192879918521132</v>
      </c>
      <c r="G37" s="251">
        <f si="30" t="shared"/>
        <v>2.7287194844803353E-3</v>
      </c>
      <c r="H37" s="118">
        <f si="31" t="shared"/>
        <v>0.98203948494877624</v>
      </c>
      <c r="J37" s="133">
        <v>501</v>
      </c>
      <c r="K37" s="129" t="s">
        <v>548</v>
      </c>
      <c r="L37" s="138">
        <f si="24" t="shared"/>
        <v>2.2010931360999999</v>
      </c>
      <c r="M37" s="135">
        <f si="32" t="shared"/>
        <v>0</v>
      </c>
      <c r="N37" s="192">
        <f si="33" t="shared"/>
        <v>2.2010931360999999</v>
      </c>
      <c r="O37" s="194">
        <f si="25" t="shared"/>
        <v>2.2010931360999999</v>
      </c>
      <c r="P37" s="166">
        <f si="26" t="shared"/>
        <v>0</v>
      </c>
      <c r="V37" s="161">
        <f>DayPatternCoefficients!A45</f>
        <v>207</v>
      </c>
      <c r="W37" s="161" t="str">
        <f>DayPatternCoefficients!B45</f>
        <v>S-PAS</v>
      </c>
      <c r="X37" s="155">
        <f>DayPatternCoefficients!D45</f>
        <v>2.3775085649699998</v>
      </c>
      <c r="Y37" s="176">
        <f si="1" t="shared"/>
        <v>2.3775085649699998</v>
      </c>
      <c r="Z37" s="247">
        <f si="2" t="shared"/>
        <v>0</v>
      </c>
      <c r="AI37" s="115">
        <v>66</v>
      </c>
      <c r="AJ37" s="115" t="s">
        <v>1080</v>
      </c>
      <c r="AK37" s="115">
        <v>-2.32428386605</v>
      </c>
      <c r="AM37" s="115" t="s">
        <v>1091</v>
      </c>
    </row>
    <row r="38" spans="1:39" x14ac:dyDescent="0.25">
      <c r="A38" t="s">
        <v>1171</v>
      </c>
      <c r="B38" s="115" t="str">
        <f si="27" t="shared"/>
        <v>meal</v>
      </c>
      <c r="C38" s="125">
        <f>output_NHTS!B349</f>
        <v>141765.97077407304</v>
      </c>
      <c r="D38" s="251">
        <f si="28" t="shared"/>
        <v>0.10353889357260092</v>
      </c>
      <c r="E38" s="125">
        <f>output!B349</f>
        <v>123218</v>
      </c>
      <c r="F38" s="251">
        <f si="29" t="shared"/>
        <v>8.2023391890722455E-2</v>
      </c>
      <c r="G38" s="251">
        <f si="30" t="shared"/>
        <v>-2.1515501681878463E-2</v>
      </c>
      <c r="H38" s="118">
        <f si="31" t="shared"/>
        <v>1.2623093386645481</v>
      </c>
      <c r="J38" s="133">
        <v>601</v>
      </c>
      <c r="K38" s="129" t="s">
        <v>607</v>
      </c>
      <c r="L38" s="138">
        <f si="24" t="shared"/>
        <v>1.6525579475700001</v>
      </c>
      <c r="M38" s="135">
        <f si="32" t="shared"/>
        <v>0</v>
      </c>
      <c r="N38" s="192">
        <f si="33" t="shared"/>
        <v>1.6525579475700001</v>
      </c>
      <c r="O38" s="194">
        <f si="25" t="shared"/>
        <v>1.6525579475700001</v>
      </c>
      <c r="P38" s="166">
        <f si="26" t="shared"/>
        <v>0</v>
      </c>
      <c r="V38" s="161">
        <f>DayPatternCoefficients!A46</f>
        <v>208</v>
      </c>
      <c r="W38" s="161" t="str">
        <f>DayPatternCoefficients!B46</f>
        <v>S-CU5</v>
      </c>
      <c r="X38" s="155">
        <f>DayPatternCoefficients!D46</f>
        <v>1.1554295912400001</v>
      </c>
      <c r="Y38" s="176">
        <f si="1" t="shared"/>
        <v>1.1554295912400001</v>
      </c>
      <c r="Z38" s="247">
        <f si="2" t="shared"/>
        <v>0</v>
      </c>
      <c r="AI38" s="115">
        <v>67</v>
      </c>
      <c r="AJ38" s="115" t="s">
        <v>1080</v>
      </c>
      <c r="AK38" s="115">
        <v>-1.6578909769200001</v>
      </c>
      <c r="AM38" s="115" t="s">
        <v>1099</v>
      </c>
    </row>
    <row ht="15.75" r="39" spans="1:39" thickBot="1" x14ac:dyDescent="0.3">
      <c r="A39" t="s">
        <v>1172</v>
      </c>
      <c r="B39" s="115" t="str">
        <f si="27" t="shared"/>
        <v>soc/rec</v>
      </c>
      <c r="C39" s="125">
        <f>output_NHTS!B350</f>
        <v>63284.129753694593</v>
      </c>
      <c r="D39" s="251">
        <f si="28" t="shared"/>
        <v>4.6219616312892953E-2</v>
      </c>
      <c r="E39" s="125">
        <f>output!B350</f>
        <v>123162</v>
      </c>
      <c r="F39" s="251">
        <f si="29" t="shared"/>
        <v>8.1986113977220526E-2</v>
      </c>
      <c r="G39" s="251">
        <f si="30" t="shared"/>
        <v>3.5766497664327573E-2</v>
      </c>
      <c r="H39" s="118">
        <f si="31" t="shared"/>
        <v>0.56374932376639864</v>
      </c>
      <c r="J39" s="134">
        <v>701</v>
      </c>
      <c r="K39" s="132" t="s">
        <v>666</v>
      </c>
      <c r="L39" s="167">
        <f si="24" t="shared"/>
        <v>2.0647581169100002</v>
      </c>
      <c r="M39" s="136">
        <f si="32" t="shared"/>
        <v>0</v>
      </c>
      <c r="N39" s="193">
        <f si="33" t="shared"/>
        <v>2.0647581169100002</v>
      </c>
      <c r="O39" s="195">
        <f si="25" t="shared"/>
        <v>2.0647581169100002</v>
      </c>
      <c r="P39" s="169">
        <f si="26" t="shared"/>
        <v>0</v>
      </c>
      <c r="V39" s="161">
        <f>DayPatternCoefficients!A47</f>
        <v>209</v>
      </c>
      <c r="W39" s="161" t="str">
        <f>DayPatternCoefficients!B47</f>
        <v>S-VLINC</v>
      </c>
      <c r="X39" s="155">
        <f>DayPatternCoefficients!D47</f>
        <v>0</v>
      </c>
      <c r="Y39" s="176">
        <f si="1" t="shared"/>
        <v>0</v>
      </c>
      <c r="Z39" s="247">
        <f si="2" t="shared"/>
        <v>0</v>
      </c>
      <c r="AI39" s="115">
        <v>71</v>
      </c>
      <c r="AJ39" s="115" t="s">
        <v>1081</v>
      </c>
      <c r="AK39" s="115">
        <v>-1.3046209712800001</v>
      </c>
      <c r="AM39" s="115" t="s">
        <v>1077</v>
      </c>
    </row>
    <row r="40" spans="1:39" x14ac:dyDescent="0.25">
      <c r="B40" s="121"/>
      <c r="C40" s="141" t="s">
        <v>1030</v>
      </c>
      <c r="D40" s="141"/>
      <c r="E40" s="141" t="s">
        <v>1030</v>
      </c>
      <c r="F40" s="141" t="s">
        <v>1030</v>
      </c>
      <c r="G40" s="122"/>
      <c r="H40" s="141" t="s">
        <v>1030</v>
      </c>
      <c r="J40" s="131"/>
      <c r="K40" s="131"/>
      <c r="P40" s="119">
        <f>SUM(P33:P39)</f>
        <v>0</v>
      </c>
      <c r="V40" s="161">
        <f>DayPatternCoefficients!A48</f>
        <v>210</v>
      </c>
      <c r="W40" s="161" t="str">
        <f>DayPatternCoefficients!B48</f>
        <v>S-LOINC</v>
      </c>
      <c r="X40" s="155">
        <f>DayPatternCoefficients!D48</f>
        <v>0.1877879022</v>
      </c>
      <c r="Y40" s="176">
        <f si="1" t="shared"/>
        <v>0.1877879022</v>
      </c>
      <c r="Z40" s="247">
        <f si="2" t="shared"/>
        <v>0</v>
      </c>
      <c r="AI40" s="115">
        <v>72</v>
      </c>
      <c r="AJ40" s="115" t="s">
        <v>1081</v>
      </c>
      <c r="AK40" s="115">
        <v>-0.50321932343800002</v>
      </c>
      <c r="AM40" s="115" t="s">
        <v>1086</v>
      </c>
    </row>
    <row ht="15.75" r="41" spans="1:39" thickBot="1" x14ac:dyDescent="0.3">
      <c r="A41" t="s">
        <v>1173</v>
      </c>
      <c r="B41" s="124" t="str">
        <f si="27" t="shared"/>
        <v>Total</v>
      </c>
      <c r="C41" s="217">
        <f>Summary!B24</f>
        <v>1369205</v>
      </c>
      <c r="D41" s="217"/>
      <c r="E41" s="217">
        <f>Summary!C24</f>
        <v>1502230</v>
      </c>
      <c r="F41" s="218"/>
      <c r="G41" s="218"/>
      <c r="H41" s="218"/>
      <c r="I41" s="123"/>
      <c r="V41" s="161">
        <f>DayPatternCoefficients!A49</f>
        <v>211</v>
      </c>
      <c r="W41" s="161" t="str">
        <f>DayPatternCoefficients!B49</f>
        <v>S-HIINC</v>
      </c>
      <c r="X41" s="155">
        <f>DayPatternCoefficients!D49</f>
        <v>0</v>
      </c>
      <c r="Y41" s="176">
        <f si="1" t="shared"/>
        <v>0</v>
      </c>
      <c r="Z41" s="247">
        <f si="2" t="shared"/>
        <v>0</v>
      </c>
      <c r="AI41" s="115">
        <v>73</v>
      </c>
      <c r="AJ41" s="115" t="s">
        <v>1081</v>
      </c>
      <c r="AK41" s="115">
        <v>-4.8332706841800004</v>
      </c>
      <c r="AM41" s="115" t="s">
        <v>1091</v>
      </c>
    </row>
    <row r="42" spans="1:39" x14ac:dyDescent="0.25">
      <c r="V42" s="161">
        <f>DayPatternCoefficients!A50</f>
        <v>212</v>
      </c>
      <c r="W42" s="161" t="str">
        <f>DayPatternCoefficients!B50</f>
        <v>S-CARSPD</v>
      </c>
      <c r="X42" s="155">
        <f>DayPatternCoefficients!D50</f>
        <v>0</v>
      </c>
      <c r="Y42" s="176">
        <f si="1" t="shared"/>
        <v>0</v>
      </c>
      <c r="Z42" s="247">
        <f si="2" t="shared"/>
        <v>0</v>
      </c>
      <c r="AI42" s="115">
        <v>74</v>
      </c>
      <c r="AJ42" s="115" t="s">
        <v>1081</v>
      </c>
      <c r="AK42" s="115">
        <v>-1.52892590596</v>
      </c>
      <c r="AM42" s="115" t="s">
        <v>1099</v>
      </c>
    </row>
    <row r="43" spans="1:39" x14ac:dyDescent="0.25">
      <c r="V43" s="161">
        <f>DayPatternCoefficients!A51</f>
        <v>213</v>
      </c>
      <c r="W43" s="161" t="str">
        <f>DayPatternCoefficients!B51</f>
        <v>S-ONLYAD</v>
      </c>
      <c r="X43" s="155">
        <f>DayPatternCoefficients!D51</f>
        <v>0</v>
      </c>
      <c r="Y43" s="176">
        <f si="1" t="shared"/>
        <v>0</v>
      </c>
      <c r="Z43" s="247">
        <f si="2" t="shared"/>
        <v>0</v>
      </c>
      <c r="AI43" s="115">
        <v>78</v>
      </c>
      <c r="AJ43" s="115" t="s">
        <v>1082</v>
      </c>
      <c r="AK43" s="115">
        <v>-1.3486716266600001</v>
      </c>
      <c r="AM43" s="115" t="s">
        <v>1077</v>
      </c>
    </row>
    <row r="44" spans="1:39" x14ac:dyDescent="0.25">
      <c r="B44" s="106" t="str">
        <f>ToursByTourPurpose!A1</f>
        <v>Table X.X</v>
      </c>
      <c r="C44" s="3"/>
      <c r="D44" s="3"/>
      <c r="E44" s="3"/>
      <c r="F44" s="3"/>
      <c r="G44" s="3"/>
      <c r="H44" s="3"/>
      <c r="I44" s="3"/>
      <c r="J44" s="3"/>
      <c r="K44" s="3"/>
      <c r="L44" s="106" t="str">
        <f>ToursByTourPurpose!M1</f>
        <v>Table X.X</v>
      </c>
      <c r="M44" s="3"/>
      <c r="N44" s="3"/>
      <c r="O44" s="3"/>
      <c r="P44" s="3"/>
      <c r="Q44" s="3"/>
      <c r="R44" s="3"/>
      <c r="S44" s="3"/>
      <c r="V44" s="161">
        <f>DayPatternCoefficients!A52</f>
        <v>214</v>
      </c>
      <c r="W44" s="161" t="str">
        <f>DayPatternCoefficients!B52</f>
        <v>S-ONLYWK</v>
      </c>
      <c r="X44" s="155">
        <f>DayPatternCoefficients!D52</f>
        <v>0</v>
      </c>
      <c r="Y44" s="176">
        <f si="1" t="shared"/>
        <v>0</v>
      </c>
      <c r="Z44" s="247">
        <f si="2" t="shared"/>
        <v>0</v>
      </c>
      <c r="AI44" s="115">
        <v>79</v>
      </c>
      <c r="AJ44" s="115" t="s">
        <v>1082</v>
      </c>
      <c r="AK44" s="115">
        <v>-0.55978493524700002</v>
      </c>
      <c r="AM44" s="115" t="s">
        <v>1086</v>
      </c>
    </row>
    <row r="45" spans="1:39" x14ac:dyDescent="0.25">
      <c r="B45" s="106" t="str">
        <f>ToursByTourPurpose!A2</f>
        <v>OBSERVED TOTAL TOURS (by persontype)</v>
      </c>
      <c r="C45" s="3"/>
      <c r="D45" s="3"/>
      <c r="E45" s="3"/>
      <c r="F45" s="3"/>
      <c r="G45" s="3"/>
      <c r="H45" s="3"/>
      <c r="I45" s="3"/>
      <c r="J45" s="3"/>
      <c r="K45" s="25"/>
      <c r="L45" s="106" t="str">
        <f>ToursByTourPurpose!M2</f>
        <v>ESTIMATED TOTAL TOURS (by persontype)</v>
      </c>
      <c r="M45" s="3"/>
      <c r="N45" s="3"/>
      <c r="O45" s="3"/>
      <c r="P45" s="3"/>
      <c r="Q45" s="3"/>
      <c r="R45" s="3"/>
      <c r="S45" s="3"/>
      <c r="V45" s="161">
        <f>DayPatternCoefficients!A53</f>
        <v>216</v>
      </c>
      <c r="W45" s="161" t="str">
        <f>DayPatternCoefficients!B53</f>
        <v>S-FEMNOC</v>
      </c>
      <c r="X45" s="155">
        <f>DayPatternCoefficients!D53</f>
        <v>0</v>
      </c>
      <c r="Y45" s="176">
        <f si="1" t="shared"/>
        <v>0</v>
      </c>
      <c r="Z45" s="247">
        <f si="2" t="shared"/>
        <v>0</v>
      </c>
      <c r="AI45" s="115">
        <v>80</v>
      </c>
      <c r="AJ45" s="115" t="s">
        <v>1082</v>
      </c>
      <c r="AK45" s="115">
        <v>-2.1204677092600002</v>
      </c>
      <c r="AM45" s="115" t="s">
        <v>1091</v>
      </c>
    </row>
    <row ht="15.75" r="46" spans="1:39" thickBot="1" x14ac:dyDescent="0.3">
      <c r="B46" s="3"/>
      <c r="C46" s="4"/>
      <c r="D46" s="4"/>
      <c r="E46" s="4"/>
      <c r="F46" s="4"/>
      <c r="G46" s="4"/>
      <c r="H46" s="4"/>
      <c r="I46" s="4"/>
      <c r="J46" s="4"/>
      <c r="K46" s="88"/>
      <c r="L46" s="3"/>
      <c r="M46" s="4"/>
      <c r="N46" s="4"/>
      <c r="O46" s="4"/>
      <c r="P46" s="4"/>
      <c r="Q46" s="4"/>
      <c r="R46" s="4"/>
      <c r="S46" s="4"/>
      <c r="V46" s="161">
        <f>DayPatternCoefficients!A54</f>
        <v>217</v>
      </c>
      <c r="W46" s="161" t="str">
        <f>DayPatternCoefficients!B54</f>
        <v>S-FADCU5</v>
      </c>
      <c r="X46" s="155">
        <f>DayPatternCoefficients!D54</f>
        <v>-1.07693002171</v>
      </c>
      <c r="Y46" s="176">
        <f si="1" t="shared"/>
        <v>-1.07693002171</v>
      </c>
      <c r="Z46" s="247">
        <f si="2" t="shared"/>
        <v>0</v>
      </c>
      <c r="AI46" s="115">
        <v>81</v>
      </c>
      <c r="AJ46" s="115" t="s">
        <v>1082</v>
      </c>
      <c r="AK46" s="115">
        <v>-1.10856035167</v>
      </c>
      <c r="AM46" s="115" t="s">
        <v>1099</v>
      </c>
    </row>
    <row r="47" spans="1:39" x14ac:dyDescent="0.25">
      <c r="B47" s="5" t="str">
        <f>ToursByTourPurpose!A4</f>
        <v>Purpose</v>
      </c>
      <c r="C47" s="6" t="str">
        <f>ToursByTourPurpose!B4</f>
        <v>ft worker</v>
      </c>
      <c r="D47" s="6" t="str">
        <f>ToursByTourPurpose!C4</f>
        <v>pt worker</v>
      </c>
      <c r="E47" s="6" t="str">
        <f>ToursByTourPurpose!D4</f>
        <v>retired</v>
      </c>
      <c r="F47" s="6" t="str">
        <f>ToursByTourPurpose!E4</f>
        <v>nonworker</v>
      </c>
      <c r="G47" s="6" t="str">
        <f>ToursByTourPurpose!F4</f>
        <v>uinv.stud</v>
      </c>
      <c r="H47" s="6" t="str">
        <f>ToursByTourPurpose!G4</f>
        <v>stud 16+</v>
      </c>
      <c r="I47" s="6" t="str">
        <f>ToursByTourPurpose!I4</f>
        <v>stud.5-15</v>
      </c>
      <c r="J47" s="6" t="s">
        <v>1176</v>
      </c>
      <c r="L47" s="5" t="str">
        <f>ToursByTourPurpose!M4</f>
        <v>Purpose</v>
      </c>
      <c r="M47" s="6" t="str">
        <f>ToursByTourPurpose!N4</f>
        <v>ft worker</v>
      </c>
      <c r="N47" s="6" t="str">
        <f>ToursByTourPurpose!O4</f>
        <v>pt worker</v>
      </c>
      <c r="O47" s="6" t="str">
        <f>ToursByTourPurpose!P4</f>
        <v>retired</v>
      </c>
      <c r="P47" s="6" t="str">
        <f>ToursByTourPurpose!Q4</f>
        <v>nonworker</v>
      </c>
      <c r="Q47" s="6" t="str">
        <f>ToursByTourPurpose!R4</f>
        <v>uinv.stud</v>
      </c>
      <c r="R47" s="6" t="str">
        <f>ToursByTourPurpose!S4</f>
        <v>stud 16+</v>
      </c>
      <c r="S47" s="6" t="str">
        <f>ToursByTourPurpose!U4</f>
        <v>stud.5-15</v>
      </c>
      <c r="T47" s="6" t="s">
        <v>1176</v>
      </c>
      <c r="U47" s="89"/>
      <c r="V47" s="161">
        <f>DayPatternCoefficients!A55</f>
        <v>218</v>
      </c>
      <c r="W47" s="161" t="str">
        <f>DayPatternCoefficients!B55</f>
        <v>S-FAD515</v>
      </c>
      <c r="X47" s="155">
        <f>DayPatternCoefficients!D55</f>
        <v>0</v>
      </c>
      <c r="Y47" s="176">
        <f si="1" t="shared"/>
        <v>0</v>
      </c>
      <c r="Z47" s="247">
        <f si="2" t="shared"/>
        <v>0</v>
      </c>
      <c r="AI47" s="115">
        <v>82</v>
      </c>
      <c r="AJ47" s="115" t="s">
        <v>1056</v>
      </c>
      <c r="AK47" s="115">
        <v>1.03609977401</v>
      </c>
      <c r="AM47" s="115" t="s">
        <v>1063</v>
      </c>
    </row>
    <row r="48" spans="1:39" x14ac:dyDescent="0.25">
      <c r="B48" s="3" t="str">
        <f>ToursByTourPurpose!A5</f>
        <v>work</v>
      </c>
      <c r="C48" s="7">
        <f>ToursByTourPurpose!B5</f>
        <v>458523.91127699998</v>
      </c>
      <c r="D48" s="7">
        <f>ToursByTourPurpose!C5</f>
        <v>63060.84145</v>
      </c>
      <c r="E48" s="7">
        <f>ToursByTourPurpose!D5</f>
        <v>3053.1703520000001</v>
      </c>
      <c r="F48" s="7">
        <f>ToursByTourPurpose!E5</f>
        <v>12925.199651000001</v>
      </c>
      <c r="G48" s="7">
        <f>ToursByTourPurpose!F5</f>
        <v>11876.555882999999</v>
      </c>
      <c r="H48" s="7">
        <f>ToursByTourPurpose!G5</f>
        <v>1353.618406</v>
      </c>
      <c r="I48" s="7">
        <f>ToursByTourPurpose!I5</f>
        <v>473.95271400000001</v>
      </c>
      <c r="J48" s="7">
        <f>ToursByTourPurpose!J5</f>
        <v>0</v>
      </c>
      <c r="L48" s="3" t="str">
        <f>ToursByTourPurpose!M5</f>
        <v>work</v>
      </c>
      <c r="M48" s="7">
        <f>ToursByTourPurpose!N5</f>
        <v>544974</v>
      </c>
      <c r="N48" s="7">
        <f>ToursByTourPurpose!O5</f>
        <v>60023</v>
      </c>
      <c r="O48" s="7">
        <f>ToursByTourPurpose!P5</f>
        <v>0</v>
      </c>
      <c r="P48" s="7">
        <f>ToursByTourPurpose!Q5</f>
        <v>0</v>
      </c>
      <c r="Q48" s="7">
        <f>ToursByTourPurpose!R5</f>
        <v>10431</v>
      </c>
      <c r="R48" s="7">
        <f>ToursByTourPurpose!S5</f>
        <v>1761</v>
      </c>
      <c r="S48" s="7">
        <f>ToursByTourPurpose!U5</f>
        <v>0</v>
      </c>
      <c r="T48" s="7">
        <f>ToursByTourPurpose!V5</f>
        <v>0</v>
      </c>
      <c r="U48" s="7"/>
      <c r="V48" s="161">
        <f>DayPatternCoefficients!A56</f>
        <v>219</v>
      </c>
      <c r="W48" s="161" t="str">
        <f>DayPatternCoefficients!B56</f>
        <v>S-MADCU5</v>
      </c>
      <c r="X48" s="155">
        <f>DayPatternCoefficients!D56</f>
        <v>0</v>
      </c>
      <c r="Y48" s="176">
        <f si="1" t="shared"/>
        <v>0</v>
      </c>
      <c r="Z48" s="247">
        <f si="2" t="shared"/>
        <v>0</v>
      </c>
      <c r="AI48" s="115">
        <v>83</v>
      </c>
      <c r="AJ48" s="115" t="s">
        <v>1056</v>
      </c>
      <c r="AK48" s="115">
        <v>0.49617548671400002</v>
      </c>
      <c r="AM48" s="115" t="s">
        <v>1064</v>
      </c>
    </row>
    <row r="49" spans="2:39" x14ac:dyDescent="0.25">
      <c r="B49" s="3" t="str">
        <f>ToursByTourPurpose!A6</f>
        <v>school</v>
      </c>
      <c r="C49" s="7">
        <f>ToursByTourPurpose!B6</f>
        <v>5090.6621960000002</v>
      </c>
      <c r="D49" s="7">
        <f>ToursByTourPurpose!C6</f>
        <v>1297.3480769999999</v>
      </c>
      <c r="E49" s="7">
        <f>ToursByTourPurpose!D6</f>
        <v>310.38361500000002</v>
      </c>
      <c r="F49" s="7">
        <f>ToursByTourPurpose!E6</f>
        <v>2596.0894090000002</v>
      </c>
      <c r="G49" s="7">
        <f>ToursByTourPurpose!F6</f>
        <v>14712.30385</v>
      </c>
      <c r="H49" s="7">
        <f>ToursByTourPurpose!G6</f>
        <v>21287.730342999999</v>
      </c>
      <c r="I49" s="7">
        <f>ToursByTourPurpose!I6</f>
        <v>175643.16358699999</v>
      </c>
      <c r="J49" s="7">
        <f>ToursByTourPurpose!J6</f>
        <v>0</v>
      </c>
      <c r="L49" s="3" t="str">
        <f>ToursByTourPurpose!M6</f>
        <v>school</v>
      </c>
      <c r="M49" s="7">
        <f>ToursByTourPurpose!N6</f>
        <v>6075</v>
      </c>
      <c r="N49" s="7">
        <f>ToursByTourPurpose!O6</f>
        <v>0</v>
      </c>
      <c r="O49" s="7">
        <f>ToursByTourPurpose!P6</f>
        <v>0</v>
      </c>
      <c r="P49" s="7">
        <f>ToursByTourPurpose!Q6</f>
        <v>0</v>
      </c>
      <c r="Q49" s="7">
        <f>ToursByTourPurpose!R6</f>
        <v>14015</v>
      </c>
      <c r="R49" s="7">
        <f>ToursByTourPurpose!S6</f>
        <v>24662</v>
      </c>
      <c r="S49" s="7">
        <f>ToursByTourPurpose!U6</f>
        <v>166383</v>
      </c>
      <c r="T49" s="7">
        <f>ToursByTourPurpose!V6</f>
        <v>0</v>
      </c>
      <c r="U49" s="7"/>
      <c r="V49" s="161">
        <f>DayPatternCoefficients!A57</f>
        <v>220</v>
      </c>
      <c r="W49" s="161" t="str">
        <f>DayPatternCoefficients!B57</f>
        <v>S-MAD515</v>
      </c>
      <c r="X49" s="155">
        <f>DayPatternCoefficients!D57</f>
        <v>0</v>
      </c>
      <c r="Y49" s="176">
        <f si="1" t="shared"/>
        <v>0</v>
      </c>
      <c r="Z49" s="247">
        <f si="2" t="shared"/>
        <v>0</v>
      </c>
      <c r="AI49" s="115">
        <v>84</v>
      </c>
      <c r="AJ49" s="115" t="s">
        <v>1056</v>
      </c>
      <c r="AK49" s="115">
        <v>-0.23939659975899999</v>
      </c>
      <c r="AM49" s="115" t="s">
        <v>1069</v>
      </c>
    </row>
    <row r="50" spans="2:39" x14ac:dyDescent="0.25">
      <c r="B50" s="3" t="str">
        <f>ToursByTourPurpose!A7</f>
        <v>escort</v>
      </c>
      <c r="C50" s="7">
        <f>ToursByTourPurpose!B7</f>
        <v>49198.455200999997</v>
      </c>
      <c r="D50" s="7">
        <f>ToursByTourPurpose!C7</f>
        <v>27924.494073999998</v>
      </c>
      <c r="E50" s="7">
        <f>ToursByTourPurpose!D7</f>
        <v>13372.418621999999</v>
      </c>
      <c r="F50" s="7">
        <f>ToursByTourPurpose!E7</f>
        <v>68406.62156</v>
      </c>
      <c r="G50" s="7">
        <f>ToursByTourPurpose!F7</f>
        <v>6381.6610149999997</v>
      </c>
      <c r="H50" s="7">
        <f>ToursByTourPurpose!G7</f>
        <v>1826.5144069999999</v>
      </c>
      <c r="I50" s="7">
        <f>ToursByTourPurpose!I7</f>
        <v>10099.445809999999</v>
      </c>
      <c r="J50" s="7">
        <f>ToursByTourPurpose!J7</f>
        <v>0</v>
      </c>
      <c r="L50" s="3" t="str">
        <f>ToursByTourPurpose!M7</f>
        <v>escort</v>
      </c>
      <c r="M50" s="7">
        <f>ToursByTourPurpose!N7</f>
        <v>58323</v>
      </c>
      <c r="N50" s="7">
        <f>ToursByTourPurpose!O7</f>
        <v>24700</v>
      </c>
      <c r="O50" s="7">
        <f>ToursByTourPurpose!P7</f>
        <v>17450</v>
      </c>
      <c r="P50" s="7">
        <f>ToursByTourPurpose!Q7</f>
        <v>73369</v>
      </c>
      <c r="Q50" s="7">
        <f>ToursByTourPurpose!R7</f>
        <v>5538</v>
      </c>
      <c r="R50" s="7">
        <f>ToursByTourPurpose!S7</f>
        <v>2217</v>
      </c>
      <c r="S50" s="7">
        <f>ToursByTourPurpose!U7</f>
        <v>9603</v>
      </c>
      <c r="T50" s="7">
        <f>ToursByTourPurpose!V7</f>
        <v>0</v>
      </c>
      <c r="U50" s="7"/>
      <c r="V50" s="161">
        <f>DayPatternCoefficients!A58</f>
        <v>221</v>
      </c>
      <c r="W50" s="161" t="str">
        <f>DayPatternCoefficients!B58</f>
        <v>S-AG1825</v>
      </c>
      <c r="X50" s="155">
        <f>DayPatternCoefficients!D58</f>
        <v>0.33401706346999999</v>
      </c>
      <c r="Y50" s="176">
        <f si="1" t="shared"/>
        <v>0.33401706346999999</v>
      </c>
      <c r="Z50" s="247">
        <f si="2" t="shared"/>
        <v>0</v>
      </c>
      <c r="AI50" s="115">
        <v>85</v>
      </c>
      <c r="AJ50" s="115" t="s">
        <v>1056</v>
      </c>
      <c r="AK50" s="115">
        <v>0.141816684612</v>
      </c>
      <c r="AM50" s="115" t="s">
        <v>1077</v>
      </c>
    </row>
    <row r="51" spans="2:39" x14ac:dyDescent="0.25">
      <c r="B51" s="3" t="str">
        <f>ToursByTourPurpose!A8</f>
        <v>pers.bus</v>
      </c>
      <c r="C51" s="7">
        <f>ToursByTourPurpose!B8</f>
        <v>53645.889870999999</v>
      </c>
      <c r="D51" s="7">
        <f>ToursByTourPurpose!C8</f>
        <v>21683.940521</v>
      </c>
      <c r="E51" s="7">
        <f>ToursByTourPurpose!D8</f>
        <v>55772.121294999997</v>
      </c>
      <c r="F51" s="7">
        <f>ToursByTourPurpose!E8</f>
        <v>52338.720587999996</v>
      </c>
      <c r="G51" s="7">
        <f>ToursByTourPurpose!F8</f>
        <v>5046.8036140000004</v>
      </c>
      <c r="H51" s="7">
        <f>ToursByTourPurpose!G8</f>
        <v>3001.0160559999999</v>
      </c>
      <c r="I51" s="7">
        <f>ToursByTourPurpose!I8</f>
        <v>17205.830144</v>
      </c>
      <c r="J51" s="7">
        <f>ToursByTourPurpose!J8</f>
        <v>0</v>
      </c>
      <c r="L51" s="3" t="str">
        <f>ToursByTourPurpose!M8</f>
        <v>pers.bus</v>
      </c>
      <c r="M51" s="7">
        <f>ToursByTourPurpose!N8</f>
        <v>63525</v>
      </c>
      <c r="N51" s="7">
        <f>ToursByTourPurpose!O8</f>
        <v>15197</v>
      </c>
      <c r="O51" s="7">
        <f>ToursByTourPurpose!P8</f>
        <v>73936</v>
      </c>
      <c r="P51" s="7">
        <f>ToursByTourPurpose!Q8</f>
        <v>55937</v>
      </c>
      <c r="Q51" s="7">
        <f>ToursByTourPurpose!R8</f>
        <v>4232</v>
      </c>
      <c r="R51" s="7">
        <f>ToursByTourPurpose!S8</f>
        <v>3290</v>
      </c>
      <c r="S51" s="7">
        <f>ToursByTourPurpose!U8</f>
        <v>16901</v>
      </c>
      <c r="T51" s="7">
        <f>ToursByTourPurpose!V8</f>
        <v>0</v>
      </c>
      <c r="U51" s="7"/>
      <c r="V51" s="161">
        <f>DayPatternCoefficients!A59</f>
        <v>222</v>
      </c>
      <c r="W51" s="161" t="str">
        <f>DayPatternCoefficients!B59</f>
        <v>S-AG2635</v>
      </c>
      <c r="X51" s="155">
        <f>DayPatternCoefficients!D59</f>
        <v>0</v>
      </c>
      <c r="Y51" s="176">
        <f si="1" t="shared"/>
        <v>0</v>
      </c>
      <c r="Z51" s="247">
        <f si="2" t="shared"/>
        <v>0</v>
      </c>
      <c r="AI51" s="115">
        <v>86</v>
      </c>
      <c r="AJ51" s="115" t="s">
        <v>1056</v>
      </c>
      <c r="AK51" s="115">
        <v>-0.66113956890100001</v>
      </c>
      <c r="AM51" s="115" t="s">
        <v>1086</v>
      </c>
    </row>
    <row r="52" spans="2:39" x14ac:dyDescent="0.25">
      <c r="B52" s="3" t="str">
        <f>ToursByTourPurpose!A9</f>
        <v>shop</v>
      </c>
      <c r="C52" s="7">
        <f>ToursByTourPurpose!B9</f>
        <v>34724.510727000001</v>
      </c>
      <c r="D52" s="7">
        <f>ToursByTourPurpose!C9</f>
        <v>16667.668165999999</v>
      </c>
      <c r="E52" s="7">
        <f>ToursByTourPurpose!D9</f>
        <v>32818.324996000003</v>
      </c>
      <c r="F52" s="7">
        <f>ToursByTourPurpose!E9</f>
        <v>43532.588752999996</v>
      </c>
      <c r="G52" s="7">
        <f>ToursByTourPurpose!F9</f>
        <v>5614.5972819999997</v>
      </c>
      <c r="H52" s="7">
        <f>ToursByTourPurpose!G9</f>
        <v>933.60432900000001</v>
      </c>
      <c r="I52" s="7">
        <f>ToursByTourPurpose!I9</f>
        <v>7508.9226340000005</v>
      </c>
      <c r="J52" s="7">
        <f>ToursByTourPurpose!J9</f>
        <v>0</v>
      </c>
      <c r="L52" s="3" t="str">
        <f>ToursByTourPurpose!M9</f>
        <v>shop</v>
      </c>
      <c r="M52" s="7">
        <f>ToursByTourPurpose!N9</f>
        <v>41217</v>
      </c>
      <c r="N52" s="7">
        <f>ToursByTourPurpose!O9</f>
        <v>12180</v>
      </c>
      <c r="O52" s="7">
        <f>ToursByTourPurpose!P9</f>
        <v>43108</v>
      </c>
      <c r="P52" s="7">
        <f>ToursByTourPurpose!Q9</f>
        <v>47807</v>
      </c>
      <c r="Q52" s="7">
        <f>ToursByTourPurpose!R9</f>
        <v>5024</v>
      </c>
      <c r="R52" s="7">
        <f>ToursByTourPurpose!S9</f>
        <v>1040</v>
      </c>
      <c r="S52" s="7">
        <f>ToursByTourPurpose!U9</f>
        <v>7631</v>
      </c>
      <c r="T52" s="7">
        <f>ToursByTourPurpose!V9</f>
        <v>0</v>
      </c>
      <c r="U52" s="7"/>
      <c r="V52" s="161">
        <f>DayPatternCoefficients!A60</f>
        <v>223</v>
      </c>
      <c r="W52" s="161" t="str">
        <f>DayPatternCoefficients!B60</f>
        <v>S-AG5165</v>
      </c>
      <c r="X52" s="155">
        <f>DayPatternCoefficients!D60</f>
        <v>-0.94598469378000005</v>
      </c>
      <c r="Y52" s="176">
        <f si="1" t="shared"/>
        <v>-0.94598469378000005</v>
      </c>
      <c r="Z52" s="247">
        <f si="2" t="shared"/>
        <v>0</v>
      </c>
      <c r="AI52" s="115">
        <v>87</v>
      </c>
      <c r="AJ52" s="115" t="s">
        <v>1056</v>
      </c>
      <c r="AK52" s="115">
        <v>-0.187451161299</v>
      </c>
      <c r="AM52" s="115" t="s">
        <v>1091</v>
      </c>
    </row>
    <row r="53" spans="2:39" x14ac:dyDescent="0.25">
      <c r="B53" s="3" t="str">
        <f>ToursByTourPurpose!A10</f>
        <v>meal</v>
      </c>
      <c r="C53" s="7">
        <f>ToursByTourPurpose!B10</f>
        <v>32329.160050999999</v>
      </c>
      <c r="D53" s="7">
        <f>ToursByTourPurpose!C10</f>
        <v>7967.4672289999999</v>
      </c>
      <c r="E53" s="7">
        <f>ToursByTourPurpose!D10</f>
        <v>17532.570283000001</v>
      </c>
      <c r="F53" s="7">
        <f>ToursByTourPurpose!E10</f>
        <v>12326.660142999999</v>
      </c>
      <c r="G53" s="7">
        <f>ToursByTourPurpose!F10</f>
        <v>4549.9772439999997</v>
      </c>
      <c r="H53" s="7">
        <f>ToursByTourPurpose!G10</f>
        <v>642.99130400000001</v>
      </c>
      <c r="I53" s="7">
        <f>ToursByTourPurpose!I10</f>
        <v>5814.3958009999997</v>
      </c>
      <c r="J53" s="7">
        <f>ToursByTourPurpose!J10</f>
        <v>0</v>
      </c>
      <c r="L53" s="3" t="str">
        <f>ToursByTourPurpose!M10</f>
        <v>meal</v>
      </c>
      <c r="M53" s="7">
        <f>ToursByTourPurpose!N10</f>
        <v>37276</v>
      </c>
      <c r="N53" s="7">
        <f>ToursByTourPurpose!O10</f>
        <v>7220</v>
      </c>
      <c r="O53" s="7">
        <f>ToursByTourPurpose!P10</f>
        <v>22427</v>
      </c>
      <c r="P53" s="7">
        <f>ToursByTourPurpose!Q10</f>
        <v>13827</v>
      </c>
      <c r="Q53" s="7">
        <f>ToursByTourPurpose!R10</f>
        <v>3827</v>
      </c>
      <c r="R53" s="7">
        <f>ToursByTourPurpose!S10</f>
        <v>772</v>
      </c>
      <c r="S53" s="7">
        <f>ToursByTourPurpose!U10</f>
        <v>5970</v>
      </c>
      <c r="T53" s="7">
        <f>ToursByTourPurpose!V10</f>
        <v>0</v>
      </c>
      <c r="U53" s="7"/>
      <c r="V53" s="161">
        <f>DayPatternCoefficients!A61</f>
        <v>224</v>
      </c>
      <c r="W53" s="161" t="str">
        <f>DayPatternCoefficients!B61</f>
        <v>S-WAHOME</v>
      </c>
      <c r="X53" s="155">
        <f>DayPatternCoefficients!D61</f>
        <v>0</v>
      </c>
      <c r="Y53" s="176">
        <f si="1" t="shared"/>
        <v>0</v>
      </c>
      <c r="Z53" s="247">
        <f si="2" t="shared"/>
        <v>0</v>
      </c>
      <c r="AI53" s="115">
        <v>88</v>
      </c>
      <c r="AJ53" s="115" t="s">
        <v>1056</v>
      </c>
      <c r="AK53" s="115">
        <v>-0.29525033118999999</v>
      </c>
      <c r="AM53" s="115" t="s">
        <v>1099</v>
      </c>
    </row>
    <row r="54" spans="2:39" x14ac:dyDescent="0.25">
      <c r="B54" s="25" t="str">
        <f>ToursByTourPurpose!A11</f>
        <v>soc/rec</v>
      </c>
      <c r="C54" s="7">
        <f>ToursByTourPurpose!B11</f>
        <v>53701.131234</v>
      </c>
      <c r="D54" s="7">
        <f>ToursByTourPurpose!C11</f>
        <v>17902.049382000001</v>
      </c>
      <c r="E54" s="7">
        <f>ToursByTourPurpose!D11</f>
        <v>26342.351590999999</v>
      </c>
      <c r="F54" s="7">
        <f>ToursByTourPurpose!E11</f>
        <v>37837.311554</v>
      </c>
      <c r="G54" s="7">
        <f>ToursByTourPurpose!F11</f>
        <v>5117.7900490000002</v>
      </c>
      <c r="H54" s="7">
        <f>ToursByTourPurpose!G11</f>
        <v>6023.8060830000004</v>
      </c>
      <c r="I54" s="7">
        <f>ToursByTourPurpose!I11</f>
        <v>48231.69184</v>
      </c>
      <c r="J54" s="7">
        <f>ToursByTourPurpose!J11</f>
        <v>0</v>
      </c>
      <c r="L54" s="25" t="str">
        <f>ToursByTourPurpose!M11</f>
        <v>soc/rec</v>
      </c>
      <c r="M54" s="7">
        <f>ToursByTourPurpose!N11</f>
        <v>63888</v>
      </c>
      <c r="N54" s="7">
        <f>ToursByTourPurpose!O11</f>
        <v>16446</v>
      </c>
      <c r="O54" s="7">
        <f>ToursByTourPurpose!P11</f>
        <v>34177</v>
      </c>
      <c r="P54" s="7">
        <f>ToursByTourPurpose!Q11</f>
        <v>40110</v>
      </c>
      <c r="Q54" s="7">
        <f>ToursByTourPurpose!R11</f>
        <v>4334</v>
      </c>
      <c r="R54" s="7">
        <f>ToursByTourPurpose!S11</f>
        <v>6891</v>
      </c>
      <c r="S54" s="7">
        <f>ToursByTourPurpose!U11</f>
        <v>47356</v>
      </c>
      <c r="T54" s="7">
        <f>ToursByTourPurpose!V11</f>
        <v>0</v>
      </c>
      <c r="U54" s="7"/>
      <c r="V54" s="161">
        <f>DayPatternCoefficients!A62</f>
        <v>225</v>
      </c>
      <c r="W54" s="161" t="str">
        <f>DayPatternCoefficients!B62</f>
        <v>S-MIXDEN</v>
      </c>
      <c r="X54" s="155">
        <f>DayPatternCoefficients!D62</f>
        <v>0</v>
      </c>
      <c r="Y54" s="176">
        <f si="1" t="shared"/>
        <v>0</v>
      </c>
      <c r="Z54" s="247">
        <f si="2" t="shared"/>
        <v>0</v>
      </c>
      <c r="AI54" s="115">
        <v>89</v>
      </c>
      <c r="AJ54" s="115" t="s">
        <v>1057</v>
      </c>
      <c r="AK54" s="115">
        <v>0.93398227069700002</v>
      </c>
      <c r="AM54" s="115" t="s">
        <v>1063</v>
      </c>
    </row>
    <row r="55" spans="2:39" x14ac:dyDescent="0.25">
      <c r="B55" s="25" t="str">
        <f>ToursByTourPurpose!A12</f>
        <v>workbased</v>
      </c>
      <c r="C55" s="7">
        <f>ToursByTourPurpose!B12</f>
        <v>76306.854584000001</v>
      </c>
      <c r="D55" s="7">
        <f>ToursByTourPurpose!C12</f>
        <v>6714.1332839999995</v>
      </c>
      <c r="E55" s="7">
        <f>ToursByTourPurpose!D12</f>
        <v>0</v>
      </c>
      <c r="F55" s="7">
        <f>ToursByTourPurpose!E12</f>
        <v>143.80684299999999</v>
      </c>
      <c r="G55" s="7">
        <f>ToursByTourPurpose!F12</f>
        <v>123.48774399999999</v>
      </c>
      <c r="H55" s="7">
        <f>ToursByTourPurpose!G12</f>
        <v>0</v>
      </c>
      <c r="I55" s="7">
        <f>ToursByTourPurpose!I12</f>
        <v>0</v>
      </c>
      <c r="J55" s="7">
        <f>ToursByTourPurpose!J12</f>
        <v>0</v>
      </c>
      <c r="L55" s="25" t="str">
        <f>ToursByTourPurpose!M12</f>
        <v>workbased</v>
      </c>
      <c r="M55" s="7">
        <f>ToursByTourPurpose!N12</f>
        <v>81613</v>
      </c>
      <c r="N55" s="7">
        <f>ToursByTourPurpose!O12</f>
        <v>14053</v>
      </c>
      <c r="O55" s="7">
        <f>ToursByTourPurpose!P12</f>
        <v>0</v>
      </c>
      <c r="P55" s="7">
        <f>ToursByTourPurpose!Q12</f>
        <v>0</v>
      </c>
      <c r="Q55" s="7">
        <f>ToursByTourPurpose!R12</f>
        <v>1051</v>
      </c>
      <c r="R55" s="7">
        <f>ToursByTourPurpose!S12</f>
        <v>124</v>
      </c>
      <c r="S55" s="7">
        <f>ToursByTourPurpose!U12</f>
        <v>0</v>
      </c>
      <c r="T55" s="7">
        <f>ToursByTourPurpose!V12</f>
        <v>0</v>
      </c>
      <c r="U55" s="7"/>
      <c r="V55" s="137">
        <f>DayPatternCoefficients!A63</f>
        <v>226</v>
      </c>
      <c r="W55" s="137" t="str">
        <f>DayPatternCoefficients!B63</f>
        <v>S-INTDEN</v>
      </c>
      <c r="X55" s="138">
        <f>DayPatternCoefficients!D63</f>
        <v>0</v>
      </c>
      <c r="Y55" s="176">
        <f si="1" t="shared"/>
        <v>0</v>
      </c>
      <c r="Z55" s="247">
        <f si="2" t="shared"/>
        <v>0</v>
      </c>
      <c r="AI55" s="115">
        <v>90</v>
      </c>
      <c r="AJ55" s="115" t="s">
        <v>1066</v>
      </c>
      <c r="AK55" s="115">
        <v>-5</v>
      </c>
      <c r="AM55" s="115" t="s">
        <v>1064</v>
      </c>
    </row>
    <row ht="15.75" r="56" spans="2:39" thickBot="1" x14ac:dyDescent="0.3">
      <c r="B56" s="10" t="str">
        <f>ToursByTourPurpose!A13</f>
        <v>Total</v>
      </c>
      <c r="C56" s="55">
        <f>ToursByTourPurpose!B13</f>
        <v>763520.57514099975</v>
      </c>
      <c r="D56" s="55">
        <f>ToursByTourPurpose!C13</f>
        <v>163217.94218300001</v>
      </c>
      <c r="E56" s="55">
        <f>ToursByTourPurpose!D13</f>
        <v>149201.340754</v>
      </c>
      <c r="F56" s="55">
        <f>ToursByTourPurpose!E13</f>
        <v>230106.99850099999</v>
      </c>
      <c r="G56" s="55">
        <f>ToursByTourPurpose!F13</f>
        <v>53423.176681000004</v>
      </c>
      <c r="H56" s="55">
        <f>ToursByTourPurpose!G13</f>
        <v>35069.280928</v>
      </c>
      <c r="I56" s="55">
        <f>ToursByTourPurpose!I13</f>
        <v>264977.40253000002</v>
      </c>
      <c r="J56" s="55">
        <f>ToursByTourPurpose!J13</f>
        <v>0</v>
      </c>
      <c r="L56" s="10" t="str">
        <f>ToursByTourPurpose!M13</f>
        <v>Total</v>
      </c>
      <c r="M56" s="55">
        <f>ToursByTourPurpose!N13</f>
        <v>896891</v>
      </c>
      <c r="N56" s="55">
        <f>ToursByTourPurpose!O13</f>
        <v>149819</v>
      </c>
      <c r="O56" s="55">
        <f>ToursByTourPurpose!P13</f>
        <v>191098</v>
      </c>
      <c r="P56" s="55">
        <f>ToursByTourPurpose!Q13</f>
        <v>231050</v>
      </c>
      <c r="Q56" s="55">
        <f>ToursByTourPurpose!R13</f>
        <v>48452</v>
      </c>
      <c r="R56" s="55">
        <f>ToursByTourPurpose!S13</f>
        <v>40757</v>
      </c>
      <c r="S56" s="55">
        <f>ToursByTourPurpose!U13</f>
        <v>253844</v>
      </c>
      <c r="T56" s="55">
        <f>ToursByTourPurpose!V13</f>
        <v>0</v>
      </c>
      <c r="U56" s="54"/>
      <c r="V56" s="137">
        <f>DayPatternCoefficients!A64</f>
        <v>227</v>
      </c>
      <c r="W56" s="137" t="str">
        <f>DayPatternCoefficients!B64</f>
        <v>S-ACCLOG</v>
      </c>
      <c r="X56" s="138">
        <f>DayPatternCoefficients!D64</f>
        <v>0</v>
      </c>
      <c r="Y56" s="176">
        <f si="1" t="shared"/>
        <v>0</v>
      </c>
      <c r="Z56" s="247">
        <f si="2" t="shared"/>
        <v>0</v>
      </c>
      <c r="AI56" s="115">
        <v>91</v>
      </c>
      <c r="AJ56" s="115" t="s">
        <v>1070</v>
      </c>
      <c r="AK56" s="115">
        <v>-0.46211489475700002</v>
      </c>
      <c r="AM56" s="115" t="s">
        <v>1069</v>
      </c>
    </row>
    <row r="57" spans="2:39" x14ac:dyDescent="0.25">
      <c r="J57" s="125">
        <f>SUM(C56:J56)</f>
        <v>1659516.7167179999</v>
      </c>
      <c r="K57" s="123"/>
      <c r="T57" s="125">
        <f>SUM(M56:T56)</f>
        <v>1811911</v>
      </c>
      <c r="V57" s="137">
        <f>DayPatternCoefficients!A65</f>
        <v>228</v>
      </c>
      <c r="W57" s="137" t="str">
        <f>DayPatternCoefficients!B65</f>
        <v>S-TPASS</v>
      </c>
      <c r="X57" s="138">
        <f>DayPatternCoefficients!D65</f>
        <v>0</v>
      </c>
      <c r="Y57" s="176">
        <f si="1" t="shared"/>
        <v>0</v>
      </c>
      <c r="Z57" s="247">
        <f si="2" t="shared"/>
        <v>0</v>
      </c>
      <c r="AI57" s="115">
        <v>92</v>
      </c>
      <c r="AJ57" s="115" t="s">
        <v>1083</v>
      </c>
      <c r="AK57" s="115">
        <v>-0.86143782592100004</v>
      </c>
      <c r="AM57" s="115" t="s">
        <v>1077</v>
      </c>
    </row>
    <row r="58" spans="2:39" x14ac:dyDescent="0.25">
      <c r="K58" s="123"/>
      <c r="V58" s="137">
        <f>DayPatternCoefficients!A66</f>
        <v>229</v>
      </c>
      <c r="W58" s="137" t="str">
        <f>DayPatternCoefficients!B66</f>
        <v>S-T-LOGS</v>
      </c>
      <c r="X58" s="138">
        <f>DayPatternCoefficients!D66</f>
        <v>0.15632093079000001</v>
      </c>
      <c r="Y58" s="176">
        <f si="1" t="shared"/>
        <v>0.15632093079000001</v>
      </c>
      <c r="Z58" s="247">
        <f si="2" t="shared"/>
        <v>0</v>
      </c>
      <c r="AI58" s="115">
        <v>93</v>
      </c>
      <c r="AJ58" s="115" t="s">
        <v>1087</v>
      </c>
      <c r="AK58" s="115">
        <v>-1.81254617234</v>
      </c>
      <c r="AM58" s="115" t="s">
        <v>1086</v>
      </c>
    </row>
    <row ht="15.75" r="59" spans="2:39" thickBot="1" x14ac:dyDescent="0.3">
      <c r="B59" s="235" t="s">
        <v>13595</v>
      </c>
      <c r="V59" s="137">
        <f>DayPatternCoefficients!A67</f>
        <v>230</v>
      </c>
      <c r="W59" s="137" t="str">
        <f>DayPatternCoefficients!B67</f>
        <v>S-T-PPRK</v>
      </c>
      <c r="X59" s="138">
        <f>DayPatternCoefficients!D67</f>
        <v>0</v>
      </c>
      <c r="Y59" s="176">
        <f si="1" t="shared"/>
        <v>0</v>
      </c>
      <c r="Z59" s="247">
        <f si="2" t="shared"/>
        <v>0</v>
      </c>
      <c r="AI59" s="115">
        <v>94</v>
      </c>
      <c r="AJ59" s="115" t="s">
        <v>1092</v>
      </c>
      <c r="AK59" s="115">
        <v>-2.1522853463799998</v>
      </c>
      <c r="AM59" s="115" t="s">
        <v>1091</v>
      </c>
    </row>
    <row r="60" spans="2:39" x14ac:dyDescent="0.25">
      <c r="B60" s="5" t="str">
        <f>B177</f>
        <v>Purpose</v>
      </c>
      <c r="C60" s="6" t="str">
        <f ref="C60:J60" si="34" t="shared">C177</f>
        <v>ft worker</v>
      </c>
      <c r="D60" s="6" t="str">
        <f si="34" t="shared"/>
        <v>pt worker</v>
      </c>
      <c r="E60" s="6" t="str">
        <f si="34" t="shared"/>
        <v>retired</v>
      </c>
      <c r="F60" s="6" t="str">
        <f si="34" t="shared"/>
        <v>nonworker</v>
      </c>
      <c r="G60" s="6" t="str">
        <f si="34" t="shared"/>
        <v>uinv.stud</v>
      </c>
      <c r="H60" s="6" t="str">
        <f si="34" t="shared"/>
        <v>stud 16+</v>
      </c>
      <c r="I60" s="6" t="str">
        <f si="34" t="shared"/>
        <v>stud.5-15</v>
      </c>
      <c r="J60" s="6" t="str">
        <f si="34" t="shared"/>
        <v>Under 5</v>
      </c>
      <c r="L60" s="119" t="s">
        <v>1141</v>
      </c>
      <c r="V60" s="137">
        <f>DayPatternCoefficients!A68</f>
        <v>231</v>
      </c>
      <c r="W60" s="137" t="str">
        <f>DayPatternCoefficients!B68</f>
        <v>S-S-LOGS</v>
      </c>
      <c r="X60" s="138">
        <f>DayPatternCoefficients!D68</f>
        <v>0.44595990495999999</v>
      </c>
      <c r="Y60" s="176">
        <f si="1" t="shared"/>
        <v>0.44595990495999999</v>
      </c>
      <c r="Z60" s="247">
        <f si="2" t="shared"/>
        <v>0</v>
      </c>
      <c r="AI60" s="115">
        <v>95</v>
      </c>
      <c r="AJ60" s="115" t="s">
        <v>1100</v>
      </c>
      <c r="AK60" s="115">
        <v>-1.6486450373699999</v>
      </c>
      <c r="AM60" s="115" t="s">
        <v>1099</v>
      </c>
    </row>
    <row ht="15.75" r="61" spans="2:39" thickBot="1" x14ac:dyDescent="0.3">
      <c r="B61" s="3" t="str">
        <f ref="B61:J61" si="35" t="shared">B178</f>
        <v>work</v>
      </c>
      <c r="C61" s="7">
        <f si="35" t="shared"/>
        <v>546557.58806953684</v>
      </c>
      <c r="D61" s="7">
        <f si="35" t="shared"/>
        <v>68154.507718700217</v>
      </c>
      <c r="E61" s="7">
        <f si="35" t="shared"/>
        <v>0</v>
      </c>
      <c r="F61" s="7">
        <f si="35" t="shared"/>
        <v>0</v>
      </c>
      <c r="G61" s="7">
        <f si="35" t="shared"/>
        <v>9940.311929601954</v>
      </c>
      <c r="H61" s="7">
        <f si="35" t="shared"/>
        <v>1543.1967492407066</v>
      </c>
      <c r="I61" s="7">
        <f si="35" t="shared"/>
        <v>459.50948896333836</v>
      </c>
      <c r="J61" s="7">
        <f si="35" t="shared"/>
        <v>0</v>
      </c>
      <c r="K61" s="123"/>
      <c r="L61" s="142" t="s">
        <v>1034</v>
      </c>
      <c r="M61" s="124"/>
      <c r="N61" s="124"/>
      <c r="O61" s="124"/>
      <c r="P61" s="124"/>
      <c r="V61" s="137">
        <f>DayPatternCoefficients!A69</f>
        <v>232</v>
      </c>
      <c r="W61" s="137" t="str">
        <f>DayPatternCoefficients!B69</f>
        <v>S-NODIAR</v>
      </c>
      <c r="X61" s="138">
        <f>DayPatternCoefficients!D69</f>
        <v>-0.60208080629000005</v>
      </c>
      <c r="Y61" s="176">
        <f si="1" t="shared"/>
        <v>-0.60208080629000005</v>
      </c>
      <c r="Z61" s="247">
        <f si="2" t="shared"/>
        <v>0</v>
      </c>
      <c r="AI61" s="115">
        <v>96</v>
      </c>
      <c r="AJ61" s="115" t="s">
        <v>1058</v>
      </c>
      <c r="AK61" s="115">
        <v>-1.3894520502500001</v>
      </c>
      <c r="AM61" s="115" t="s">
        <v>1063</v>
      </c>
    </row>
    <row r="62" spans="2:39" x14ac:dyDescent="0.25">
      <c r="B62" s="3" t="str">
        <f ref="B62:J62" si="36" t="shared">B179</f>
        <v>school</v>
      </c>
      <c r="C62" s="7">
        <f si="36" t="shared"/>
        <v>7405.7101953205611</v>
      </c>
      <c r="D62" s="255">
        <f si="36" t="shared"/>
        <v>0</v>
      </c>
      <c r="E62" s="7">
        <f si="36" t="shared"/>
        <v>0</v>
      </c>
      <c r="F62" s="7">
        <f si="36" t="shared"/>
        <v>0</v>
      </c>
      <c r="G62" s="7">
        <f si="36" t="shared"/>
        <v>14746.374257902969</v>
      </c>
      <c r="H62" s="7">
        <f si="36" t="shared"/>
        <v>24269.141227997123</v>
      </c>
      <c r="I62" s="7">
        <f si="36" t="shared"/>
        <v>170290.61751457001</v>
      </c>
      <c r="J62" s="7">
        <f si="36" t="shared"/>
        <v>0</v>
      </c>
      <c r="K62" s="123"/>
      <c r="L62" s="163" t="s">
        <v>1020</v>
      </c>
      <c r="M62" s="120" t="s">
        <v>316</v>
      </c>
      <c r="N62" s="178" t="s">
        <v>1029</v>
      </c>
      <c r="O62" s="173" t="s">
        <v>1136</v>
      </c>
      <c r="P62" s="173" t="s">
        <v>1135</v>
      </c>
      <c r="V62" s="137">
        <f>DayPatternCoefficients!A70</f>
        <v>233</v>
      </c>
      <c r="W62" s="137" t="str">
        <f>DayPatternCoefficients!B70</f>
        <v>S-PROXY</v>
      </c>
      <c r="X62" s="138">
        <f>DayPatternCoefficients!D70</f>
        <v>0</v>
      </c>
      <c r="Y62" s="176">
        <f si="1" t="shared"/>
        <v>0</v>
      </c>
      <c r="Z62" s="247">
        <f si="2" t="shared"/>
        <v>0</v>
      </c>
      <c r="AI62" s="115">
        <v>103</v>
      </c>
      <c r="AJ62" s="115" t="s">
        <v>1059</v>
      </c>
      <c r="AK62" s="115">
        <v>0.119796316892</v>
      </c>
      <c r="AM62" s="115" t="s">
        <v>1063</v>
      </c>
    </row>
    <row r="63" spans="2:39" x14ac:dyDescent="0.25">
      <c r="B63" s="3" t="str">
        <f ref="B63:J63" si="37" t="shared">B180</f>
        <v>escort</v>
      </c>
      <c r="C63" s="7">
        <f si="37" t="shared"/>
        <v>57036.461387053809</v>
      </c>
      <c r="D63" s="7">
        <f si="37" t="shared"/>
        <v>28786.335831607466</v>
      </c>
      <c r="E63" s="7">
        <f si="37" t="shared"/>
        <v>17166.61486974205</v>
      </c>
      <c r="F63" s="7">
        <f si="37" t="shared"/>
        <v>71958.156902550196</v>
      </c>
      <c r="G63" s="7">
        <f si="37" t="shared"/>
        <v>5341.2539580503753</v>
      </c>
      <c r="H63" s="7">
        <f si="37" t="shared"/>
        <v>2082.3232624717402</v>
      </c>
      <c r="I63" s="7">
        <f si="37" t="shared"/>
        <v>9791.6755108317157</v>
      </c>
      <c r="J63" s="7">
        <f si="37" t="shared"/>
        <v>0</v>
      </c>
      <c r="L63" s="164">
        <v>151</v>
      </c>
      <c r="M63" s="129" t="str">
        <f ref="M63:M105" si="38" t="shared">VLOOKUP(L63,$V$3:$X$352,2,FALSE)</f>
        <v>W-FTW</v>
      </c>
      <c r="N63" s="179">
        <f ref="N63:N69" si="39" t="shared">C129</f>
        <v>-0.47911897977000001</v>
      </c>
      <c r="O63" s="191">
        <f ref="O63:O105" si="40" t="shared">VLOOKUP(L63,$V$3:$Y$352,4,FALSE)</f>
        <v>-0.47911897977000001</v>
      </c>
      <c r="P63" s="172">
        <f ref="P63:P105" si="41" t="shared">IF(N63=O63,0,1)</f>
        <v>0</v>
      </c>
      <c r="V63" s="137">
        <f>DayPatternCoefficients!A71</f>
        <v>251</v>
      </c>
      <c r="W63" s="137" t="str">
        <f>DayPatternCoefficients!B71</f>
        <v>S-FTW</v>
      </c>
      <c r="X63" s="138">
        <f>DayPatternCoefficients!D71</f>
        <v>-0.13882682499999999</v>
      </c>
      <c r="Y63" s="176">
        <f si="1" t="shared"/>
        <v>-0.13882682499999999</v>
      </c>
      <c r="Z63" s="247">
        <f si="2" t="shared"/>
        <v>0</v>
      </c>
      <c r="AI63" s="115">
        <v>104</v>
      </c>
      <c r="AJ63" s="115" t="s">
        <v>1059</v>
      </c>
      <c r="AK63" s="117">
        <v>-6.0874029466500001E-2</v>
      </c>
      <c r="AM63" s="115" t="s">
        <v>1064</v>
      </c>
    </row>
    <row r="64" spans="2:39" x14ac:dyDescent="0.25">
      <c r="B64" s="3" t="str">
        <f ref="B64:J64" si="42" t="shared">B181</f>
        <v>pers.bus</v>
      </c>
      <c r="C64" s="7">
        <f si="42" t="shared"/>
        <v>62192.4349799349</v>
      </c>
      <c r="D64" s="7">
        <f si="42" t="shared"/>
        <v>22353.178264786897</v>
      </c>
      <c r="E64" s="7">
        <f si="42" t="shared"/>
        <v>71596.511730845828</v>
      </c>
      <c r="F64" s="7">
        <f si="42" t="shared"/>
        <v>55056.042562293122</v>
      </c>
      <c r="G64" s="7">
        <f si="42" t="shared"/>
        <v>4224.0193760558805</v>
      </c>
      <c r="H64" s="7">
        <f si="42" t="shared"/>
        <v>3421.3174122858122</v>
      </c>
      <c r="I64" s="7">
        <f si="42" t="shared"/>
        <v>16681.500038122878</v>
      </c>
      <c r="J64" s="7">
        <f si="42" t="shared"/>
        <v>0</v>
      </c>
      <c r="L64" s="164">
        <v>251</v>
      </c>
      <c r="M64" s="129" t="str">
        <f si="38" t="shared"/>
        <v>S-FTW</v>
      </c>
      <c r="N64" s="179">
        <f si="39" t="shared"/>
        <v>-0.13882682499999999</v>
      </c>
      <c r="O64" s="191">
        <f si="40" t="shared"/>
        <v>-0.13882682499999999</v>
      </c>
      <c r="P64" s="172">
        <f si="41" t="shared"/>
        <v>0</v>
      </c>
      <c r="V64" s="137">
        <f>DayPatternCoefficients!A72</f>
        <v>300</v>
      </c>
      <c r="W64" s="137" t="str">
        <f>DayPatternCoefficients!B72</f>
        <v>E-TASC</v>
      </c>
      <c r="X64" s="138">
        <f>DayPatternCoefficients!D72</f>
        <v>-3.20782328605</v>
      </c>
      <c r="Y64" s="176">
        <f si="1" t="shared"/>
        <v>-3.20782328605</v>
      </c>
      <c r="Z64" s="247">
        <f si="2" t="shared"/>
        <v>0</v>
      </c>
      <c r="AI64" s="115">
        <v>105</v>
      </c>
      <c r="AJ64" s="115" t="s">
        <v>1059</v>
      </c>
      <c r="AK64" s="117">
        <v>6.1875263468900002E-2</v>
      </c>
      <c r="AM64" s="115" t="s">
        <v>1069</v>
      </c>
    </row>
    <row r="65" spans="2:39" x14ac:dyDescent="0.25">
      <c r="B65" s="3" t="str">
        <f ref="B65:J65" si="43" t="shared">B182</f>
        <v>shop</v>
      </c>
      <c r="C65" s="7">
        <f si="43" t="shared"/>
        <v>40256.61389515773</v>
      </c>
      <c r="D65" s="7">
        <f si="43" t="shared"/>
        <v>17182.087241573452</v>
      </c>
      <c r="E65" s="7">
        <f si="43" t="shared"/>
        <v>42129.966298654574</v>
      </c>
      <c r="F65" s="7">
        <f si="43" t="shared"/>
        <v>45792.713927773832</v>
      </c>
      <c r="G65" s="7">
        <f si="43" t="shared"/>
        <v>4699.2452098055192</v>
      </c>
      <c r="H65" s="7">
        <f si="43" t="shared"/>
        <v>1064.3584330736792</v>
      </c>
      <c r="I65" s="7">
        <f si="43" t="shared"/>
        <v>7280.0958836045074</v>
      </c>
      <c r="J65" s="7">
        <f si="43" t="shared"/>
        <v>0</v>
      </c>
      <c r="L65" s="164">
        <v>351</v>
      </c>
      <c r="M65" s="129" t="str">
        <f si="38" t="shared"/>
        <v>E-FTW</v>
      </c>
      <c r="N65" s="179">
        <f si="39" t="shared"/>
        <v>-1.0623648370200001</v>
      </c>
      <c r="O65" s="191">
        <f si="40" t="shared"/>
        <v>-1.0623648370200001</v>
      </c>
      <c r="P65" s="172">
        <f si="41" t="shared"/>
        <v>0</v>
      </c>
      <c r="V65" s="161">
        <f>DayPatternCoefficients!A73</f>
        <v>301</v>
      </c>
      <c r="W65" s="161" t="str">
        <f>DayPatternCoefficients!B73</f>
        <v>E-SASC</v>
      </c>
      <c r="X65" s="155">
        <f>DayPatternCoefficients!D73</f>
        <v>-0.40483252988000001</v>
      </c>
      <c r="Y65" s="176">
        <f si="1" t="shared"/>
        <v>-0.40483252988000001</v>
      </c>
      <c r="Z65" s="247">
        <f si="2" t="shared"/>
        <v>0</v>
      </c>
      <c r="AI65" s="115">
        <v>106</v>
      </c>
      <c r="AJ65" s="115" t="s">
        <v>1059</v>
      </c>
      <c r="AK65" s="115">
        <v>-0.106693712249</v>
      </c>
      <c r="AM65" s="115" t="s">
        <v>1077</v>
      </c>
    </row>
    <row r="66" spans="2:39" x14ac:dyDescent="0.25">
      <c r="B66" s="3" t="str">
        <f ref="B66:J66" si="44" t="shared">B183</f>
        <v>meal</v>
      </c>
      <c r="C66" s="7">
        <f si="44" t="shared"/>
        <v>37479.650151439404</v>
      </c>
      <c r="D66" s="7">
        <f si="44" t="shared"/>
        <v>8213.3694803397902</v>
      </c>
      <c r="E66" s="7">
        <f si="44" t="shared"/>
        <v>22507.138778155531</v>
      </c>
      <c r="F66" s="7">
        <f si="44" t="shared"/>
        <v>12966.63574996768</v>
      </c>
      <c r="G66" s="7">
        <f si="44" t="shared"/>
        <v>3808.1909876490263</v>
      </c>
      <c r="H66" s="7">
        <f si="44" t="shared"/>
        <v>733.04417679648702</v>
      </c>
      <c r="I66" s="7">
        <f si="44" t="shared"/>
        <v>5637.2080256683375</v>
      </c>
      <c r="J66" s="7">
        <f si="44" t="shared"/>
        <v>0</v>
      </c>
      <c r="L66" s="164">
        <v>451</v>
      </c>
      <c r="M66" s="129" t="str">
        <f si="38" t="shared"/>
        <v>P-FTW</v>
      </c>
      <c r="N66" s="179">
        <f si="39" t="shared"/>
        <v>-0.78628794521000001</v>
      </c>
      <c r="O66" s="191">
        <f si="40" t="shared"/>
        <v>-0.78628794521000001</v>
      </c>
      <c r="P66" s="172">
        <f si="41" t="shared"/>
        <v>0</v>
      </c>
      <c r="V66" s="161">
        <f>DayPatternCoefficients!A74</f>
        <v>302</v>
      </c>
      <c r="W66" s="161" t="str">
        <f>DayPatternCoefficients!B74</f>
        <v>E-PTW</v>
      </c>
      <c r="X66" s="155">
        <f>DayPatternCoefficients!D74</f>
        <v>1.2614942409100001</v>
      </c>
      <c r="Y66" s="176">
        <f si="1" t="shared"/>
        <v>2.7924700472040911</v>
      </c>
      <c r="Z66" s="247">
        <f si="2" t="shared"/>
        <v>1</v>
      </c>
      <c r="AI66" s="115">
        <v>107</v>
      </c>
      <c r="AJ66" s="115" t="s">
        <v>1059</v>
      </c>
      <c r="AK66" s="115">
        <v>-0.149975354285</v>
      </c>
      <c r="AM66" s="115" t="s">
        <v>1086</v>
      </c>
    </row>
    <row r="67" spans="2:39" x14ac:dyDescent="0.25">
      <c r="B67" s="25" t="str">
        <f ref="B67:J67" si="45" t="shared">B184</f>
        <v>soc/rec</v>
      </c>
      <c r="C67" s="7">
        <f si="45" t="shared"/>
        <v>62256.477069363224</v>
      </c>
      <c r="D67" s="7">
        <f si="45" t="shared"/>
        <v>18454.565522964716</v>
      </c>
      <c r="E67" s="7">
        <f si="45" t="shared"/>
        <v>33816.545630875611</v>
      </c>
      <c r="F67" s="7">
        <f si="45" t="shared"/>
        <v>39801.749296817747</v>
      </c>
      <c r="G67" s="7">
        <f si="45" t="shared"/>
        <v>4283.432838478976</v>
      </c>
      <c r="H67" s="7">
        <f si="45" t="shared"/>
        <v>6867.4583059282031</v>
      </c>
      <c r="I67" s="7">
        <f si="45" t="shared"/>
        <v>46761.88027743969</v>
      </c>
      <c r="J67" s="7">
        <f si="45" t="shared"/>
        <v>0</v>
      </c>
      <c r="L67" s="164">
        <v>551</v>
      </c>
      <c r="M67" s="129" t="str">
        <f si="38" t="shared"/>
        <v>H-FTW</v>
      </c>
      <c r="N67" s="179">
        <f si="39" t="shared"/>
        <v>-0.95312305667999997</v>
      </c>
      <c r="O67" s="191">
        <f si="40" t="shared"/>
        <v>-0.95312305667999997</v>
      </c>
      <c r="P67" s="172">
        <f si="41" t="shared"/>
        <v>0</v>
      </c>
      <c r="V67" s="161">
        <f>DayPatternCoefficients!A75</f>
        <v>303</v>
      </c>
      <c r="W67" s="161" t="str">
        <f>DayPatternCoefficients!B75</f>
        <v>E-RET</v>
      </c>
      <c r="X67" s="155">
        <f>DayPatternCoefficients!D75</f>
        <v>-2.11024149046</v>
      </c>
      <c r="Y67" s="176">
        <f si="1" t="shared"/>
        <v>-2.11024149046</v>
      </c>
      <c r="Z67" s="247">
        <f si="2" t="shared"/>
        <v>0</v>
      </c>
      <c r="AI67" s="115">
        <v>108</v>
      </c>
      <c r="AJ67" s="115" t="s">
        <v>1059</v>
      </c>
      <c r="AK67" s="115">
        <v>-0.17908713325299999</v>
      </c>
      <c r="AM67" s="115" t="s">
        <v>1091</v>
      </c>
    </row>
    <row r="68" spans="2:39" x14ac:dyDescent="0.25">
      <c r="B68" s="25" t="str">
        <f ref="B68:J68" si="46" t="shared">B185</f>
        <v>workbased</v>
      </c>
      <c r="C68" s="7">
        <f si="46" t="shared"/>
        <v>88463.610234643755</v>
      </c>
      <c r="D68" s="7">
        <f si="46" t="shared"/>
        <v>6921.3535263778567</v>
      </c>
      <c r="E68" s="7">
        <f si="46" t="shared"/>
        <v>0</v>
      </c>
      <c r="F68" s="7">
        <f si="46" t="shared"/>
        <v>151.27300744092472</v>
      </c>
      <c r="G68" s="7">
        <f si="46" t="shared"/>
        <v>103.35544302030142</v>
      </c>
      <c r="H68" s="7">
        <f si="46" t="shared"/>
        <v>0</v>
      </c>
      <c r="I68" s="7">
        <f si="46" t="shared"/>
        <v>0</v>
      </c>
      <c r="J68" s="7">
        <f si="46" t="shared"/>
        <v>0</v>
      </c>
      <c r="L68" s="164">
        <v>651</v>
      </c>
      <c r="M68" s="129" t="str">
        <f si="38" t="shared"/>
        <v>M-FTW</v>
      </c>
      <c r="N68" s="179">
        <f si="39" t="shared"/>
        <v>-0.67422601961999995</v>
      </c>
      <c r="O68" s="191">
        <f si="40" t="shared"/>
        <v>-0.67422601961999995</v>
      </c>
      <c r="P68" s="172">
        <f si="41" t="shared"/>
        <v>0</v>
      </c>
      <c r="V68" s="161">
        <f>DayPatternCoefficients!A76</f>
        <v>304</v>
      </c>
      <c r="W68" s="161" t="str">
        <f>DayPatternCoefficients!B76</f>
        <v>E-NWA</v>
      </c>
      <c r="X68" s="155">
        <f>DayPatternCoefficients!D76</f>
        <v>-1.1088219987000001</v>
      </c>
      <c r="Y68" s="176">
        <f ref="Y68:Y131" si="47" t="shared">_xlfn.IFNA(VLOOKUP(V68,$L$63:$N$105,3,FALSE),_xlfn.IFNA(VLOOKUP(V68,$H$5:$L$11,5,FALSE),_xlfn.IFNA(VLOOKUP(V68,$J$33:$N$39,5,FALSE),X68)))</f>
        <v>-1.1088219987000001</v>
      </c>
      <c r="Z68" s="247">
        <f ref="Z68:Z131" si="48" t="shared">IF(X68=Y68,0,1)</f>
        <v>0</v>
      </c>
      <c r="AI68" s="115">
        <v>109</v>
      </c>
      <c r="AJ68" s="115" t="s">
        <v>1059</v>
      </c>
      <c r="AK68" s="115">
        <v>-0.19212914375099999</v>
      </c>
      <c r="AM68" s="115" t="s">
        <v>1099</v>
      </c>
    </row>
    <row ht="15.75" r="69" spans="2:39" thickBot="1" x14ac:dyDescent="0.3">
      <c r="B69" s="10" t="str">
        <f ref="B69:J69" si="49" t="shared">B186</f>
        <v>Total</v>
      </c>
      <c r="C69" s="55">
        <f si="49" t="shared"/>
        <v>901648.54598245025</v>
      </c>
      <c r="D69" s="55">
        <f si="49" t="shared"/>
        <v>170065.39758635039</v>
      </c>
      <c r="E69" s="55">
        <f si="49" t="shared"/>
        <v>187216.77730827359</v>
      </c>
      <c r="F69" s="55">
        <f si="49" t="shared"/>
        <v>225726.5714468435</v>
      </c>
      <c r="G69" s="55">
        <f si="49" t="shared"/>
        <v>47146.184000565001</v>
      </c>
      <c r="H69" s="55">
        <f si="49" t="shared"/>
        <v>39980.839567793744</v>
      </c>
      <c r="I69" s="55">
        <f si="49" t="shared"/>
        <v>256902.48673920048</v>
      </c>
      <c r="J69" s="55">
        <f si="49" t="shared"/>
        <v>0</v>
      </c>
      <c r="L69" s="164">
        <v>751</v>
      </c>
      <c r="M69" s="129" t="str">
        <f si="38" t="shared"/>
        <v>D-FTW</v>
      </c>
      <c r="N69" s="179">
        <f si="39" t="shared"/>
        <v>-1.08724312621</v>
      </c>
      <c r="O69" s="191">
        <f si="40" t="shared"/>
        <v>-1.08724312621</v>
      </c>
      <c r="P69" s="172">
        <f si="41" t="shared"/>
        <v>0</v>
      </c>
      <c r="V69" s="161">
        <f>DayPatternCoefficients!A77</f>
        <v>305</v>
      </c>
      <c r="W69" s="161" t="str">
        <f>DayPatternCoefficients!B77</f>
        <v>E-UNI</v>
      </c>
      <c r="X69" s="155">
        <f>DayPatternCoefficients!D77</f>
        <v>-1.4521986715899999</v>
      </c>
      <c r="Y69" s="176">
        <f si="47" t="shared"/>
        <v>-1.4521986715899999</v>
      </c>
      <c r="Z69" s="247">
        <f si="48" t="shared"/>
        <v>0</v>
      </c>
      <c r="AI69" s="115">
        <v>110</v>
      </c>
      <c r="AJ69" s="115" t="s">
        <v>1060</v>
      </c>
      <c r="AK69" s="115">
        <v>0.21578009019899999</v>
      </c>
      <c r="AM69" s="115" t="s">
        <v>1063</v>
      </c>
    </row>
    <row r="70" spans="2:39" x14ac:dyDescent="0.25">
      <c r="J70" s="125">
        <f>SUM(C69:J69)</f>
        <v>1828686.8026314769</v>
      </c>
      <c r="L70" s="164">
        <v>102</v>
      </c>
      <c r="M70" s="129" t="str">
        <f si="38" t="shared"/>
        <v>W-PTW</v>
      </c>
      <c r="N70" s="180">
        <f>D129</f>
        <v>1.1441894555397427</v>
      </c>
      <c r="O70" s="191">
        <f si="40" t="shared"/>
        <v>1.1441894555397427</v>
      </c>
      <c r="P70" s="172">
        <f si="41" t="shared"/>
        <v>0</v>
      </c>
      <c r="V70" s="161">
        <f>DayPatternCoefficients!A78</f>
        <v>306</v>
      </c>
      <c r="W70" s="161" t="str">
        <f>DayPatternCoefficients!B78</f>
        <v>E-DAS</v>
      </c>
      <c r="X70" s="155">
        <f>DayPatternCoefficients!D78</f>
        <v>-1.83417982882</v>
      </c>
      <c r="Y70" s="176">
        <f si="47" t="shared"/>
        <v>-1.83417982882</v>
      </c>
      <c r="Z70" s="247">
        <f si="48" t="shared"/>
        <v>0</v>
      </c>
      <c r="AI70" s="115">
        <v>111</v>
      </c>
      <c r="AJ70" s="115" t="s">
        <v>1060</v>
      </c>
      <c r="AK70" s="115">
        <v>0.173611176344</v>
      </c>
      <c r="AM70" s="115" t="s">
        <v>1064</v>
      </c>
    </row>
    <row r="71" spans="2:39" x14ac:dyDescent="0.25">
      <c r="L71" s="164">
        <v>302</v>
      </c>
      <c r="M71" s="129" t="str">
        <f si="38" t="shared"/>
        <v>E-PTW</v>
      </c>
      <c r="N71" s="180">
        <f>D131</f>
        <v>2.7924700472040911</v>
      </c>
      <c r="O71" s="191">
        <f si="40" t="shared"/>
        <v>2.7924700472040911</v>
      </c>
      <c r="P71" s="172">
        <f si="41" t="shared"/>
        <v>0</v>
      </c>
      <c r="V71" s="161">
        <f>DayPatternCoefficients!A79</f>
        <v>307</v>
      </c>
      <c r="W71" s="161" t="str">
        <f>DayPatternCoefficients!B79</f>
        <v>E-PAS</v>
      </c>
      <c r="X71" s="155">
        <f>DayPatternCoefficients!D79</f>
        <v>-1.8750020057100001</v>
      </c>
      <c r="Y71" s="176">
        <f si="47" t="shared"/>
        <v>-1.8750020057100001</v>
      </c>
      <c r="Z71" s="247">
        <f si="48" t="shared"/>
        <v>0</v>
      </c>
      <c r="AI71" s="115">
        <v>112</v>
      </c>
      <c r="AJ71" s="115" t="s">
        <v>1071</v>
      </c>
      <c r="AK71" s="117">
        <v>1.5375331316199999E-2</v>
      </c>
      <c r="AM71" s="115" t="s">
        <v>1069</v>
      </c>
    </row>
    <row r="72" spans="2:39" x14ac:dyDescent="0.25">
      <c r="B72" s="106" t="s">
        <v>175</v>
      </c>
      <c r="C72" s="3"/>
      <c r="D72" s="3"/>
      <c r="E72" s="3"/>
      <c r="F72" s="3"/>
      <c r="G72" s="3"/>
      <c r="H72" s="3"/>
      <c r="I72" s="3"/>
      <c r="J72" s="3"/>
      <c r="L72" s="164">
        <v>402</v>
      </c>
      <c r="M72" s="129" t="str">
        <f si="38" t="shared"/>
        <v>P-PTW</v>
      </c>
      <c r="N72" s="180">
        <f>D132</f>
        <v>6.6622819977806955</v>
      </c>
      <c r="O72" s="191">
        <f si="40" t="shared"/>
        <v>6.6622819977806955</v>
      </c>
      <c r="P72" s="172">
        <f si="41" t="shared"/>
        <v>0</v>
      </c>
      <c r="V72" s="161">
        <f>DayPatternCoefficients!A80</f>
        <v>308</v>
      </c>
      <c r="W72" s="161" t="str">
        <f>DayPatternCoefficients!B80</f>
        <v>E-CU5</v>
      </c>
      <c r="X72" s="155">
        <f>DayPatternCoefficients!D80</f>
        <v>0.58461516065999997</v>
      </c>
      <c r="Y72" s="176">
        <f si="47" t="shared"/>
        <v>0.58461516065999997</v>
      </c>
      <c r="Z72" s="247">
        <f si="48" t="shared"/>
        <v>0</v>
      </c>
      <c r="AI72" s="115">
        <v>113</v>
      </c>
      <c r="AJ72" s="115" t="s">
        <v>1060</v>
      </c>
      <c r="AK72" s="117">
        <v>7.5013924216099995E-2</v>
      </c>
      <c r="AM72" s="115" t="s">
        <v>1077</v>
      </c>
    </row>
    <row r="73" spans="2:39" x14ac:dyDescent="0.25">
      <c r="B73" s="106" t="s">
        <v>1039</v>
      </c>
      <c r="C73" s="3"/>
      <c r="D73" s="3"/>
      <c r="E73" s="3"/>
      <c r="F73" s="3"/>
      <c r="G73" s="3"/>
      <c r="H73" s="3"/>
      <c r="I73" s="3"/>
      <c r="J73" s="3"/>
      <c r="L73" s="164">
        <v>502</v>
      </c>
      <c r="M73" s="129" t="str">
        <f si="38" t="shared"/>
        <v>H-PTW</v>
      </c>
      <c r="N73" s="180">
        <f>D133</f>
        <v>5.811682647533873</v>
      </c>
      <c r="O73" s="191">
        <f si="40" t="shared"/>
        <v>5.811682647533873</v>
      </c>
      <c r="P73" s="172">
        <f si="41" t="shared"/>
        <v>0</v>
      </c>
      <c r="V73" s="161">
        <f>DayPatternCoefficients!A81</f>
        <v>309</v>
      </c>
      <c r="W73" s="161" t="str">
        <f>DayPatternCoefficients!B81</f>
        <v>E-VLINC</v>
      </c>
      <c r="X73" s="155">
        <f>DayPatternCoefficients!D81</f>
        <v>-0.18680904856</v>
      </c>
      <c r="Y73" s="176">
        <f si="47" t="shared"/>
        <v>-0.18680904856</v>
      </c>
      <c r="Z73" s="247">
        <f si="48" t="shared"/>
        <v>0</v>
      </c>
      <c r="AI73" s="115">
        <v>114</v>
      </c>
      <c r="AJ73" s="115" t="s">
        <v>1060</v>
      </c>
      <c r="AK73" s="117">
        <v>7.3351120189599994E-2</v>
      </c>
      <c r="AM73" s="115" t="s">
        <v>1086</v>
      </c>
    </row>
    <row ht="15.75" r="74" spans="2:39" thickBot="1" x14ac:dyDescent="0.3">
      <c r="B74" s="3"/>
      <c r="C74" s="4"/>
      <c r="D74" s="4"/>
      <c r="E74" s="4"/>
      <c r="F74" s="4"/>
      <c r="G74" s="4"/>
      <c r="H74" s="4"/>
      <c r="I74" s="4"/>
      <c r="L74" s="164">
        <v>602</v>
      </c>
      <c r="M74" s="129" t="str">
        <f si="38" t="shared"/>
        <v>M-PTW</v>
      </c>
      <c r="N74" s="180">
        <f>D134</f>
        <v>1.7944337291018662</v>
      </c>
      <c r="O74" s="191">
        <f si="40" t="shared"/>
        <v>1.7944337291018662</v>
      </c>
      <c r="P74" s="172">
        <f si="41" t="shared"/>
        <v>0</v>
      </c>
      <c r="V74" s="161">
        <f>DayPatternCoefficients!A82</f>
        <v>310</v>
      </c>
      <c r="W74" s="161" t="str">
        <f>DayPatternCoefficients!B82</f>
        <v>E-LOINC</v>
      </c>
      <c r="X74" s="155">
        <f>DayPatternCoefficients!D82</f>
        <v>-0.11525581364</v>
      </c>
      <c r="Y74" s="176">
        <f si="47" t="shared"/>
        <v>-0.11525581364</v>
      </c>
      <c r="Z74" s="247">
        <f si="48" t="shared"/>
        <v>0</v>
      </c>
      <c r="AI74" s="115">
        <v>115</v>
      </c>
      <c r="AJ74" s="115" t="s">
        <v>1060</v>
      </c>
      <c r="AK74" s="117">
        <v>9.3983942987200003E-2</v>
      </c>
      <c r="AM74" s="115" t="s">
        <v>1091</v>
      </c>
    </row>
    <row r="75" spans="2:39" x14ac:dyDescent="0.25">
      <c r="B75" s="5" t="s">
        <v>159</v>
      </c>
      <c r="C75" s="6" t="s">
        <v>146</v>
      </c>
      <c r="D75" s="6" t="s">
        <v>147</v>
      </c>
      <c r="E75" s="6" t="s">
        <v>148</v>
      </c>
      <c r="F75" s="6" t="s">
        <v>242</v>
      </c>
      <c r="G75" s="6" t="s">
        <v>243</v>
      </c>
      <c r="H75" s="6" t="s">
        <v>244</v>
      </c>
      <c r="I75" s="6" t="s">
        <v>245</v>
      </c>
      <c r="L75" s="164">
        <v>702</v>
      </c>
      <c r="M75" s="129" t="str">
        <f si="38" t="shared"/>
        <v>D-PTW</v>
      </c>
      <c r="N75" s="180">
        <f>D135</f>
        <v>1.8037244605041181</v>
      </c>
      <c r="O75" s="191">
        <f si="40" t="shared"/>
        <v>1.8037244605041181</v>
      </c>
      <c r="P75" s="172">
        <f si="41" t="shared"/>
        <v>0</v>
      </c>
      <c r="V75" s="161">
        <f>DayPatternCoefficients!A83</f>
        <v>311</v>
      </c>
      <c r="W75" s="161" t="str">
        <f>DayPatternCoefficients!B83</f>
        <v>E-HIINC</v>
      </c>
      <c r="X75" s="155">
        <f>DayPatternCoefficients!D83</f>
        <v>0</v>
      </c>
      <c r="Y75" s="176">
        <f si="47" t="shared"/>
        <v>0</v>
      </c>
      <c r="Z75" s="247">
        <f si="48" t="shared"/>
        <v>0</v>
      </c>
      <c r="AI75" s="115">
        <v>116</v>
      </c>
      <c r="AJ75" s="115" t="s">
        <v>1060</v>
      </c>
      <c r="AK75" s="115">
        <v>0.109678978272</v>
      </c>
      <c r="AM75" s="115" t="s">
        <v>1099</v>
      </c>
    </row>
    <row r="76" spans="2:39" x14ac:dyDescent="0.25">
      <c r="B76" s="3" t="s">
        <v>210</v>
      </c>
      <c r="C76" s="7">
        <v>151</v>
      </c>
      <c r="D76" s="7">
        <v>102</v>
      </c>
      <c r="E76" s="254" t="s">
        <v>1030</v>
      </c>
      <c r="F76" s="254" t="s">
        <v>1030</v>
      </c>
      <c r="G76" s="7">
        <v>105</v>
      </c>
      <c r="H76" s="7">
        <v>106</v>
      </c>
      <c r="I76" s="254" t="s">
        <v>1030</v>
      </c>
      <c r="L76" s="164">
        <v>303</v>
      </c>
      <c r="M76" s="129" t="str">
        <f si="38" t="shared"/>
        <v>E-RET</v>
      </c>
      <c r="N76" s="180">
        <f>E131</f>
        <v>-2.11024149046</v>
      </c>
      <c r="O76" s="191">
        <f si="40" t="shared"/>
        <v>-2.11024149046</v>
      </c>
      <c r="P76" s="172">
        <f si="41" t="shared"/>
        <v>0</v>
      </c>
      <c r="V76" s="161">
        <f>DayPatternCoefficients!A84</f>
        <v>312</v>
      </c>
      <c r="W76" s="161" t="str">
        <f>DayPatternCoefficients!B84</f>
        <v>E-CARSPD</v>
      </c>
      <c r="X76" s="155">
        <f>DayPatternCoefficients!D84</f>
        <v>0</v>
      </c>
      <c r="Y76" s="176">
        <f si="47" t="shared"/>
        <v>0</v>
      </c>
      <c r="Z76" s="247">
        <f si="48" t="shared"/>
        <v>0</v>
      </c>
      <c r="AI76" s="115">
        <v>131</v>
      </c>
      <c r="AJ76" s="115" t="s">
        <v>1061</v>
      </c>
      <c r="AK76" s="115">
        <v>1.1543530286899999</v>
      </c>
      <c r="AM76" s="115" t="s">
        <v>1063</v>
      </c>
    </row>
    <row r="77" spans="2:39" x14ac:dyDescent="0.25">
      <c r="B77" s="3" t="s">
        <v>211</v>
      </c>
      <c r="C77" s="7">
        <v>251</v>
      </c>
      <c r="D77" s="254" t="s">
        <v>1030</v>
      </c>
      <c r="E77" s="254" t="s">
        <v>1030</v>
      </c>
      <c r="F77" s="254" t="s">
        <v>1030</v>
      </c>
      <c r="G77" s="7">
        <v>205</v>
      </c>
      <c r="H77" s="7">
        <v>206</v>
      </c>
      <c r="I77" s="7">
        <v>207</v>
      </c>
      <c r="L77" s="164">
        <v>403</v>
      </c>
      <c r="M77" s="129" t="str">
        <f si="38" t="shared"/>
        <v>P-RET</v>
      </c>
      <c r="N77" s="180">
        <f>E132</f>
        <v>-0.24624373095999999</v>
      </c>
      <c r="O77" s="191">
        <f si="40" t="shared"/>
        <v>-0.24624373095999999</v>
      </c>
      <c r="P77" s="172">
        <f si="41" t="shared"/>
        <v>0</v>
      </c>
      <c r="V77" s="161">
        <f>DayPatternCoefficients!A85</f>
        <v>313</v>
      </c>
      <c r="W77" s="161" t="str">
        <f>DayPatternCoefficients!B85</f>
        <v>E-ONLYAD</v>
      </c>
      <c r="X77" s="155">
        <f>DayPatternCoefficients!D85</f>
        <v>0.11275167466</v>
      </c>
      <c r="Y77" s="176">
        <f si="47" t="shared"/>
        <v>0.11275167466</v>
      </c>
      <c r="Z77" s="247">
        <f si="48" t="shared"/>
        <v>0</v>
      </c>
      <c r="AI77" s="115">
        <v>138</v>
      </c>
      <c r="AJ77" s="115" t="s">
        <v>1067</v>
      </c>
      <c r="AK77" s="115">
        <v>-0.89256110400499999</v>
      </c>
      <c r="AM77" s="115" t="s">
        <v>1064</v>
      </c>
    </row>
    <row r="78" spans="2:39" x14ac:dyDescent="0.25">
      <c r="B78" s="3" t="s">
        <v>212</v>
      </c>
      <c r="C78" s="7">
        <v>351</v>
      </c>
      <c r="D78" s="7">
        <v>302</v>
      </c>
      <c r="E78" s="7">
        <v>303</v>
      </c>
      <c r="F78" s="7">
        <v>304</v>
      </c>
      <c r="G78" s="7">
        <v>305</v>
      </c>
      <c r="H78" s="7">
        <v>306</v>
      </c>
      <c r="I78" s="7">
        <v>307</v>
      </c>
      <c r="L78" s="164">
        <v>503</v>
      </c>
      <c r="M78" s="129" t="str">
        <f si="38" t="shared"/>
        <v>H-RET</v>
      </c>
      <c r="N78" s="180">
        <f>E133</f>
        <v>-0.75642426743000002</v>
      </c>
      <c r="O78" s="191">
        <f si="40" t="shared"/>
        <v>-0.75642426743000002</v>
      </c>
      <c r="P78" s="172">
        <f si="41" t="shared"/>
        <v>0</v>
      </c>
      <c r="V78" s="161">
        <f>DayPatternCoefficients!A86</f>
        <v>314</v>
      </c>
      <c r="W78" s="161" t="str">
        <f>DayPatternCoefficients!B86</f>
        <v>E-ONLYWK</v>
      </c>
      <c r="X78" s="155">
        <f>DayPatternCoefficients!D86</f>
        <v>-0.47378038370999997</v>
      </c>
      <c r="Y78" s="176">
        <f si="47" t="shared"/>
        <v>-0.47378038370999997</v>
      </c>
      <c r="Z78" s="247">
        <f si="48" t="shared"/>
        <v>0</v>
      </c>
      <c r="AI78" s="115">
        <v>146</v>
      </c>
      <c r="AJ78" s="115" t="s">
        <v>1072</v>
      </c>
      <c r="AK78" s="115">
        <v>0.53132948584100004</v>
      </c>
      <c r="AM78" s="115" t="s">
        <v>1069</v>
      </c>
    </row>
    <row r="79" spans="2:39" x14ac:dyDescent="0.25">
      <c r="B79" s="3" t="s">
        <v>213</v>
      </c>
      <c r="C79" s="7">
        <v>451</v>
      </c>
      <c r="D79" s="7">
        <v>402</v>
      </c>
      <c r="E79" s="7">
        <v>403</v>
      </c>
      <c r="F79" s="7">
        <v>404</v>
      </c>
      <c r="G79" s="7">
        <v>405</v>
      </c>
      <c r="H79" s="7">
        <v>406</v>
      </c>
      <c r="I79" s="7">
        <v>407</v>
      </c>
      <c r="L79" s="164">
        <v>603</v>
      </c>
      <c r="M79" s="129" t="str">
        <f si="38" t="shared"/>
        <v>M-RET</v>
      </c>
      <c r="N79" s="180">
        <f>E134</f>
        <v>-0.82288544304</v>
      </c>
      <c r="O79" s="191">
        <f si="40" t="shared"/>
        <v>-0.82288544304</v>
      </c>
      <c r="P79" s="172">
        <f si="41" t="shared"/>
        <v>0</v>
      </c>
      <c r="V79" s="161">
        <f>DayPatternCoefficients!A87</f>
        <v>316</v>
      </c>
      <c r="W79" s="161" t="str">
        <f>DayPatternCoefficients!B87</f>
        <v>E-FEMNOC</v>
      </c>
      <c r="X79" s="155">
        <f>DayPatternCoefficients!D87</f>
        <v>0</v>
      </c>
      <c r="Y79" s="176">
        <f si="47" t="shared"/>
        <v>0</v>
      </c>
      <c r="Z79" s="247">
        <f si="48" t="shared"/>
        <v>0</v>
      </c>
      <c r="AI79" s="115">
        <v>147</v>
      </c>
      <c r="AJ79" s="115" t="s">
        <v>1073</v>
      </c>
      <c r="AK79" s="115">
        <v>0.449535970974</v>
      </c>
      <c r="AM79" s="115" t="s">
        <v>1069</v>
      </c>
    </row>
    <row r="80" spans="2:39" x14ac:dyDescent="0.25">
      <c r="B80" s="3" t="s">
        <v>214</v>
      </c>
      <c r="C80" s="7">
        <v>551</v>
      </c>
      <c r="D80" s="7">
        <v>502</v>
      </c>
      <c r="E80" s="7">
        <v>503</v>
      </c>
      <c r="F80" s="7">
        <v>504</v>
      </c>
      <c r="G80" s="7">
        <v>505</v>
      </c>
      <c r="H80" s="7">
        <v>506</v>
      </c>
      <c r="I80" s="7">
        <v>507</v>
      </c>
      <c r="L80" s="164">
        <v>703</v>
      </c>
      <c r="M80" s="129" t="str">
        <f si="38" t="shared"/>
        <v>D-RET</v>
      </c>
      <c r="N80" s="180">
        <f>E135</f>
        <v>-1.1475698162500001</v>
      </c>
      <c r="O80" s="191">
        <f si="40" t="shared"/>
        <v>-1.1475698162500001</v>
      </c>
      <c r="P80" s="172">
        <f si="41" t="shared"/>
        <v>0</v>
      </c>
      <c r="V80" s="161">
        <f>DayPatternCoefficients!A88</f>
        <v>317</v>
      </c>
      <c r="W80" s="161" t="str">
        <f>DayPatternCoefficients!B88</f>
        <v>E-FADCU5</v>
      </c>
      <c r="X80" s="155">
        <f>DayPatternCoefficients!D88</f>
        <v>1.25074400924</v>
      </c>
      <c r="Y80" s="176">
        <f si="47" t="shared"/>
        <v>1.25074400924</v>
      </c>
      <c r="Z80" s="247">
        <f si="48" t="shared"/>
        <v>0</v>
      </c>
      <c r="AI80" s="115">
        <v>154</v>
      </c>
      <c r="AJ80" s="115" t="s">
        <v>1067</v>
      </c>
      <c r="AK80" s="115">
        <v>-0.40669471784299999</v>
      </c>
      <c r="AM80" s="115" t="s">
        <v>1084</v>
      </c>
    </row>
    <row r="81" spans="2:39" x14ac:dyDescent="0.25">
      <c r="B81" s="3" t="s">
        <v>129</v>
      </c>
      <c r="C81" s="7">
        <v>651</v>
      </c>
      <c r="D81" s="7">
        <v>602</v>
      </c>
      <c r="E81" s="7">
        <v>603</v>
      </c>
      <c r="F81" s="7">
        <v>604</v>
      </c>
      <c r="G81" s="7">
        <v>605</v>
      </c>
      <c r="H81" s="7">
        <v>606</v>
      </c>
      <c r="I81" s="7">
        <v>607</v>
      </c>
      <c r="L81" s="164">
        <v>304</v>
      </c>
      <c r="M81" s="129" t="str">
        <f si="38" t="shared"/>
        <v>E-NWA</v>
      </c>
      <c r="N81" s="180">
        <f>F131</f>
        <v>-1.1088219987000001</v>
      </c>
      <c r="O81" s="191">
        <f si="40" t="shared"/>
        <v>-1.1088219987000001</v>
      </c>
      <c r="P81" s="172">
        <f si="41" t="shared"/>
        <v>0</v>
      </c>
      <c r="V81" s="161">
        <f>DayPatternCoefficients!A89</f>
        <v>318</v>
      </c>
      <c r="W81" s="161" t="str">
        <f>DayPatternCoefficients!B89</f>
        <v>E-FAD515</v>
      </c>
      <c r="X81" s="155">
        <f>DayPatternCoefficients!D89</f>
        <v>1.7780840091600001</v>
      </c>
      <c r="Y81" s="176">
        <f si="47" t="shared"/>
        <v>1.7780840091600001</v>
      </c>
      <c r="Z81" s="247">
        <f si="48" t="shared"/>
        <v>0</v>
      </c>
      <c r="AI81" s="115">
        <v>155</v>
      </c>
      <c r="AJ81" s="115" t="s">
        <v>1061</v>
      </c>
      <c r="AK81" s="115">
        <v>0.62763871095099999</v>
      </c>
      <c r="AM81" s="115" t="s">
        <v>1084</v>
      </c>
    </row>
    <row ht="15.75" r="82" spans="2:39" thickBot="1" x14ac:dyDescent="0.3">
      <c r="B82" s="15" t="s">
        <v>130</v>
      </c>
      <c r="C82" s="22">
        <v>751</v>
      </c>
      <c r="D82" s="22">
        <v>702</v>
      </c>
      <c r="E82" s="22">
        <v>703</v>
      </c>
      <c r="F82" s="22">
        <v>704</v>
      </c>
      <c r="G82" s="22">
        <v>705</v>
      </c>
      <c r="H82" s="22">
        <v>706</v>
      </c>
      <c r="I82" s="22">
        <v>707</v>
      </c>
      <c r="L82" s="164">
        <v>404</v>
      </c>
      <c r="M82" s="129" t="str">
        <f si="38" t="shared"/>
        <v>P-NWA</v>
      </c>
      <c r="N82" s="180">
        <f>F132</f>
        <v>-1.1659743151199999</v>
      </c>
      <c r="O82" s="191">
        <f si="40" t="shared"/>
        <v>-1.1659743151199999</v>
      </c>
      <c r="P82" s="172">
        <f si="41" t="shared"/>
        <v>0</v>
      </c>
      <c r="V82" s="161">
        <f>DayPatternCoefficients!A90</f>
        <v>319</v>
      </c>
      <c r="W82" s="161" t="str">
        <f>DayPatternCoefficients!B90</f>
        <v>E-MADCU5</v>
      </c>
      <c r="X82" s="155">
        <f>DayPatternCoefficients!D90</f>
        <v>0.58933089640000003</v>
      </c>
      <c r="Y82" s="176">
        <f si="47" t="shared"/>
        <v>0.58933089640000003</v>
      </c>
      <c r="Z82" s="247">
        <f si="48" t="shared"/>
        <v>0</v>
      </c>
      <c r="AI82" s="115">
        <v>162</v>
      </c>
      <c r="AJ82" s="115" t="s">
        <v>1088</v>
      </c>
      <c r="AK82" s="115">
        <v>-0.61176239378700004</v>
      </c>
      <c r="AM82" s="115" t="s">
        <v>1086</v>
      </c>
    </row>
    <row r="83" spans="2:39" x14ac:dyDescent="0.25">
      <c r="L83" s="164">
        <v>504</v>
      </c>
      <c r="M83" s="129" t="str">
        <f si="38" t="shared"/>
        <v>H-NWA</v>
      </c>
      <c r="N83" s="180">
        <f>F133</f>
        <v>-0.80435735085000004</v>
      </c>
      <c r="O83" s="191">
        <f si="40" t="shared"/>
        <v>-0.80435735085000004</v>
      </c>
      <c r="P83" s="172">
        <f si="41" t="shared"/>
        <v>0</v>
      </c>
      <c r="V83" s="161">
        <f>DayPatternCoefficients!A91</f>
        <v>320</v>
      </c>
      <c r="W83" s="161" t="str">
        <f>DayPatternCoefficients!B91</f>
        <v>E-MAD515</v>
      </c>
      <c r="X83" s="155">
        <f>DayPatternCoefficients!D91</f>
        <v>1.2248944044500001</v>
      </c>
      <c r="Y83" s="176">
        <f si="47" t="shared"/>
        <v>1.2248944044500001</v>
      </c>
      <c r="Z83" s="247">
        <f si="48" t="shared"/>
        <v>0</v>
      </c>
      <c r="AI83" s="115">
        <v>164</v>
      </c>
      <c r="AJ83" s="115" t="s">
        <v>1089</v>
      </c>
      <c r="AK83" s="115">
        <v>0.29502698115600001</v>
      </c>
      <c r="AM83" s="115" t="s">
        <v>1086</v>
      </c>
    </row>
    <row r="84" spans="2:39" x14ac:dyDescent="0.25">
      <c r="L84" s="164">
        <v>604</v>
      </c>
      <c r="M84" s="129" t="str">
        <f si="38" t="shared"/>
        <v>M-NWA</v>
      </c>
      <c r="N84" s="180">
        <f>F134</f>
        <v>-1.4950205351900001</v>
      </c>
      <c r="O84" s="191">
        <f si="40" t="shared"/>
        <v>-1.4950205351900001</v>
      </c>
      <c r="P84" s="172">
        <f si="41" t="shared"/>
        <v>0</v>
      </c>
      <c r="V84" s="161">
        <f>DayPatternCoefficients!A92</f>
        <v>321</v>
      </c>
      <c r="W84" s="161" t="str">
        <f>DayPatternCoefficients!B92</f>
        <v>E-AG1825</v>
      </c>
      <c r="X84" s="155">
        <f>DayPatternCoefficients!D92</f>
        <v>-0.64118983166999999</v>
      </c>
      <c r="Y84" s="176">
        <f si="47" t="shared"/>
        <v>-0.64118983166999999</v>
      </c>
      <c r="Z84" s="247">
        <f si="48" t="shared"/>
        <v>0</v>
      </c>
      <c r="AI84" s="115">
        <v>170</v>
      </c>
      <c r="AJ84" s="115" t="s">
        <v>1093</v>
      </c>
      <c r="AK84" s="115">
        <v>-1.13679650073</v>
      </c>
      <c r="AM84" s="115" t="s">
        <v>1091</v>
      </c>
    </row>
    <row r="85" spans="2:39" x14ac:dyDescent="0.25">
      <c r="B85" s="106" t="s">
        <v>175</v>
      </c>
      <c r="C85" s="3"/>
      <c r="D85" s="3"/>
      <c r="E85" s="3"/>
      <c r="F85" s="3"/>
      <c r="G85" s="3"/>
      <c r="H85" s="3"/>
      <c r="I85" s="3"/>
      <c r="J85" s="3"/>
      <c r="L85" s="164">
        <v>704</v>
      </c>
      <c r="M85" s="129" t="str">
        <f si="38" t="shared"/>
        <v>D-NWA</v>
      </c>
      <c r="N85" s="180">
        <f>F135</f>
        <v>-1.0826110979400001</v>
      </c>
      <c r="O85" s="191">
        <f si="40" t="shared"/>
        <v>-1.0826110979400001</v>
      </c>
      <c r="P85" s="172">
        <f si="41" t="shared"/>
        <v>0</v>
      </c>
      <c r="V85" s="137">
        <f>DayPatternCoefficients!A93</f>
        <v>322</v>
      </c>
      <c r="W85" s="137" t="str">
        <f>DayPatternCoefficients!B93</f>
        <v>E-AG2635</v>
      </c>
      <c r="X85" s="138">
        <f>DayPatternCoefficients!D93</f>
        <v>-0.26216348222000002</v>
      </c>
      <c r="Y85" s="176">
        <f si="47" t="shared"/>
        <v>-0.26216348222000002</v>
      </c>
      <c r="Z85" s="247">
        <f si="48" t="shared"/>
        <v>0</v>
      </c>
      <c r="AI85" s="115">
        <v>171</v>
      </c>
      <c r="AJ85" s="115" t="s">
        <v>1094</v>
      </c>
      <c r="AK85" s="115">
        <v>0.80187878989000005</v>
      </c>
      <c r="AM85" s="115" t="s">
        <v>1091</v>
      </c>
    </row>
    <row r="86" spans="2:39" x14ac:dyDescent="0.25">
      <c r="B86" s="106" t="s">
        <v>1036</v>
      </c>
      <c r="C86" s="3"/>
      <c r="D86" s="3"/>
      <c r="E86" s="3"/>
      <c r="F86" s="3"/>
      <c r="G86" s="3"/>
      <c r="H86" s="3"/>
      <c r="I86" s="3"/>
      <c r="J86" s="3"/>
      <c r="L86" s="164">
        <v>105</v>
      </c>
      <c r="M86" s="129" t="str">
        <f si="38" t="shared"/>
        <v>W-UNI</v>
      </c>
      <c r="N86" s="180">
        <f ref="N86:N92" si="50" t="shared">G129</f>
        <v>-2.5142965129700001</v>
      </c>
      <c r="O86" s="191">
        <f si="40" t="shared"/>
        <v>-2.5142965129700001</v>
      </c>
      <c r="P86" s="172">
        <f si="41" t="shared"/>
        <v>0</v>
      </c>
      <c r="V86" s="137">
        <f>DayPatternCoefficients!A94</f>
        <v>323</v>
      </c>
      <c r="W86" s="137" t="str">
        <f>DayPatternCoefficients!B94</f>
        <v>E-AG5165</v>
      </c>
      <c r="X86" s="138">
        <f>DayPatternCoefficients!D94</f>
        <v>-0.34261970775</v>
      </c>
      <c r="Y86" s="176">
        <f si="47" t="shared"/>
        <v>-0.34261970775</v>
      </c>
      <c r="Z86" s="247">
        <f si="48" t="shared"/>
        <v>0</v>
      </c>
      <c r="AI86" s="115">
        <v>172</v>
      </c>
      <c r="AJ86" s="115" t="s">
        <v>1095</v>
      </c>
      <c r="AK86" s="115">
        <v>0.53036306282199996</v>
      </c>
      <c r="AM86" s="115" t="s">
        <v>1091</v>
      </c>
    </row>
    <row ht="15.75" r="87" spans="2:39" thickBot="1" x14ac:dyDescent="0.3">
      <c r="B87" s="3"/>
      <c r="C87" s="4"/>
      <c r="D87" s="4"/>
      <c r="E87" s="4"/>
      <c r="F87" s="4"/>
      <c r="G87" s="4"/>
      <c r="H87" s="4"/>
      <c r="I87" s="4"/>
      <c r="L87" s="164">
        <v>205</v>
      </c>
      <c r="M87" s="129" t="str">
        <f si="38" t="shared"/>
        <v>S-UNI</v>
      </c>
      <c r="N87" s="180">
        <f si="50" t="shared"/>
        <v>-0.54322823780999996</v>
      </c>
      <c r="O87" s="191">
        <f si="40" t="shared"/>
        <v>-0.54322823780999996</v>
      </c>
      <c r="P87" s="172">
        <f si="41" t="shared"/>
        <v>0</v>
      </c>
      <c r="V87" s="137">
        <f>DayPatternCoefficients!A95</f>
        <v>324</v>
      </c>
      <c r="W87" s="137" t="str">
        <f>DayPatternCoefficients!B95</f>
        <v>E-WAHOME</v>
      </c>
      <c r="X87" s="138">
        <f>DayPatternCoefficients!D95</f>
        <v>0</v>
      </c>
      <c r="Y87" s="176">
        <f si="47" t="shared"/>
        <v>0</v>
      </c>
      <c r="Z87" s="247">
        <f si="48" t="shared"/>
        <v>0</v>
      </c>
      <c r="AI87" s="115">
        <v>173</v>
      </c>
      <c r="AJ87" s="115" t="s">
        <v>1093</v>
      </c>
      <c r="AK87" s="115">
        <v>-0.48533998618500002</v>
      </c>
      <c r="AM87" s="115" t="s">
        <v>1099</v>
      </c>
    </row>
    <row r="88" spans="2:39" x14ac:dyDescent="0.25">
      <c r="B88" s="5" t="s">
        <v>159</v>
      </c>
      <c r="C88" s="6" t="s">
        <v>146</v>
      </c>
      <c r="D88" s="6" t="s">
        <v>147</v>
      </c>
      <c r="E88" s="6" t="s">
        <v>148</v>
      </c>
      <c r="F88" s="6" t="s">
        <v>242</v>
      </c>
      <c r="G88" s="6" t="s">
        <v>243</v>
      </c>
      <c r="H88" s="6" t="s">
        <v>244</v>
      </c>
      <c r="I88" s="6" t="s">
        <v>245</v>
      </c>
      <c r="L88" s="164">
        <v>305</v>
      </c>
      <c r="M88" s="129" t="str">
        <f si="38" t="shared"/>
        <v>E-UNI</v>
      </c>
      <c r="N88" s="180">
        <f si="50" t="shared"/>
        <v>-1.4521986715899999</v>
      </c>
      <c r="O88" s="191">
        <f si="40" t="shared"/>
        <v>-1.4521986715899999</v>
      </c>
      <c r="P88" s="172">
        <f si="41" t="shared"/>
        <v>0</v>
      </c>
      <c r="V88" s="137">
        <f>DayPatternCoefficients!A96</f>
        <v>325</v>
      </c>
      <c r="W88" s="137" t="str">
        <f>DayPatternCoefficients!B96</f>
        <v>E-MIXDEN</v>
      </c>
      <c r="X88" s="138">
        <f>DayPatternCoefficients!D96</f>
        <v>0</v>
      </c>
      <c r="Y88" s="176">
        <f si="47" t="shared"/>
        <v>0</v>
      </c>
      <c r="Z88" s="247">
        <f si="48" t="shared"/>
        <v>0</v>
      </c>
      <c r="AI88" s="115">
        <v>174</v>
      </c>
      <c r="AJ88" s="115" t="s">
        <v>1089</v>
      </c>
      <c r="AK88" s="115">
        <v>0.219330681704</v>
      </c>
      <c r="AM88" s="115" t="s">
        <v>1099</v>
      </c>
    </row>
    <row r="89" spans="2:39" x14ac:dyDescent="0.25">
      <c r="B89" s="3" t="s">
        <v>210</v>
      </c>
      <c r="C89" s="143">
        <f>X32</f>
        <v>-0.47911897977000001</v>
      </c>
      <c r="D89" s="143">
        <f>X5</f>
        <v>-0.12630532374</v>
      </c>
      <c r="E89" s="254" t="s">
        <v>1030</v>
      </c>
      <c r="F89" s="254" t="s">
        <v>1030</v>
      </c>
      <c r="G89" s="143">
        <f>X6</f>
        <v>-2.5142965129700001</v>
      </c>
      <c r="H89" s="143">
        <f>X7</f>
        <v>-3.8295481163199998</v>
      </c>
      <c r="I89" s="254" t="s">
        <v>1030</v>
      </c>
      <c r="L89" s="164">
        <v>405</v>
      </c>
      <c r="M89" s="129" t="str">
        <f si="38" t="shared"/>
        <v>P-UNI</v>
      </c>
      <c r="N89" s="180">
        <f si="50" t="shared"/>
        <v>-2.0528822094499999</v>
      </c>
      <c r="O89" s="191">
        <f si="40" t="shared"/>
        <v>-2.0528822094499999</v>
      </c>
      <c r="P89" s="172">
        <f si="41" t="shared"/>
        <v>0</v>
      </c>
      <c r="V89" s="137">
        <f>DayPatternCoefficients!A97</f>
        <v>326</v>
      </c>
      <c r="W89" s="137" t="str">
        <f>DayPatternCoefficients!B97</f>
        <v>E-INTDEN</v>
      </c>
      <c r="X89" s="138">
        <f>DayPatternCoefficients!D97</f>
        <v>0</v>
      </c>
      <c r="Y89" s="176">
        <f si="47" t="shared"/>
        <v>0</v>
      </c>
      <c r="Z89" s="247">
        <f si="48" t="shared"/>
        <v>0</v>
      </c>
      <c r="AI89" s="115">
        <v>175</v>
      </c>
      <c r="AJ89" s="115" t="s">
        <v>1062</v>
      </c>
      <c r="AK89" s="115">
        <v>0.47838014869200002</v>
      </c>
      <c r="AM89" s="115" t="s">
        <v>1063</v>
      </c>
    </row>
    <row r="90" spans="2:39" x14ac:dyDescent="0.25">
      <c r="B90" s="3" t="s">
        <v>211</v>
      </c>
      <c r="C90" s="143">
        <f>X63</f>
        <v>-0.13882682499999999</v>
      </c>
      <c r="D90" s="254" t="s">
        <v>1030</v>
      </c>
      <c r="E90" s="254" t="s">
        <v>1030</v>
      </c>
      <c r="F90" s="254" t="s">
        <v>1030</v>
      </c>
      <c r="G90" s="143">
        <f>X35</f>
        <v>-0.54322823780999996</v>
      </c>
      <c r="H90" s="143">
        <f>X36</f>
        <v>0.32874149364999999</v>
      </c>
      <c r="I90" s="143">
        <f>X37</f>
        <v>2.3775085649699998</v>
      </c>
      <c r="L90" s="164">
        <v>505</v>
      </c>
      <c r="M90" s="129" t="str">
        <f si="38" t="shared"/>
        <v>H-UNI</v>
      </c>
      <c r="N90" s="180">
        <f si="50" t="shared"/>
        <v>-1.32038599973</v>
      </c>
      <c r="O90" s="191">
        <f si="40" t="shared"/>
        <v>-1.32038599973</v>
      </c>
      <c r="P90" s="172">
        <f si="41" t="shared"/>
        <v>0</v>
      </c>
      <c r="V90" s="137">
        <f>DayPatternCoefficients!A98</f>
        <v>327</v>
      </c>
      <c r="W90" s="137" t="str">
        <f>DayPatternCoefficients!B98</f>
        <v>E-ACCLOG</v>
      </c>
      <c r="X90" s="138">
        <f>DayPatternCoefficients!D98</f>
        <v>0</v>
      </c>
      <c r="Y90" s="176">
        <f si="47" t="shared"/>
        <v>0</v>
      </c>
      <c r="Z90" s="247">
        <f si="48" t="shared"/>
        <v>0</v>
      </c>
      <c r="AI90" s="115">
        <v>181</v>
      </c>
      <c r="AJ90" s="115" t="s">
        <v>1074</v>
      </c>
      <c r="AK90" s="115">
        <v>0.14237400597200001</v>
      </c>
      <c r="AM90" s="115" t="s">
        <v>1069</v>
      </c>
    </row>
    <row r="91" spans="2:39" x14ac:dyDescent="0.25">
      <c r="B91" s="3" t="s">
        <v>212</v>
      </c>
      <c r="C91" s="143">
        <f>X97</f>
        <v>-1.0623648370200001</v>
      </c>
      <c r="D91" s="143">
        <f>X66</f>
        <v>1.2614942409100001</v>
      </c>
      <c r="E91" s="143">
        <f>X67</f>
        <v>-2.11024149046</v>
      </c>
      <c r="F91" s="143">
        <f>X68</f>
        <v>-1.1088219987000001</v>
      </c>
      <c r="G91" s="143">
        <f>X69</f>
        <v>-1.4521986715899999</v>
      </c>
      <c r="H91" s="143">
        <f>X70</f>
        <v>-1.83417982882</v>
      </c>
      <c r="I91" s="143">
        <f>X71</f>
        <v>-1.8750020057100001</v>
      </c>
      <c r="L91" s="164">
        <v>605</v>
      </c>
      <c r="M91" s="129" t="str">
        <f si="38" t="shared"/>
        <v>M-UNI</v>
      </c>
      <c r="N91" s="180">
        <f si="50" t="shared"/>
        <v>-0.96389520255000005</v>
      </c>
      <c r="O91" s="191">
        <f si="40" t="shared"/>
        <v>-0.96389520255000005</v>
      </c>
      <c r="P91" s="172">
        <f si="41" t="shared"/>
        <v>0</v>
      </c>
      <c r="V91" s="137">
        <f>DayPatternCoefficients!A99</f>
        <v>328</v>
      </c>
      <c r="W91" s="137" t="str">
        <f>DayPatternCoefficients!B99</f>
        <v>E-TPASS</v>
      </c>
      <c r="X91" s="138">
        <f>DayPatternCoefficients!D99</f>
        <v>0</v>
      </c>
      <c r="Y91" s="176">
        <f si="47" t="shared"/>
        <v>0</v>
      </c>
      <c r="Z91" s="247">
        <f si="48" t="shared"/>
        <v>0</v>
      </c>
      <c r="AI91" s="115">
        <v>183</v>
      </c>
      <c r="AJ91" s="115" t="s">
        <v>1075</v>
      </c>
      <c r="AK91" s="115">
        <v>1.1661510393600001</v>
      </c>
      <c r="AM91" s="115" t="s">
        <v>1069</v>
      </c>
    </row>
    <row r="92" spans="2:39" x14ac:dyDescent="0.25">
      <c r="B92" s="3" t="s">
        <v>213</v>
      </c>
      <c r="C92" s="143">
        <f>X131</f>
        <v>-0.78628794521000001</v>
      </c>
      <c r="D92" s="143">
        <f>X100</f>
        <v>2.8035772453900001</v>
      </c>
      <c r="E92" s="143">
        <f>X101</f>
        <v>-0.24624373095999999</v>
      </c>
      <c r="F92" s="143">
        <f>X102</f>
        <v>-1.1659743151199999</v>
      </c>
      <c r="G92" s="143">
        <f>X103</f>
        <v>-2.0528822094499999</v>
      </c>
      <c r="H92" s="143">
        <f>X104</f>
        <v>-2.4818889930700001</v>
      </c>
      <c r="I92" s="143">
        <f>X105</f>
        <v>-1.73055593888</v>
      </c>
      <c r="L92" s="164">
        <v>705</v>
      </c>
      <c r="M92" s="129" t="str">
        <f si="38" t="shared"/>
        <v>D-UNI</v>
      </c>
      <c r="N92" s="180">
        <f si="50" t="shared"/>
        <v>-2.0534535142900001</v>
      </c>
      <c r="O92" s="191">
        <f si="40" t="shared"/>
        <v>-2.0534535142900001</v>
      </c>
      <c r="P92" s="172">
        <f si="41" t="shared"/>
        <v>0</v>
      </c>
      <c r="V92" s="137">
        <f>DayPatternCoefficients!A100</f>
        <v>329</v>
      </c>
      <c r="W92" s="137" t="str">
        <f>DayPatternCoefficients!B100</f>
        <v>E-T-LOGS</v>
      </c>
      <c r="X92" s="138">
        <f>DayPatternCoefficients!D100</f>
        <v>6.6231123020000005E-2</v>
      </c>
      <c r="Y92" s="176">
        <f si="47" t="shared"/>
        <v>6.6231123020000005E-2</v>
      </c>
      <c r="Z92" s="247">
        <f si="48" t="shared"/>
        <v>0</v>
      </c>
      <c r="AI92" s="115">
        <v>184</v>
      </c>
      <c r="AJ92" s="115" t="s">
        <v>1076</v>
      </c>
      <c r="AK92" s="115">
        <v>1.59404940426</v>
      </c>
      <c r="AM92" s="115" t="s">
        <v>1069</v>
      </c>
    </row>
    <row r="93" spans="2:39" x14ac:dyDescent="0.25">
      <c r="B93" s="3" t="s">
        <v>214</v>
      </c>
      <c r="C93" s="143">
        <f>X165</f>
        <v>-0.95312305667999997</v>
      </c>
      <c r="D93" s="143">
        <f>X134</f>
        <v>2.37096125334</v>
      </c>
      <c r="E93" s="143">
        <f>X135</f>
        <v>-0.75642426743000002</v>
      </c>
      <c r="F93" s="143">
        <f>X136</f>
        <v>-0.80435735085000004</v>
      </c>
      <c r="G93" s="143">
        <f>X137</f>
        <v>-1.32038599973</v>
      </c>
      <c r="H93" s="143">
        <f>X138</f>
        <v>-3.1616474248899999</v>
      </c>
      <c r="I93" s="143">
        <f>X139</f>
        <v>-2.1164686959500001</v>
      </c>
      <c r="L93" s="164">
        <v>106</v>
      </c>
      <c r="M93" s="129" t="str">
        <f si="38" t="shared"/>
        <v>W-DAS</v>
      </c>
      <c r="N93" s="180">
        <f ref="N93:N99" si="51" t="shared">H129</f>
        <v>-3.8295481163199998</v>
      </c>
      <c r="O93" s="191">
        <f si="40" t="shared"/>
        <v>-3.8295481163199998</v>
      </c>
      <c r="P93" s="172">
        <f si="41" t="shared"/>
        <v>0</v>
      </c>
      <c r="V93" s="137">
        <f>DayPatternCoefficients!A101</f>
        <v>330</v>
      </c>
      <c r="W93" s="137" t="str">
        <f>DayPatternCoefficients!B101</f>
        <v>E-T-PPRK</v>
      </c>
      <c r="X93" s="138">
        <f>DayPatternCoefficients!D101</f>
        <v>0</v>
      </c>
      <c r="Y93" s="176">
        <f si="47" t="shared"/>
        <v>0</v>
      </c>
      <c r="Z93" s="247">
        <f si="48" t="shared"/>
        <v>0</v>
      </c>
      <c r="AI93" s="115">
        <v>195</v>
      </c>
      <c r="AJ93" s="115" t="s">
        <v>1085</v>
      </c>
      <c r="AK93" s="117">
        <v>4.5416395363000003E-2</v>
      </c>
      <c r="AM93" s="115" t="s">
        <v>1077</v>
      </c>
    </row>
    <row r="94" spans="2:39" x14ac:dyDescent="0.25">
      <c r="B94" s="3" t="s">
        <v>129</v>
      </c>
      <c r="C94" s="143">
        <f>X199</f>
        <v>-0.67422601961999995</v>
      </c>
      <c r="D94" s="143">
        <f>X168</f>
        <v>0.50535074812000003</v>
      </c>
      <c r="E94" s="143">
        <f>X169</f>
        <v>-0.82288544304</v>
      </c>
      <c r="F94" s="143">
        <f>X170</f>
        <v>-1.4950205351900001</v>
      </c>
      <c r="G94" s="143">
        <f>X171</f>
        <v>-0.96389520255000005</v>
      </c>
      <c r="H94" s="143">
        <f>X172</f>
        <v>-2.9948228206800001</v>
      </c>
      <c r="I94" s="143">
        <f>X173</f>
        <v>-1.98828318011</v>
      </c>
      <c r="L94" s="164">
        <v>206</v>
      </c>
      <c r="M94" s="129" t="str">
        <f si="38" t="shared"/>
        <v>S-DAS</v>
      </c>
      <c r="N94" s="180">
        <f si="51" t="shared"/>
        <v>0.32874149364999999</v>
      </c>
      <c r="O94" s="191">
        <f si="40" t="shared"/>
        <v>0.32874149364999999</v>
      </c>
      <c r="P94" s="172">
        <f si="41" t="shared"/>
        <v>0</v>
      </c>
      <c r="V94" s="161">
        <f>DayPatternCoefficients!A102</f>
        <v>331</v>
      </c>
      <c r="W94" s="161" t="str">
        <f>DayPatternCoefficients!B102</f>
        <v>E-S-LOGS</v>
      </c>
      <c r="X94" s="155">
        <f>DayPatternCoefficients!D102</f>
        <v>7.8148553590000003E-2</v>
      </c>
      <c r="Y94" s="176">
        <f si="47" t="shared"/>
        <v>7.8148553590000003E-2</v>
      </c>
      <c r="Z94" s="247">
        <f si="48" t="shared"/>
        <v>0</v>
      </c>
      <c r="AI94" s="115">
        <v>196</v>
      </c>
      <c r="AJ94" s="115" t="s">
        <v>1075</v>
      </c>
      <c r="AK94" s="115">
        <v>0.14396484352399999</v>
      </c>
      <c r="AM94" s="115" t="s">
        <v>1084</v>
      </c>
    </row>
    <row ht="15.75" r="95" spans="2:39" thickBot="1" x14ac:dyDescent="0.3">
      <c r="B95" s="15" t="s">
        <v>130</v>
      </c>
      <c r="C95" s="144">
        <f>X233</f>
        <v>-1.08724312621</v>
      </c>
      <c r="D95" s="144">
        <f>X202</f>
        <v>0.65142938905000003</v>
      </c>
      <c r="E95" s="144">
        <f>X203</f>
        <v>-1.1475698162500001</v>
      </c>
      <c r="F95" s="144">
        <f>X204</f>
        <v>-1.0826110979400001</v>
      </c>
      <c r="G95" s="144">
        <f>X205</f>
        <v>-2.0534535142900001</v>
      </c>
      <c r="H95" s="144">
        <f>X206</f>
        <v>-1.5469095636900001</v>
      </c>
      <c r="I95" s="144">
        <f>X207</f>
        <v>-0.36546801553000002</v>
      </c>
      <c r="L95" s="164">
        <v>306</v>
      </c>
      <c r="M95" s="129" t="str">
        <f si="38" t="shared"/>
        <v>E-DAS</v>
      </c>
      <c r="N95" s="180">
        <f si="51" t="shared"/>
        <v>-1.83417982882</v>
      </c>
      <c r="O95" s="191">
        <f si="40" t="shared"/>
        <v>-1.83417982882</v>
      </c>
      <c r="P95" s="172">
        <f si="41" t="shared"/>
        <v>0</v>
      </c>
      <c r="V95" s="161">
        <f>DayPatternCoefficients!A103</f>
        <v>332</v>
      </c>
      <c r="W95" s="161" t="str">
        <f>DayPatternCoefficients!B103</f>
        <v>E-NODIAR</v>
      </c>
      <c r="X95" s="155">
        <f>DayPatternCoefficients!D103</f>
        <v>-0.36162839107</v>
      </c>
      <c r="Y95" s="176">
        <f si="47" t="shared"/>
        <v>-0.36162839107</v>
      </c>
      <c r="Z95" s="247">
        <f si="48" t="shared"/>
        <v>0</v>
      </c>
      <c r="AI95" s="115">
        <v>197</v>
      </c>
      <c r="AJ95" s="115" t="s">
        <v>1076</v>
      </c>
      <c r="AK95" s="115">
        <v>0.21876493547600001</v>
      </c>
      <c r="AM95" s="115" t="s">
        <v>1077</v>
      </c>
    </row>
    <row r="96" spans="2:39" x14ac:dyDescent="0.25">
      <c r="L96" s="164">
        <v>406</v>
      </c>
      <c r="M96" s="129" t="str">
        <f si="38" t="shared"/>
        <v>P-DAS</v>
      </c>
      <c r="N96" s="180">
        <f si="51" t="shared"/>
        <v>-2.4818889930700001</v>
      </c>
      <c r="O96" s="191">
        <f si="40" t="shared"/>
        <v>-2.4818889930700001</v>
      </c>
      <c r="P96" s="172">
        <f si="41" t="shared"/>
        <v>0</v>
      </c>
      <c r="V96" s="161">
        <f>DayPatternCoefficients!A104</f>
        <v>333</v>
      </c>
      <c r="W96" s="161" t="str">
        <f>DayPatternCoefficients!B104</f>
        <v>E-PROXY</v>
      </c>
      <c r="X96" s="155">
        <f>DayPatternCoefficients!D104</f>
        <v>-0.16749789355</v>
      </c>
      <c r="Y96" s="176">
        <f si="47" t="shared"/>
        <v>-0.16749789355</v>
      </c>
      <c r="Z96" s="247">
        <f si="48" t="shared"/>
        <v>0</v>
      </c>
      <c r="AI96" s="115">
        <v>207</v>
      </c>
      <c r="AJ96" s="115" t="s">
        <v>1074</v>
      </c>
      <c r="AK96" s="115">
        <v>0.114269623332</v>
      </c>
      <c r="AM96" s="115" t="s">
        <v>1086</v>
      </c>
    </row>
    <row r="97" spans="2:39" x14ac:dyDescent="0.25">
      <c r="L97" s="164">
        <v>506</v>
      </c>
      <c r="M97" s="129" t="str">
        <f si="38" t="shared"/>
        <v>H-DAS</v>
      </c>
      <c r="N97" s="180">
        <f si="51" t="shared"/>
        <v>-3.1616474248899999</v>
      </c>
      <c r="O97" s="191">
        <f si="40" t="shared"/>
        <v>-3.1616474248899999</v>
      </c>
      <c r="P97" s="172">
        <f si="41" t="shared"/>
        <v>0</v>
      </c>
      <c r="V97" s="161">
        <f>DayPatternCoefficients!A105</f>
        <v>351</v>
      </c>
      <c r="W97" s="161" t="str">
        <f>DayPatternCoefficients!B105</f>
        <v>E-FTW</v>
      </c>
      <c r="X97" s="155">
        <f>DayPatternCoefficients!D105</f>
        <v>-1.0623648370200001</v>
      </c>
      <c r="Y97" s="176">
        <f si="47" t="shared"/>
        <v>-1.0623648370200001</v>
      </c>
      <c r="Z97" s="247">
        <f si="48" t="shared"/>
        <v>0</v>
      </c>
      <c r="AI97" s="115">
        <v>209</v>
      </c>
      <c r="AJ97" s="115" t="s">
        <v>1075</v>
      </c>
      <c r="AK97" s="115">
        <v>0.249122719479</v>
      </c>
      <c r="AM97" s="115" t="s">
        <v>1086</v>
      </c>
    </row>
    <row r="98" spans="2:39" x14ac:dyDescent="0.25">
      <c r="B98" s="220" t="s">
        <v>175</v>
      </c>
      <c r="C98" s="3"/>
      <c r="D98" s="3"/>
      <c r="E98" s="3"/>
      <c r="F98" s="39"/>
      <c r="G98" s="39"/>
      <c r="H98" s="3"/>
      <c r="I98" s="3"/>
      <c r="J98" s="3"/>
      <c r="L98" s="164">
        <v>606</v>
      </c>
      <c r="M98" s="129" t="str">
        <f si="38" t="shared"/>
        <v>M-DAS</v>
      </c>
      <c r="N98" s="180">
        <f si="51" t="shared"/>
        <v>-2.9948228206800001</v>
      </c>
      <c r="O98" s="191">
        <f si="40" t="shared"/>
        <v>-2.9948228206800001</v>
      </c>
      <c r="P98" s="172">
        <f si="41" t="shared"/>
        <v>0</v>
      </c>
      <c r="Q98" s="148"/>
      <c r="R98" s="148"/>
      <c r="S98" s="148"/>
      <c r="V98" s="161">
        <f>DayPatternCoefficients!A106</f>
        <v>400</v>
      </c>
      <c r="W98" s="161" t="str">
        <f>DayPatternCoefficients!B106</f>
        <v>P-TASC</v>
      </c>
      <c r="X98" s="155">
        <f>DayPatternCoefficients!D106</f>
        <v>-1.5432299922999999</v>
      </c>
      <c r="Y98" s="176">
        <f si="47" t="shared"/>
        <v>-1.5432299922999999</v>
      </c>
      <c r="Z98" s="247">
        <f si="48" t="shared"/>
        <v>0</v>
      </c>
      <c r="AI98" s="115">
        <v>210</v>
      </c>
      <c r="AJ98" s="115" t="s">
        <v>1076</v>
      </c>
      <c r="AK98" s="115">
        <v>0.25694206716599999</v>
      </c>
      <c r="AM98" s="115" t="s">
        <v>1086</v>
      </c>
    </row>
    <row r="99" spans="2:39" x14ac:dyDescent="0.25">
      <c r="B99" s="220" t="s">
        <v>1209</v>
      </c>
      <c r="C99" s="3"/>
      <c r="D99" s="3"/>
      <c r="E99" s="3"/>
      <c r="F99" s="39"/>
      <c r="G99" s="39"/>
      <c r="H99" s="3"/>
      <c r="I99" s="3"/>
      <c r="J99" s="3"/>
      <c r="L99" s="164">
        <v>706</v>
      </c>
      <c r="M99" s="129" t="str">
        <f si="38" t="shared"/>
        <v>D-DAS</v>
      </c>
      <c r="N99" s="180">
        <f si="51" t="shared"/>
        <v>-1.5469095636900001</v>
      </c>
      <c r="O99" s="191">
        <f si="40" t="shared"/>
        <v>-1.5469095636900001</v>
      </c>
      <c r="P99" s="172">
        <f si="41" t="shared"/>
        <v>0</v>
      </c>
      <c r="Q99" s="148"/>
      <c r="R99" s="148"/>
      <c r="S99" s="148"/>
      <c r="V99" s="161">
        <f>DayPatternCoefficients!A107</f>
        <v>401</v>
      </c>
      <c r="W99" s="161" t="str">
        <f>DayPatternCoefficients!B107</f>
        <v>P-SASC</v>
      </c>
      <c r="X99" s="155">
        <f>DayPatternCoefficients!D107</f>
        <v>3.31854492639</v>
      </c>
      <c r="Y99" s="176">
        <f si="47" t="shared"/>
        <v>3.31854492639</v>
      </c>
      <c r="Z99" s="247">
        <f si="48" t="shared"/>
        <v>0</v>
      </c>
      <c r="AI99" s="115">
        <v>221</v>
      </c>
      <c r="AJ99" s="115" t="s">
        <v>1085</v>
      </c>
      <c r="AK99" s="115">
        <v>0.12529901139999999</v>
      </c>
      <c r="AM99" s="115" t="s">
        <v>1091</v>
      </c>
    </row>
    <row ht="15.75" r="100" spans="2:39" thickBot="1" x14ac:dyDescent="0.3">
      <c r="B100" s="3"/>
      <c r="C100" s="4"/>
      <c r="D100" s="4"/>
      <c r="E100" s="40"/>
      <c r="F100" s="40"/>
      <c r="G100" s="4"/>
      <c r="H100" s="4"/>
      <c r="I100" s="4"/>
      <c r="L100" s="164">
        <v>207</v>
      </c>
      <c r="M100" s="129" t="str">
        <f si="38" t="shared"/>
        <v>S-PAS</v>
      </c>
      <c r="N100" s="181">
        <f ref="N100:N105" si="52" t="shared">I130</f>
        <v>2.3775085649699998</v>
      </c>
      <c r="O100" s="191">
        <f si="40" t="shared"/>
        <v>2.3775085649699998</v>
      </c>
      <c r="P100" s="172">
        <f si="41" t="shared"/>
        <v>0</v>
      </c>
      <c r="Q100" s="147"/>
      <c r="R100" s="147"/>
      <c r="S100" s="147"/>
      <c r="V100" s="161">
        <f>DayPatternCoefficients!A108</f>
        <v>402</v>
      </c>
      <c r="W100" s="161" t="str">
        <f>DayPatternCoefficients!B108</f>
        <v>P-PTW</v>
      </c>
      <c r="X100" s="155">
        <f>DayPatternCoefficients!D108</f>
        <v>2.8035772453900001</v>
      </c>
      <c r="Y100" s="176">
        <f si="47" t="shared"/>
        <v>6.6622819977806955</v>
      </c>
      <c r="Z100" s="247">
        <f si="48" t="shared"/>
        <v>1</v>
      </c>
      <c r="AI100" s="115">
        <v>222</v>
      </c>
      <c r="AJ100" s="115" t="s">
        <v>1075</v>
      </c>
      <c r="AK100" s="115">
        <v>0.51645107443399996</v>
      </c>
      <c r="AM100" s="115" t="s">
        <v>1091</v>
      </c>
    </row>
    <row r="101" spans="2:39" x14ac:dyDescent="0.25">
      <c r="B101" s="5" t="s">
        <v>159</v>
      </c>
      <c r="C101" s="250" t="s">
        <v>146</v>
      </c>
      <c r="D101" s="250" t="s">
        <v>147</v>
      </c>
      <c r="E101" s="250" t="s">
        <v>148</v>
      </c>
      <c r="F101" s="250" t="s">
        <v>242</v>
      </c>
      <c r="G101" s="250" t="s">
        <v>243</v>
      </c>
      <c r="H101" s="250" t="s">
        <v>244</v>
      </c>
      <c r="I101" s="250" t="s">
        <v>245</v>
      </c>
      <c r="L101" s="164">
        <v>307</v>
      </c>
      <c r="M101" s="129" t="str">
        <f si="38" t="shared"/>
        <v>E-PAS</v>
      </c>
      <c r="N101" s="181">
        <f si="52" t="shared"/>
        <v>-1.8750020057100001</v>
      </c>
      <c r="O101" s="191">
        <f si="40" t="shared"/>
        <v>-1.8750020057100001</v>
      </c>
      <c r="P101" s="172">
        <f si="41" t="shared"/>
        <v>0</v>
      </c>
      <c r="Q101" s="149"/>
      <c r="R101" s="149"/>
      <c r="S101" s="149"/>
      <c r="V101" s="161">
        <f>DayPatternCoefficients!A109</f>
        <v>403</v>
      </c>
      <c r="W101" s="161" t="str">
        <f>DayPatternCoefficients!B109</f>
        <v>P-RET</v>
      </c>
      <c r="X101" s="155">
        <f>DayPatternCoefficients!D109</f>
        <v>-0.24624373095999999</v>
      </c>
      <c r="Y101" s="176">
        <f si="47" t="shared"/>
        <v>-0.24624373095999999</v>
      </c>
      <c r="Z101" s="247">
        <f si="48" t="shared"/>
        <v>0</v>
      </c>
      <c r="AI101" s="115">
        <v>223</v>
      </c>
      <c r="AJ101" s="115" t="s">
        <v>1076</v>
      </c>
      <c r="AK101" s="115">
        <v>0.61577891945899998</v>
      </c>
      <c r="AM101" s="115" t="s">
        <v>1091</v>
      </c>
    </row>
    <row r="102" spans="2:39" x14ac:dyDescent="0.25">
      <c r="B102" s="3" t="s">
        <v>210</v>
      </c>
      <c r="C102" s="243">
        <f>IF(M48&gt;0,(C61/M48),0)</f>
        <v>1.0029058048081869</v>
      </c>
      <c r="D102" s="243">
        <f ref="D102:I102" si="53" t="shared">IF(N48&gt;0,(D61/N48),0)</f>
        <v>1.1354731972527234</v>
      </c>
      <c r="E102" s="253">
        <f si="53" t="shared"/>
        <v>0</v>
      </c>
      <c r="F102" s="253">
        <f si="53" t="shared"/>
        <v>0</v>
      </c>
      <c r="G102" s="243">
        <f si="53" t="shared"/>
        <v>0.95295867410621748</v>
      </c>
      <c r="H102" s="243">
        <f si="53" t="shared"/>
        <v>0.87631842659892478</v>
      </c>
      <c r="I102" s="253">
        <f si="53" t="shared"/>
        <v>0</v>
      </c>
      <c r="L102" s="164">
        <v>407</v>
      </c>
      <c r="M102" s="129" t="str">
        <f si="38" t="shared"/>
        <v>P-PAS</v>
      </c>
      <c r="N102" s="181">
        <f si="52" t="shared"/>
        <v>-1.73055593888</v>
      </c>
      <c r="O102" s="191">
        <f si="40" t="shared"/>
        <v>-1.73055593888</v>
      </c>
      <c r="P102" s="172">
        <f si="41" t="shared"/>
        <v>0</v>
      </c>
      <c r="Q102" s="148"/>
      <c r="R102" s="148"/>
      <c r="S102" s="148"/>
      <c r="V102" s="161">
        <f>DayPatternCoefficients!A110</f>
        <v>404</v>
      </c>
      <c r="W102" s="161" t="str">
        <f>DayPatternCoefficients!B110</f>
        <v>P-NWA</v>
      </c>
      <c r="X102" s="155">
        <f>DayPatternCoefficients!D110</f>
        <v>-1.1659743151199999</v>
      </c>
      <c r="Y102" s="176">
        <f si="47" t="shared"/>
        <v>-1.1659743151199999</v>
      </c>
      <c r="Z102" s="247">
        <f si="48" t="shared"/>
        <v>0</v>
      </c>
      <c r="AI102" s="115">
        <v>226</v>
      </c>
      <c r="AJ102" s="115" t="s">
        <v>1096</v>
      </c>
      <c r="AK102" s="117">
        <v>2.2703091891400001E-2</v>
      </c>
      <c r="AM102" s="115" t="s">
        <v>1091</v>
      </c>
    </row>
    <row r="103" spans="2:39" x14ac:dyDescent="0.25">
      <c r="B103" s="3" t="s">
        <v>211</v>
      </c>
      <c r="C103" s="244">
        <f ref="C103:C108" si="54" t="shared">IF(M49&gt;0,(C62/M49),0)</f>
        <v>1.2190469457317796</v>
      </c>
      <c r="D103" s="252">
        <f ref="D103:D108" si="55" t="shared">IF(N49&gt;0,(D62/N49),0)</f>
        <v>0</v>
      </c>
      <c r="E103" s="252">
        <f ref="E103:E108" si="56" t="shared">IF(O49&gt;0,(E62/O49),0)</f>
        <v>0</v>
      </c>
      <c r="F103" s="252">
        <f ref="F103:F108" si="57" t="shared">IF(P49&gt;0,(F62/P49),0)</f>
        <v>0</v>
      </c>
      <c r="G103" s="244">
        <f ref="G103:G108" si="58" t="shared">IF(Q49&gt;0,(G62/Q49),0)</f>
        <v>1.0521851058082747</v>
      </c>
      <c r="H103" s="244">
        <f ref="H103:H108" si="59" t="shared">IF(R49&gt;0,(H62/R49),0)</f>
        <v>0.98407027929596635</v>
      </c>
      <c r="I103" s="244">
        <f ref="I103:I108" si="60" t="shared">IF(S49&gt;0,(I62/S49),0)</f>
        <v>1.0234856777108841</v>
      </c>
      <c r="L103" s="164">
        <v>507</v>
      </c>
      <c r="M103" s="129" t="str">
        <f si="38" t="shared"/>
        <v>H-PAS</v>
      </c>
      <c r="N103" s="181">
        <f si="52" t="shared"/>
        <v>-2.1164686959500001</v>
      </c>
      <c r="O103" s="191">
        <f si="40" t="shared"/>
        <v>-2.1164686959500001</v>
      </c>
      <c r="P103" s="172">
        <f si="41" t="shared"/>
        <v>0</v>
      </c>
      <c r="Q103" s="148"/>
      <c r="R103" s="148"/>
      <c r="S103" s="148"/>
      <c r="V103" s="161">
        <f>DayPatternCoefficients!A111</f>
        <v>405</v>
      </c>
      <c r="W103" s="161" t="str">
        <f>DayPatternCoefficients!B111</f>
        <v>P-UNI</v>
      </c>
      <c r="X103" s="155">
        <f>DayPatternCoefficients!D111</f>
        <v>-2.0528822094499999</v>
      </c>
      <c r="Y103" s="176">
        <f si="47" t="shared"/>
        <v>-2.0528822094499999</v>
      </c>
      <c r="Z103" s="247">
        <f si="48" t="shared"/>
        <v>0</v>
      </c>
      <c r="AI103" s="115">
        <v>228</v>
      </c>
      <c r="AJ103" s="115" t="s">
        <v>1097</v>
      </c>
      <c r="AK103" s="115">
        <v>-0.124677687572</v>
      </c>
      <c r="AM103" s="115" t="s">
        <v>1091</v>
      </c>
    </row>
    <row r="104" spans="2:39" x14ac:dyDescent="0.25">
      <c r="B104" s="3" t="s">
        <v>212</v>
      </c>
      <c r="C104" s="244">
        <f si="54" t="shared"/>
        <v>0.97794114478085503</v>
      </c>
      <c r="D104" s="244">
        <f si="55" t="shared"/>
        <v>1.1654386976359299</v>
      </c>
      <c r="E104" s="244">
        <f si="56" t="shared"/>
        <v>0.98376016445513181</v>
      </c>
      <c r="F104" s="244">
        <f si="57" t="shared"/>
        <v>0.98077058297850861</v>
      </c>
      <c r="G104" s="244">
        <f si="58" t="shared"/>
        <v>0.96447344854647443</v>
      </c>
      <c r="H104" s="244">
        <f si="59" t="shared"/>
        <v>0.93925271198544891</v>
      </c>
      <c r="I104" s="244">
        <f si="60" t="shared"/>
        <v>1.0196475591827259</v>
      </c>
      <c r="L104" s="164">
        <v>607</v>
      </c>
      <c r="M104" s="129" t="str">
        <f si="38" t="shared"/>
        <v>M-PAS</v>
      </c>
      <c r="N104" s="181">
        <f si="52" t="shared"/>
        <v>-1.98828318011</v>
      </c>
      <c r="O104" s="191">
        <f si="40" t="shared"/>
        <v>-1.98828318011</v>
      </c>
      <c r="P104" s="172">
        <f si="41" t="shared"/>
        <v>0</v>
      </c>
      <c r="Q104" s="148"/>
      <c r="R104" s="148"/>
      <c r="S104" s="148"/>
      <c r="V104" s="161">
        <f>DayPatternCoefficients!A112</f>
        <v>406</v>
      </c>
      <c r="W104" s="161" t="str">
        <f>DayPatternCoefficients!B112</f>
        <v>P-DAS</v>
      </c>
      <c r="X104" s="155">
        <f>DayPatternCoefficients!D112</f>
        <v>-2.4818889930700001</v>
      </c>
      <c r="Y104" s="176">
        <f si="47" t="shared"/>
        <v>-2.4818889930700001</v>
      </c>
      <c r="Z104" s="247">
        <f si="48" t="shared"/>
        <v>0</v>
      </c>
      <c r="AI104" s="115">
        <v>235</v>
      </c>
      <c r="AJ104" s="115" t="s">
        <v>1075</v>
      </c>
      <c r="AK104" s="115">
        <v>0.29394375688000002</v>
      </c>
      <c r="AM104" s="115" t="s">
        <v>1099</v>
      </c>
    </row>
    <row ht="15.75" r="105" spans="2:39" thickBot="1" x14ac:dyDescent="0.3">
      <c r="B105" s="3" t="s">
        <v>213</v>
      </c>
      <c r="C105" s="244">
        <f si="54" t="shared"/>
        <v>0.9790229827616671</v>
      </c>
      <c r="D105" s="244">
        <f si="55" t="shared"/>
        <v>1.470894141263861</v>
      </c>
      <c r="E105" s="244">
        <f si="56" t="shared"/>
        <v>0.96835792754335948</v>
      </c>
      <c r="F105" s="244">
        <f si="57" t="shared"/>
        <v>0.98425089944568211</v>
      </c>
      <c r="G105" s="244">
        <f si="58" t="shared"/>
        <v>0.99811421929486777</v>
      </c>
      <c r="H105" s="244">
        <f si="59" t="shared"/>
        <v>1.0399141070777544</v>
      </c>
      <c r="I105" s="244">
        <f si="60" t="shared"/>
        <v>0.98701260506022592</v>
      </c>
      <c r="L105" s="168">
        <v>707</v>
      </c>
      <c r="M105" s="132" t="str">
        <f si="38" t="shared"/>
        <v>D-PAS</v>
      </c>
      <c r="N105" s="182">
        <f si="52" t="shared"/>
        <v>-0.36546801553000002</v>
      </c>
      <c r="O105" s="190">
        <f si="40" t="shared"/>
        <v>-0.36546801553000002</v>
      </c>
      <c r="P105" s="169">
        <f si="41" t="shared"/>
        <v>0</v>
      </c>
      <c r="Q105" s="148"/>
      <c r="R105" s="148"/>
      <c r="S105" s="148"/>
      <c r="V105" s="161">
        <f>DayPatternCoefficients!A113</f>
        <v>407</v>
      </c>
      <c r="W105" s="161" t="str">
        <f>DayPatternCoefficients!B113</f>
        <v>P-PAS</v>
      </c>
      <c r="X105" s="155">
        <f>DayPatternCoefficients!D113</f>
        <v>-1.73055593888</v>
      </c>
      <c r="Y105" s="176">
        <f si="47" t="shared"/>
        <v>-1.73055593888</v>
      </c>
      <c r="Z105" s="247">
        <f si="48" t="shared"/>
        <v>0</v>
      </c>
      <c r="AI105" s="115">
        <v>236</v>
      </c>
      <c r="AJ105" s="115" t="s">
        <v>1076</v>
      </c>
      <c r="AK105" s="115">
        <v>0.352789652234</v>
      </c>
      <c r="AM105" s="115" t="s">
        <v>1099</v>
      </c>
    </row>
    <row r="106" spans="2:39" x14ac:dyDescent="0.25">
      <c r="B106" s="3" t="s">
        <v>214</v>
      </c>
      <c r="C106" s="244">
        <f si="54" t="shared"/>
        <v>0.97669927202750639</v>
      </c>
      <c r="D106" s="244">
        <f si="55" t="shared"/>
        <v>1.4106803975019255</v>
      </c>
      <c r="E106" s="244">
        <f si="56" t="shared"/>
        <v>0.97731201398010981</v>
      </c>
      <c r="F106" s="244">
        <f si="57" t="shared"/>
        <v>0.95786629421996428</v>
      </c>
      <c r="G106" s="244">
        <f si="58" t="shared"/>
        <v>0.93535931723835974</v>
      </c>
      <c r="H106" s="244">
        <f si="59" t="shared"/>
        <v>1.0234215702631531</v>
      </c>
      <c r="I106" s="244">
        <f si="60" t="shared"/>
        <v>0.95401597216675504</v>
      </c>
      <c r="L106" s="148"/>
      <c r="M106" s="148"/>
      <c r="N106" s="148"/>
      <c r="O106" s="148"/>
      <c r="P106" s="147">
        <f>SUM(P63:P105)</f>
        <v>0</v>
      </c>
      <c r="Q106" s="148"/>
      <c r="R106" s="148"/>
      <c r="S106" s="148"/>
      <c r="V106" s="161">
        <f>DayPatternCoefficients!A114</f>
        <v>408</v>
      </c>
      <c r="W106" s="161" t="str">
        <f>DayPatternCoefficients!B114</f>
        <v>P-CU5</v>
      </c>
      <c r="X106" s="155">
        <f>DayPatternCoefficients!D114</f>
        <v>-0.41495252702000002</v>
      </c>
      <c r="Y106" s="176">
        <f si="47" t="shared"/>
        <v>-0.41495252702000002</v>
      </c>
      <c r="Z106" s="247">
        <f si="48" t="shared"/>
        <v>0</v>
      </c>
      <c r="AI106" s="115">
        <v>237</v>
      </c>
      <c r="AJ106" s="115" t="s">
        <v>1068</v>
      </c>
      <c r="AK106" s="115">
        <v>-1.3902039335800001</v>
      </c>
      <c r="AM106" s="115" t="s">
        <v>1064</v>
      </c>
    </row>
    <row r="107" spans="2:39" x14ac:dyDescent="0.25">
      <c r="B107" s="3" t="s">
        <v>129</v>
      </c>
      <c r="C107" s="244">
        <f si="54" t="shared"/>
        <v>1.0054633048459976</v>
      </c>
      <c r="D107" s="244">
        <f si="55" t="shared"/>
        <v>1.1375858006010791</v>
      </c>
      <c r="E107" s="244">
        <f si="56" t="shared"/>
        <v>1.0035733169017493</v>
      </c>
      <c r="F107" s="244">
        <f si="57" t="shared"/>
        <v>0.93777650610889418</v>
      </c>
      <c r="G107" s="244">
        <f si="58" t="shared"/>
        <v>0.99508518099007737</v>
      </c>
      <c r="H107" s="244">
        <f si="59" t="shared"/>
        <v>0.94953908911462048</v>
      </c>
      <c r="I107" s="244">
        <f si="60" t="shared"/>
        <v>0.944255950698214</v>
      </c>
      <c r="L107" s="148"/>
      <c r="M107" s="148"/>
      <c r="N107" s="148"/>
      <c r="O107" s="148"/>
      <c r="P107" s="148"/>
      <c r="Q107" s="148"/>
      <c r="R107" s="148"/>
      <c r="S107" s="148"/>
      <c r="V107" s="161">
        <f>DayPatternCoefficients!A115</f>
        <v>409</v>
      </c>
      <c r="W107" s="161" t="str">
        <f>DayPatternCoefficients!B115</f>
        <v>P-VLINC</v>
      </c>
      <c r="X107" s="155">
        <f>DayPatternCoefficients!D115</f>
        <v>-7.0369393259999996E-2</v>
      </c>
      <c r="Y107" s="176">
        <f si="47" t="shared"/>
        <v>-7.0369393259999996E-2</v>
      </c>
      <c r="Z107" s="247">
        <f si="48" t="shared"/>
        <v>0</v>
      </c>
      <c r="AI107" s="115">
        <v>238</v>
      </c>
      <c r="AJ107" s="115" t="s">
        <v>1068</v>
      </c>
      <c r="AK107" s="115">
        <v>0.31366055622900002</v>
      </c>
      <c r="AM107" s="115" t="s">
        <v>1069</v>
      </c>
    </row>
    <row ht="15.75" r="108" spans="2:39" thickBot="1" x14ac:dyDescent="0.3">
      <c r="B108" s="15" t="s">
        <v>130</v>
      </c>
      <c r="C108" s="221">
        <f si="54" t="shared"/>
        <v>0.97446276404588061</v>
      </c>
      <c r="D108" s="221">
        <f si="55" t="shared"/>
        <v>1.1221309450908863</v>
      </c>
      <c r="E108" s="221">
        <f si="56" t="shared"/>
        <v>0.98945330575754487</v>
      </c>
      <c r="F108" s="221">
        <f si="57" t="shared"/>
        <v>0.99231486653746559</v>
      </c>
      <c r="G108" s="221">
        <f si="58" t="shared"/>
        <v>0.98833245004129577</v>
      </c>
      <c r="H108" s="221">
        <f si="59" t="shared"/>
        <v>0.99658370424150389</v>
      </c>
      <c r="I108" s="221">
        <f si="60" t="shared"/>
        <v>0.98745418273164309</v>
      </c>
      <c r="L108" s="148"/>
      <c r="M108" s="148"/>
      <c r="N108" s="148"/>
      <c r="O108" s="148"/>
      <c r="P108" s="148"/>
      <c r="Q108" s="148"/>
      <c r="R108" s="148"/>
      <c r="S108" s="148"/>
      <c r="V108" s="161">
        <f>DayPatternCoefficients!A116</f>
        <v>410</v>
      </c>
      <c r="W108" s="161" t="str">
        <f>DayPatternCoefficients!B116</f>
        <v>P-LOINC</v>
      </c>
      <c r="X108" s="155">
        <f>DayPatternCoefficients!D116</f>
        <v>0</v>
      </c>
      <c r="Y108" s="176">
        <f si="47" t="shared"/>
        <v>0</v>
      </c>
      <c r="Z108" s="247">
        <f si="48" t="shared"/>
        <v>0</v>
      </c>
      <c r="AI108" s="115">
        <v>239</v>
      </c>
      <c r="AJ108" s="115" t="s">
        <v>1068</v>
      </c>
      <c r="AK108" s="115">
        <v>0.61850625713600005</v>
      </c>
      <c r="AM108" s="115" t="s">
        <v>1091</v>
      </c>
    </row>
    <row r="109" spans="2:39" x14ac:dyDescent="0.25">
      <c r="L109" s="150"/>
      <c r="M109" s="150"/>
      <c r="N109" s="150"/>
      <c r="O109" s="150"/>
      <c r="P109" s="150"/>
      <c r="Q109" s="150"/>
      <c r="R109" s="150"/>
      <c r="S109" s="150"/>
      <c r="V109" s="161">
        <f>DayPatternCoefficients!A117</f>
        <v>411</v>
      </c>
      <c r="W109" s="161" t="str">
        <f>DayPatternCoefficients!B117</f>
        <v>P-HIINC</v>
      </c>
      <c r="X109" s="155">
        <f>DayPatternCoefficients!D117</f>
        <v>0.11538390076</v>
      </c>
      <c r="Y109" s="176">
        <f si="47" t="shared"/>
        <v>0.11538390076</v>
      </c>
      <c r="Z109" s="247">
        <f si="48" t="shared"/>
        <v>0</v>
      </c>
    </row>
    <row r="110" spans="2:39" x14ac:dyDescent="0.25">
      <c r="L110" s="150"/>
      <c r="M110" s="150"/>
      <c r="N110" s="150"/>
      <c r="O110" s="150"/>
      <c r="P110" s="150"/>
      <c r="Q110" s="150"/>
      <c r="R110" s="150"/>
      <c r="S110" s="150"/>
      <c r="V110" s="161">
        <f>DayPatternCoefficients!A118</f>
        <v>412</v>
      </c>
      <c r="W110" s="161" t="str">
        <f>DayPatternCoefficients!B118</f>
        <v>P-CARSPD</v>
      </c>
      <c r="X110" s="155">
        <f>DayPatternCoefficients!D118</f>
        <v>2.96634151E-2</v>
      </c>
      <c r="Y110" s="176">
        <f si="47" t="shared"/>
        <v>2.96634151E-2</v>
      </c>
      <c r="Z110" s="247">
        <f si="48" t="shared"/>
        <v>0</v>
      </c>
    </row>
    <row r="111" spans="2:39" x14ac:dyDescent="0.25">
      <c r="O111" s="150"/>
      <c r="P111" s="150"/>
      <c r="Q111" s="150"/>
      <c r="R111" s="150"/>
      <c r="S111" s="150"/>
      <c r="V111" s="161">
        <f>DayPatternCoefficients!A119</f>
        <v>413</v>
      </c>
      <c r="W111" s="161" t="str">
        <f>DayPatternCoefficients!B119</f>
        <v>P-ONLYAD</v>
      </c>
      <c r="X111" s="155">
        <f>DayPatternCoefficients!D119</f>
        <v>0</v>
      </c>
      <c r="Y111" s="176">
        <f si="47" t="shared"/>
        <v>0</v>
      </c>
      <c r="Z111" s="247">
        <f si="48" t="shared"/>
        <v>0</v>
      </c>
    </row>
    <row r="112" spans="2:39" x14ac:dyDescent="0.25">
      <c r="B112" s="106" t="s">
        <v>175</v>
      </c>
      <c r="C112" s="3"/>
      <c r="D112" s="3"/>
      <c r="E112" s="3"/>
      <c r="F112" s="266" t="s">
        <v>13598</v>
      </c>
      <c r="G112" s="267" t="s">
        <v>44</v>
      </c>
      <c r="H112" s="3"/>
      <c r="I112" s="3"/>
      <c r="J112" s="3"/>
      <c r="O112" s="150"/>
      <c r="P112" s="150"/>
      <c r="Q112" s="150"/>
      <c r="R112" s="150"/>
      <c r="S112" s="150"/>
      <c r="V112" s="161">
        <f>DayPatternCoefficients!A120</f>
        <v>414</v>
      </c>
      <c r="W112" s="161" t="str">
        <f>DayPatternCoefficients!B120</f>
        <v>P-ONLYWK</v>
      </c>
      <c r="X112" s="155">
        <f>DayPatternCoefficients!D120</f>
        <v>0</v>
      </c>
      <c r="Y112" s="176">
        <f si="47" t="shared"/>
        <v>0</v>
      </c>
      <c r="Z112" s="247">
        <f si="48" t="shared"/>
        <v>0</v>
      </c>
    </row>
    <row r="113" spans="2:26" x14ac:dyDescent="0.25">
      <c r="B113" s="106" t="s">
        <v>1037</v>
      </c>
      <c r="C113" s="3"/>
      <c r="D113" s="3"/>
      <c r="E113" s="3" t="s">
        <v>1131</v>
      </c>
      <c r="F113" s="174">
        <v>0</v>
      </c>
      <c r="G113" s="174">
        <v>1</v>
      </c>
      <c r="H113" s="3"/>
      <c r="I113" s="3"/>
      <c r="J113" s="3"/>
      <c r="O113" s="150"/>
      <c r="P113" s="150"/>
      <c r="Q113" s="150"/>
      <c r="R113" s="150"/>
      <c r="S113" s="150"/>
      <c r="V113" s="161">
        <f>DayPatternCoefficients!A121</f>
        <v>416</v>
      </c>
      <c r="W113" s="161" t="str">
        <f>DayPatternCoefficients!B121</f>
        <v>P-FEMNOC</v>
      </c>
      <c r="X113" s="155">
        <f>DayPatternCoefficients!D121</f>
        <v>0</v>
      </c>
      <c r="Y113" s="176">
        <f si="47" t="shared"/>
        <v>0</v>
      </c>
      <c r="Z113" s="247">
        <f si="48" t="shared"/>
        <v>0</v>
      </c>
    </row>
    <row ht="15.75" r="114" spans="2:26" thickBot="1" x14ac:dyDescent="0.3">
      <c r="B114" s="265" t="s">
        <v>13597</v>
      </c>
      <c r="C114" s="262">
        <f>$F$113</f>
        <v>0</v>
      </c>
      <c r="D114" s="262">
        <v>10</v>
      </c>
      <c r="E114" s="262">
        <f ref="E114:I114" si="61" t="shared">$F$113</f>
        <v>0</v>
      </c>
      <c r="F114" s="262">
        <f si="61" t="shared"/>
        <v>0</v>
      </c>
      <c r="G114" s="262">
        <f si="61" t="shared"/>
        <v>0</v>
      </c>
      <c r="H114" s="262">
        <f si="61" t="shared"/>
        <v>0</v>
      </c>
      <c r="I114" s="262">
        <f si="61" t="shared"/>
        <v>0</v>
      </c>
      <c r="O114" s="150"/>
      <c r="P114" s="150"/>
      <c r="Q114" s="150"/>
      <c r="R114" s="150"/>
      <c r="S114" s="150"/>
      <c r="V114" s="161">
        <f>DayPatternCoefficients!A122</f>
        <v>417</v>
      </c>
      <c r="W114" s="161" t="str">
        <f>DayPatternCoefficients!B122</f>
        <v>P-FADCU5</v>
      </c>
      <c r="X114" s="155">
        <f>DayPatternCoefficients!D122</f>
        <v>-0.38489686671000001</v>
      </c>
      <c r="Y114" s="176">
        <f si="47" t="shared"/>
        <v>-0.38489686671000001</v>
      </c>
      <c r="Z114" s="247">
        <f si="48" t="shared"/>
        <v>0</v>
      </c>
    </row>
    <row r="115" spans="2:26" x14ac:dyDescent="0.25">
      <c r="B115" s="5" t="s">
        <v>159</v>
      </c>
      <c r="C115" s="6" t="s">
        <v>146</v>
      </c>
      <c r="D115" s="6" t="s">
        <v>147</v>
      </c>
      <c r="E115" s="6" t="s">
        <v>148</v>
      </c>
      <c r="F115" s="6" t="s">
        <v>242</v>
      </c>
      <c r="G115" s="6" t="s">
        <v>243</v>
      </c>
      <c r="H115" s="6" t="s">
        <v>244</v>
      </c>
      <c r="I115" s="6" t="s">
        <v>245</v>
      </c>
      <c r="J115" s="263" t="s">
        <v>13597</v>
      </c>
      <c r="V115" s="137">
        <f>DayPatternCoefficients!A123</f>
        <v>418</v>
      </c>
      <c r="W115" s="137" t="str">
        <f>DayPatternCoefficients!B123</f>
        <v>P-FAD515</v>
      </c>
      <c r="X115" s="138">
        <f>DayPatternCoefficients!D123</f>
        <v>-0.29875526683999998</v>
      </c>
      <c r="Y115" s="176">
        <f si="47" t="shared"/>
        <v>-0.29875526683999998</v>
      </c>
      <c r="Z115" s="247">
        <f si="48" t="shared"/>
        <v>0</v>
      </c>
    </row>
    <row r="116" spans="2:26" x14ac:dyDescent="0.25">
      <c r="B116" s="3" t="s">
        <v>210</v>
      </c>
      <c r="C116" s="143">
        <f>C$114*$J116*(LN(C102)-$K5)</f>
        <v>0</v>
      </c>
      <c r="D116" s="143">
        <f>D$114*$J116*(LN(D102)-$K5)</f>
        <v>1.2704947792797427</v>
      </c>
      <c r="E116" s="254" t="s">
        <v>1030</v>
      </c>
      <c r="F116" s="254" t="s">
        <v>1030</v>
      </c>
      <c r="G116" s="143">
        <f ref="G116:H116" si="62" t="shared">G$114*$J116*(LN(G102)-$K5)</f>
        <v>0</v>
      </c>
      <c r="H116" s="143">
        <f si="62" t="shared"/>
        <v>0</v>
      </c>
      <c r="I116" s="254" t="s">
        <v>1030</v>
      </c>
      <c r="J116" s="264">
        <f>$G$113</f>
        <v>1</v>
      </c>
      <c r="V116" s="137">
        <f>DayPatternCoefficients!A124</f>
        <v>419</v>
      </c>
      <c r="W116" s="137" t="str">
        <f>DayPatternCoefficients!B124</f>
        <v>P-MADCU5</v>
      </c>
      <c r="X116" s="138">
        <f>DayPatternCoefficients!D124</f>
        <v>0</v>
      </c>
      <c r="Y116" s="176">
        <f si="47" t="shared"/>
        <v>0</v>
      </c>
      <c r="Z116" s="247">
        <f si="48" t="shared"/>
        <v>0</v>
      </c>
    </row>
    <row r="117" spans="2:26" x14ac:dyDescent="0.25">
      <c r="B117" s="3" t="s">
        <v>211</v>
      </c>
      <c r="C117" s="143">
        <f ref="C117:I122" si="63" t="shared">C$114*$J117*(LN(C103)-$K6)</f>
        <v>0</v>
      </c>
      <c r="D117" s="254" t="s">
        <v>1030</v>
      </c>
      <c r="E117" s="254" t="s">
        <v>1030</v>
      </c>
      <c r="F117" s="254" t="s">
        <v>1030</v>
      </c>
      <c r="G117" s="143">
        <f ref="G117:H117" si="64" t="shared">G$114*$J117*(LN(G103)-$K6)</f>
        <v>0</v>
      </c>
      <c r="H117" s="143">
        <f si="64" t="shared"/>
        <v>0</v>
      </c>
      <c r="I117" s="143">
        <f>I$114*$J117*(LN(I103)-$K6)</f>
        <v>0</v>
      </c>
      <c r="J117" s="264">
        <f ref="J117:J122" si="65" t="shared">$G$113</f>
        <v>1</v>
      </c>
      <c r="V117" s="137">
        <f>DayPatternCoefficients!A125</f>
        <v>420</v>
      </c>
      <c r="W117" s="137" t="str">
        <f>DayPatternCoefficients!B125</f>
        <v>P-MAD515</v>
      </c>
      <c r="X117" s="138">
        <f>DayPatternCoefficients!D125</f>
        <v>-0.45044495679000002</v>
      </c>
      <c r="Y117" s="176">
        <f si="47" t="shared"/>
        <v>-0.45044495679000002</v>
      </c>
      <c r="Z117" s="247">
        <f si="48" t="shared"/>
        <v>0</v>
      </c>
    </row>
    <row r="118" spans="2:26" x14ac:dyDescent="0.25">
      <c r="B118" s="3" t="s">
        <v>212</v>
      </c>
      <c r="C118" s="143">
        <f si="63" t="shared"/>
        <v>0</v>
      </c>
      <c r="D118" s="143">
        <f si="63" t="shared"/>
        <v>1.5309758062940912</v>
      </c>
      <c r="E118" s="143">
        <f si="63" t="shared"/>
        <v>0</v>
      </c>
      <c r="F118" s="143">
        <f si="63" t="shared"/>
        <v>0</v>
      </c>
      <c r="G118" s="143">
        <f si="63" t="shared"/>
        <v>0</v>
      </c>
      <c r="H118" s="143">
        <f si="63" t="shared"/>
        <v>0</v>
      </c>
      <c r="I118" s="143">
        <f si="63" t="shared"/>
        <v>0</v>
      </c>
      <c r="J118" s="264">
        <f si="65" t="shared"/>
        <v>1</v>
      </c>
      <c r="V118" s="137">
        <f>DayPatternCoefficients!A126</f>
        <v>421</v>
      </c>
      <c r="W118" s="137" t="str">
        <f>DayPatternCoefficients!B126</f>
        <v>P-AG1825</v>
      </c>
      <c r="X118" s="138">
        <f>DayPatternCoefficients!D126</f>
        <v>-0.30637165113999998</v>
      </c>
      <c r="Y118" s="176">
        <f si="47" t="shared"/>
        <v>-0.30637165113999998</v>
      </c>
      <c r="Z118" s="247">
        <f si="48" t="shared"/>
        <v>0</v>
      </c>
    </row>
    <row r="119" spans="2:26" x14ac:dyDescent="0.25">
      <c r="B119" s="3" t="s">
        <v>213</v>
      </c>
      <c r="C119" s="143">
        <f si="63" t="shared"/>
        <v>0</v>
      </c>
      <c r="D119" s="143">
        <f si="63" t="shared"/>
        <v>3.8587047523906954</v>
      </c>
      <c r="E119" s="143">
        <f si="63" t="shared"/>
        <v>0</v>
      </c>
      <c r="F119" s="143">
        <f si="63" t="shared"/>
        <v>0</v>
      </c>
      <c r="G119" s="143">
        <f si="63" t="shared"/>
        <v>0</v>
      </c>
      <c r="H119" s="143">
        <f si="63" t="shared"/>
        <v>0</v>
      </c>
      <c r="I119" s="143">
        <f si="63" t="shared"/>
        <v>0</v>
      </c>
      <c r="J119" s="264">
        <f si="65" t="shared"/>
        <v>1</v>
      </c>
      <c r="V119" s="137">
        <f>DayPatternCoefficients!A127</f>
        <v>422</v>
      </c>
      <c r="W119" s="137" t="str">
        <f>DayPatternCoefficients!B127</f>
        <v>P-AG2635</v>
      </c>
      <c r="X119" s="138">
        <f>DayPatternCoefficients!D127</f>
        <v>-0.20794112521999999</v>
      </c>
      <c r="Y119" s="176">
        <f si="47" t="shared"/>
        <v>-0.20794112521999999</v>
      </c>
      <c r="Z119" s="247">
        <f si="48" t="shared"/>
        <v>0</v>
      </c>
    </row>
    <row r="120" spans="2:26" x14ac:dyDescent="0.25">
      <c r="B120" s="3" t="s">
        <v>214</v>
      </c>
      <c r="C120" s="143">
        <f si="63" t="shared"/>
        <v>0</v>
      </c>
      <c r="D120" s="143">
        <f si="63" t="shared"/>
        <v>3.440721394193873</v>
      </c>
      <c r="E120" s="143">
        <f si="63" t="shared"/>
        <v>0</v>
      </c>
      <c r="F120" s="143">
        <f si="63" t="shared"/>
        <v>0</v>
      </c>
      <c r="G120" s="143">
        <f si="63" t="shared"/>
        <v>0</v>
      </c>
      <c r="H120" s="143">
        <f si="63" t="shared"/>
        <v>0</v>
      </c>
      <c r="I120" s="143">
        <f si="63" t="shared"/>
        <v>0</v>
      </c>
      <c r="J120" s="264">
        <f si="65" t="shared"/>
        <v>1</v>
      </c>
      <c r="V120" s="137">
        <f>DayPatternCoefficients!A128</f>
        <v>423</v>
      </c>
      <c r="W120" s="137" t="str">
        <f>DayPatternCoefficients!B128</f>
        <v>P-AG5165</v>
      </c>
      <c r="X120" s="138">
        <f>DayPatternCoefficients!D128</f>
        <v>6.3943550629999998E-2</v>
      </c>
      <c r="Y120" s="176">
        <f si="47" t="shared"/>
        <v>6.3943550629999998E-2</v>
      </c>
      <c r="Z120" s="247">
        <f si="48" t="shared"/>
        <v>0</v>
      </c>
    </row>
    <row r="121" spans="2:26" x14ac:dyDescent="0.25">
      <c r="B121" s="3" t="s">
        <v>129</v>
      </c>
      <c r="C121" s="143">
        <f si="63" t="shared"/>
        <v>0</v>
      </c>
      <c r="D121" s="143">
        <f si="63" t="shared"/>
        <v>1.2890829809818662</v>
      </c>
      <c r="E121" s="143">
        <f si="63" t="shared"/>
        <v>0</v>
      </c>
      <c r="F121" s="143">
        <f si="63" t="shared"/>
        <v>0</v>
      </c>
      <c r="G121" s="143">
        <f si="63" t="shared"/>
        <v>0</v>
      </c>
      <c r="H121" s="143">
        <f si="63" t="shared"/>
        <v>0</v>
      </c>
      <c r="I121" s="143">
        <f si="63" t="shared"/>
        <v>0</v>
      </c>
      <c r="J121" s="264">
        <f si="65" t="shared"/>
        <v>1</v>
      </c>
      <c r="V121" s="137">
        <f>DayPatternCoefficients!A129</f>
        <v>424</v>
      </c>
      <c r="W121" s="137" t="str">
        <f>DayPatternCoefficients!B129</f>
        <v>P-WAHOME</v>
      </c>
      <c r="X121" s="138">
        <f>DayPatternCoefficients!D129</f>
        <v>0</v>
      </c>
      <c r="Y121" s="176">
        <f si="47" t="shared"/>
        <v>0</v>
      </c>
      <c r="Z121" s="247">
        <f si="48" t="shared"/>
        <v>0</v>
      </c>
    </row>
    <row ht="15.75" r="122" spans="2:26" thickBot="1" x14ac:dyDescent="0.3">
      <c r="B122" s="15" t="s">
        <v>130</v>
      </c>
      <c r="C122" s="144">
        <f si="63" t="shared"/>
        <v>0</v>
      </c>
      <c r="D122" s="144">
        <f si="63" t="shared"/>
        <v>1.152295071454118</v>
      </c>
      <c r="E122" s="144">
        <f si="63" t="shared"/>
        <v>0</v>
      </c>
      <c r="F122" s="144">
        <f si="63" t="shared"/>
        <v>0</v>
      </c>
      <c r="G122" s="144">
        <f si="63" t="shared"/>
        <v>0</v>
      </c>
      <c r="H122" s="144">
        <f si="63" t="shared"/>
        <v>0</v>
      </c>
      <c r="I122" s="144">
        <f si="63" t="shared"/>
        <v>0</v>
      </c>
      <c r="J122" s="264">
        <f si="65" t="shared"/>
        <v>1</v>
      </c>
      <c r="V122" s="137">
        <f>DayPatternCoefficients!A130</f>
        <v>425</v>
      </c>
      <c r="W122" s="137" t="str">
        <f>DayPatternCoefficients!B130</f>
        <v>P-MIXDEN</v>
      </c>
      <c r="X122" s="138">
        <f>DayPatternCoefficients!D130</f>
        <v>0</v>
      </c>
      <c r="Y122" s="176">
        <f si="47" t="shared"/>
        <v>0</v>
      </c>
      <c r="Z122" s="247">
        <f si="48" t="shared"/>
        <v>0</v>
      </c>
    </row>
    <row r="123" spans="2:26" x14ac:dyDescent="0.25">
      <c r="V123" s="137">
        <f>DayPatternCoefficients!A131</f>
        <v>426</v>
      </c>
      <c r="W123" s="137" t="str">
        <f>DayPatternCoefficients!B131</f>
        <v>P-INTDEN</v>
      </c>
      <c r="X123" s="138">
        <f>DayPatternCoefficients!D131</f>
        <v>0</v>
      </c>
      <c r="Y123" s="176">
        <f si="47" t="shared"/>
        <v>0</v>
      </c>
      <c r="Z123" s="247">
        <f si="48" t="shared"/>
        <v>0</v>
      </c>
    </row>
    <row r="124" spans="2:26" x14ac:dyDescent="0.25">
      <c r="V124" s="161">
        <f>DayPatternCoefficients!A132</f>
        <v>427</v>
      </c>
      <c r="W124" s="161" t="str">
        <f>DayPatternCoefficients!B132</f>
        <v>P-ACCLOG</v>
      </c>
      <c r="X124" s="155">
        <f>DayPatternCoefficients!D132</f>
        <v>0</v>
      </c>
      <c r="Y124" s="176">
        <f si="47" t="shared"/>
        <v>0</v>
      </c>
      <c r="Z124" s="247">
        <f si="48" t="shared"/>
        <v>0</v>
      </c>
    </row>
    <row r="125" spans="2:26" x14ac:dyDescent="0.25">
      <c r="B125" s="106" t="s">
        <v>175</v>
      </c>
      <c r="C125" s="3"/>
      <c r="D125" s="3"/>
      <c r="E125" s="3"/>
      <c r="F125" s="3"/>
      <c r="G125" s="3"/>
      <c r="H125" s="3"/>
      <c r="I125" s="3"/>
      <c r="J125" s="3"/>
      <c r="V125" s="161">
        <f>DayPatternCoefficients!A133</f>
        <v>428</v>
      </c>
      <c r="W125" s="161" t="str">
        <f>DayPatternCoefficients!B133</f>
        <v>P-TPASS</v>
      </c>
      <c r="X125" s="155">
        <f>DayPatternCoefficients!D133</f>
        <v>0</v>
      </c>
      <c r="Y125" s="176">
        <f si="47" t="shared"/>
        <v>0</v>
      </c>
      <c r="Z125" s="247">
        <f si="48" t="shared"/>
        <v>0</v>
      </c>
    </row>
    <row r="126" spans="2:26" x14ac:dyDescent="0.25">
      <c r="B126" s="106" t="s">
        <v>1038</v>
      </c>
      <c r="C126" s="3"/>
      <c r="D126" s="3"/>
      <c r="G126" s="3"/>
      <c r="H126" s="3"/>
      <c r="I126" s="3"/>
      <c r="J126" s="3"/>
      <c r="V126" s="161">
        <f>DayPatternCoefficients!A134</f>
        <v>429</v>
      </c>
      <c r="W126" s="161" t="str">
        <f>DayPatternCoefficients!B134</f>
        <v>P-T-LOGS</v>
      </c>
      <c r="X126" s="155">
        <f>DayPatternCoefficients!D134</f>
        <v>2.930861446E-2</v>
      </c>
      <c r="Y126" s="176">
        <f si="47" t="shared"/>
        <v>2.930861446E-2</v>
      </c>
      <c r="Z126" s="247">
        <f si="48" t="shared"/>
        <v>0</v>
      </c>
    </row>
    <row ht="15.75" r="127" spans="2:26" thickBot="1" x14ac:dyDescent="0.3">
      <c r="B127" s="3"/>
      <c r="C127" s="4"/>
      <c r="D127" s="4"/>
      <c r="E127" s="4"/>
      <c r="F127" s="4"/>
      <c r="G127" s="4"/>
      <c r="H127" s="4"/>
      <c r="I127" s="4"/>
      <c r="V127" s="161">
        <f>DayPatternCoefficients!A135</f>
        <v>430</v>
      </c>
      <c r="W127" s="161" t="str">
        <f>DayPatternCoefficients!B135</f>
        <v>P-T-PPRK</v>
      </c>
      <c r="X127" s="155">
        <f>DayPatternCoefficients!D135</f>
        <v>0</v>
      </c>
      <c r="Y127" s="176">
        <f si="47" t="shared"/>
        <v>0</v>
      </c>
      <c r="Z127" s="247">
        <f si="48" t="shared"/>
        <v>0</v>
      </c>
    </row>
    <row r="128" spans="2:26" x14ac:dyDescent="0.25">
      <c r="B128" s="5" t="s">
        <v>159</v>
      </c>
      <c r="C128" s="6" t="s">
        <v>146</v>
      </c>
      <c r="D128" s="6" t="s">
        <v>147</v>
      </c>
      <c r="E128" s="6" t="s">
        <v>148</v>
      </c>
      <c r="F128" s="6" t="s">
        <v>242</v>
      </c>
      <c r="G128" s="6" t="s">
        <v>243</v>
      </c>
      <c r="H128" s="6" t="s">
        <v>244</v>
      </c>
      <c r="I128" s="6" t="s">
        <v>245</v>
      </c>
      <c r="V128" s="161">
        <f>DayPatternCoefficients!A136</f>
        <v>431</v>
      </c>
      <c r="W128" s="161" t="str">
        <f>DayPatternCoefficients!B136</f>
        <v>P-S-LOGS</v>
      </c>
      <c r="X128" s="155">
        <f>DayPatternCoefficients!D136</f>
        <v>-7.5671272809999995E-2</v>
      </c>
      <c r="Y128" s="176">
        <f si="47" t="shared"/>
        <v>-7.5671272809999995E-2</v>
      </c>
      <c r="Z128" s="247">
        <f si="48" t="shared"/>
        <v>0</v>
      </c>
    </row>
    <row r="129" spans="2:26" x14ac:dyDescent="0.25">
      <c r="B129" s="3" t="s">
        <v>210</v>
      </c>
      <c r="C129" s="143">
        <f>C89+C116</f>
        <v>-0.47911897977000001</v>
      </c>
      <c r="D129" s="143">
        <f>D89+D116</f>
        <v>1.1441894555397427</v>
      </c>
      <c r="E129" s="254" t="s">
        <v>1030</v>
      </c>
      <c r="F129" s="254" t="s">
        <v>1030</v>
      </c>
      <c r="G129" s="143">
        <f ref="G129:H135" si="66" t="shared">G89+G116</f>
        <v>-2.5142965129700001</v>
      </c>
      <c r="H129" s="143">
        <f si="66" t="shared"/>
        <v>-3.8295481163199998</v>
      </c>
      <c r="I129" s="254" t="s">
        <v>1030</v>
      </c>
      <c r="V129" s="161">
        <f>DayPatternCoefficients!A137</f>
        <v>432</v>
      </c>
      <c r="W129" s="161" t="str">
        <f>DayPatternCoefficients!B137</f>
        <v>P-NODIAR</v>
      </c>
      <c r="X129" s="155">
        <f>DayPatternCoefficients!D137</f>
        <v>-0.97950456358000004</v>
      </c>
      <c r="Y129" s="176">
        <f si="47" t="shared"/>
        <v>-0.97950456358000004</v>
      </c>
      <c r="Z129" s="247">
        <f si="48" t="shared"/>
        <v>0</v>
      </c>
    </row>
    <row r="130" spans="2:26" x14ac:dyDescent="0.25">
      <c r="B130" s="3" t="s">
        <v>211</v>
      </c>
      <c r="C130" s="143">
        <f ref="C130:C135" si="67" t="shared">C90+C117</f>
        <v>-0.13882682499999999</v>
      </c>
      <c r="D130" s="254" t="s">
        <v>1030</v>
      </c>
      <c r="E130" s="254" t="s">
        <v>1030</v>
      </c>
      <c r="F130" s="254" t="s">
        <v>1030</v>
      </c>
      <c r="G130" s="143">
        <f si="66" t="shared"/>
        <v>-0.54322823780999996</v>
      </c>
      <c r="H130" s="143">
        <f si="66" t="shared"/>
        <v>0.32874149364999999</v>
      </c>
      <c r="I130" s="143">
        <f ref="I130:I135" si="68" t="shared">I90+I117</f>
        <v>2.3775085649699998</v>
      </c>
      <c r="V130" s="161">
        <f>DayPatternCoefficients!A138</f>
        <v>433</v>
      </c>
      <c r="W130" s="161" t="str">
        <f>DayPatternCoefficients!B138</f>
        <v>P-PROXY</v>
      </c>
      <c r="X130" s="155">
        <f>DayPatternCoefficients!D138</f>
        <v>-0.23241280488999999</v>
      </c>
      <c r="Y130" s="176">
        <f si="47" t="shared"/>
        <v>-0.23241280488999999</v>
      </c>
      <c r="Z130" s="247">
        <f si="48" t="shared"/>
        <v>0</v>
      </c>
    </row>
    <row r="131" spans="2:26" x14ac:dyDescent="0.25">
      <c r="B131" s="3" t="s">
        <v>212</v>
      </c>
      <c r="C131" s="143">
        <f si="67" t="shared"/>
        <v>-1.0623648370200001</v>
      </c>
      <c r="D131" s="143">
        <f ref="D131:F135" si="69" t="shared">D91+D118</f>
        <v>2.7924700472040911</v>
      </c>
      <c r="E131" s="143">
        <f si="69" t="shared"/>
        <v>-2.11024149046</v>
      </c>
      <c r="F131" s="143">
        <f si="69" t="shared"/>
        <v>-1.1088219987000001</v>
      </c>
      <c r="G131" s="143">
        <f si="66" t="shared"/>
        <v>-1.4521986715899999</v>
      </c>
      <c r="H131" s="143">
        <f si="66" t="shared"/>
        <v>-1.83417982882</v>
      </c>
      <c r="I131" s="143">
        <f si="68" t="shared"/>
        <v>-1.8750020057100001</v>
      </c>
      <c r="V131" s="161">
        <f>DayPatternCoefficients!A139</f>
        <v>451</v>
      </c>
      <c r="W131" s="161" t="str">
        <f>DayPatternCoefficients!B139</f>
        <v>P-FTW</v>
      </c>
      <c r="X131" s="155">
        <f>DayPatternCoefficients!D139</f>
        <v>-0.78628794521000001</v>
      </c>
      <c r="Y131" s="176">
        <f si="47" t="shared"/>
        <v>-0.78628794521000001</v>
      </c>
      <c r="Z131" s="247">
        <f si="48" t="shared"/>
        <v>0</v>
      </c>
    </row>
    <row r="132" spans="2:26" x14ac:dyDescent="0.25">
      <c r="B132" s="3" t="s">
        <v>213</v>
      </c>
      <c r="C132" s="143">
        <f si="67" t="shared"/>
        <v>-0.78628794521000001</v>
      </c>
      <c r="D132" s="143">
        <f si="69" t="shared"/>
        <v>6.6622819977806955</v>
      </c>
      <c r="E132" s="143">
        <f si="69" t="shared"/>
        <v>-0.24624373095999999</v>
      </c>
      <c r="F132" s="143">
        <f si="69" t="shared"/>
        <v>-1.1659743151199999</v>
      </c>
      <c r="G132" s="143">
        <f si="66" t="shared"/>
        <v>-2.0528822094499999</v>
      </c>
      <c r="H132" s="143">
        <f si="66" t="shared"/>
        <v>-2.4818889930700001</v>
      </c>
      <c r="I132" s="143">
        <f si="68" t="shared"/>
        <v>-1.73055593888</v>
      </c>
      <c r="V132" s="161">
        <f>DayPatternCoefficients!A140</f>
        <v>500</v>
      </c>
      <c r="W132" s="161" t="str">
        <f>DayPatternCoefficients!B140</f>
        <v>H-TASC</v>
      </c>
      <c r="X132" s="155">
        <f>DayPatternCoefficients!D140</f>
        <v>-1.8946560162599999</v>
      </c>
      <c r="Y132" s="176">
        <f ref="Y132:Y195" si="70" t="shared">_xlfn.IFNA(VLOOKUP(V132,$L$63:$N$105,3,FALSE),_xlfn.IFNA(VLOOKUP(V132,$H$5:$L$11,5,FALSE),_xlfn.IFNA(VLOOKUP(V132,$J$33:$N$39,5,FALSE),X132)))</f>
        <v>-1.8946560162599999</v>
      </c>
      <c r="Z132" s="247">
        <f ref="Z132:Z195" si="71" t="shared">IF(X132=Y132,0,1)</f>
        <v>0</v>
      </c>
    </row>
    <row r="133" spans="2:26" x14ac:dyDescent="0.25">
      <c r="B133" s="3" t="s">
        <v>214</v>
      </c>
      <c r="C133" s="143">
        <f si="67" t="shared"/>
        <v>-0.95312305667999997</v>
      </c>
      <c r="D133" s="143">
        <f si="69" t="shared"/>
        <v>5.811682647533873</v>
      </c>
      <c r="E133" s="143">
        <f si="69" t="shared"/>
        <v>-0.75642426743000002</v>
      </c>
      <c r="F133" s="143">
        <f si="69" t="shared"/>
        <v>-0.80435735085000004</v>
      </c>
      <c r="G133" s="143">
        <f si="66" t="shared"/>
        <v>-1.32038599973</v>
      </c>
      <c r="H133" s="143">
        <f si="66" t="shared"/>
        <v>-3.1616474248899999</v>
      </c>
      <c r="I133" s="143">
        <f si="68" t="shared"/>
        <v>-2.1164686959500001</v>
      </c>
      <c r="V133" s="161">
        <f>DayPatternCoefficients!A141</f>
        <v>501</v>
      </c>
      <c r="W133" s="161" t="str">
        <f>DayPatternCoefficients!B141</f>
        <v>H-SASC</v>
      </c>
      <c r="X133" s="155">
        <f>DayPatternCoefficients!D141</f>
        <v>2.2010931360999999</v>
      </c>
      <c r="Y133" s="176">
        <f si="70" t="shared"/>
        <v>2.2010931360999999</v>
      </c>
      <c r="Z133" s="247">
        <f si="71" t="shared"/>
        <v>0</v>
      </c>
    </row>
    <row r="134" spans="2:26" x14ac:dyDescent="0.25">
      <c r="B134" s="3" t="s">
        <v>129</v>
      </c>
      <c r="C134" s="143">
        <f si="67" t="shared"/>
        <v>-0.67422601961999995</v>
      </c>
      <c r="D134" s="143">
        <f si="69" t="shared"/>
        <v>1.7944337291018662</v>
      </c>
      <c r="E134" s="143">
        <f si="69" t="shared"/>
        <v>-0.82288544304</v>
      </c>
      <c r="F134" s="143">
        <f si="69" t="shared"/>
        <v>-1.4950205351900001</v>
      </c>
      <c r="G134" s="143">
        <f si="66" t="shared"/>
        <v>-0.96389520255000005</v>
      </c>
      <c r="H134" s="143">
        <f si="66" t="shared"/>
        <v>-2.9948228206800001</v>
      </c>
      <c r="I134" s="143">
        <f si="68" t="shared"/>
        <v>-1.98828318011</v>
      </c>
      <c r="V134" s="161">
        <f>DayPatternCoefficients!A142</f>
        <v>502</v>
      </c>
      <c r="W134" s="161" t="str">
        <f>DayPatternCoefficients!B142</f>
        <v>H-PTW</v>
      </c>
      <c r="X134" s="155">
        <f>DayPatternCoefficients!D142</f>
        <v>2.37096125334</v>
      </c>
      <c r="Y134" s="176">
        <f si="70" t="shared"/>
        <v>5.811682647533873</v>
      </c>
      <c r="Z134" s="247">
        <f si="71" t="shared"/>
        <v>1</v>
      </c>
    </row>
    <row ht="15.75" r="135" spans="2:26" thickBot="1" x14ac:dyDescent="0.3">
      <c r="B135" s="15" t="s">
        <v>130</v>
      </c>
      <c r="C135" s="144">
        <f si="67" t="shared"/>
        <v>-1.08724312621</v>
      </c>
      <c r="D135" s="144">
        <f si="69" t="shared"/>
        <v>1.8037244605041181</v>
      </c>
      <c r="E135" s="144">
        <f si="69" t="shared"/>
        <v>-1.1475698162500001</v>
      </c>
      <c r="F135" s="144">
        <f si="69" t="shared"/>
        <v>-1.0826110979400001</v>
      </c>
      <c r="G135" s="144">
        <f si="66" t="shared"/>
        <v>-2.0534535142900001</v>
      </c>
      <c r="H135" s="144">
        <f si="66" t="shared"/>
        <v>-1.5469095636900001</v>
      </c>
      <c r="I135" s="144">
        <f si="68" t="shared"/>
        <v>-0.36546801553000002</v>
      </c>
      <c r="V135" s="161">
        <f>DayPatternCoefficients!A143</f>
        <v>503</v>
      </c>
      <c r="W135" s="161" t="str">
        <f>DayPatternCoefficients!B143</f>
        <v>H-RET</v>
      </c>
      <c r="X135" s="155">
        <f>DayPatternCoefficients!D143</f>
        <v>-0.75642426743000002</v>
      </c>
      <c r="Y135" s="176">
        <f si="70" t="shared"/>
        <v>-0.75642426743000002</v>
      </c>
      <c r="Z135" s="247">
        <f si="71" t="shared"/>
        <v>0</v>
      </c>
    </row>
    <row r="136" spans="2:26" x14ac:dyDescent="0.25">
      <c r="V136" s="161">
        <f>DayPatternCoefficients!A144</f>
        <v>504</v>
      </c>
      <c r="W136" s="161" t="str">
        <f>DayPatternCoefficients!B144</f>
        <v>H-NWA</v>
      </c>
      <c r="X136" s="155">
        <f>DayPatternCoefficients!D144</f>
        <v>-0.80435735085000004</v>
      </c>
      <c r="Y136" s="176">
        <f si="70" t="shared"/>
        <v>-0.80435735085000004</v>
      </c>
      <c r="Z136" s="247">
        <f si="71" t="shared"/>
        <v>0</v>
      </c>
    </row>
    <row r="137" spans="2:26" x14ac:dyDescent="0.25">
      <c r="V137" s="161">
        <f>DayPatternCoefficients!A145</f>
        <v>505</v>
      </c>
      <c r="W137" s="161" t="str">
        <f>DayPatternCoefficients!B145</f>
        <v>H-UNI</v>
      </c>
      <c r="X137" s="155">
        <f>DayPatternCoefficients!D145</f>
        <v>-1.32038599973</v>
      </c>
      <c r="Y137" s="176">
        <f si="70" t="shared"/>
        <v>-1.32038599973</v>
      </c>
      <c r="Z137" s="247">
        <f si="71" t="shared"/>
        <v>0</v>
      </c>
    </row>
    <row r="138" spans="2:26" x14ac:dyDescent="0.25">
      <c r="V138" s="161">
        <f>DayPatternCoefficients!A146</f>
        <v>506</v>
      </c>
      <c r="W138" s="161" t="str">
        <f>DayPatternCoefficients!B146</f>
        <v>H-DAS</v>
      </c>
      <c r="X138" s="155">
        <f>DayPatternCoefficients!D146</f>
        <v>-3.1616474248899999</v>
      </c>
      <c r="Y138" s="176">
        <f si="70" t="shared"/>
        <v>-3.1616474248899999</v>
      </c>
      <c r="Z138" s="247">
        <f si="71" t="shared"/>
        <v>0</v>
      </c>
    </row>
    <row r="139" spans="2:26" x14ac:dyDescent="0.25">
      <c r="V139" s="161">
        <f>DayPatternCoefficients!A147</f>
        <v>507</v>
      </c>
      <c r="W139" s="161" t="str">
        <f>DayPatternCoefficients!B147</f>
        <v>H-PAS</v>
      </c>
      <c r="X139" s="155">
        <f>DayPatternCoefficients!D147</f>
        <v>-2.1164686959500001</v>
      </c>
      <c r="Y139" s="176">
        <f si="70" t="shared"/>
        <v>-2.1164686959500001</v>
      </c>
      <c r="Z139" s="247">
        <f si="71" t="shared"/>
        <v>0</v>
      </c>
    </row>
    <row r="140" spans="2:26" x14ac:dyDescent="0.25">
      <c r="V140" s="161">
        <f>DayPatternCoefficients!A148</f>
        <v>508</v>
      </c>
      <c r="W140" s="161" t="str">
        <f>DayPatternCoefficients!B148</f>
        <v>H-CU5</v>
      </c>
      <c r="X140" s="155">
        <f>DayPatternCoefficients!D148</f>
        <v>0</v>
      </c>
      <c r="Y140" s="176">
        <f si="70" t="shared"/>
        <v>0</v>
      </c>
      <c r="Z140" s="247">
        <f si="71" t="shared"/>
        <v>0</v>
      </c>
    </row>
    <row r="141" spans="2:26" x14ac:dyDescent="0.25">
      <c r="V141" s="161">
        <f>DayPatternCoefficients!A149</f>
        <v>509</v>
      </c>
      <c r="W141" s="161" t="str">
        <f>DayPatternCoefficients!B149</f>
        <v>H-VLINC</v>
      </c>
      <c r="X141" s="155">
        <f>DayPatternCoefficients!D149</f>
        <v>-0.10456159314000001</v>
      </c>
      <c r="Y141" s="176">
        <f si="70" t="shared"/>
        <v>-0.10456159314000001</v>
      </c>
      <c r="Z141" s="247">
        <f si="71" t="shared"/>
        <v>0</v>
      </c>
    </row>
    <row r="142" spans="2:26" x14ac:dyDescent="0.25">
      <c r="V142" s="161">
        <f>DayPatternCoefficients!A150</f>
        <v>510</v>
      </c>
      <c r="W142" s="161" t="str">
        <f>DayPatternCoefficients!B150</f>
        <v>H-LOINC</v>
      </c>
      <c r="X142" s="155">
        <f>DayPatternCoefficients!D150</f>
        <v>0</v>
      </c>
      <c r="Y142" s="176">
        <f si="70" t="shared"/>
        <v>0</v>
      </c>
      <c r="Z142" s="247">
        <f si="71" t="shared"/>
        <v>0</v>
      </c>
    </row>
    <row r="143" spans="2:26" x14ac:dyDescent="0.25">
      <c r="V143" s="161">
        <f>DayPatternCoefficients!A151</f>
        <v>511</v>
      </c>
      <c r="W143" s="161" t="str">
        <f>DayPatternCoefficients!B151</f>
        <v>H-HIINC</v>
      </c>
      <c r="X143" s="155">
        <f>DayPatternCoefficients!D151</f>
        <v>0</v>
      </c>
      <c r="Y143" s="176">
        <f si="70" t="shared"/>
        <v>0</v>
      </c>
      <c r="Z143" s="247">
        <f si="71" t="shared"/>
        <v>0</v>
      </c>
    </row>
    <row r="144" spans="2:26" x14ac:dyDescent="0.25">
      <c r="L144" s="150"/>
      <c r="M144" s="150"/>
      <c r="N144" s="150"/>
      <c r="V144" s="161">
        <f>DayPatternCoefficients!A152</f>
        <v>512</v>
      </c>
      <c r="W144" s="161" t="str">
        <f>DayPatternCoefficients!B152</f>
        <v>H-CARSPD</v>
      </c>
      <c r="X144" s="155">
        <f>DayPatternCoefficients!D152</f>
        <v>5.745555644E-2</v>
      </c>
      <c r="Y144" s="176">
        <f si="70" t="shared"/>
        <v>5.745555644E-2</v>
      </c>
      <c r="Z144" s="247">
        <f si="71" t="shared"/>
        <v>0</v>
      </c>
    </row>
    <row r="145" spans="2:26" x14ac:dyDescent="0.25">
      <c r="B145" s="146" t="s">
        <v>1101</v>
      </c>
      <c r="C145" s="3"/>
      <c r="D145" s="3"/>
      <c r="E145" s="3"/>
      <c r="F145" s="3"/>
      <c r="G145" s="3"/>
      <c r="H145" s="160" t="s">
        <v>1101</v>
      </c>
      <c r="I145" s="3" t="s">
        <v>1131</v>
      </c>
      <c r="J145" s="174">
        <v>0</v>
      </c>
      <c r="L145" s="150"/>
      <c r="M145" s="150"/>
      <c r="N145" s="150"/>
      <c r="P145" s="3"/>
      <c r="Q145" s="3"/>
      <c r="R145" s="3"/>
      <c r="S145" s="3"/>
      <c r="V145" s="137">
        <f>DayPatternCoefficients!A153</f>
        <v>513</v>
      </c>
      <c r="W145" s="137" t="str">
        <f>DayPatternCoefficients!B153</f>
        <v>H-ONLYAD</v>
      </c>
      <c r="X145" s="138">
        <f>DayPatternCoefficients!D153</f>
        <v>0.19161158986999999</v>
      </c>
      <c r="Y145" s="176">
        <f si="70" t="shared"/>
        <v>0.19161158986999999</v>
      </c>
      <c r="Z145" s="247">
        <f si="71" t="shared"/>
        <v>0</v>
      </c>
    </row>
    <row ht="15.75" r="146" spans="2:26" thickBot="1" x14ac:dyDescent="0.3">
      <c r="B146" s="15"/>
      <c r="C146" s="15"/>
      <c r="D146" s="15"/>
      <c r="E146" s="15"/>
      <c r="F146" s="15"/>
      <c r="G146" s="3"/>
      <c r="H146" s="142" t="s">
        <v>1034</v>
      </c>
      <c r="I146" s="124"/>
      <c r="J146" s="124"/>
      <c r="K146" s="1"/>
      <c r="L146" s="124"/>
      <c r="M146" s="183"/>
      <c r="N146" s="183"/>
      <c r="P146" s="3"/>
      <c r="Q146" s="3"/>
      <c r="R146" s="3"/>
      <c r="S146" s="3"/>
      <c r="V146" s="137">
        <f>DayPatternCoefficients!A154</f>
        <v>514</v>
      </c>
      <c r="W146" s="137" t="str">
        <f>DayPatternCoefficients!B154</f>
        <v>H-ONLYWK</v>
      </c>
      <c r="X146" s="138">
        <f>DayPatternCoefficients!D154</f>
        <v>0</v>
      </c>
      <c r="Y146" s="176">
        <f si="70" t="shared"/>
        <v>0</v>
      </c>
      <c r="Z146" s="247">
        <f si="71" t="shared"/>
        <v>0</v>
      </c>
    </row>
    <row r="147" spans="2:26" x14ac:dyDescent="0.25">
      <c r="B147" s="151" t="s">
        <v>159</v>
      </c>
      <c r="C147" s="256" t="s">
        <v>259</v>
      </c>
      <c r="D147" s="256" t="s">
        <v>1211</v>
      </c>
      <c r="E147" s="256" t="s">
        <v>260</v>
      </c>
      <c r="F147" s="256" t="s">
        <v>1026</v>
      </c>
      <c r="G147" s="3"/>
      <c r="H147" s="120" t="s">
        <v>1020</v>
      </c>
      <c r="I147" s="120" t="s">
        <v>316</v>
      </c>
      <c r="J147" s="165" t="s">
        <v>1027</v>
      </c>
      <c r="K147" s="163" t="s">
        <v>1028</v>
      </c>
      <c r="L147" s="178" t="s">
        <v>1029</v>
      </c>
      <c r="M147" s="184" t="s">
        <v>1136</v>
      </c>
      <c r="N147" s="184" t="s">
        <v>1135</v>
      </c>
      <c r="V147" s="137">
        <f>DayPatternCoefficients!A155</f>
        <v>516</v>
      </c>
      <c r="W147" s="137" t="str">
        <f>DayPatternCoefficients!B155</f>
        <v>H-FEMNOC</v>
      </c>
      <c r="X147" s="138">
        <f>DayPatternCoefficients!D155</f>
        <v>0.15645340274</v>
      </c>
      <c r="Y147" s="176">
        <f si="70" t="shared"/>
        <v>0.15645340274</v>
      </c>
      <c r="Z147" s="247">
        <f si="71" t="shared"/>
        <v>0</v>
      </c>
    </row>
    <row r="148" spans="2:26" x14ac:dyDescent="0.25">
      <c r="B148" s="3" t="s">
        <v>117</v>
      </c>
      <c r="C148" s="7">
        <f>output_NHTS!D136</f>
        <v>16148.251877000001</v>
      </c>
      <c r="D148" s="7">
        <f>C148*(D$12/C$155)</f>
        <v>18372.863781854943</v>
      </c>
      <c r="E148" s="7">
        <f>output!D136</f>
        <v>18447</v>
      </c>
      <c r="F148" s="257">
        <f>(D148)/(E148)</f>
        <v>0.9959811233184227</v>
      </c>
      <c r="G148" s="3"/>
      <c r="H148" s="3">
        <v>1</v>
      </c>
      <c r="I148" s="3" t="s">
        <v>117</v>
      </c>
      <c r="J148" s="187">
        <f>VLOOKUP(H148,$AB$3:$AD$17,3,FALSE)</f>
        <v>-1.427506529303</v>
      </c>
      <c r="K148" s="153">
        <f ref="K148:K154" si="72" t="shared">O148*LN(F148)</f>
        <v>0</v>
      </c>
      <c r="L148" s="185">
        <f>J148+K148</f>
        <v>-1.427506529303</v>
      </c>
      <c r="M148" s="189">
        <f>VLOOKUP(H148,$AB$3:$AE$17,4,FALSE)</f>
        <v>-1.427506529303</v>
      </c>
      <c r="N148" s="166">
        <f>IF(L148=M148,0,1)</f>
        <v>0</v>
      </c>
      <c r="O148" s="115">
        <f>$J$145</f>
        <v>0</v>
      </c>
      <c r="V148" s="137">
        <f>DayPatternCoefficients!A156</f>
        <v>517</v>
      </c>
      <c r="W148" s="137" t="str">
        <f>DayPatternCoefficients!B156</f>
        <v>H-FADCU5</v>
      </c>
      <c r="X148" s="138">
        <f>DayPatternCoefficients!D156</f>
        <v>0</v>
      </c>
      <c r="Y148" s="176">
        <f si="70" t="shared"/>
        <v>0</v>
      </c>
      <c r="Z148" s="247">
        <f si="71" t="shared"/>
        <v>0</v>
      </c>
    </row>
    <row r="149" spans="2:26" x14ac:dyDescent="0.25">
      <c r="B149" s="3" t="s">
        <v>118</v>
      </c>
      <c r="C149" s="7">
        <f>output_NHTS!D137</f>
        <v>499.702789</v>
      </c>
      <c r="D149" s="7">
        <f ref="D149:D154" si="73" t="shared">C149*(D$12/C$155)</f>
        <v>568.54273413870169</v>
      </c>
      <c r="E149" s="7">
        <f>output!D137</f>
        <v>502</v>
      </c>
      <c r="F149" s="258">
        <f ref="F149:F155" si="74" t="shared">(D149)/(E149)</f>
        <v>1.1325552472882503</v>
      </c>
      <c r="G149" s="3"/>
      <c r="H149" s="3">
        <v>3</v>
      </c>
      <c r="I149" s="3" t="s">
        <v>118</v>
      </c>
      <c r="J149" s="187">
        <f ref="J149:J154" si="75" t="shared">VLOOKUP(H149,$AB$3:$AD$17,3,FALSE)</f>
        <v>-2.1173031158029998</v>
      </c>
      <c r="K149" s="153">
        <f si="72" t="shared"/>
        <v>0</v>
      </c>
      <c r="L149" s="185">
        <f ref="L149:L154" si="76" t="shared">J149+K149</f>
        <v>-2.1173031158029998</v>
      </c>
      <c r="M149" s="189">
        <f ref="M149:M154" si="77" t="shared">VLOOKUP(H149,$AB$3:$AE$17,4,FALSE)</f>
        <v>-2.1173031158029998</v>
      </c>
      <c r="N149" s="166">
        <f ref="N149:N154" si="78" t="shared">IF(L149=M149,0,1)</f>
        <v>0</v>
      </c>
      <c r="O149" s="115">
        <f ref="O149:O154" si="79" t="shared">$J$145</f>
        <v>0</v>
      </c>
      <c r="V149" s="137">
        <f>DayPatternCoefficients!A157</f>
        <v>518</v>
      </c>
      <c r="W149" s="137" t="str">
        <f>DayPatternCoefficients!B157</f>
        <v>H-FAD515</v>
      </c>
      <c r="X149" s="138">
        <f>DayPatternCoefficients!D157</f>
        <v>0</v>
      </c>
      <c r="Y149" s="176">
        <f si="70" t="shared"/>
        <v>0</v>
      </c>
      <c r="Z149" s="247">
        <f si="71" t="shared"/>
        <v>0</v>
      </c>
    </row>
    <row r="150" spans="2:26" x14ac:dyDescent="0.25">
      <c r="B150" s="3" t="s">
        <v>4</v>
      </c>
      <c r="C150" s="7">
        <f>output_NHTS!D138</f>
        <v>4368.7411780000002</v>
      </c>
      <c r="D150" s="7">
        <f si="73" t="shared"/>
        <v>4970.5867342766678</v>
      </c>
      <c r="E150" s="7">
        <f>output!D138</f>
        <v>5295</v>
      </c>
      <c r="F150" s="258">
        <f si="74" t="shared"/>
        <v>0.9387321500050364</v>
      </c>
      <c r="G150" s="3"/>
      <c r="H150" s="3">
        <v>4</v>
      </c>
      <c r="I150" s="3" t="s">
        <v>4</v>
      </c>
      <c r="J150" s="187">
        <f si="75" t="shared"/>
        <v>-2.9720527882979999</v>
      </c>
      <c r="K150" s="153">
        <f si="72" t="shared"/>
        <v>0</v>
      </c>
      <c r="L150" s="185">
        <f si="76" t="shared"/>
        <v>-2.9720527882979999</v>
      </c>
      <c r="M150" s="189">
        <f si="77" t="shared"/>
        <v>-2.9720527882979999</v>
      </c>
      <c r="N150" s="166">
        <f si="78" t="shared"/>
        <v>0</v>
      </c>
      <c r="O150" s="115">
        <f si="79" t="shared"/>
        <v>0</v>
      </c>
      <c r="V150" s="137">
        <f>DayPatternCoefficients!A158</f>
        <v>519</v>
      </c>
      <c r="W150" s="137" t="str">
        <f>DayPatternCoefficients!B158</f>
        <v>H-MADCU5</v>
      </c>
      <c r="X150" s="138">
        <f>DayPatternCoefficients!D158</f>
        <v>-0.29155341554999997</v>
      </c>
      <c r="Y150" s="176">
        <f si="70" t="shared"/>
        <v>-0.29155341554999997</v>
      </c>
      <c r="Z150" s="247">
        <f si="71" t="shared"/>
        <v>0</v>
      </c>
    </row>
    <row r="151" spans="2:26" x14ac:dyDescent="0.25">
      <c r="B151" s="3" t="s">
        <v>5</v>
      </c>
      <c r="C151" s="7">
        <f>output_NHTS!D139</f>
        <v>15025.452459</v>
      </c>
      <c r="D151" s="7">
        <f si="73" t="shared"/>
        <v>17095.385518672658</v>
      </c>
      <c r="E151" s="7">
        <f>output!D139</f>
        <v>17615</v>
      </c>
      <c r="F151" s="258">
        <f si="74" t="shared"/>
        <v>0.97050159061440011</v>
      </c>
      <c r="G151" s="3"/>
      <c r="H151" s="3">
        <v>6</v>
      </c>
      <c r="I151" s="3" t="s">
        <v>5</v>
      </c>
      <c r="J151" s="187">
        <f si="75" t="shared"/>
        <v>-2.0696298973410001</v>
      </c>
      <c r="K151" s="153">
        <f si="72" t="shared"/>
        <v>0</v>
      </c>
      <c r="L151" s="185">
        <f si="76" t="shared"/>
        <v>-2.0696298973410001</v>
      </c>
      <c r="M151" s="189">
        <f si="77" t="shared"/>
        <v>-2.0696298973410001</v>
      </c>
      <c r="N151" s="166">
        <f si="78" t="shared"/>
        <v>0</v>
      </c>
      <c r="O151" s="115">
        <f si="79" t="shared"/>
        <v>0</v>
      </c>
      <c r="V151" s="137">
        <f>DayPatternCoefficients!A159</f>
        <v>520</v>
      </c>
      <c r="W151" s="137" t="str">
        <f>DayPatternCoefficients!B159</f>
        <v>H-MAD515</v>
      </c>
      <c r="X151" s="138">
        <f>DayPatternCoefficients!D159</f>
        <v>0</v>
      </c>
      <c r="Y151" s="176">
        <f si="70" t="shared"/>
        <v>0</v>
      </c>
      <c r="Z151" s="247">
        <f si="71" t="shared"/>
        <v>0</v>
      </c>
    </row>
    <row r="152" spans="2:26" x14ac:dyDescent="0.25">
      <c r="B152" s="3" t="s">
        <v>6</v>
      </c>
      <c r="C152" s="7">
        <f>output_NHTS!D140</f>
        <v>8786.7017039999992</v>
      </c>
      <c r="D152" s="7">
        <f si="73" t="shared"/>
        <v>9997.1733614905825</v>
      </c>
      <c r="E152" s="7">
        <f>output!D140</f>
        <v>9937</v>
      </c>
      <c r="F152" s="258">
        <f si="74" t="shared"/>
        <v>1.0060554857090251</v>
      </c>
      <c r="G152" s="3"/>
      <c r="H152" s="3">
        <v>8</v>
      </c>
      <c r="I152" s="3" t="s">
        <v>6</v>
      </c>
      <c r="J152" s="187">
        <f si="75" t="shared"/>
        <v>-2.299467632007</v>
      </c>
      <c r="K152" s="153">
        <f si="72" t="shared"/>
        <v>0</v>
      </c>
      <c r="L152" s="185">
        <f si="76" t="shared"/>
        <v>-2.299467632007</v>
      </c>
      <c r="M152" s="189">
        <f si="77" t="shared"/>
        <v>-2.299467632007</v>
      </c>
      <c r="N152" s="166">
        <f si="78" t="shared"/>
        <v>0</v>
      </c>
      <c r="O152" s="115">
        <f si="79" t="shared"/>
        <v>0</v>
      </c>
      <c r="V152" s="137">
        <f>DayPatternCoefficients!A160</f>
        <v>521</v>
      </c>
      <c r="W152" s="137" t="str">
        <f>DayPatternCoefficients!B160</f>
        <v>H-AG1825</v>
      </c>
      <c r="X152" s="138">
        <f>DayPatternCoefficients!D160</f>
        <v>-0.23060470699999999</v>
      </c>
      <c r="Y152" s="176">
        <f si="70" t="shared"/>
        <v>-0.23060470699999999</v>
      </c>
      <c r="Z152" s="247">
        <f si="71" t="shared"/>
        <v>0</v>
      </c>
    </row>
    <row r="153" spans="2:26" x14ac:dyDescent="0.25">
      <c r="B153" s="3" t="s">
        <v>7</v>
      </c>
      <c r="C153" s="7">
        <f>output_NHTS!D141</f>
        <v>33523.416804</v>
      </c>
      <c r="D153" s="7">
        <f si="73" t="shared"/>
        <v>38141.662338045222</v>
      </c>
      <c r="E153" s="7">
        <f>output!D141</f>
        <v>39508</v>
      </c>
      <c r="F153" s="258">
        <f si="74" t="shared"/>
        <v>0.96541617743356334</v>
      </c>
      <c r="G153" s="3"/>
      <c r="H153" s="3">
        <v>10</v>
      </c>
      <c r="I153" s="3" t="s">
        <v>7</v>
      </c>
      <c r="J153" s="187">
        <f si="75" t="shared"/>
        <v>-1.0725277546400001</v>
      </c>
      <c r="K153" s="153">
        <f si="72" t="shared"/>
        <v>0</v>
      </c>
      <c r="L153" s="185">
        <f si="76" t="shared"/>
        <v>-1.0725277546400001</v>
      </c>
      <c r="M153" s="189">
        <f si="77" t="shared"/>
        <v>-1.0725277546400001</v>
      </c>
      <c r="N153" s="166">
        <f si="78" t="shared"/>
        <v>0</v>
      </c>
      <c r="O153" s="115">
        <f si="79" t="shared"/>
        <v>0</v>
      </c>
      <c r="V153" s="137">
        <f>DayPatternCoefficients!A161</f>
        <v>522</v>
      </c>
      <c r="W153" s="137" t="str">
        <f>DayPatternCoefficients!B161</f>
        <v>H-AG2635</v>
      </c>
      <c r="X153" s="138">
        <f>DayPatternCoefficients!D161</f>
        <v>-0.30518042548000002</v>
      </c>
      <c r="Y153" s="176">
        <f si="70" t="shared"/>
        <v>-0.30518042548000002</v>
      </c>
      <c r="Z153" s="247">
        <f si="71" t="shared"/>
        <v>0</v>
      </c>
    </row>
    <row ht="15.75" r="154" spans="2:26" thickBot="1" x14ac:dyDescent="0.3">
      <c r="B154" s="15" t="s">
        <v>8</v>
      </c>
      <c r="C154" s="22">
        <f>output_NHTS!D142</f>
        <v>4936.0156440000001</v>
      </c>
      <c r="D154" s="22">
        <f si="73" t="shared"/>
        <v>5616.0099398427901</v>
      </c>
      <c r="E154" s="22">
        <f>output!D142</f>
        <v>5537</v>
      </c>
      <c r="F154" s="223">
        <f si="74" t="shared"/>
        <v>1.0142694491318025</v>
      </c>
      <c r="G154" s="3"/>
      <c r="H154" s="15">
        <v>13</v>
      </c>
      <c r="I154" s="15" t="s">
        <v>8</v>
      </c>
      <c r="J154" s="188">
        <f si="75" t="shared"/>
        <v>-2.2431847091349999</v>
      </c>
      <c r="K154" s="234">
        <f si="72" t="shared"/>
        <v>0</v>
      </c>
      <c r="L154" s="186">
        <f si="76" t="shared"/>
        <v>-2.2431847091349999</v>
      </c>
      <c r="M154" s="190">
        <f si="77" t="shared"/>
        <v>-2.2431847091349999</v>
      </c>
      <c r="N154" s="169">
        <f si="78" t="shared"/>
        <v>0</v>
      </c>
      <c r="O154" s="115">
        <f si="79" t="shared"/>
        <v>0</v>
      </c>
      <c r="V154" s="161">
        <f>DayPatternCoefficients!A162</f>
        <v>523</v>
      </c>
      <c r="W154" s="161" t="str">
        <f>DayPatternCoefficients!B162</f>
        <v>H-AG5165</v>
      </c>
      <c r="X154" s="155">
        <f>DayPatternCoefficients!D162</f>
        <v>4.7427549270000001E-2</v>
      </c>
      <c r="Y154" s="176">
        <f si="70" t="shared"/>
        <v>4.7427549270000001E-2</v>
      </c>
      <c r="Z154" s="247">
        <f si="71" t="shared"/>
        <v>0</v>
      </c>
    </row>
    <row r="155" spans="2:26" x14ac:dyDescent="0.25">
      <c r="B155" s="119" t="s">
        <v>13596</v>
      </c>
      <c r="C155" s="259">
        <f>SUM(C148:C154)</f>
        <v>83288.282455000008</v>
      </c>
      <c r="D155" s="259">
        <f>SUM(D148:D154)</f>
        <v>94762.224408321563</v>
      </c>
      <c r="E155" s="259">
        <f>SUM(E148:E154)</f>
        <v>96841</v>
      </c>
      <c r="F155" s="260">
        <f si="74" t="shared"/>
        <v>0.97853413748641138</v>
      </c>
      <c r="N155" s="119">
        <f>SUM(N148:N154)</f>
        <v>0</v>
      </c>
      <c r="V155" s="161">
        <f>DayPatternCoefficients!A163</f>
        <v>524</v>
      </c>
      <c r="W155" s="161" t="str">
        <f>DayPatternCoefficients!B163</f>
        <v>H-WAHOME</v>
      </c>
      <c r="X155" s="155">
        <f>DayPatternCoefficients!D163</f>
        <v>0</v>
      </c>
      <c r="Y155" s="176">
        <f si="70" t="shared"/>
        <v>0</v>
      </c>
      <c r="Z155" s="247">
        <f si="71" t="shared"/>
        <v>0</v>
      </c>
    </row>
    <row r="156" spans="2:26" x14ac:dyDescent="0.25">
      <c r="V156" s="161">
        <f>DayPatternCoefficients!A164</f>
        <v>525</v>
      </c>
      <c r="W156" s="161" t="str">
        <f>DayPatternCoefficients!B164</f>
        <v>H-MIXDEN</v>
      </c>
      <c r="X156" s="155">
        <f>DayPatternCoefficients!D164</f>
        <v>0</v>
      </c>
      <c r="Y156" s="176">
        <f si="70" t="shared"/>
        <v>0</v>
      </c>
      <c r="Z156" s="247">
        <f si="71" t="shared"/>
        <v>0</v>
      </c>
    </row>
    <row r="157" spans="2:26" x14ac:dyDescent="0.25">
      <c r="V157" s="161">
        <f>DayPatternCoefficients!A165</f>
        <v>526</v>
      </c>
      <c r="W157" s="161" t="str">
        <f>DayPatternCoefficients!B165</f>
        <v>H-INTDEN</v>
      </c>
      <c r="X157" s="155">
        <f>DayPatternCoefficients!D165</f>
        <v>0</v>
      </c>
      <c r="Y157" s="176">
        <f si="70" t="shared"/>
        <v>0</v>
      </c>
      <c r="Z157" s="247">
        <f si="71" t="shared"/>
        <v>0</v>
      </c>
    </row>
    <row r="158" spans="2:26" x14ac:dyDescent="0.25">
      <c r="V158" s="161">
        <f>DayPatternCoefficients!A166</f>
        <v>527</v>
      </c>
      <c r="W158" s="161" t="str">
        <f>DayPatternCoefficients!B166</f>
        <v>H-ACCLOG</v>
      </c>
      <c r="X158" s="155">
        <f>DayPatternCoefficients!D166</f>
        <v>0</v>
      </c>
      <c r="Y158" s="176">
        <f si="70" t="shared"/>
        <v>0</v>
      </c>
      <c r="Z158" s="247">
        <f si="71" t="shared"/>
        <v>0</v>
      </c>
    </row>
    <row r="159" spans="2:26" x14ac:dyDescent="0.25">
      <c r="V159" s="161">
        <f>DayPatternCoefficients!A167</f>
        <v>528</v>
      </c>
      <c r="W159" s="161" t="str">
        <f>DayPatternCoefficients!B167</f>
        <v>H-TPASS</v>
      </c>
      <c r="X159" s="155">
        <f>DayPatternCoefficients!D167</f>
        <v>0</v>
      </c>
      <c r="Y159" s="176">
        <f si="70" t="shared"/>
        <v>0</v>
      </c>
      <c r="Z159" s="247">
        <f si="71" t="shared"/>
        <v>0</v>
      </c>
    </row>
    <row r="160" spans="2:26" x14ac:dyDescent="0.25">
      <c r="V160" s="161">
        <f>DayPatternCoefficients!A168</f>
        <v>529</v>
      </c>
      <c r="W160" s="161" t="str">
        <f>DayPatternCoefficients!B168</f>
        <v>H-T-LOGS</v>
      </c>
      <c r="X160" s="155">
        <f>DayPatternCoefficients!D168</f>
        <v>3.2339996109999998E-2</v>
      </c>
      <c r="Y160" s="176">
        <f si="70" t="shared"/>
        <v>3.2339996109999998E-2</v>
      </c>
      <c r="Z160" s="247">
        <f si="71" t="shared"/>
        <v>0</v>
      </c>
    </row>
    <row r="161" spans="2:26" x14ac:dyDescent="0.25">
      <c r="V161" s="161">
        <f>DayPatternCoefficients!A169</f>
        <v>530</v>
      </c>
      <c r="W161" s="161" t="str">
        <f>DayPatternCoefficients!B169</f>
        <v>H-T-PPRK</v>
      </c>
      <c r="X161" s="155">
        <f>DayPatternCoefficients!D169</f>
        <v>0</v>
      </c>
      <c r="Y161" s="176">
        <f si="70" t="shared"/>
        <v>0</v>
      </c>
      <c r="Z161" s="247">
        <f si="71" t="shared"/>
        <v>0</v>
      </c>
    </row>
    <row ht="15.75" r="162" spans="2:26" thickBot="1" x14ac:dyDescent="0.3">
      <c r="B162" s="3"/>
      <c r="C162" s="4"/>
      <c r="D162" s="4"/>
      <c r="E162" s="4"/>
      <c r="F162" s="4"/>
      <c r="G162" s="4"/>
      <c r="H162" s="4"/>
      <c r="I162" s="4"/>
      <c r="J162" s="4"/>
      <c r="K162" s="88"/>
      <c r="L162" s="3"/>
      <c r="M162" s="4"/>
      <c r="N162" s="4"/>
      <c r="O162" s="4"/>
      <c r="P162" s="4"/>
      <c r="Q162" s="4"/>
      <c r="R162" s="4"/>
      <c r="S162" s="4"/>
      <c r="V162" s="161">
        <f>DayPatternCoefficients!A170</f>
        <v>531</v>
      </c>
      <c r="W162" s="161" t="str">
        <f>DayPatternCoefficients!B170</f>
        <v>H-S-LOGS</v>
      </c>
      <c r="X162" s="155">
        <f>DayPatternCoefficients!D170</f>
        <v>-3.6036766669999998E-2</v>
      </c>
      <c r="Y162" s="176">
        <f si="70" t="shared"/>
        <v>-3.6036766669999998E-2</v>
      </c>
      <c r="Z162" s="247">
        <f si="71" t="shared"/>
        <v>0</v>
      </c>
    </row>
    <row r="163" spans="2:26" x14ac:dyDescent="0.25">
      <c r="B163" s="5" t="str">
        <f ref="B163:J163" si="80" t="shared">B47</f>
        <v>Purpose</v>
      </c>
      <c r="C163" s="6" t="str">
        <f si="80" t="shared"/>
        <v>ft worker</v>
      </c>
      <c r="D163" s="6" t="str">
        <f si="80" t="shared"/>
        <v>pt worker</v>
      </c>
      <c r="E163" s="6" t="str">
        <f si="80" t="shared"/>
        <v>retired</v>
      </c>
      <c r="F163" s="6" t="str">
        <f si="80" t="shared"/>
        <v>nonworker</v>
      </c>
      <c r="G163" s="6" t="str">
        <f si="80" t="shared"/>
        <v>uinv.stud</v>
      </c>
      <c r="H163" s="6" t="str">
        <f si="80" t="shared"/>
        <v>stud 16+</v>
      </c>
      <c r="I163" s="6" t="str">
        <f si="80" t="shared"/>
        <v>stud.5-15</v>
      </c>
      <c r="J163" s="6" t="str">
        <f si="80" t="shared"/>
        <v>Under 5</v>
      </c>
      <c r="L163" s="5" t="str">
        <f ref="L163:T163" si="81" t="shared">L47</f>
        <v>Purpose</v>
      </c>
      <c r="M163" s="6" t="str">
        <f si="81" t="shared"/>
        <v>ft worker</v>
      </c>
      <c r="N163" s="6" t="str">
        <f si="81" t="shared"/>
        <v>pt worker</v>
      </c>
      <c r="O163" s="6" t="str">
        <f si="81" t="shared"/>
        <v>retired</v>
      </c>
      <c r="P163" s="6" t="str">
        <f si="81" t="shared"/>
        <v>nonworker</v>
      </c>
      <c r="Q163" s="6" t="str">
        <f si="81" t="shared"/>
        <v>uinv.stud</v>
      </c>
      <c r="R163" s="6" t="str">
        <f si="81" t="shared"/>
        <v>stud 16+</v>
      </c>
      <c r="S163" s="6" t="str">
        <f si="81" t="shared"/>
        <v>stud.5-15</v>
      </c>
      <c r="T163" s="6" t="str">
        <f si="81" t="shared"/>
        <v>Under 5</v>
      </c>
      <c r="U163" s="125">
        <f ref="U163:U171" si="82" t="shared">SUM(M178:T178)</f>
        <v>617189</v>
      </c>
      <c r="V163" s="161">
        <f>DayPatternCoefficients!A171</f>
        <v>532</v>
      </c>
      <c r="W163" s="161" t="str">
        <f>DayPatternCoefficients!B171</f>
        <v>H-NODIAR</v>
      </c>
      <c r="X163" s="155">
        <f>DayPatternCoefficients!D171</f>
        <v>-0.89221574083999999</v>
      </c>
      <c r="Y163" s="176">
        <f si="70" t="shared"/>
        <v>-0.89221574083999999</v>
      </c>
      <c r="Z163" s="247">
        <f si="71" t="shared"/>
        <v>0</v>
      </c>
    </row>
    <row r="164" spans="2:26" x14ac:dyDescent="0.25">
      <c r="B164" s="3" t="str">
        <f ref="B164:B172" si="83" t="shared">B48</f>
        <v>work</v>
      </c>
      <c r="C164" s="7">
        <f>C48+F48</f>
        <v>471449.11092799995</v>
      </c>
      <c r="D164" s="7">
        <f>D48+E48</f>
        <v>66114.011801999994</v>
      </c>
      <c r="E164" s="7">
        <v>0</v>
      </c>
      <c r="F164" s="7">
        <v>0</v>
      </c>
      <c r="G164" s="7">
        <f>G48</f>
        <v>11876.555882999999</v>
      </c>
      <c r="H164" s="7">
        <f>H48</f>
        <v>1353.618406</v>
      </c>
      <c r="I164" s="7">
        <f>I48</f>
        <v>473.95271400000001</v>
      </c>
      <c r="J164" s="7">
        <f>J48</f>
        <v>0</v>
      </c>
      <c r="K164" s="125">
        <f>SUM(C164:J164)</f>
        <v>551267.24973299995</v>
      </c>
      <c r="L164" s="3" t="str">
        <f ref="L164:T164" si="84" t="shared">L48</f>
        <v>work</v>
      </c>
      <c r="M164" s="7">
        <f si="84" t="shared"/>
        <v>544974</v>
      </c>
      <c r="N164" s="7">
        <f si="84" t="shared"/>
        <v>60023</v>
      </c>
      <c r="O164" s="7">
        <f si="84" t="shared"/>
        <v>0</v>
      </c>
      <c r="P164" s="7">
        <f si="84" t="shared"/>
        <v>0</v>
      </c>
      <c r="Q164" s="7">
        <f si="84" t="shared"/>
        <v>10431</v>
      </c>
      <c r="R164" s="7">
        <f si="84" t="shared"/>
        <v>1761</v>
      </c>
      <c r="S164" s="7">
        <f si="84" t="shared"/>
        <v>0</v>
      </c>
      <c r="T164" s="7">
        <f si="84" t="shared"/>
        <v>0</v>
      </c>
      <c r="U164" s="125">
        <f si="82" t="shared"/>
        <v>211135</v>
      </c>
      <c r="V164" s="161">
        <f>DayPatternCoefficients!A172</f>
        <v>533</v>
      </c>
      <c r="W164" s="161" t="str">
        <f>DayPatternCoefficients!B172</f>
        <v>H-PROXY</v>
      </c>
      <c r="X164" s="155">
        <f>DayPatternCoefficients!D172</f>
        <v>-0.21394173623000001</v>
      </c>
      <c r="Y164" s="176">
        <f si="70" t="shared"/>
        <v>-0.21394173623000001</v>
      </c>
      <c r="Z164" s="247">
        <f si="71" t="shared"/>
        <v>0</v>
      </c>
    </row>
    <row r="165" spans="2:26" x14ac:dyDescent="0.25">
      <c r="B165" s="3" t="str">
        <f si="83" t="shared"/>
        <v>school</v>
      </c>
      <c r="C165" s="7">
        <f>C49+D49</f>
        <v>6388.0102729999999</v>
      </c>
      <c r="D165" s="7">
        <v>0</v>
      </c>
      <c r="E165" s="7">
        <v>0</v>
      </c>
      <c r="F165" s="7">
        <v>0</v>
      </c>
      <c r="G165" s="7">
        <f>G49+E49+F49</f>
        <v>17618.776874000003</v>
      </c>
      <c r="H165" s="7">
        <f ref="H165:J172" si="85" t="shared">H49</f>
        <v>21287.730342999999</v>
      </c>
      <c r="I165" s="7">
        <f si="85" t="shared"/>
        <v>175643.16358699999</v>
      </c>
      <c r="J165" s="7">
        <f si="85" t="shared"/>
        <v>0</v>
      </c>
      <c r="K165" s="125">
        <f ref="K165:K172" si="86" t="shared">SUM(C165:J165)</f>
        <v>220937.68107699999</v>
      </c>
      <c r="L165" s="3" t="str">
        <f ref="L165:T165" si="87" t="shared">L49</f>
        <v>school</v>
      </c>
      <c r="M165" s="7">
        <f si="87" t="shared"/>
        <v>6075</v>
      </c>
      <c r="N165" s="7">
        <f si="87" t="shared"/>
        <v>0</v>
      </c>
      <c r="O165" s="7">
        <f si="87" t="shared"/>
        <v>0</v>
      </c>
      <c r="P165" s="7">
        <f si="87" t="shared"/>
        <v>0</v>
      </c>
      <c r="Q165" s="7">
        <f si="87" t="shared"/>
        <v>14015</v>
      </c>
      <c r="R165" s="7">
        <f si="87" t="shared"/>
        <v>24662</v>
      </c>
      <c r="S165" s="7">
        <f si="87" t="shared"/>
        <v>166383</v>
      </c>
      <c r="T165" s="7">
        <f si="87" t="shared"/>
        <v>0</v>
      </c>
      <c r="U165" s="125">
        <f si="82" t="shared"/>
        <v>191200</v>
      </c>
      <c r="V165" s="161">
        <f>DayPatternCoefficients!A173</f>
        <v>551</v>
      </c>
      <c r="W165" s="161" t="str">
        <f>DayPatternCoefficients!B173</f>
        <v>H-FTW</v>
      </c>
      <c r="X165" s="155">
        <f>DayPatternCoefficients!D173</f>
        <v>-0.95312305667999997</v>
      </c>
      <c r="Y165" s="176">
        <f si="70" t="shared"/>
        <v>-0.95312305667999997</v>
      </c>
      <c r="Z165" s="247">
        <f si="71" t="shared"/>
        <v>0</v>
      </c>
    </row>
    <row r="166" spans="2:26" x14ac:dyDescent="0.25">
      <c r="B166" s="3" t="str">
        <f si="83" t="shared"/>
        <v>escort</v>
      </c>
      <c r="C166" s="7">
        <f ref="C166:D172" si="88" t="shared">C50</f>
        <v>49198.455200999997</v>
      </c>
      <c r="D166" s="7">
        <f si="88" t="shared"/>
        <v>27924.494073999998</v>
      </c>
      <c r="E166" s="7">
        <f ref="E166:F166" si="89" t="shared">E50</f>
        <v>13372.418621999999</v>
      </c>
      <c r="F166" s="7">
        <f si="89" t="shared"/>
        <v>68406.62156</v>
      </c>
      <c r="G166" s="7">
        <f ref="G166:G172" si="90" t="shared">G50</f>
        <v>6381.6610149999997</v>
      </c>
      <c r="H166" s="7">
        <f si="85" t="shared"/>
        <v>1826.5144069999999</v>
      </c>
      <c r="I166" s="7">
        <f si="85" t="shared"/>
        <v>10099.445809999999</v>
      </c>
      <c r="J166" s="7">
        <f si="85" t="shared"/>
        <v>0</v>
      </c>
      <c r="K166" s="125">
        <f si="86" t="shared"/>
        <v>177209.61068899999</v>
      </c>
      <c r="L166" s="3" t="str">
        <f ref="L166:T166" si="91" t="shared">L50</f>
        <v>escort</v>
      </c>
      <c r="M166" s="7">
        <f si="91" t="shared"/>
        <v>58323</v>
      </c>
      <c r="N166" s="7">
        <f si="91" t="shared"/>
        <v>24700</v>
      </c>
      <c r="O166" s="7">
        <f si="91" t="shared"/>
        <v>17450</v>
      </c>
      <c r="P166" s="7">
        <f si="91" t="shared"/>
        <v>73369</v>
      </c>
      <c r="Q166" s="7">
        <f si="91" t="shared"/>
        <v>5538</v>
      </c>
      <c r="R166" s="7">
        <f si="91" t="shared"/>
        <v>2217</v>
      </c>
      <c r="S166" s="7">
        <f si="91" t="shared"/>
        <v>9603</v>
      </c>
      <c r="T166" s="7">
        <f si="91" t="shared"/>
        <v>0</v>
      </c>
      <c r="U166" s="125">
        <f si="82" t="shared"/>
        <v>233018</v>
      </c>
      <c r="V166" s="161">
        <f>DayPatternCoefficients!A174</f>
        <v>600</v>
      </c>
      <c r="W166" s="161" t="str">
        <f>DayPatternCoefficients!B174</f>
        <v>M-TASC</v>
      </c>
      <c r="X166" s="155">
        <f>DayPatternCoefficients!D174</f>
        <v>-2.06583195268</v>
      </c>
      <c r="Y166" s="176">
        <f si="70" t="shared"/>
        <v>-2.06583195268</v>
      </c>
      <c r="Z166" s="247">
        <f si="71" t="shared"/>
        <v>0</v>
      </c>
    </row>
    <row r="167" spans="2:26" x14ac:dyDescent="0.25">
      <c r="B167" s="3" t="str">
        <f si="83" t="shared"/>
        <v>pers.bus</v>
      </c>
      <c r="C167" s="7">
        <f si="88" t="shared"/>
        <v>53645.889870999999</v>
      </c>
      <c r="D167" s="7">
        <f si="88" t="shared"/>
        <v>21683.940521</v>
      </c>
      <c r="E167" s="7">
        <f ref="E167:F172" si="92" t="shared">E51</f>
        <v>55772.121294999997</v>
      </c>
      <c r="F167" s="7">
        <f si="92" t="shared"/>
        <v>52338.720587999996</v>
      </c>
      <c r="G167" s="7">
        <f si="90" t="shared"/>
        <v>5046.8036140000004</v>
      </c>
      <c r="H167" s="7">
        <f si="85" t="shared"/>
        <v>3001.0160559999999</v>
      </c>
      <c r="I167" s="7">
        <f si="85" t="shared"/>
        <v>17205.830144</v>
      </c>
      <c r="J167" s="7">
        <f si="85" t="shared"/>
        <v>0</v>
      </c>
      <c r="K167" s="125">
        <f si="86" t="shared"/>
        <v>208694.32208899999</v>
      </c>
      <c r="L167" s="3" t="str">
        <f ref="L167:T167" si="93" t="shared">L51</f>
        <v>pers.bus</v>
      </c>
      <c r="M167" s="7">
        <f si="93" t="shared"/>
        <v>63525</v>
      </c>
      <c r="N167" s="7">
        <f si="93" t="shared"/>
        <v>15197</v>
      </c>
      <c r="O167" s="7">
        <f si="93" t="shared"/>
        <v>73936</v>
      </c>
      <c r="P167" s="7">
        <f si="93" t="shared"/>
        <v>55937</v>
      </c>
      <c r="Q167" s="7">
        <f si="93" t="shared"/>
        <v>4232</v>
      </c>
      <c r="R167" s="7">
        <f si="93" t="shared"/>
        <v>3290</v>
      </c>
      <c r="S167" s="7">
        <f si="93" t="shared"/>
        <v>16901</v>
      </c>
      <c r="T167" s="7">
        <f si="93" t="shared"/>
        <v>0</v>
      </c>
      <c r="U167" s="125">
        <f si="82" t="shared"/>
        <v>158007</v>
      </c>
      <c r="V167" s="161">
        <f>DayPatternCoefficients!A175</f>
        <v>601</v>
      </c>
      <c r="W167" s="161" t="str">
        <f>DayPatternCoefficients!B175</f>
        <v>M-SASC</v>
      </c>
      <c r="X167" s="155">
        <f>DayPatternCoefficients!D175</f>
        <v>1.6525579475700001</v>
      </c>
      <c r="Y167" s="176">
        <f si="70" t="shared"/>
        <v>1.6525579475700001</v>
      </c>
      <c r="Z167" s="247">
        <f si="71" t="shared"/>
        <v>0</v>
      </c>
    </row>
    <row r="168" spans="2:26" x14ac:dyDescent="0.25">
      <c r="B168" s="3" t="str">
        <f si="83" t="shared"/>
        <v>shop</v>
      </c>
      <c r="C168" s="7">
        <f si="88" t="shared"/>
        <v>34724.510727000001</v>
      </c>
      <c r="D168" s="7">
        <f si="88" t="shared"/>
        <v>16667.668165999999</v>
      </c>
      <c r="E168" s="7">
        <f si="92" t="shared"/>
        <v>32818.324996000003</v>
      </c>
      <c r="F168" s="7">
        <f si="92" t="shared"/>
        <v>43532.588752999996</v>
      </c>
      <c r="G168" s="7">
        <f si="90" t="shared"/>
        <v>5614.5972819999997</v>
      </c>
      <c r="H168" s="7">
        <f si="85" t="shared"/>
        <v>933.60432900000001</v>
      </c>
      <c r="I168" s="7">
        <f si="85" t="shared"/>
        <v>7508.9226340000005</v>
      </c>
      <c r="J168" s="7">
        <f si="85" t="shared"/>
        <v>0</v>
      </c>
      <c r="K168" s="125">
        <f si="86" t="shared"/>
        <v>141800.21688699999</v>
      </c>
      <c r="L168" s="3" t="str">
        <f ref="L168:T168" si="94" t="shared">L52</f>
        <v>shop</v>
      </c>
      <c r="M168" s="7">
        <f si="94" t="shared"/>
        <v>41217</v>
      </c>
      <c r="N168" s="7">
        <f si="94" t="shared"/>
        <v>12180</v>
      </c>
      <c r="O168" s="7">
        <f si="94" t="shared"/>
        <v>43108</v>
      </c>
      <c r="P168" s="7">
        <f si="94" t="shared"/>
        <v>47807</v>
      </c>
      <c r="Q168" s="7">
        <f si="94" t="shared"/>
        <v>5024</v>
      </c>
      <c r="R168" s="7">
        <f si="94" t="shared"/>
        <v>1040</v>
      </c>
      <c r="S168" s="7">
        <f si="94" t="shared"/>
        <v>7631</v>
      </c>
      <c r="T168" s="7">
        <f si="94" t="shared"/>
        <v>0</v>
      </c>
      <c r="U168" s="125">
        <f si="82" t="shared"/>
        <v>91319</v>
      </c>
      <c r="V168" s="161">
        <f>DayPatternCoefficients!A176</f>
        <v>602</v>
      </c>
      <c r="W168" s="161" t="str">
        <f>DayPatternCoefficients!B176</f>
        <v>M-PTW</v>
      </c>
      <c r="X168" s="155">
        <f>DayPatternCoefficients!D176</f>
        <v>0.50535074812000003</v>
      </c>
      <c r="Y168" s="176">
        <f si="70" t="shared"/>
        <v>1.7944337291018662</v>
      </c>
      <c r="Z168" s="247">
        <f si="71" t="shared"/>
        <v>1</v>
      </c>
    </row>
    <row r="169" spans="2:26" x14ac:dyDescent="0.25">
      <c r="B169" s="3" t="str">
        <f si="83" t="shared"/>
        <v>meal</v>
      </c>
      <c r="C169" s="7">
        <f si="88" t="shared"/>
        <v>32329.160050999999</v>
      </c>
      <c r="D169" s="7">
        <f si="88" t="shared"/>
        <v>7967.4672289999999</v>
      </c>
      <c r="E169" s="7">
        <f si="92" t="shared"/>
        <v>17532.570283000001</v>
      </c>
      <c r="F169" s="7">
        <f si="92" t="shared"/>
        <v>12326.660142999999</v>
      </c>
      <c r="G169" s="7">
        <f si="90" t="shared"/>
        <v>4549.9772439999997</v>
      </c>
      <c r="H169" s="7">
        <f si="85" t="shared"/>
        <v>642.99130400000001</v>
      </c>
      <c r="I169" s="7">
        <f si="85" t="shared"/>
        <v>5814.3958009999997</v>
      </c>
      <c r="J169" s="7">
        <f si="85" t="shared"/>
        <v>0</v>
      </c>
      <c r="K169" s="125">
        <f si="86" t="shared"/>
        <v>81163.222054999991</v>
      </c>
      <c r="L169" s="3" t="str">
        <f ref="L169:T169" si="95" t="shared">L53</f>
        <v>meal</v>
      </c>
      <c r="M169" s="7">
        <f si="95" t="shared"/>
        <v>37276</v>
      </c>
      <c r="N169" s="7">
        <f si="95" t="shared"/>
        <v>7220</v>
      </c>
      <c r="O169" s="7">
        <f si="95" t="shared"/>
        <v>22427</v>
      </c>
      <c r="P169" s="7">
        <f si="95" t="shared"/>
        <v>13827</v>
      </c>
      <c r="Q169" s="7">
        <f si="95" t="shared"/>
        <v>3827</v>
      </c>
      <c r="R169" s="7">
        <f si="95" t="shared"/>
        <v>772</v>
      </c>
      <c r="S169" s="7">
        <f si="95" t="shared"/>
        <v>5970</v>
      </c>
      <c r="T169" s="7">
        <f si="95" t="shared"/>
        <v>0</v>
      </c>
      <c r="U169" s="125">
        <f si="82" t="shared"/>
        <v>213202</v>
      </c>
      <c r="V169" s="161">
        <f>DayPatternCoefficients!A177</f>
        <v>603</v>
      </c>
      <c r="W169" s="161" t="str">
        <f>DayPatternCoefficients!B177</f>
        <v>M-RET</v>
      </c>
      <c r="X169" s="155">
        <f>DayPatternCoefficients!D177</f>
        <v>-0.82288544304</v>
      </c>
      <c r="Y169" s="176">
        <f si="70" t="shared"/>
        <v>-0.82288544304</v>
      </c>
      <c r="Z169" s="247">
        <f si="71" t="shared"/>
        <v>0</v>
      </c>
    </row>
    <row r="170" spans="2:26" x14ac:dyDescent="0.25">
      <c r="B170" s="25" t="str">
        <f si="83" t="shared"/>
        <v>soc/rec</v>
      </c>
      <c r="C170" s="7">
        <f si="88" t="shared"/>
        <v>53701.131234</v>
      </c>
      <c r="D170" s="7">
        <f si="88" t="shared"/>
        <v>17902.049382000001</v>
      </c>
      <c r="E170" s="7">
        <f si="92" t="shared"/>
        <v>26342.351590999999</v>
      </c>
      <c r="F170" s="7">
        <f si="92" t="shared"/>
        <v>37837.311554</v>
      </c>
      <c r="G170" s="7">
        <f si="90" t="shared"/>
        <v>5117.7900490000002</v>
      </c>
      <c r="H170" s="7">
        <f si="85" t="shared"/>
        <v>6023.8060830000004</v>
      </c>
      <c r="I170" s="7">
        <f si="85" t="shared"/>
        <v>48231.69184</v>
      </c>
      <c r="J170" s="7">
        <f si="85" t="shared"/>
        <v>0</v>
      </c>
      <c r="K170" s="125">
        <f si="86" t="shared"/>
        <v>195156.13173299999</v>
      </c>
      <c r="L170" s="25" t="str">
        <f ref="L170:T170" si="96" t="shared">L54</f>
        <v>soc/rec</v>
      </c>
      <c r="M170" s="7">
        <f si="96" t="shared"/>
        <v>63888</v>
      </c>
      <c r="N170" s="7">
        <f si="96" t="shared"/>
        <v>16446</v>
      </c>
      <c r="O170" s="7">
        <f si="96" t="shared"/>
        <v>34177</v>
      </c>
      <c r="P170" s="7">
        <f si="96" t="shared"/>
        <v>40110</v>
      </c>
      <c r="Q170" s="7">
        <f si="96" t="shared"/>
        <v>4334</v>
      </c>
      <c r="R170" s="7">
        <f si="96" t="shared"/>
        <v>6891</v>
      </c>
      <c r="S170" s="7">
        <f si="96" t="shared"/>
        <v>47356</v>
      </c>
      <c r="T170" s="7">
        <f si="96" t="shared"/>
        <v>0</v>
      </c>
      <c r="U170" s="125">
        <f si="82" t="shared"/>
        <v>96841</v>
      </c>
      <c r="V170" s="161">
        <f>DayPatternCoefficients!A178</f>
        <v>604</v>
      </c>
      <c r="W170" s="161" t="str">
        <f>DayPatternCoefficients!B178</f>
        <v>M-NWA</v>
      </c>
      <c r="X170" s="155">
        <f>DayPatternCoefficients!D178</f>
        <v>-1.4950205351900001</v>
      </c>
      <c r="Y170" s="176">
        <f si="70" t="shared"/>
        <v>-1.4950205351900001</v>
      </c>
      <c r="Z170" s="247">
        <f si="71" t="shared"/>
        <v>0</v>
      </c>
    </row>
    <row r="171" spans="2:26" x14ac:dyDescent="0.25">
      <c r="B171" s="25" t="str">
        <f si="83" t="shared"/>
        <v>workbased</v>
      </c>
      <c r="C171" s="7">
        <f si="88" t="shared"/>
        <v>76306.854584000001</v>
      </c>
      <c r="D171" s="7">
        <f si="88" t="shared"/>
        <v>6714.1332839999995</v>
      </c>
      <c r="E171" s="7">
        <f si="92" t="shared"/>
        <v>0</v>
      </c>
      <c r="F171" s="7">
        <f si="92" t="shared"/>
        <v>143.80684299999999</v>
      </c>
      <c r="G171" s="7">
        <f si="90" t="shared"/>
        <v>123.48774399999999</v>
      </c>
      <c r="H171" s="7">
        <f si="85" t="shared"/>
        <v>0</v>
      </c>
      <c r="I171" s="7">
        <f si="85" t="shared"/>
        <v>0</v>
      </c>
      <c r="J171" s="7">
        <f si="85" t="shared"/>
        <v>0</v>
      </c>
      <c r="K171" s="125">
        <f si="86" t="shared"/>
        <v>83288.282454999993</v>
      </c>
      <c r="L171" s="25" t="str">
        <f ref="L171:T171" si="97" t="shared">L55</f>
        <v>workbased</v>
      </c>
      <c r="M171" s="7">
        <f si="97" t="shared"/>
        <v>81613</v>
      </c>
      <c r="N171" s="7">
        <f si="97" t="shared"/>
        <v>14053</v>
      </c>
      <c r="O171" s="7">
        <f si="97" t="shared"/>
        <v>0</v>
      </c>
      <c r="P171" s="7">
        <f si="97" t="shared"/>
        <v>0</v>
      </c>
      <c r="Q171" s="7">
        <f si="97" t="shared"/>
        <v>1051</v>
      </c>
      <c r="R171" s="7">
        <f si="97" t="shared"/>
        <v>124</v>
      </c>
      <c r="S171" s="7">
        <f si="97" t="shared"/>
        <v>0</v>
      </c>
      <c r="T171" s="7">
        <f si="97" t="shared"/>
        <v>0</v>
      </c>
      <c r="U171" s="125">
        <f si="82" t="shared"/>
        <v>1811911</v>
      </c>
      <c r="V171" s="161">
        <f>DayPatternCoefficients!A179</f>
        <v>605</v>
      </c>
      <c r="W171" s="161" t="str">
        <f>DayPatternCoefficients!B179</f>
        <v>M-UNI</v>
      </c>
      <c r="X171" s="155">
        <f>DayPatternCoefficients!D179</f>
        <v>-0.96389520255000005</v>
      </c>
      <c r="Y171" s="176">
        <f si="70" t="shared"/>
        <v>-0.96389520255000005</v>
      </c>
      <c r="Z171" s="247">
        <f si="71" t="shared"/>
        <v>0</v>
      </c>
    </row>
    <row ht="15.75" r="172" spans="2:26" thickBot="1" x14ac:dyDescent="0.3">
      <c r="B172" s="10" t="str">
        <f si="83" t="shared"/>
        <v>Total</v>
      </c>
      <c r="C172" s="55">
        <f si="88" t="shared"/>
        <v>763520.57514099975</v>
      </c>
      <c r="D172" s="55">
        <f si="88" t="shared"/>
        <v>163217.94218300001</v>
      </c>
      <c r="E172" s="55">
        <f si="92" t="shared"/>
        <v>149201.340754</v>
      </c>
      <c r="F172" s="55">
        <f si="92" t="shared"/>
        <v>230106.99850099999</v>
      </c>
      <c r="G172" s="55">
        <f si="90" t="shared"/>
        <v>53423.176681000004</v>
      </c>
      <c r="H172" s="55">
        <f si="85" t="shared"/>
        <v>35069.280928</v>
      </c>
      <c r="I172" s="55">
        <f si="85" t="shared"/>
        <v>264977.40253000002</v>
      </c>
      <c r="J172" s="55">
        <f si="85" t="shared"/>
        <v>0</v>
      </c>
      <c r="K172" s="125">
        <f si="86" t="shared"/>
        <v>1659516.7167179999</v>
      </c>
      <c r="L172" s="10" t="str">
        <f ref="L172:T172" si="98" t="shared">L56</f>
        <v>Total</v>
      </c>
      <c r="M172" s="55">
        <f si="98" t="shared"/>
        <v>896891</v>
      </c>
      <c r="N172" s="55">
        <f si="98" t="shared"/>
        <v>149819</v>
      </c>
      <c r="O172" s="55">
        <f si="98" t="shared"/>
        <v>191098</v>
      </c>
      <c r="P172" s="55">
        <f si="98" t="shared"/>
        <v>231050</v>
      </c>
      <c r="Q172" s="55">
        <f si="98" t="shared"/>
        <v>48452</v>
      </c>
      <c r="R172" s="55">
        <f si="98" t="shared"/>
        <v>40757</v>
      </c>
      <c r="S172" s="55">
        <f si="98" t="shared"/>
        <v>253844</v>
      </c>
      <c r="T172" s="55">
        <f si="98" t="shared"/>
        <v>0</v>
      </c>
      <c r="V172" s="161">
        <f>DayPatternCoefficients!A180</f>
        <v>606</v>
      </c>
      <c r="W172" s="161" t="str">
        <f>DayPatternCoefficients!B180</f>
        <v>M-DAS</v>
      </c>
      <c r="X172" s="155">
        <f>DayPatternCoefficients!D180</f>
        <v>-2.9948228206800001</v>
      </c>
      <c r="Y172" s="176">
        <f si="70" t="shared"/>
        <v>-2.9948228206800001</v>
      </c>
      <c r="Z172" s="247">
        <f si="71" t="shared"/>
        <v>0</v>
      </c>
    </row>
    <row r="173" spans="2:26" x14ac:dyDescent="0.25">
      <c r="B173" s="3"/>
      <c r="C173" s="3"/>
      <c r="D173" s="3"/>
      <c r="E173" s="3"/>
      <c r="F173" s="3"/>
      <c r="G173" s="3"/>
      <c r="H173" s="3"/>
      <c r="I173" s="3"/>
      <c r="J173" s="236">
        <f>J57</f>
        <v>1659516.7167179999</v>
      </c>
      <c r="K173" s="3"/>
      <c r="L173" s="3"/>
      <c r="M173" s="3"/>
      <c r="N173" s="3"/>
      <c r="O173" s="3"/>
      <c r="P173" s="3"/>
      <c r="Q173" s="3"/>
      <c r="R173" s="3"/>
      <c r="S173" s="3"/>
      <c r="T173" s="236">
        <f>T57</f>
        <v>1811911</v>
      </c>
      <c r="V173" s="161">
        <f>DayPatternCoefficients!A181</f>
        <v>607</v>
      </c>
      <c r="W173" s="161" t="str">
        <f>DayPatternCoefficients!B181</f>
        <v>M-PAS</v>
      </c>
      <c r="X173" s="155">
        <f>DayPatternCoefficients!D181</f>
        <v>-1.98828318011</v>
      </c>
      <c r="Y173" s="176">
        <f si="70" t="shared"/>
        <v>-1.98828318011</v>
      </c>
      <c r="Z173" s="247">
        <f si="71" t="shared"/>
        <v>0</v>
      </c>
    </row>
    <row r="174" spans="2:26" x14ac:dyDescent="0.25">
      <c r="B174" s="115" t="s">
        <v>8701</v>
      </c>
      <c r="C174" s="125">
        <f>Summary!B16</f>
        <v>588749</v>
      </c>
      <c r="D174" s="125">
        <f>Summary!B17</f>
        <v>81618</v>
      </c>
      <c r="E174" s="125">
        <f>Summary!B18</f>
        <v>128486.99999999996</v>
      </c>
      <c r="F174" s="125">
        <f>Summary!B19</f>
        <v>228649</v>
      </c>
      <c r="G174" s="125">
        <f>Summary!B20</f>
        <v>72655</v>
      </c>
      <c r="H174" s="125">
        <f>Summary!B21</f>
        <v>49417</v>
      </c>
      <c r="I174" s="125">
        <f>Summary!B22</f>
        <v>219630</v>
      </c>
      <c r="L174" s="115" t="s">
        <v>8701</v>
      </c>
      <c r="M174" s="125">
        <f>Summary!C16</f>
        <v>682545</v>
      </c>
      <c r="N174" s="125">
        <f>Summary!C17</f>
        <v>84137</v>
      </c>
      <c r="O174" s="125">
        <f>Summary!C18</f>
        <v>164943</v>
      </c>
      <c r="P174" s="125">
        <f>Summary!C19</f>
        <v>240520</v>
      </c>
      <c r="Q174" s="125">
        <f>Summary!C20</f>
        <v>60810</v>
      </c>
      <c r="R174" s="125">
        <f>Summary!C21</f>
        <v>56338</v>
      </c>
      <c r="S174" s="125">
        <f>Summary!C22</f>
        <v>212937</v>
      </c>
      <c r="V174" s="161">
        <f>DayPatternCoefficients!A182</f>
        <v>608</v>
      </c>
      <c r="W174" s="161" t="str">
        <f>DayPatternCoefficients!B182</f>
        <v>M-CU5</v>
      </c>
      <c r="X174" s="155">
        <f>DayPatternCoefficients!D182</f>
        <v>-0.28195572471000002</v>
      </c>
      <c r="Y174" s="176">
        <f si="70" t="shared"/>
        <v>-0.28195572471000002</v>
      </c>
      <c r="Z174" s="247">
        <f si="71" t="shared"/>
        <v>0</v>
      </c>
    </row>
    <row r="175" spans="2:26" x14ac:dyDescent="0.25">
      <c r="B175" s="115" t="s">
        <v>8704</v>
      </c>
      <c r="C175" s="241">
        <f>C174/M174</f>
        <v>0.8625790240936495</v>
      </c>
      <c r="D175" s="241">
        <f ref="D175:I175" si="99" t="shared">D174/N174</f>
        <v>0.97006073427861705</v>
      </c>
      <c r="E175" s="241">
        <f si="99" t="shared"/>
        <v>0.77897819246648814</v>
      </c>
      <c r="F175" s="241">
        <f si="99" t="shared"/>
        <v>0.95064443705305168</v>
      </c>
      <c r="G175" s="241">
        <f si="99" t="shared"/>
        <v>1.1947870416049993</v>
      </c>
      <c r="H175" s="241">
        <f si="99" t="shared"/>
        <v>0.87715218857609434</v>
      </c>
      <c r="I175" s="241">
        <f si="99" t="shared"/>
        <v>1.0314318319502951</v>
      </c>
      <c r="V175" s="137">
        <f>DayPatternCoefficients!A183</f>
        <v>609</v>
      </c>
      <c r="W175" s="137" t="str">
        <f>DayPatternCoefficients!B183</f>
        <v>M-VLINC</v>
      </c>
      <c r="X175" s="138">
        <f>DayPatternCoefficients!D183</f>
        <v>-0.10168568981999999</v>
      </c>
      <c r="Y175" s="176">
        <f si="70" t="shared"/>
        <v>-0.10168568981999999</v>
      </c>
      <c r="Z175" s="247">
        <f si="71" t="shared"/>
        <v>0</v>
      </c>
    </row>
    <row ht="15.75" r="176" spans="2:26" thickBot="1" x14ac:dyDescent="0.3">
      <c r="V176" s="137">
        <f>DayPatternCoefficients!A184</f>
        <v>610</v>
      </c>
      <c r="W176" s="137" t="str">
        <f>DayPatternCoefficients!B184</f>
        <v>M-LOINC</v>
      </c>
      <c r="X176" s="138">
        <f>DayPatternCoefficients!D184</f>
        <v>-0.12921988157</v>
      </c>
      <c r="Y176" s="176">
        <f si="70" t="shared"/>
        <v>-0.12921988157</v>
      </c>
      <c r="Z176" s="247">
        <f si="71" t="shared"/>
        <v>0</v>
      </c>
    </row>
    <row r="177" spans="2:26" x14ac:dyDescent="0.25">
      <c r="B177" s="5" t="str">
        <f>B163</f>
        <v>Purpose</v>
      </c>
      <c r="C177" s="6" t="str">
        <f ref="C177:T177" si="100" t="shared">C163</f>
        <v>ft worker</v>
      </c>
      <c r="D177" s="6" t="str">
        <f si="100" t="shared"/>
        <v>pt worker</v>
      </c>
      <c r="E177" s="6" t="str">
        <f si="100" t="shared"/>
        <v>retired</v>
      </c>
      <c r="F177" s="6" t="str">
        <f si="100" t="shared"/>
        <v>nonworker</v>
      </c>
      <c r="G177" s="6" t="str">
        <f si="100" t="shared"/>
        <v>uinv.stud</v>
      </c>
      <c r="H177" s="6" t="str">
        <f si="100" t="shared"/>
        <v>stud 16+</v>
      </c>
      <c r="I177" s="6" t="str">
        <f si="100" t="shared"/>
        <v>stud.5-15</v>
      </c>
      <c r="J177" s="6" t="str">
        <f si="100" t="shared"/>
        <v>Under 5</v>
      </c>
      <c r="L177" s="5" t="str">
        <f si="100" t="shared"/>
        <v>Purpose</v>
      </c>
      <c r="M177" s="6" t="str">
        <f si="100" t="shared"/>
        <v>ft worker</v>
      </c>
      <c r="N177" s="6" t="str">
        <f si="100" t="shared"/>
        <v>pt worker</v>
      </c>
      <c r="O177" s="6" t="str">
        <f si="100" t="shared"/>
        <v>retired</v>
      </c>
      <c r="P177" s="6" t="str">
        <f si="100" t="shared"/>
        <v>nonworker</v>
      </c>
      <c r="Q177" s="6" t="str">
        <f si="100" t="shared"/>
        <v>uinv.stud</v>
      </c>
      <c r="R177" s="6" t="str">
        <f si="100" t="shared"/>
        <v>stud 16+</v>
      </c>
      <c r="S177" s="6" t="str">
        <f si="100" t="shared"/>
        <v>stud.5-15</v>
      </c>
      <c r="T177" s="6" t="str">
        <f si="100" t="shared"/>
        <v>Under 5</v>
      </c>
      <c r="V177" s="137">
        <f>DayPatternCoefficients!A185</f>
        <v>611</v>
      </c>
      <c r="W177" s="137" t="str">
        <f>DayPatternCoefficients!B185</f>
        <v>M-HIINC</v>
      </c>
      <c r="X177" s="138">
        <f>DayPatternCoefficients!D185</f>
        <v>0</v>
      </c>
      <c r="Y177" s="176">
        <f si="70" t="shared"/>
        <v>0</v>
      </c>
      <c r="Z177" s="247">
        <f si="71" t="shared"/>
        <v>0</v>
      </c>
    </row>
    <row r="178" spans="2:26" x14ac:dyDescent="0.25">
      <c r="B178" s="3" t="str">
        <f>B164</f>
        <v>work</v>
      </c>
      <c r="C178" s="7">
        <f ref="C178:J185" si="101" t="shared">IF(M$174&gt;0,C164*M$174/C$174,)</f>
        <v>546557.58806953684</v>
      </c>
      <c r="D178" s="7">
        <f si="101" t="shared"/>
        <v>68154.507718700217</v>
      </c>
      <c r="E178" s="7">
        <f si="101" t="shared"/>
        <v>0</v>
      </c>
      <c r="F178" s="7">
        <f si="101" t="shared"/>
        <v>0</v>
      </c>
      <c r="G178" s="7">
        <f si="101" t="shared"/>
        <v>9940.311929601954</v>
      </c>
      <c r="H178" s="7">
        <f si="101" t="shared"/>
        <v>1543.1967492407066</v>
      </c>
      <c r="I178" s="7">
        <f si="101" t="shared"/>
        <v>459.50948896333836</v>
      </c>
      <c r="J178" s="7">
        <f si="101" t="shared"/>
        <v>0</v>
      </c>
      <c r="K178" s="125">
        <f>SUM(C178:J178)</f>
        <v>626655.11395604303</v>
      </c>
      <c r="L178" s="3" t="str">
        <f>L164</f>
        <v>work</v>
      </c>
      <c r="M178" s="7">
        <f>M164</f>
        <v>544974</v>
      </c>
      <c r="N178" s="7">
        <f ref="N178:T178" si="102" t="shared">N164</f>
        <v>60023</v>
      </c>
      <c r="O178" s="7">
        <f si="102" t="shared"/>
        <v>0</v>
      </c>
      <c r="P178" s="7">
        <f si="102" t="shared"/>
        <v>0</v>
      </c>
      <c r="Q178" s="7">
        <f si="102" t="shared"/>
        <v>10431</v>
      </c>
      <c r="R178" s="7">
        <f si="102" t="shared"/>
        <v>1761</v>
      </c>
      <c r="S178" s="7">
        <f si="102" t="shared"/>
        <v>0</v>
      </c>
      <c r="T178" s="7">
        <f si="102" t="shared"/>
        <v>0</v>
      </c>
      <c r="V178" s="137">
        <f>DayPatternCoefficients!A186</f>
        <v>612</v>
      </c>
      <c r="W178" s="137" t="str">
        <f>DayPatternCoefficients!B186</f>
        <v>M-CARSPD</v>
      </c>
      <c r="X178" s="138">
        <f>DayPatternCoefficients!D186</f>
        <v>8.0869880239999997E-2</v>
      </c>
      <c r="Y178" s="176">
        <f si="70" t="shared"/>
        <v>8.0869880239999997E-2</v>
      </c>
      <c r="Z178" s="247">
        <f si="71" t="shared"/>
        <v>0</v>
      </c>
    </row>
    <row r="179" spans="2:26" x14ac:dyDescent="0.25">
      <c r="B179" s="3" t="str">
        <f ref="B179:B185" si="103" t="shared">B165</f>
        <v>school</v>
      </c>
      <c r="C179" s="7">
        <f si="101" t="shared"/>
        <v>7405.7101953205611</v>
      </c>
      <c r="D179" s="7">
        <f si="101" t="shared"/>
        <v>0</v>
      </c>
      <c r="E179" s="7">
        <f si="101" t="shared"/>
        <v>0</v>
      </c>
      <c r="F179" s="7">
        <f si="101" t="shared"/>
        <v>0</v>
      </c>
      <c r="G179" s="7">
        <f si="101" t="shared"/>
        <v>14746.374257902969</v>
      </c>
      <c r="H179" s="7">
        <f si="101" t="shared"/>
        <v>24269.141227997123</v>
      </c>
      <c r="I179" s="7">
        <f si="101" t="shared"/>
        <v>170290.61751457001</v>
      </c>
      <c r="J179" s="7">
        <f si="101" t="shared"/>
        <v>0</v>
      </c>
      <c r="K179" s="125">
        <f ref="K179:K186" si="104" t="shared">SUM(C179:J179)</f>
        <v>216711.84319579066</v>
      </c>
      <c r="L179" s="3" t="str">
        <f ref="L179:T179" si="105" t="shared">L165</f>
        <v>school</v>
      </c>
      <c r="M179" s="7">
        <f si="105" t="shared"/>
        <v>6075</v>
      </c>
      <c r="N179" s="7">
        <f si="105" t="shared"/>
        <v>0</v>
      </c>
      <c r="O179" s="7">
        <f si="105" t="shared"/>
        <v>0</v>
      </c>
      <c r="P179" s="7">
        <f si="105" t="shared"/>
        <v>0</v>
      </c>
      <c r="Q179" s="7">
        <f si="105" t="shared"/>
        <v>14015</v>
      </c>
      <c r="R179" s="7">
        <f si="105" t="shared"/>
        <v>24662</v>
      </c>
      <c r="S179" s="7">
        <f si="105" t="shared"/>
        <v>166383</v>
      </c>
      <c r="T179" s="7">
        <f si="105" t="shared"/>
        <v>0</v>
      </c>
      <c r="V179" s="137">
        <f>DayPatternCoefficients!A187</f>
        <v>613</v>
      </c>
      <c r="W179" s="137" t="str">
        <f>DayPatternCoefficients!B187</f>
        <v>M-ONLYAD</v>
      </c>
      <c r="X179" s="138">
        <f>DayPatternCoefficients!D187</f>
        <v>0</v>
      </c>
      <c r="Y179" s="176">
        <f si="70" t="shared"/>
        <v>0</v>
      </c>
      <c r="Z179" s="247">
        <f si="71" t="shared"/>
        <v>0</v>
      </c>
    </row>
    <row r="180" spans="2:26" x14ac:dyDescent="0.25">
      <c r="B180" s="3" t="str">
        <f si="103" t="shared"/>
        <v>escort</v>
      </c>
      <c r="C180" s="7">
        <f si="101" t="shared"/>
        <v>57036.461387053809</v>
      </c>
      <c r="D180" s="7">
        <f si="101" t="shared"/>
        <v>28786.335831607466</v>
      </c>
      <c r="E180" s="7">
        <f si="101" t="shared"/>
        <v>17166.61486974205</v>
      </c>
      <c r="F180" s="7">
        <f si="101" t="shared"/>
        <v>71958.156902550196</v>
      </c>
      <c r="G180" s="7">
        <f si="101" t="shared"/>
        <v>5341.2539580503753</v>
      </c>
      <c r="H180" s="7">
        <f si="101" t="shared"/>
        <v>2082.3232624717402</v>
      </c>
      <c r="I180" s="7">
        <f si="101" t="shared"/>
        <v>9791.6755108317157</v>
      </c>
      <c r="J180" s="7">
        <f si="101" t="shared"/>
        <v>0</v>
      </c>
      <c r="K180" s="125">
        <f si="104" t="shared"/>
        <v>192162.82172230736</v>
      </c>
      <c r="L180" s="3" t="str">
        <f ref="L180:T180" si="106" t="shared">L166</f>
        <v>escort</v>
      </c>
      <c r="M180" s="7">
        <f si="106" t="shared"/>
        <v>58323</v>
      </c>
      <c r="N180" s="7">
        <f si="106" t="shared"/>
        <v>24700</v>
      </c>
      <c r="O180" s="7">
        <f si="106" t="shared"/>
        <v>17450</v>
      </c>
      <c r="P180" s="7">
        <f si="106" t="shared"/>
        <v>73369</v>
      </c>
      <c r="Q180" s="7">
        <f si="106" t="shared"/>
        <v>5538</v>
      </c>
      <c r="R180" s="7">
        <f si="106" t="shared"/>
        <v>2217</v>
      </c>
      <c r="S180" s="7">
        <f si="106" t="shared"/>
        <v>9603</v>
      </c>
      <c r="T180" s="7">
        <f si="106" t="shared"/>
        <v>0</v>
      </c>
      <c r="V180" s="137">
        <f>DayPatternCoefficients!A188</f>
        <v>614</v>
      </c>
      <c r="W180" s="137" t="str">
        <f>DayPatternCoefficients!B188</f>
        <v>M-ONLYWK</v>
      </c>
      <c r="X180" s="138">
        <f>DayPatternCoefficients!D188</f>
        <v>0</v>
      </c>
      <c r="Y180" s="176">
        <f si="70" t="shared"/>
        <v>0</v>
      </c>
      <c r="Z180" s="247">
        <f si="71" t="shared"/>
        <v>0</v>
      </c>
    </row>
    <row r="181" spans="2:26" x14ac:dyDescent="0.25">
      <c r="B181" s="3" t="str">
        <f si="103" t="shared"/>
        <v>pers.bus</v>
      </c>
      <c r="C181" s="7">
        <f si="101" t="shared"/>
        <v>62192.4349799349</v>
      </c>
      <c r="D181" s="7">
        <f si="101" t="shared"/>
        <v>22353.178264786897</v>
      </c>
      <c r="E181" s="7">
        <f si="101" t="shared"/>
        <v>71596.511730845828</v>
      </c>
      <c r="F181" s="7">
        <f si="101" t="shared"/>
        <v>55056.042562293122</v>
      </c>
      <c r="G181" s="7">
        <f si="101" t="shared"/>
        <v>4224.0193760558805</v>
      </c>
      <c r="H181" s="7">
        <f si="101" t="shared"/>
        <v>3421.3174122858122</v>
      </c>
      <c r="I181" s="7">
        <f si="101" t="shared"/>
        <v>16681.500038122878</v>
      </c>
      <c r="J181" s="7">
        <f si="101" t="shared"/>
        <v>0</v>
      </c>
      <c r="K181" s="125">
        <f si="104" t="shared"/>
        <v>235525.00436432532</v>
      </c>
      <c r="L181" s="3" t="str">
        <f ref="L181:T181" si="107" t="shared">L167</f>
        <v>pers.bus</v>
      </c>
      <c r="M181" s="7">
        <f si="107" t="shared"/>
        <v>63525</v>
      </c>
      <c r="N181" s="7">
        <f si="107" t="shared"/>
        <v>15197</v>
      </c>
      <c r="O181" s="7">
        <f si="107" t="shared"/>
        <v>73936</v>
      </c>
      <c r="P181" s="7">
        <f si="107" t="shared"/>
        <v>55937</v>
      </c>
      <c r="Q181" s="7">
        <f si="107" t="shared"/>
        <v>4232</v>
      </c>
      <c r="R181" s="7">
        <f si="107" t="shared"/>
        <v>3290</v>
      </c>
      <c r="S181" s="7">
        <f si="107" t="shared"/>
        <v>16901</v>
      </c>
      <c r="T181" s="7">
        <f si="107" t="shared"/>
        <v>0</v>
      </c>
      <c r="V181" s="137">
        <f>DayPatternCoefficients!A189</f>
        <v>616</v>
      </c>
      <c r="W181" s="137" t="str">
        <f>DayPatternCoefficients!B189</f>
        <v>M-FEMNOC</v>
      </c>
      <c r="X181" s="138">
        <f>DayPatternCoefficients!D189</f>
        <v>-0.16267799775</v>
      </c>
      <c r="Y181" s="176">
        <f si="70" t="shared"/>
        <v>-0.16267799775</v>
      </c>
      <c r="Z181" s="247">
        <f si="71" t="shared"/>
        <v>0</v>
      </c>
    </row>
    <row r="182" spans="2:26" x14ac:dyDescent="0.25">
      <c r="B182" s="3" t="str">
        <f si="103" t="shared"/>
        <v>shop</v>
      </c>
      <c r="C182" s="7">
        <f si="101" t="shared"/>
        <v>40256.61389515773</v>
      </c>
      <c r="D182" s="7">
        <f si="101" t="shared"/>
        <v>17182.087241573452</v>
      </c>
      <c r="E182" s="7">
        <f si="101" t="shared"/>
        <v>42129.966298654574</v>
      </c>
      <c r="F182" s="7">
        <f si="101" t="shared"/>
        <v>45792.713927773832</v>
      </c>
      <c r="G182" s="7">
        <f si="101" t="shared"/>
        <v>4699.2452098055192</v>
      </c>
      <c r="H182" s="7">
        <f si="101" t="shared"/>
        <v>1064.3584330736792</v>
      </c>
      <c r="I182" s="7">
        <f si="101" t="shared"/>
        <v>7280.0958836045074</v>
      </c>
      <c r="J182" s="7">
        <f si="101" t="shared"/>
        <v>0</v>
      </c>
      <c r="K182" s="125">
        <f si="104" t="shared"/>
        <v>158405.08088964329</v>
      </c>
      <c r="L182" s="3" t="str">
        <f ref="L182:T182" si="108" t="shared">L168</f>
        <v>shop</v>
      </c>
      <c r="M182" s="7">
        <f si="108" t="shared"/>
        <v>41217</v>
      </c>
      <c r="N182" s="7">
        <f si="108" t="shared"/>
        <v>12180</v>
      </c>
      <c r="O182" s="7">
        <f si="108" t="shared"/>
        <v>43108</v>
      </c>
      <c r="P182" s="7">
        <f si="108" t="shared"/>
        <v>47807</v>
      </c>
      <c r="Q182" s="7">
        <f si="108" t="shared"/>
        <v>5024</v>
      </c>
      <c r="R182" s="7">
        <f si="108" t="shared"/>
        <v>1040</v>
      </c>
      <c r="S182" s="7">
        <f si="108" t="shared"/>
        <v>7631</v>
      </c>
      <c r="T182" s="7">
        <f si="108" t="shared"/>
        <v>0</v>
      </c>
      <c r="V182" s="137">
        <f>DayPatternCoefficients!A190</f>
        <v>617</v>
      </c>
      <c r="W182" s="137" t="str">
        <f>DayPatternCoefficients!B190</f>
        <v>M-FADCU5</v>
      </c>
      <c r="X182" s="138">
        <f>DayPatternCoefficients!D190</f>
        <v>0</v>
      </c>
      <c r="Y182" s="176">
        <f si="70" t="shared"/>
        <v>0</v>
      </c>
      <c r="Z182" s="247">
        <f si="71" t="shared"/>
        <v>0</v>
      </c>
    </row>
    <row r="183" spans="2:26" x14ac:dyDescent="0.25">
      <c r="B183" s="3" t="str">
        <f si="103" t="shared"/>
        <v>meal</v>
      </c>
      <c r="C183" s="7">
        <f si="101" t="shared"/>
        <v>37479.650151439404</v>
      </c>
      <c r="D183" s="7">
        <f si="101" t="shared"/>
        <v>8213.3694803397902</v>
      </c>
      <c r="E183" s="7">
        <f si="101" t="shared"/>
        <v>22507.138778155531</v>
      </c>
      <c r="F183" s="7">
        <f si="101" t="shared"/>
        <v>12966.63574996768</v>
      </c>
      <c r="G183" s="7">
        <f si="101" t="shared"/>
        <v>3808.1909876490263</v>
      </c>
      <c r="H183" s="7">
        <f si="101" t="shared"/>
        <v>733.04417679648702</v>
      </c>
      <c r="I183" s="7">
        <f si="101" t="shared"/>
        <v>5637.2080256683375</v>
      </c>
      <c r="J183" s="7">
        <f si="101" t="shared"/>
        <v>0</v>
      </c>
      <c r="K183" s="125">
        <f si="104" t="shared"/>
        <v>91345.23735001625</v>
      </c>
      <c r="L183" s="3" t="str">
        <f ref="L183:T183" si="109" t="shared">L169</f>
        <v>meal</v>
      </c>
      <c r="M183" s="7">
        <f si="109" t="shared"/>
        <v>37276</v>
      </c>
      <c r="N183" s="7">
        <f si="109" t="shared"/>
        <v>7220</v>
      </c>
      <c r="O183" s="7">
        <f si="109" t="shared"/>
        <v>22427</v>
      </c>
      <c r="P183" s="7">
        <f si="109" t="shared"/>
        <v>13827</v>
      </c>
      <c r="Q183" s="7">
        <f si="109" t="shared"/>
        <v>3827</v>
      </c>
      <c r="R183" s="7">
        <f si="109" t="shared"/>
        <v>772</v>
      </c>
      <c r="S183" s="7">
        <f si="109" t="shared"/>
        <v>5970</v>
      </c>
      <c r="T183" s="7">
        <f si="109" t="shared"/>
        <v>0</v>
      </c>
      <c r="V183" s="137">
        <f>DayPatternCoefficients!A191</f>
        <v>618</v>
      </c>
      <c r="W183" s="137" t="str">
        <f>DayPatternCoefficients!B191</f>
        <v>M-FAD515</v>
      </c>
      <c r="X183" s="138">
        <f>DayPatternCoefficients!D191</f>
        <v>-0.77288709444000003</v>
      </c>
      <c r="Y183" s="176">
        <f si="70" t="shared"/>
        <v>-0.77288709444000003</v>
      </c>
      <c r="Z183" s="247">
        <f si="71" t="shared"/>
        <v>0</v>
      </c>
    </row>
    <row r="184" spans="2:26" x14ac:dyDescent="0.25">
      <c r="B184" s="3" t="str">
        <f si="103" t="shared"/>
        <v>soc/rec</v>
      </c>
      <c r="C184" s="7">
        <f si="101" t="shared"/>
        <v>62256.477069363224</v>
      </c>
      <c r="D184" s="7">
        <f si="101" t="shared"/>
        <v>18454.565522964716</v>
      </c>
      <c r="E184" s="7">
        <f si="101" t="shared"/>
        <v>33816.545630875611</v>
      </c>
      <c r="F184" s="7">
        <f si="101" t="shared"/>
        <v>39801.749296817747</v>
      </c>
      <c r="G184" s="7">
        <f si="101" t="shared"/>
        <v>4283.432838478976</v>
      </c>
      <c r="H184" s="7">
        <f si="101" t="shared"/>
        <v>6867.4583059282031</v>
      </c>
      <c r="I184" s="7">
        <f si="101" t="shared"/>
        <v>46761.88027743969</v>
      </c>
      <c r="J184" s="7">
        <f si="101" t="shared"/>
        <v>0</v>
      </c>
      <c r="K184" s="125">
        <f si="104" t="shared"/>
        <v>212242.10894186818</v>
      </c>
      <c r="L184" s="25" t="str">
        <f ref="L184:T184" si="110" t="shared">L170</f>
        <v>soc/rec</v>
      </c>
      <c r="M184" s="7">
        <f si="110" t="shared"/>
        <v>63888</v>
      </c>
      <c r="N184" s="7">
        <f si="110" t="shared"/>
        <v>16446</v>
      </c>
      <c r="O184" s="7">
        <f si="110" t="shared"/>
        <v>34177</v>
      </c>
      <c r="P184" s="7">
        <f si="110" t="shared"/>
        <v>40110</v>
      </c>
      <c r="Q184" s="7">
        <f si="110" t="shared"/>
        <v>4334</v>
      </c>
      <c r="R184" s="7">
        <f si="110" t="shared"/>
        <v>6891</v>
      </c>
      <c r="S184" s="7">
        <f si="110" t="shared"/>
        <v>47356</v>
      </c>
      <c r="T184" s="7">
        <f si="110" t="shared"/>
        <v>0</v>
      </c>
      <c r="V184" s="161">
        <f>DayPatternCoefficients!A192</f>
        <v>619</v>
      </c>
      <c r="W184" s="161" t="str">
        <f>DayPatternCoefficients!B192</f>
        <v>M-MADCU5</v>
      </c>
      <c r="X184" s="155">
        <f>DayPatternCoefficients!D192</f>
        <v>0</v>
      </c>
      <c r="Y184" s="176">
        <f si="70" t="shared"/>
        <v>0</v>
      </c>
      <c r="Z184" s="247">
        <f si="71" t="shared"/>
        <v>0</v>
      </c>
    </row>
    <row r="185" spans="2:26" x14ac:dyDescent="0.25">
      <c r="B185" s="3" t="str">
        <f si="103" t="shared"/>
        <v>workbased</v>
      </c>
      <c r="C185" s="7">
        <f si="101" t="shared"/>
        <v>88463.610234643755</v>
      </c>
      <c r="D185" s="7">
        <f si="101" t="shared"/>
        <v>6921.3535263778567</v>
      </c>
      <c r="E185" s="7">
        <f si="101" t="shared"/>
        <v>0</v>
      </c>
      <c r="F185" s="7">
        <f si="101" t="shared"/>
        <v>151.27300744092472</v>
      </c>
      <c r="G185" s="7">
        <f si="101" t="shared"/>
        <v>103.35544302030142</v>
      </c>
      <c r="H185" s="7">
        <f si="101" t="shared"/>
        <v>0</v>
      </c>
      <c r="I185" s="7">
        <f si="101" t="shared"/>
        <v>0</v>
      </c>
      <c r="J185" s="7">
        <f si="101" t="shared"/>
        <v>0</v>
      </c>
      <c r="K185" s="125">
        <f si="104" t="shared"/>
        <v>95639.592211482843</v>
      </c>
      <c r="L185" s="25" t="str">
        <f ref="L185:T185" si="111" t="shared">L171</f>
        <v>workbased</v>
      </c>
      <c r="M185" s="7">
        <f si="111" t="shared"/>
        <v>81613</v>
      </c>
      <c r="N185" s="7">
        <f si="111" t="shared"/>
        <v>14053</v>
      </c>
      <c r="O185" s="7">
        <f si="111" t="shared"/>
        <v>0</v>
      </c>
      <c r="P185" s="7">
        <f si="111" t="shared"/>
        <v>0</v>
      </c>
      <c r="Q185" s="7">
        <f si="111" t="shared"/>
        <v>1051</v>
      </c>
      <c r="R185" s="7">
        <f si="111" t="shared"/>
        <v>124</v>
      </c>
      <c r="S185" s="7">
        <f si="111" t="shared"/>
        <v>0</v>
      </c>
      <c r="T185" s="7">
        <f si="111" t="shared"/>
        <v>0</v>
      </c>
      <c r="V185" s="161">
        <f>DayPatternCoefficients!A193</f>
        <v>620</v>
      </c>
      <c r="W185" s="161" t="str">
        <f>DayPatternCoefficients!B193</f>
        <v>M-MAD515</v>
      </c>
      <c r="X185" s="155">
        <f>DayPatternCoefficients!D193</f>
        <v>-0.51821598620999998</v>
      </c>
      <c r="Y185" s="176">
        <f si="70" t="shared"/>
        <v>-0.51821598620999998</v>
      </c>
      <c r="Z185" s="247">
        <f si="71" t="shared"/>
        <v>0</v>
      </c>
    </row>
    <row ht="15.75" r="186" spans="2:26" thickBot="1" x14ac:dyDescent="0.3">
      <c r="B186" s="10" t="str">
        <f>B172</f>
        <v>Total</v>
      </c>
      <c r="C186" s="55">
        <f>SUM(C178:C185)</f>
        <v>901648.54598245025</v>
      </c>
      <c r="D186" s="55">
        <f ref="D186:J186" si="112" t="shared">SUM(D178:D185)</f>
        <v>170065.39758635039</v>
      </c>
      <c r="E186" s="55">
        <f si="112" t="shared"/>
        <v>187216.77730827359</v>
      </c>
      <c r="F186" s="55">
        <f si="112" t="shared"/>
        <v>225726.5714468435</v>
      </c>
      <c r="G186" s="55">
        <f si="112" t="shared"/>
        <v>47146.184000565001</v>
      </c>
      <c r="H186" s="55">
        <f si="112" t="shared"/>
        <v>39980.839567793744</v>
      </c>
      <c r="I186" s="55">
        <f si="112" t="shared"/>
        <v>256902.48673920048</v>
      </c>
      <c r="J186" s="55">
        <f si="112" t="shared"/>
        <v>0</v>
      </c>
      <c r="K186" s="125">
        <f si="104" t="shared"/>
        <v>1828686.8026314769</v>
      </c>
      <c r="L186" s="10" t="str">
        <f ref="L186:T186" si="113" t="shared">L172</f>
        <v>Total</v>
      </c>
      <c r="M186" s="55">
        <f si="113" t="shared"/>
        <v>896891</v>
      </c>
      <c r="N186" s="55">
        <f si="113" t="shared"/>
        <v>149819</v>
      </c>
      <c r="O186" s="55">
        <f si="113" t="shared"/>
        <v>191098</v>
      </c>
      <c r="P186" s="55">
        <f si="113" t="shared"/>
        <v>231050</v>
      </c>
      <c r="Q186" s="55">
        <f si="113" t="shared"/>
        <v>48452</v>
      </c>
      <c r="R186" s="55">
        <f si="113" t="shared"/>
        <v>40757</v>
      </c>
      <c r="S186" s="55">
        <f si="113" t="shared"/>
        <v>253844</v>
      </c>
      <c r="T186" s="55">
        <f si="113" t="shared"/>
        <v>0</v>
      </c>
      <c r="V186" s="161">
        <f>DayPatternCoefficients!A194</f>
        <v>621</v>
      </c>
      <c r="W186" s="161" t="str">
        <f>DayPatternCoefficients!B194</f>
        <v>M-AG1825</v>
      </c>
      <c r="X186" s="155">
        <f>DayPatternCoefficients!D194</f>
        <v>0</v>
      </c>
      <c r="Y186" s="176">
        <f si="70" t="shared"/>
        <v>0</v>
      </c>
      <c r="Z186" s="247">
        <f si="71" t="shared"/>
        <v>0</v>
      </c>
    </row>
    <row r="187" spans="2:26" x14ac:dyDescent="0.25">
      <c r="C187" s="242"/>
      <c r="J187" s="125">
        <f>SUM(C186:J186)</f>
        <v>1828686.8026314769</v>
      </c>
      <c r="T187" s="125">
        <f>SUM(M186:T186)</f>
        <v>1811911</v>
      </c>
      <c r="V187" s="161">
        <f>DayPatternCoefficients!A195</f>
        <v>622</v>
      </c>
      <c r="W187" s="161" t="str">
        <f>DayPatternCoefficients!B195</f>
        <v>M-AG2635</v>
      </c>
      <c r="X187" s="155">
        <f>DayPatternCoefficients!D195</f>
        <v>0</v>
      </c>
      <c r="Y187" s="176">
        <f si="70" t="shared"/>
        <v>0</v>
      </c>
      <c r="Z187" s="247">
        <f si="71" t="shared"/>
        <v>0</v>
      </c>
    </row>
    <row ht="15.75" r="188" spans="2:26" thickBot="1" x14ac:dyDescent="0.3">
      <c r="V188" s="161">
        <f>DayPatternCoefficients!A196</f>
        <v>623</v>
      </c>
      <c r="W188" s="161" t="str">
        <f>DayPatternCoefficients!B196</f>
        <v>M-AG5165</v>
      </c>
      <c r="X188" s="155">
        <f>DayPatternCoefficients!D196</f>
        <v>0</v>
      </c>
      <c r="Y188" s="176">
        <f si="70" t="shared"/>
        <v>0</v>
      </c>
      <c r="Z188" s="247">
        <f si="71" t="shared"/>
        <v>0</v>
      </c>
    </row>
    <row r="189" spans="2:26" x14ac:dyDescent="0.25">
      <c r="B189" s="5" t="str">
        <f>B163</f>
        <v>Purpose</v>
      </c>
      <c r="C189" s="6" t="s">
        <v>8702</v>
      </c>
      <c r="D189" s="6" t="s">
        <v>1211</v>
      </c>
      <c r="E189" s="6" t="s">
        <v>8703</v>
      </c>
      <c r="F189" s="6" t="s">
        <v>8702</v>
      </c>
      <c r="G189" s="6" t="s">
        <v>1211</v>
      </c>
      <c r="H189" s="6" t="s">
        <v>8703</v>
      </c>
      <c r="I189" s="6" t="s">
        <v>13592</v>
      </c>
      <c r="V189" s="161">
        <f>DayPatternCoefficients!A197</f>
        <v>624</v>
      </c>
      <c r="W189" s="161" t="str">
        <f>DayPatternCoefficients!B197</f>
        <v>M-WAHOME</v>
      </c>
      <c r="X189" s="155">
        <f>DayPatternCoefficients!D197</f>
        <v>0</v>
      </c>
      <c r="Y189" s="176">
        <f si="70" t="shared"/>
        <v>0</v>
      </c>
      <c r="Z189" s="247">
        <f si="71" t="shared"/>
        <v>0</v>
      </c>
    </row>
    <row r="190" spans="2:26" x14ac:dyDescent="0.25">
      <c r="B190" s="3" t="str">
        <f ref="B190:B198" si="114" t="shared">B164</f>
        <v>work</v>
      </c>
      <c r="C190" s="7">
        <f>K164</f>
        <v>551267.24973299995</v>
      </c>
      <c r="D190" s="7">
        <f>K178</f>
        <v>626655.11395604303</v>
      </c>
      <c r="E190" s="7">
        <f ref="E190:E198" si="115" t="shared">U163</f>
        <v>617189</v>
      </c>
      <c r="F190" s="237">
        <f ref="F190:F198" si="116" t="shared">C190/C$198</f>
        <v>0.33218541529562445</v>
      </c>
      <c r="G190" s="237">
        <f ref="G190:G198" si="117" t="shared">D190/D$198</f>
        <v>0.34268039396045702</v>
      </c>
      <c r="H190" s="237">
        <f ref="H190:H198" si="118" t="shared">E190/E$198</f>
        <v>0.34062876156720723</v>
      </c>
      <c r="I190" s="248">
        <f>(E190-D190)/D190</f>
        <v>-1.5105779471396822E-2</v>
      </c>
      <c r="V190" s="161">
        <f>DayPatternCoefficients!A198</f>
        <v>625</v>
      </c>
      <c r="W190" s="161" t="str">
        <f>DayPatternCoefficients!B198</f>
        <v>M-MIXDEN</v>
      </c>
      <c r="X190" s="155">
        <f>DayPatternCoefficients!D198</f>
        <v>0</v>
      </c>
      <c r="Y190" s="176">
        <f si="70" t="shared"/>
        <v>0</v>
      </c>
      <c r="Z190" s="247">
        <f si="71" t="shared"/>
        <v>0</v>
      </c>
    </row>
    <row r="191" spans="2:26" x14ac:dyDescent="0.25">
      <c r="B191" s="3" t="str">
        <f si="114" t="shared"/>
        <v>school</v>
      </c>
      <c r="C191" s="7">
        <f ref="C191:C198" si="119" t="shared">K165</f>
        <v>220937.68107699999</v>
      </c>
      <c r="D191" s="7">
        <f ref="D191:D197" si="120" t="shared">K179</f>
        <v>216711.84319579066</v>
      </c>
      <c r="E191" s="7">
        <f si="115" t="shared"/>
        <v>211135</v>
      </c>
      <c r="F191" s="237">
        <f si="116" t="shared"/>
        <v>0.13313374842884679</v>
      </c>
      <c r="G191" s="237">
        <f si="117" t="shared"/>
        <v>0.11850681203798415</v>
      </c>
      <c r="H191" s="237">
        <f si="118" t="shared"/>
        <v>0.11652614284034922</v>
      </c>
      <c r="I191" s="248">
        <f ref="I191:I198" si="121" t="shared">(E191-D191)/D191</f>
        <v>-2.573391058629038E-2</v>
      </c>
      <c r="V191" s="161">
        <f>DayPatternCoefficients!A199</f>
        <v>626</v>
      </c>
      <c r="W191" s="161" t="str">
        <f>DayPatternCoefficients!B199</f>
        <v>M-INTDEN</v>
      </c>
      <c r="X191" s="155">
        <f>DayPatternCoefficients!D199</f>
        <v>0</v>
      </c>
      <c r="Y191" s="176">
        <f si="70" t="shared"/>
        <v>0</v>
      </c>
      <c r="Z191" s="247">
        <f si="71" t="shared"/>
        <v>0</v>
      </c>
    </row>
    <row r="192" spans="2:26" x14ac:dyDescent="0.25">
      <c r="B192" s="3" t="str">
        <f si="114" t="shared"/>
        <v>escort</v>
      </c>
      <c r="C192" s="7">
        <f si="119" t="shared"/>
        <v>177209.61068899999</v>
      </c>
      <c r="D192" s="7">
        <f si="120" t="shared"/>
        <v>192162.82172230736</v>
      </c>
      <c r="E192" s="7">
        <f si="115" t="shared"/>
        <v>191200</v>
      </c>
      <c r="F192" s="237">
        <f si="116" t="shared"/>
        <v>0.10678386599169946</v>
      </c>
      <c r="G192" s="237">
        <f si="117" t="shared"/>
        <v>0.1050824129346728</v>
      </c>
      <c r="H192" s="237">
        <f si="118" t="shared"/>
        <v>0.10552394681637232</v>
      </c>
      <c r="I192" s="248">
        <f si="121" t="shared"/>
        <v>-5.0104474615736191E-3</v>
      </c>
      <c r="V192" s="161">
        <f>DayPatternCoefficients!A200</f>
        <v>627</v>
      </c>
      <c r="W192" s="161" t="str">
        <f>DayPatternCoefficients!B200</f>
        <v>M-ACCLOG</v>
      </c>
      <c r="X192" s="155">
        <f>DayPatternCoefficients!D200</f>
        <v>0</v>
      </c>
      <c r="Y192" s="176">
        <f si="70" t="shared"/>
        <v>0</v>
      </c>
      <c r="Z192" s="247">
        <f si="71" t="shared"/>
        <v>0</v>
      </c>
    </row>
    <row r="193" spans="2:26" x14ac:dyDescent="0.25">
      <c r="B193" s="3" t="str">
        <f si="114" t="shared"/>
        <v>pers.bus</v>
      </c>
      <c r="C193" s="7">
        <f si="119" t="shared"/>
        <v>208694.32208899999</v>
      </c>
      <c r="D193" s="7">
        <f si="120" t="shared"/>
        <v>235525.00436432532</v>
      </c>
      <c r="E193" s="7">
        <f si="115" t="shared"/>
        <v>233018</v>
      </c>
      <c r="F193" s="237">
        <f si="116" t="shared"/>
        <v>0.12575608307322839</v>
      </c>
      <c r="G193" s="237">
        <f si="117" t="shared"/>
        <v>0.12879461044144097</v>
      </c>
      <c r="H193" s="237">
        <f si="118" t="shared"/>
        <v>0.12860344685804104</v>
      </c>
      <c r="I193" s="248">
        <f si="121" t="shared"/>
        <v>-1.0644323608406855E-2</v>
      </c>
      <c r="V193" s="161">
        <f>DayPatternCoefficients!A201</f>
        <v>628</v>
      </c>
      <c r="W193" s="161" t="str">
        <f>DayPatternCoefficients!B201</f>
        <v>M-TPASS</v>
      </c>
      <c r="X193" s="155">
        <f>DayPatternCoefficients!D201</f>
        <v>0</v>
      </c>
      <c r="Y193" s="176">
        <f si="70" t="shared"/>
        <v>0</v>
      </c>
      <c r="Z193" s="247">
        <f si="71" t="shared"/>
        <v>0</v>
      </c>
    </row>
    <row r="194" spans="2:26" x14ac:dyDescent="0.25">
      <c r="B194" s="3" t="str">
        <f si="114" t="shared"/>
        <v>shop</v>
      </c>
      <c r="C194" s="7">
        <f si="119" t="shared"/>
        <v>141800.21688699999</v>
      </c>
      <c r="D194" s="7">
        <f si="120" t="shared"/>
        <v>158405.08088964329</v>
      </c>
      <c r="E194" s="7">
        <f si="115" t="shared"/>
        <v>158007</v>
      </c>
      <c r="F194" s="237">
        <f si="116" t="shared"/>
        <v>8.5446693882925168E-2</v>
      </c>
      <c r="G194" s="237">
        <f si="117" t="shared"/>
        <v>8.6622313160295505E-2</v>
      </c>
      <c r="H194" s="237">
        <f si="118" t="shared"/>
        <v>8.7204614354678564E-2</v>
      </c>
      <c r="I194" s="248">
        <f si="121" t="shared"/>
        <v>-2.513056319958695E-3</v>
      </c>
      <c r="V194" s="161">
        <f>DayPatternCoefficients!A202</f>
        <v>629</v>
      </c>
      <c r="W194" s="161" t="str">
        <f>DayPatternCoefficients!B202</f>
        <v>M-T-LOGS</v>
      </c>
      <c r="X194" s="155">
        <f>DayPatternCoefficients!D202</f>
        <v>2.6649678940000001E-2</v>
      </c>
      <c r="Y194" s="176">
        <f si="70" t="shared"/>
        <v>2.6649678940000001E-2</v>
      </c>
      <c r="Z194" s="247">
        <f si="71" t="shared"/>
        <v>0</v>
      </c>
    </row>
    <row r="195" spans="2:26" x14ac:dyDescent="0.25">
      <c r="B195" s="3" t="str">
        <f si="114" t="shared"/>
        <v>meal</v>
      </c>
      <c r="C195" s="7">
        <f si="119" t="shared"/>
        <v>81163.222054999991</v>
      </c>
      <c r="D195" s="7">
        <f si="120" t="shared"/>
        <v>91345.23735001625</v>
      </c>
      <c r="E195" s="7">
        <f si="115" t="shared"/>
        <v>91319</v>
      </c>
      <c r="F195" s="237">
        <f si="116" t="shared"/>
        <v>4.8907745994577999E-2</v>
      </c>
      <c r="G195" s="237">
        <f si="117" t="shared"/>
        <v>4.9951274990649372E-2</v>
      </c>
      <c r="H195" s="237">
        <f si="118" t="shared"/>
        <v>5.0399274578055986E-2</v>
      </c>
      <c r="I195" s="248">
        <f si="121" t="shared"/>
        <v>-2.8723281889031743E-4</v>
      </c>
      <c r="V195" s="161">
        <f>DayPatternCoefficients!A203</f>
        <v>630</v>
      </c>
      <c r="W195" s="161" t="str">
        <f>DayPatternCoefficients!B203</f>
        <v>M-T-PPRK</v>
      </c>
      <c r="X195" s="155">
        <f>DayPatternCoefficients!D203</f>
        <v>0</v>
      </c>
      <c r="Y195" s="176">
        <f si="70" t="shared"/>
        <v>0</v>
      </c>
      <c r="Z195" s="247">
        <f si="71" t="shared"/>
        <v>0</v>
      </c>
    </row>
    <row r="196" spans="2:26" x14ac:dyDescent="0.25">
      <c r="B196" s="25" t="str">
        <f si="114" t="shared"/>
        <v>soc/rec</v>
      </c>
      <c r="C196" s="7">
        <f si="119" t="shared"/>
        <v>195156.13173299999</v>
      </c>
      <c r="D196" s="7">
        <f si="120" t="shared"/>
        <v>212242.10894186818</v>
      </c>
      <c r="E196" s="7">
        <f si="115" t="shared"/>
        <v>213202</v>
      </c>
      <c r="F196" s="237">
        <f si="116" t="shared"/>
        <v>0.11759817166467428</v>
      </c>
      <c r="G196" s="237">
        <f si="117" t="shared"/>
        <v>0.11606258033713164</v>
      </c>
      <c r="H196" s="237">
        <f si="118" t="shared"/>
        <v>0.11766692734908062</v>
      </c>
      <c r="I196" s="248">
        <f si="121" t="shared"/>
        <v>4.5226230690853528E-3</v>
      </c>
      <c r="V196" s="161">
        <f>DayPatternCoefficients!A204</f>
        <v>631</v>
      </c>
      <c r="W196" s="161" t="str">
        <f>DayPatternCoefficients!B204</f>
        <v>M-S-LOGS</v>
      </c>
      <c r="X196" s="155">
        <f>DayPatternCoefficients!D204</f>
        <v>-6.5044309719999999E-2</v>
      </c>
      <c r="Y196" s="176">
        <f ref="Y196:Y259" si="122" t="shared">_xlfn.IFNA(VLOOKUP(V196,$L$63:$N$105,3,FALSE),_xlfn.IFNA(VLOOKUP(V196,$H$5:$L$11,5,FALSE),_xlfn.IFNA(VLOOKUP(V196,$J$33:$N$39,5,FALSE),X196)))</f>
        <v>-6.5044309719999999E-2</v>
      </c>
      <c r="Z196" s="247">
        <f ref="Z196:Z259" si="123" t="shared">IF(X196=Y196,0,1)</f>
        <v>0</v>
      </c>
    </row>
    <row r="197" spans="2:26" x14ac:dyDescent="0.25">
      <c r="B197" s="25" t="str">
        <f si="114" t="shared"/>
        <v>workbased</v>
      </c>
      <c r="C197" s="7">
        <f si="119" t="shared"/>
        <v>83288.282454999993</v>
      </c>
      <c r="D197" s="7">
        <f si="120" t="shared"/>
        <v>95639.592211482843</v>
      </c>
      <c r="E197" s="7">
        <f si="115" t="shared"/>
        <v>96841</v>
      </c>
      <c r="F197" s="238">
        <f si="116" t="shared"/>
        <v>5.0188275668423467E-2</v>
      </c>
      <c r="G197" s="238">
        <f si="117" t="shared"/>
        <v>5.2299602137368548E-2</v>
      </c>
      <c r="H197" s="238">
        <f si="118" t="shared"/>
        <v>5.3446885636215025E-2</v>
      </c>
      <c r="I197" s="249">
        <f si="121" t="shared"/>
        <v>1.2561824666300824E-2</v>
      </c>
      <c r="V197" s="161">
        <f>DayPatternCoefficients!A205</f>
        <v>632</v>
      </c>
      <c r="W197" s="161" t="str">
        <f>DayPatternCoefficients!B205</f>
        <v>M-NODIAR</v>
      </c>
      <c r="X197" s="155">
        <f>DayPatternCoefficients!D205</f>
        <v>-0.72078261221999995</v>
      </c>
      <c r="Y197" s="176">
        <f si="122" t="shared"/>
        <v>-0.72078261221999995</v>
      </c>
      <c r="Z197" s="247">
        <f si="123" t="shared"/>
        <v>0</v>
      </c>
    </row>
    <row ht="15.75" r="198" spans="2:26" thickBot="1" x14ac:dyDescent="0.3">
      <c r="B198" s="10" t="str">
        <f si="114" t="shared"/>
        <v>Total</v>
      </c>
      <c r="C198" s="55">
        <f si="119" t="shared"/>
        <v>1659516.7167179999</v>
      </c>
      <c r="D198" s="55">
        <f>SUM(D190:D197)</f>
        <v>1828686.8026314769</v>
      </c>
      <c r="E198" s="55">
        <f si="115" t="shared"/>
        <v>1811911</v>
      </c>
      <c r="F198" s="239">
        <f si="116" t="shared"/>
        <v>1</v>
      </c>
      <c r="G198" s="239">
        <f si="117" t="shared"/>
        <v>1</v>
      </c>
      <c r="H198" s="239">
        <f si="118" t="shared"/>
        <v>1</v>
      </c>
      <c r="I198" s="261">
        <f si="121" t="shared"/>
        <v>-9.1736882484942453E-3</v>
      </c>
      <c r="V198" s="161">
        <f>DayPatternCoefficients!A206</f>
        <v>633</v>
      </c>
      <c r="W198" s="161" t="str">
        <f>DayPatternCoefficients!B206</f>
        <v>M-PROXY</v>
      </c>
      <c r="X198" s="155">
        <f>DayPatternCoefficients!D206</f>
        <v>-8.6248917470000006E-2</v>
      </c>
      <c r="Y198" s="176">
        <f si="122" t="shared"/>
        <v>-8.6248917470000006E-2</v>
      </c>
      <c r="Z198" s="247">
        <f si="123" t="shared"/>
        <v>0</v>
      </c>
    </row>
    <row r="199" spans="2:26" x14ac:dyDescent="0.25">
      <c r="V199" s="161">
        <f>DayPatternCoefficients!A207</f>
        <v>651</v>
      </c>
      <c r="W199" s="161" t="str">
        <f>DayPatternCoefficients!B207</f>
        <v>M-FTW</v>
      </c>
      <c r="X199" s="155">
        <f>DayPatternCoefficients!D207</f>
        <v>-0.67422601961999995</v>
      </c>
      <c r="Y199" s="176">
        <f si="122" t="shared"/>
        <v>-0.67422601961999995</v>
      </c>
      <c r="Z199" s="247">
        <f si="123" t="shared"/>
        <v>0</v>
      </c>
    </row>
    <row ht="15.75" r="200" spans="2:26" thickBot="1" x14ac:dyDescent="0.3">
      <c r="V200" s="161">
        <f>DayPatternCoefficients!A208</f>
        <v>700</v>
      </c>
      <c r="W200" s="161" t="str">
        <f>DayPatternCoefficients!B208</f>
        <v>D-TASC</v>
      </c>
      <c r="X200" s="155">
        <f>DayPatternCoefficients!D208</f>
        <v>-1.2801669037600001</v>
      </c>
      <c r="Y200" s="176">
        <f si="122" t="shared"/>
        <v>-1.2801669037600001</v>
      </c>
      <c r="Z200" s="247">
        <f si="123" t="shared"/>
        <v>0</v>
      </c>
    </row>
    <row r="201" spans="2:26" x14ac:dyDescent="0.25">
      <c r="B201" s="5" t="str">
        <f>Summary!A15</f>
        <v>Persontype</v>
      </c>
      <c r="C201" s="6" t="s">
        <v>8702</v>
      </c>
      <c r="D201" s="6" t="s">
        <v>1211</v>
      </c>
      <c r="E201" s="6" t="s">
        <v>8703</v>
      </c>
      <c r="F201" s="6" t="s">
        <v>8702</v>
      </c>
      <c r="G201" s="6" t="s">
        <v>1211</v>
      </c>
      <c r="H201" s="6" t="s">
        <v>8703</v>
      </c>
      <c r="I201" s="6" t="s">
        <v>13592</v>
      </c>
      <c r="V201" s="161">
        <f>DayPatternCoefficients!A209</f>
        <v>701</v>
      </c>
      <c r="W201" s="161" t="str">
        <f>DayPatternCoefficients!B209</f>
        <v>D-SASC</v>
      </c>
      <c r="X201" s="155">
        <f>DayPatternCoefficients!D209</f>
        <v>2.0647581169100002</v>
      </c>
      <c r="Y201" s="176">
        <f si="122" t="shared"/>
        <v>2.0647581169100002</v>
      </c>
      <c r="Z201" s="247">
        <f si="123" t="shared"/>
        <v>0</v>
      </c>
    </row>
    <row r="202" spans="2:26" x14ac:dyDescent="0.25">
      <c r="B202" s="3" t="str">
        <f>Summary!A16</f>
        <v>ft worker</v>
      </c>
      <c r="C202" s="7">
        <f>C172</f>
        <v>763520.57514099975</v>
      </c>
      <c r="D202" s="7">
        <f>C186</f>
        <v>901648.54598245025</v>
      </c>
      <c r="E202" s="7">
        <f>M186</f>
        <v>896891</v>
      </c>
      <c r="F202" s="237">
        <f ref="F202:F210" si="124" t="shared">C202/C$198</f>
        <v>0.46008610063959005</v>
      </c>
      <c r="G202" s="237">
        <f ref="G202:G210" si="125" t="shared">D202/D$198</f>
        <v>0.49305793900025946</v>
      </c>
      <c r="H202" s="237">
        <f ref="H202:H210" si="126" t="shared">E202/E$198</f>
        <v>0.49499727083725414</v>
      </c>
      <c r="I202" s="248">
        <f>(E202-D202)/D202</f>
        <v>-5.2764971491928167E-3</v>
      </c>
      <c r="V202" s="161">
        <f>DayPatternCoefficients!A210</f>
        <v>702</v>
      </c>
      <c r="W202" s="161" t="str">
        <f>DayPatternCoefficients!B210</f>
        <v>D-PTW</v>
      </c>
      <c r="X202" s="155">
        <f>DayPatternCoefficients!D210</f>
        <v>0.65142938905000003</v>
      </c>
      <c r="Y202" s="176">
        <f si="122" t="shared"/>
        <v>1.8037244605041181</v>
      </c>
      <c r="Z202" s="247">
        <f si="123" t="shared"/>
        <v>1</v>
      </c>
    </row>
    <row r="203" spans="2:26" x14ac:dyDescent="0.25">
      <c r="B203" s="3" t="str">
        <f>Summary!A17</f>
        <v>pt worker</v>
      </c>
      <c r="C203" s="7">
        <f>D172</f>
        <v>163217.94218300001</v>
      </c>
      <c r="D203" s="7">
        <f>D186</f>
        <v>170065.39758635039</v>
      </c>
      <c r="E203" s="7">
        <f>N186</f>
        <v>149819</v>
      </c>
      <c r="F203" s="237">
        <f si="124" t="shared"/>
        <v>9.8352695419539712E-2</v>
      </c>
      <c r="G203" s="237">
        <f si="125" t="shared"/>
        <v>9.2998646537847049E-2</v>
      </c>
      <c r="H203" s="237">
        <f si="126" t="shared"/>
        <v>8.2685628598755681E-2</v>
      </c>
      <c r="I203" s="248">
        <f ref="I203:I208" si="127" t="shared">(E203-D203)/D203</f>
        <v>-0.11905065859191208</v>
      </c>
      <c r="V203" s="161">
        <f>DayPatternCoefficients!A211</f>
        <v>703</v>
      </c>
      <c r="W203" s="161" t="str">
        <f>DayPatternCoefficients!B211</f>
        <v>D-RET</v>
      </c>
      <c r="X203" s="155">
        <f>DayPatternCoefficients!D211</f>
        <v>-1.1475698162500001</v>
      </c>
      <c r="Y203" s="176">
        <f si="122" t="shared"/>
        <v>-1.1475698162500001</v>
      </c>
      <c r="Z203" s="247">
        <f si="123" t="shared"/>
        <v>0</v>
      </c>
    </row>
    <row r="204" spans="2:26" x14ac:dyDescent="0.25">
      <c r="B204" s="3" t="str">
        <f>Summary!A18</f>
        <v>retired</v>
      </c>
      <c r="C204" s="7">
        <f>E172</f>
        <v>149201.340754</v>
      </c>
      <c r="D204" s="7">
        <f>E186</f>
        <v>187216.77730827359</v>
      </c>
      <c r="E204" s="7">
        <f>O186</f>
        <v>191098</v>
      </c>
      <c r="F204" s="237">
        <f si="124" t="shared"/>
        <v>8.9906500640182255E-2</v>
      </c>
      <c r="G204" s="237">
        <f si="125" t="shared"/>
        <v>0.10237771554914106</v>
      </c>
      <c r="H204" s="237">
        <f si="126" t="shared"/>
        <v>0.10546765266064392</v>
      </c>
      <c r="I204" s="248">
        <f si="127" t="shared"/>
        <v>2.0731169222807062E-2</v>
      </c>
      <c r="V204" s="161">
        <f>DayPatternCoefficients!A212</f>
        <v>704</v>
      </c>
      <c r="W204" s="161" t="str">
        <f>DayPatternCoefficients!B212</f>
        <v>D-NWA</v>
      </c>
      <c r="X204" s="155">
        <f>DayPatternCoefficients!D212</f>
        <v>-1.0826110979400001</v>
      </c>
      <c r="Y204" s="176">
        <f si="122" t="shared"/>
        <v>-1.0826110979400001</v>
      </c>
      <c r="Z204" s="247">
        <f si="123" t="shared"/>
        <v>0</v>
      </c>
    </row>
    <row r="205" spans="2:26" x14ac:dyDescent="0.25">
      <c r="B205" s="3" t="str">
        <f>Summary!A19</f>
        <v>nonworker</v>
      </c>
      <c r="C205" s="7">
        <f>F172</f>
        <v>230106.99850099999</v>
      </c>
      <c r="D205" s="7">
        <f>F186</f>
        <v>225726.5714468435</v>
      </c>
      <c r="E205" s="7">
        <f>P186</f>
        <v>231050</v>
      </c>
      <c r="F205" s="237">
        <f si="124" t="shared"/>
        <v>0.13865904222771494</v>
      </c>
      <c r="G205" s="237">
        <f si="125" t="shared"/>
        <v>0.12343643051506874</v>
      </c>
      <c r="H205" s="237">
        <f si="126" t="shared"/>
        <v>0.12751730079457546</v>
      </c>
      <c r="I205" s="248">
        <f si="127" t="shared"/>
        <v>2.3583526383424088E-2</v>
      </c>
      <c r="V205" s="137">
        <f>DayPatternCoefficients!A213</f>
        <v>705</v>
      </c>
      <c r="W205" s="137" t="str">
        <f>DayPatternCoefficients!B213</f>
        <v>D-UNI</v>
      </c>
      <c r="X205" s="138">
        <f>DayPatternCoefficients!D213</f>
        <v>-2.0534535142900001</v>
      </c>
      <c r="Y205" s="176">
        <f si="122" t="shared"/>
        <v>-2.0534535142900001</v>
      </c>
      <c r="Z205" s="247">
        <f si="123" t="shared"/>
        <v>0</v>
      </c>
    </row>
    <row r="206" spans="2:26" x14ac:dyDescent="0.25">
      <c r="B206" s="3" t="str">
        <f>Summary!A20</f>
        <v>uinv.stud</v>
      </c>
      <c r="C206" s="7">
        <f>G172</f>
        <v>53423.176681000004</v>
      </c>
      <c r="D206" s="7">
        <f>G186</f>
        <v>47146.184000565001</v>
      </c>
      <c r="E206" s="7">
        <f>Q186</f>
        <v>48452</v>
      </c>
      <c r="F206" s="237">
        <f si="124" t="shared"/>
        <v>3.2192008759426169E-2</v>
      </c>
      <c r="G206" s="237">
        <f si="125" t="shared"/>
        <v>2.5781442690307455E-2</v>
      </c>
      <c r="H206" s="237">
        <f si="126" t="shared"/>
        <v>2.6740827777964812E-2</v>
      </c>
      <c r="I206" s="248">
        <f si="127" t="shared"/>
        <v>2.7697172679327559E-2</v>
      </c>
      <c r="V206" s="161">
        <f>DayPatternCoefficients!A214</f>
        <v>706</v>
      </c>
      <c r="W206" s="161" t="str">
        <f>DayPatternCoefficients!B214</f>
        <v>D-DAS</v>
      </c>
      <c r="X206" s="155">
        <f>DayPatternCoefficients!D214</f>
        <v>-1.5469095636900001</v>
      </c>
      <c r="Y206" s="176">
        <f si="122" t="shared"/>
        <v>-1.5469095636900001</v>
      </c>
      <c r="Z206" s="247">
        <f si="123" t="shared"/>
        <v>0</v>
      </c>
    </row>
    <row r="207" spans="2:26" x14ac:dyDescent="0.25">
      <c r="B207" s="3" t="str">
        <f>Summary!A21</f>
        <v>stud 16+</v>
      </c>
      <c r="C207" s="7">
        <f>H172</f>
        <v>35069.280928</v>
      </c>
      <c r="D207" s="7">
        <f>H186</f>
        <v>39980.839567793744</v>
      </c>
      <c r="E207" s="7">
        <f>R186</f>
        <v>40757</v>
      </c>
      <c r="F207" s="237">
        <f si="124" t="shared"/>
        <v>2.1132225168153752E-2</v>
      </c>
      <c r="G207" s="237">
        <f si="125" t="shared"/>
        <v>2.1863142179547306E-2</v>
      </c>
      <c r="H207" s="237">
        <f si="126" t="shared"/>
        <v>2.2493930441395853E-2</v>
      </c>
      <c r="I207" s="248">
        <f si="127" t="shared"/>
        <v>1.941330999040565E-2</v>
      </c>
      <c r="V207" s="161">
        <f>DayPatternCoefficients!A215</f>
        <v>707</v>
      </c>
      <c r="W207" s="161" t="str">
        <f>DayPatternCoefficients!B215</f>
        <v>D-PAS</v>
      </c>
      <c r="X207" s="155">
        <f>DayPatternCoefficients!D215</f>
        <v>-0.36546801553000002</v>
      </c>
      <c r="Y207" s="176">
        <f si="122" t="shared"/>
        <v>-0.36546801553000002</v>
      </c>
      <c r="Z207" s="247">
        <f si="123" t="shared"/>
        <v>0</v>
      </c>
    </row>
    <row r="208" spans="2:26" x14ac:dyDescent="0.25">
      <c r="B208" s="25" t="str">
        <f>Summary!A22</f>
        <v>stud.5-15</v>
      </c>
      <c r="C208" s="7">
        <f>I172</f>
        <v>264977.40253000002</v>
      </c>
      <c r="D208" s="7">
        <f>I186</f>
        <v>256902.48673920048</v>
      </c>
      <c r="E208" s="7">
        <f>S186</f>
        <v>253844</v>
      </c>
      <c r="F208" s="237">
        <f si="124" t="shared"/>
        <v>0.15967142714539306</v>
      </c>
      <c r="G208" s="237">
        <f si="125" t="shared"/>
        <v>0.14048468352782897</v>
      </c>
      <c r="H208" s="237">
        <f si="126" t="shared"/>
        <v>0.14009738888941012</v>
      </c>
      <c r="I208" s="248">
        <f si="127" t="shared"/>
        <v>-1.1905243806788696E-2</v>
      </c>
      <c r="V208" s="161">
        <f>DayPatternCoefficients!A216</f>
        <v>708</v>
      </c>
      <c r="W208" s="161" t="str">
        <f>DayPatternCoefficients!B216</f>
        <v>D-CU5</v>
      </c>
      <c r="X208" s="155">
        <f>DayPatternCoefficients!D216</f>
        <v>0.43115396777999998</v>
      </c>
      <c r="Y208" s="176">
        <f si="122" t="shared"/>
        <v>0.43115396777999998</v>
      </c>
      <c r="Z208" s="247">
        <f si="123" t="shared"/>
        <v>0</v>
      </c>
    </row>
    <row r="209" spans="2:26" x14ac:dyDescent="0.25">
      <c r="B209" s="25" t="str">
        <f>Summary!A23</f>
        <v>under 5</v>
      </c>
      <c r="C209" s="7">
        <f>J172</f>
        <v>0</v>
      </c>
      <c r="D209" s="7">
        <f>J186</f>
        <v>0</v>
      </c>
      <c r="E209" s="7">
        <f>T186</f>
        <v>0</v>
      </c>
      <c r="F209" s="238">
        <f si="124" t="shared"/>
        <v>0</v>
      </c>
      <c r="G209" s="238">
        <f si="125" t="shared"/>
        <v>0</v>
      </c>
      <c r="H209" s="238">
        <f si="126" t="shared"/>
        <v>0</v>
      </c>
      <c r="I209" s="249"/>
      <c r="V209" s="161">
        <f>DayPatternCoefficients!A217</f>
        <v>709</v>
      </c>
      <c r="W209" s="161" t="str">
        <f>DayPatternCoefficients!B217</f>
        <v>D-VLINC</v>
      </c>
      <c r="X209" s="155">
        <f>DayPatternCoefficients!D217</f>
        <v>-0.23414926352000001</v>
      </c>
      <c r="Y209" s="176">
        <f si="122" t="shared"/>
        <v>-0.23414926352000001</v>
      </c>
      <c r="Z209" s="247">
        <f si="123" t="shared"/>
        <v>0</v>
      </c>
    </row>
    <row ht="15.75" r="210" spans="2:26" thickBot="1" x14ac:dyDescent="0.3">
      <c r="B210" s="10" t="str">
        <f>Summary!A24</f>
        <v>Total</v>
      </c>
      <c r="C210" s="55">
        <f>SUM(C202:C209)</f>
        <v>1659516.7167179999</v>
      </c>
      <c r="D210" s="55">
        <f ref="D210:E210" si="128" t="shared">SUM(D202:D209)</f>
        <v>1828686.8026314769</v>
      </c>
      <c r="E210" s="55">
        <f si="128" t="shared"/>
        <v>1811911</v>
      </c>
      <c r="F210" s="239">
        <f si="124" t="shared"/>
        <v>1</v>
      </c>
      <c r="G210" s="239">
        <f si="125" t="shared"/>
        <v>1</v>
      </c>
      <c r="H210" s="239">
        <f si="126" t="shared"/>
        <v>1</v>
      </c>
      <c r="I210" s="261">
        <f ref="I210" si="129" t="shared">(E210-D210)/D210</f>
        <v>-9.1736882484942453E-3</v>
      </c>
      <c r="V210" s="161">
        <f>DayPatternCoefficients!A218</f>
        <v>710</v>
      </c>
      <c r="W210" s="161" t="str">
        <f>DayPatternCoefficients!B218</f>
        <v>D-LOINC</v>
      </c>
      <c r="X210" s="155">
        <f>DayPatternCoefficients!D218</f>
        <v>-0.16753633813999999</v>
      </c>
      <c r="Y210" s="176">
        <f si="122" t="shared"/>
        <v>-0.16753633813999999</v>
      </c>
      <c r="Z210" s="247">
        <f si="123" t="shared"/>
        <v>0</v>
      </c>
    </row>
    <row r="211" spans="2:26" x14ac:dyDescent="0.25">
      <c r="V211" s="161">
        <f>DayPatternCoefficients!A219</f>
        <v>711</v>
      </c>
      <c r="W211" s="161" t="str">
        <f>DayPatternCoefficients!B219</f>
        <v>D-HIINC</v>
      </c>
      <c r="X211" s="155">
        <f>DayPatternCoefficients!D219</f>
        <v>0.24127006967</v>
      </c>
      <c r="Y211" s="176">
        <f si="122" t="shared"/>
        <v>0.24127006967</v>
      </c>
      <c r="Z211" s="247">
        <f si="123" t="shared"/>
        <v>0</v>
      </c>
    </row>
    <row r="212" spans="2:26" x14ac:dyDescent="0.25">
      <c r="V212" s="161">
        <f>DayPatternCoefficients!A220</f>
        <v>712</v>
      </c>
      <c r="W212" s="161" t="str">
        <f>DayPatternCoefficients!B220</f>
        <v>D-CARSPD</v>
      </c>
      <c r="X212" s="155">
        <f>DayPatternCoefficients!D220</f>
        <v>9.3852056000000003E-2</v>
      </c>
      <c r="Y212" s="176">
        <f si="122" t="shared"/>
        <v>9.3852056000000003E-2</v>
      </c>
      <c r="Z212" s="247">
        <f si="123" t="shared"/>
        <v>0</v>
      </c>
    </row>
    <row r="213" spans="2:26" x14ac:dyDescent="0.25">
      <c r="V213" s="161">
        <f>DayPatternCoefficients!A221</f>
        <v>713</v>
      </c>
      <c r="W213" s="161" t="str">
        <f>DayPatternCoefficients!B221</f>
        <v>D-ONLYAD</v>
      </c>
      <c r="X213" s="155">
        <f>DayPatternCoefficients!D221</f>
        <v>0</v>
      </c>
      <c r="Y213" s="176">
        <f si="122" t="shared"/>
        <v>0</v>
      </c>
      <c r="Z213" s="247">
        <f si="123" t="shared"/>
        <v>0</v>
      </c>
    </row>
    <row r="214" spans="2:26" x14ac:dyDescent="0.25">
      <c r="V214" s="161">
        <f>DayPatternCoefficients!A222</f>
        <v>714</v>
      </c>
      <c r="W214" s="161" t="str">
        <f>DayPatternCoefficients!B222</f>
        <v>D-ONLYWK</v>
      </c>
      <c r="X214" s="155">
        <f>DayPatternCoefficients!D222</f>
        <v>0</v>
      </c>
      <c r="Y214" s="176">
        <f si="122" t="shared"/>
        <v>0</v>
      </c>
      <c r="Z214" s="247">
        <f si="123" t="shared"/>
        <v>0</v>
      </c>
    </row>
    <row r="215" spans="2:26" x14ac:dyDescent="0.25">
      <c r="V215" s="161">
        <f>DayPatternCoefficients!A223</f>
        <v>716</v>
      </c>
      <c r="W215" s="161" t="str">
        <f>DayPatternCoefficients!B223</f>
        <v>D-FEMNOC</v>
      </c>
      <c r="X215" s="155">
        <f>DayPatternCoefficients!D223</f>
        <v>0</v>
      </c>
      <c r="Y215" s="176">
        <f si="122" t="shared"/>
        <v>0</v>
      </c>
      <c r="Z215" s="247">
        <f si="123" t="shared"/>
        <v>0</v>
      </c>
    </row>
    <row r="216" spans="2:26" x14ac:dyDescent="0.25">
      <c r="V216" s="161">
        <f>DayPatternCoefficients!A224</f>
        <v>717</v>
      </c>
      <c r="W216" s="161" t="str">
        <f>DayPatternCoefficients!B224</f>
        <v>D-FADCU5</v>
      </c>
      <c r="X216" s="155">
        <f>DayPatternCoefficients!D224</f>
        <v>0</v>
      </c>
      <c r="Y216" s="176">
        <f si="122" t="shared"/>
        <v>0</v>
      </c>
      <c r="Z216" s="247">
        <f si="123" t="shared"/>
        <v>0</v>
      </c>
    </row>
    <row r="217" spans="2:26" x14ac:dyDescent="0.25">
      <c r="V217" s="161">
        <f>DayPatternCoefficients!A225</f>
        <v>718</v>
      </c>
      <c r="W217" s="161" t="str">
        <f>DayPatternCoefficients!B225</f>
        <v>D-FAD515</v>
      </c>
      <c r="X217" s="155">
        <f>DayPatternCoefficients!D225</f>
        <v>-0.34985702366999999</v>
      </c>
      <c r="Y217" s="176">
        <f si="122" t="shared"/>
        <v>-0.34985702366999999</v>
      </c>
      <c r="Z217" s="247">
        <f si="123" t="shared"/>
        <v>0</v>
      </c>
    </row>
    <row r="218" spans="2:26" x14ac:dyDescent="0.25">
      <c r="V218" s="161">
        <f>DayPatternCoefficients!A226</f>
        <v>719</v>
      </c>
      <c r="W218" s="161" t="str">
        <f>DayPatternCoefficients!B226</f>
        <v>D-MADCU5</v>
      </c>
      <c r="X218" s="155">
        <f>DayPatternCoefficients!D226</f>
        <v>0</v>
      </c>
      <c r="Y218" s="176">
        <f si="122" t="shared"/>
        <v>0</v>
      </c>
      <c r="Z218" s="247">
        <f si="123" t="shared"/>
        <v>0</v>
      </c>
    </row>
    <row r="219" spans="2:26" x14ac:dyDescent="0.25">
      <c r="V219" s="161">
        <f>DayPatternCoefficients!A227</f>
        <v>720</v>
      </c>
      <c r="W219" s="161" t="str">
        <f>DayPatternCoefficients!B227</f>
        <v>D-MAD515</v>
      </c>
      <c r="X219" s="155">
        <f>DayPatternCoefficients!D227</f>
        <v>-0.36186341506000003</v>
      </c>
      <c r="Y219" s="176">
        <f si="122" t="shared"/>
        <v>-0.36186341506000003</v>
      </c>
      <c r="Z219" s="247">
        <f si="123" t="shared"/>
        <v>0</v>
      </c>
    </row>
    <row r="220" spans="2:26" x14ac:dyDescent="0.25">
      <c r="V220" s="161">
        <f>DayPatternCoefficients!A228</f>
        <v>721</v>
      </c>
      <c r="W220" s="161" t="str">
        <f>DayPatternCoefficients!B228</f>
        <v>D-AG1825</v>
      </c>
      <c r="X220" s="155">
        <f>DayPatternCoefficients!D228</f>
        <v>0</v>
      </c>
      <c r="Y220" s="176">
        <f si="122" t="shared"/>
        <v>0</v>
      </c>
      <c r="Z220" s="247">
        <f si="123" t="shared"/>
        <v>0</v>
      </c>
    </row>
    <row r="221" spans="2:26" x14ac:dyDescent="0.25">
      <c r="V221" s="161">
        <f>DayPatternCoefficients!A229</f>
        <v>722</v>
      </c>
      <c r="W221" s="161" t="str">
        <f>DayPatternCoefficients!B229</f>
        <v>D-AG2635</v>
      </c>
      <c r="X221" s="155">
        <f>DayPatternCoefficients!D229</f>
        <v>0</v>
      </c>
      <c r="Y221" s="176">
        <f si="122" t="shared"/>
        <v>0</v>
      </c>
      <c r="Z221" s="247">
        <f si="123" t="shared"/>
        <v>0</v>
      </c>
    </row>
    <row r="222" spans="2:26" x14ac:dyDescent="0.25">
      <c r="V222" s="161">
        <f>DayPatternCoefficients!A230</f>
        <v>723</v>
      </c>
      <c r="W222" s="161" t="str">
        <f>DayPatternCoefficients!B230</f>
        <v>D-AG5165</v>
      </c>
      <c r="X222" s="155">
        <f>DayPatternCoefficients!D230</f>
        <v>-0.29322999638000002</v>
      </c>
      <c r="Y222" s="176">
        <f si="122" t="shared"/>
        <v>-0.29322999638000002</v>
      </c>
      <c r="Z222" s="247">
        <f si="123" t="shared"/>
        <v>0</v>
      </c>
    </row>
    <row r="223" spans="2:26" x14ac:dyDescent="0.25">
      <c r="V223" s="161">
        <f>DayPatternCoefficients!A231</f>
        <v>724</v>
      </c>
      <c r="W223" s="161" t="str">
        <f>DayPatternCoefficients!B231</f>
        <v>D-WAHOME</v>
      </c>
      <c r="X223" s="155">
        <f>DayPatternCoefficients!D231</f>
        <v>-0.54873078521999996</v>
      </c>
      <c r="Y223" s="176">
        <f si="122" t="shared"/>
        <v>-0.54873078521999996</v>
      </c>
      <c r="Z223" s="247">
        <f si="123" t="shared"/>
        <v>0</v>
      </c>
    </row>
    <row r="224" spans="2:26" x14ac:dyDescent="0.25">
      <c r="V224" s="161">
        <f>DayPatternCoefficients!A232</f>
        <v>725</v>
      </c>
      <c r="W224" s="161" t="str">
        <f>DayPatternCoefficients!B232</f>
        <v>D-MIXDEN</v>
      </c>
      <c r="X224" s="155">
        <f>DayPatternCoefficients!D232</f>
        <v>0</v>
      </c>
      <c r="Y224" s="176">
        <f si="122" t="shared"/>
        <v>0</v>
      </c>
      <c r="Z224" s="247">
        <f si="123" t="shared"/>
        <v>0</v>
      </c>
    </row>
    <row r="225" spans="22:26" x14ac:dyDescent="0.25">
      <c r="V225" s="161">
        <f>DayPatternCoefficients!A233</f>
        <v>726</v>
      </c>
      <c r="W225" s="161" t="str">
        <f>DayPatternCoefficients!B233</f>
        <v>D-INTDEN</v>
      </c>
      <c r="X225" s="155">
        <f>DayPatternCoefficients!D233</f>
        <v>0</v>
      </c>
      <c r="Y225" s="176">
        <f si="122" t="shared"/>
        <v>0</v>
      </c>
      <c r="Z225" s="247">
        <f si="123" t="shared"/>
        <v>0</v>
      </c>
    </row>
    <row r="226" spans="22:26" x14ac:dyDescent="0.25">
      <c r="V226" s="161">
        <f>DayPatternCoefficients!A234</f>
        <v>727</v>
      </c>
      <c r="W226" s="161" t="str">
        <f>DayPatternCoefficients!B234</f>
        <v>D-ACCLOG</v>
      </c>
      <c r="X226" s="155">
        <f>DayPatternCoefficients!D234</f>
        <v>0</v>
      </c>
      <c r="Y226" s="176">
        <f si="122" t="shared"/>
        <v>0</v>
      </c>
      <c r="Z226" s="247">
        <f si="123" t="shared"/>
        <v>0</v>
      </c>
    </row>
    <row r="227" spans="22:26" x14ac:dyDescent="0.25">
      <c r="V227" s="161">
        <f>DayPatternCoefficients!A235</f>
        <v>728</v>
      </c>
      <c r="W227" s="161" t="str">
        <f>DayPatternCoefficients!B235</f>
        <v>D-TPASS</v>
      </c>
      <c r="X227" s="155">
        <f>DayPatternCoefficients!D235</f>
        <v>0</v>
      </c>
      <c r="Y227" s="176">
        <f si="122" t="shared"/>
        <v>0</v>
      </c>
      <c r="Z227" s="247">
        <f si="123" t="shared"/>
        <v>0</v>
      </c>
    </row>
    <row r="228" spans="22:26" x14ac:dyDescent="0.25">
      <c r="V228" s="161">
        <f>DayPatternCoefficients!A236</f>
        <v>729</v>
      </c>
      <c r="W228" s="161" t="str">
        <f>DayPatternCoefficients!B236</f>
        <v>D-T-LOGS</v>
      </c>
      <c r="X228" s="155">
        <f>DayPatternCoefficients!D236</f>
        <v>2.299546198E-2</v>
      </c>
      <c r="Y228" s="176">
        <f si="122" t="shared"/>
        <v>2.299546198E-2</v>
      </c>
      <c r="Z228" s="247">
        <f si="123" t="shared"/>
        <v>0</v>
      </c>
    </row>
    <row r="229" spans="22:26" x14ac:dyDescent="0.25">
      <c r="V229" s="161">
        <f>DayPatternCoefficients!A237</f>
        <v>730</v>
      </c>
      <c r="W229" s="161" t="str">
        <f>DayPatternCoefficients!B237</f>
        <v>D-T-PPRK</v>
      </c>
      <c r="X229" s="155">
        <f>DayPatternCoefficients!D237</f>
        <v>0</v>
      </c>
      <c r="Y229" s="176">
        <f si="122" t="shared"/>
        <v>0</v>
      </c>
      <c r="Z229" s="247">
        <f si="123" t="shared"/>
        <v>0</v>
      </c>
    </row>
    <row r="230" spans="22:26" x14ac:dyDescent="0.25">
      <c r="V230" s="161">
        <f>DayPatternCoefficients!A238</f>
        <v>731</v>
      </c>
      <c r="W230" s="161" t="str">
        <f>DayPatternCoefficients!B238</f>
        <v>D-S-LOGS</v>
      </c>
      <c r="X230" s="155">
        <f>DayPatternCoefficients!D238</f>
        <v>-0.11198004113</v>
      </c>
      <c r="Y230" s="176">
        <f si="122" t="shared"/>
        <v>-0.11198004113</v>
      </c>
      <c r="Z230" s="247">
        <f si="123" t="shared"/>
        <v>0</v>
      </c>
    </row>
    <row r="231" spans="22:26" x14ac:dyDescent="0.25">
      <c r="V231" s="161">
        <f>DayPatternCoefficients!A239</f>
        <v>732</v>
      </c>
      <c r="W231" s="161" t="str">
        <f>DayPatternCoefficients!B239</f>
        <v>D-NODIAR</v>
      </c>
      <c r="X231" s="155">
        <f>DayPatternCoefficients!D239</f>
        <v>-0.68960917957000001</v>
      </c>
      <c r="Y231" s="176">
        <f si="122" t="shared"/>
        <v>-0.68960917957000001</v>
      </c>
      <c r="Z231" s="247">
        <f si="123" t="shared"/>
        <v>0</v>
      </c>
    </row>
    <row r="232" spans="22:26" x14ac:dyDescent="0.25">
      <c r="V232" s="161">
        <f>DayPatternCoefficients!A240</f>
        <v>733</v>
      </c>
      <c r="W232" s="161" t="str">
        <f>DayPatternCoefficients!B240</f>
        <v>D-PROXY</v>
      </c>
      <c r="X232" s="155">
        <f>DayPatternCoefficients!D240</f>
        <v>-0.11786941991</v>
      </c>
      <c r="Y232" s="176">
        <f si="122" t="shared"/>
        <v>-0.11786941991</v>
      </c>
      <c r="Z232" s="247">
        <f si="123" t="shared"/>
        <v>0</v>
      </c>
    </row>
    <row r="233" spans="22:26" x14ac:dyDescent="0.25">
      <c r="V233" s="161">
        <f>DayPatternCoefficients!A241</f>
        <v>751</v>
      </c>
      <c r="W233" s="161" t="str">
        <f>DayPatternCoefficients!B241</f>
        <v>D-FTW</v>
      </c>
      <c r="X233" s="155">
        <f>DayPatternCoefficients!D241</f>
        <v>-1.08724312621</v>
      </c>
      <c r="Y233" s="176">
        <f si="122" t="shared"/>
        <v>-1.08724312621</v>
      </c>
      <c r="Z233" s="247">
        <f si="123" t="shared"/>
        <v>0</v>
      </c>
    </row>
    <row r="234" spans="22:26" x14ac:dyDescent="0.25">
      <c r="V234" s="161">
        <f>DayPatternCoefficients!A242</f>
        <v>802</v>
      </c>
      <c r="W234" s="161" t="str">
        <f>DayPatternCoefficients!B242</f>
        <v>T-PTW</v>
      </c>
      <c r="X234" s="155">
        <f>DayPatternCoefficients!D242</f>
        <v>0.60977667497999999</v>
      </c>
      <c r="Y234" s="176">
        <f si="122" t="shared"/>
        <v>0.60977667497999999</v>
      </c>
      <c r="Z234" s="247">
        <f si="123" t="shared"/>
        <v>0</v>
      </c>
    </row>
    <row r="235" spans="22:26" x14ac:dyDescent="0.25">
      <c r="V235" s="161">
        <f>DayPatternCoefficients!A243</f>
        <v>803</v>
      </c>
      <c r="W235" s="161" t="str">
        <f>DayPatternCoefficients!B243</f>
        <v>T-RET</v>
      </c>
      <c r="X235" s="155">
        <f>DayPatternCoefficients!D243</f>
        <v>0.35295912634999999</v>
      </c>
      <c r="Y235" s="176">
        <f si="122" t="shared"/>
        <v>0.35295912634999999</v>
      </c>
      <c r="Z235" s="247">
        <f si="123" t="shared"/>
        <v>0</v>
      </c>
    </row>
    <row r="236" spans="22:26" x14ac:dyDescent="0.25">
      <c r="V236" s="161">
        <f>DayPatternCoefficients!A244</f>
        <v>804</v>
      </c>
      <c r="W236" s="161" t="str">
        <f>DayPatternCoefficients!B244</f>
        <v>T-NWA</v>
      </c>
      <c r="X236" s="155">
        <f>DayPatternCoefficients!D244</f>
        <v>0.20798756905999999</v>
      </c>
      <c r="Y236" s="176">
        <f si="122" t="shared"/>
        <v>0.20798756905999999</v>
      </c>
      <c r="Z236" s="247">
        <f si="123" t="shared"/>
        <v>0</v>
      </c>
    </row>
    <row r="237" spans="22:26" x14ac:dyDescent="0.25">
      <c r="V237" s="161">
        <f>DayPatternCoefficients!A245</f>
        <v>805</v>
      </c>
      <c r="W237" s="161" t="str">
        <f>DayPatternCoefficients!B245</f>
        <v>T-UNI</v>
      </c>
      <c r="X237" s="155">
        <f>DayPatternCoefficients!D245</f>
        <v>0.31535405351000001</v>
      </c>
      <c r="Y237" s="176">
        <f si="122" t="shared"/>
        <v>0.31535405351000001</v>
      </c>
      <c r="Z237" s="247">
        <f si="123" t="shared"/>
        <v>0</v>
      </c>
    </row>
    <row r="238" spans="22:26" x14ac:dyDescent="0.25">
      <c r="V238" s="161">
        <f>DayPatternCoefficients!A246</f>
        <v>806</v>
      </c>
      <c r="W238" s="161" t="str">
        <f>DayPatternCoefficients!B246</f>
        <v>T-DAS</v>
      </c>
      <c r="X238" s="155">
        <f>DayPatternCoefficients!D246</f>
        <v>0.98676165079</v>
      </c>
      <c r="Y238" s="176">
        <f si="122" t="shared"/>
        <v>0.98676165079</v>
      </c>
      <c r="Z238" s="247">
        <f si="123" t="shared"/>
        <v>0</v>
      </c>
    </row>
    <row r="239" spans="22:26" x14ac:dyDescent="0.25">
      <c r="V239" s="161">
        <f>DayPatternCoefficients!A247</f>
        <v>807</v>
      </c>
      <c r="W239" s="161" t="str">
        <f>DayPatternCoefficients!B247</f>
        <v>T-PAS</v>
      </c>
      <c r="X239" s="155">
        <f>DayPatternCoefficients!D247</f>
        <v>0.72867818651000005</v>
      </c>
      <c r="Y239" s="176">
        <f si="122" t="shared"/>
        <v>0.72867818651000005</v>
      </c>
      <c r="Z239" s="247">
        <f si="123" t="shared"/>
        <v>0</v>
      </c>
    </row>
    <row r="240" spans="22:26" x14ac:dyDescent="0.25">
      <c r="V240" s="161">
        <f>DayPatternCoefficients!A248</f>
        <v>808</v>
      </c>
      <c r="W240" s="161" t="str">
        <f>DayPatternCoefficients!B248</f>
        <v>T-CU5</v>
      </c>
      <c r="X240" s="155">
        <f>DayPatternCoefficients!D248</f>
        <v>0</v>
      </c>
      <c r="Y240" s="176">
        <f si="122" t="shared"/>
        <v>0</v>
      </c>
      <c r="Z240" s="247">
        <f si="123" t="shared"/>
        <v>0</v>
      </c>
    </row>
    <row r="241" spans="22:26" x14ac:dyDescent="0.25">
      <c r="V241" s="161">
        <f>DayPatternCoefficients!A249</f>
        <v>809</v>
      </c>
      <c r="W241" s="161" t="str">
        <f>DayPatternCoefficients!B249</f>
        <v>T-VLINC</v>
      </c>
      <c r="X241" s="155">
        <f>DayPatternCoefficients!D249</f>
        <v>0</v>
      </c>
      <c r="Y241" s="176">
        <f si="122" t="shared"/>
        <v>0</v>
      </c>
      <c r="Z241" s="247">
        <f si="123" t="shared"/>
        <v>0</v>
      </c>
    </row>
    <row r="242" spans="22:26" x14ac:dyDescent="0.25">
      <c r="V242" s="161">
        <f>DayPatternCoefficients!A250</f>
        <v>810</v>
      </c>
      <c r="W242" s="161" t="str">
        <f>DayPatternCoefficients!B250</f>
        <v>T-LOINC</v>
      </c>
      <c r="X242" s="155">
        <f>DayPatternCoefficients!D250</f>
        <v>0</v>
      </c>
      <c r="Y242" s="176">
        <f si="122" t="shared"/>
        <v>0</v>
      </c>
      <c r="Z242" s="247">
        <f si="123" t="shared"/>
        <v>0</v>
      </c>
    </row>
    <row r="243" spans="22:26" x14ac:dyDescent="0.25">
      <c r="V243" s="161">
        <f>DayPatternCoefficients!A251</f>
        <v>811</v>
      </c>
      <c r="W243" s="161" t="str">
        <f>DayPatternCoefficients!B251</f>
        <v>T-HIINC</v>
      </c>
      <c r="X243" s="155">
        <f>DayPatternCoefficients!D251</f>
        <v>0</v>
      </c>
      <c r="Y243" s="176">
        <f si="122" t="shared"/>
        <v>0</v>
      </c>
      <c r="Z243" s="247">
        <f si="123" t="shared"/>
        <v>0</v>
      </c>
    </row>
    <row r="244" spans="22:26" x14ac:dyDescent="0.25">
      <c r="V244" s="161">
        <f>DayPatternCoefficients!A252</f>
        <v>812</v>
      </c>
      <c r="W244" s="161" t="str">
        <f>DayPatternCoefficients!B252</f>
        <v>T-CARSPD</v>
      </c>
      <c r="X244" s="155">
        <f>DayPatternCoefficients!D252</f>
        <v>0</v>
      </c>
      <c r="Y244" s="176">
        <f si="122" t="shared"/>
        <v>0</v>
      </c>
      <c r="Z244" s="247">
        <f si="123" t="shared"/>
        <v>0</v>
      </c>
    </row>
    <row r="245" spans="22:26" x14ac:dyDescent="0.25">
      <c r="V245" s="161">
        <f>DayPatternCoefficients!A253</f>
        <v>813</v>
      </c>
      <c r="W245" s="161" t="str">
        <f>DayPatternCoefficients!B253</f>
        <v>T-ONLYAD</v>
      </c>
      <c r="X245" s="155">
        <f>DayPatternCoefficients!D253</f>
        <v>0</v>
      </c>
      <c r="Y245" s="176">
        <f si="122" t="shared"/>
        <v>0</v>
      </c>
      <c r="Z245" s="247">
        <f si="123" t="shared"/>
        <v>0</v>
      </c>
    </row>
    <row r="246" spans="22:26" x14ac:dyDescent="0.25">
      <c r="V246" s="161">
        <f>DayPatternCoefficients!A254</f>
        <v>814</v>
      </c>
      <c r="W246" s="161" t="str">
        <f>DayPatternCoefficients!B254</f>
        <v>T-ONLYWK</v>
      </c>
      <c r="X246" s="155">
        <f>DayPatternCoefficients!D254</f>
        <v>0</v>
      </c>
      <c r="Y246" s="176">
        <f si="122" t="shared"/>
        <v>0</v>
      </c>
      <c r="Z246" s="247">
        <f si="123" t="shared"/>
        <v>0</v>
      </c>
    </row>
    <row r="247" spans="22:26" x14ac:dyDescent="0.25">
      <c r="V247" s="161">
        <f>DayPatternCoefficients!A255</f>
        <v>816</v>
      </c>
      <c r="W247" s="161" t="str">
        <f>DayPatternCoefficients!B255</f>
        <v>T-FEMNOC</v>
      </c>
      <c r="X247" s="155">
        <f>DayPatternCoefficients!D255</f>
        <v>-0.18079951418000001</v>
      </c>
      <c r="Y247" s="176">
        <f si="122" t="shared"/>
        <v>-0.18079951418000001</v>
      </c>
      <c r="Z247" s="247">
        <f si="123" t="shared"/>
        <v>0</v>
      </c>
    </row>
    <row r="248" spans="22:26" x14ac:dyDescent="0.25">
      <c r="V248" s="161">
        <f>DayPatternCoefficients!A256</f>
        <v>817</v>
      </c>
      <c r="W248" s="161" t="str">
        <f>DayPatternCoefficients!B256</f>
        <v>T-FADCU5</v>
      </c>
      <c r="X248" s="155">
        <f>DayPatternCoefficients!D256</f>
        <v>-0.81715753822000003</v>
      </c>
      <c r="Y248" s="176">
        <f si="122" t="shared"/>
        <v>-0.81715753822000003</v>
      </c>
      <c r="Z248" s="247">
        <f si="123" t="shared"/>
        <v>0</v>
      </c>
    </row>
    <row r="249" spans="22:26" x14ac:dyDescent="0.25">
      <c r="V249" s="161">
        <f>DayPatternCoefficients!A257</f>
        <v>818</v>
      </c>
      <c r="W249" s="161" t="str">
        <f>DayPatternCoefficients!B257</f>
        <v>T-FAD515</v>
      </c>
      <c r="X249" s="155">
        <f>DayPatternCoefficients!D257</f>
        <v>0.67896564696999995</v>
      </c>
      <c r="Y249" s="176">
        <f si="122" t="shared"/>
        <v>0.67896564696999995</v>
      </c>
      <c r="Z249" s="247">
        <f si="123" t="shared"/>
        <v>0</v>
      </c>
    </row>
    <row r="250" spans="22:26" x14ac:dyDescent="0.25">
      <c r="V250" s="161">
        <f>DayPatternCoefficients!A258</f>
        <v>819</v>
      </c>
      <c r="W250" s="161" t="str">
        <f>DayPatternCoefficients!B258</f>
        <v>T-MADCU5</v>
      </c>
      <c r="X250" s="155">
        <f>DayPatternCoefficients!D258</f>
        <v>-0.30146391228000002</v>
      </c>
      <c r="Y250" s="176">
        <f si="122" t="shared"/>
        <v>-0.30146391228000002</v>
      </c>
      <c r="Z250" s="247">
        <f si="123" t="shared"/>
        <v>0</v>
      </c>
    </row>
    <row r="251" spans="22:26" x14ac:dyDescent="0.25">
      <c r="V251" s="161">
        <f>DayPatternCoefficients!A259</f>
        <v>820</v>
      </c>
      <c r="W251" s="161" t="str">
        <f>DayPatternCoefficients!B259</f>
        <v>T-MAD515</v>
      </c>
      <c r="X251" s="155">
        <f>DayPatternCoefficients!D259</f>
        <v>0.59568631491000001</v>
      </c>
      <c r="Y251" s="176">
        <f si="122" t="shared"/>
        <v>0.59568631491000001</v>
      </c>
      <c r="Z251" s="247">
        <f si="123" t="shared"/>
        <v>0</v>
      </c>
    </row>
    <row r="252" spans="22:26" x14ac:dyDescent="0.25">
      <c r="V252" s="161">
        <f>DayPatternCoefficients!A260</f>
        <v>821</v>
      </c>
      <c r="W252" s="161" t="str">
        <f>DayPatternCoefficients!B260</f>
        <v>T-AG1825</v>
      </c>
      <c r="X252" s="155">
        <f>DayPatternCoefficients!D260</f>
        <v>0.48251789562000003</v>
      </c>
      <c r="Y252" s="176">
        <f si="122" t="shared"/>
        <v>0.48251789562000003</v>
      </c>
      <c r="Z252" s="247">
        <f si="123" t="shared"/>
        <v>0</v>
      </c>
    </row>
    <row r="253" spans="22:26" x14ac:dyDescent="0.25">
      <c r="V253" s="161">
        <f>DayPatternCoefficients!A261</f>
        <v>822</v>
      </c>
      <c r="W253" s="161" t="str">
        <f>DayPatternCoefficients!B261</f>
        <v>T-AG2635</v>
      </c>
      <c r="X253" s="155">
        <f>DayPatternCoefficients!D261</f>
        <v>0</v>
      </c>
      <c r="Y253" s="176">
        <f si="122" t="shared"/>
        <v>0</v>
      </c>
      <c r="Z253" s="247">
        <f si="123" t="shared"/>
        <v>0</v>
      </c>
    </row>
    <row r="254" spans="22:26" x14ac:dyDescent="0.25">
      <c r="V254" s="161">
        <f>DayPatternCoefficients!A262</f>
        <v>823</v>
      </c>
      <c r="W254" s="161" t="str">
        <f>DayPatternCoefficients!B262</f>
        <v>T-AG5165</v>
      </c>
      <c r="X254" s="155">
        <f>DayPatternCoefficients!D262</f>
        <v>0</v>
      </c>
      <c r="Y254" s="176">
        <f si="122" t="shared"/>
        <v>0</v>
      </c>
      <c r="Z254" s="247">
        <f si="123" t="shared"/>
        <v>0</v>
      </c>
    </row>
    <row r="255" spans="22:26" x14ac:dyDescent="0.25">
      <c r="V255" s="161">
        <f>DayPatternCoefficients!A263</f>
        <v>824</v>
      </c>
      <c r="W255" s="161" t="str">
        <f>DayPatternCoefficients!B263</f>
        <v>T-WAHOME</v>
      </c>
      <c r="X255" s="155">
        <f>DayPatternCoefficients!D263</f>
        <v>0.57205792138</v>
      </c>
      <c r="Y255" s="176">
        <f si="122" t="shared"/>
        <v>0.57205792138</v>
      </c>
      <c r="Z255" s="247">
        <f si="123" t="shared"/>
        <v>0</v>
      </c>
    </row>
    <row r="256" spans="22:26" x14ac:dyDescent="0.25">
      <c r="V256" s="161">
        <f>DayPatternCoefficients!A264</f>
        <v>825</v>
      </c>
      <c r="W256" s="161" t="str">
        <f>DayPatternCoefficients!B264</f>
        <v>T-MIXDEN</v>
      </c>
      <c r="X256" s="155">
        <f>DayPatternCoefficients!D264</f>
        <v>0</v>
      </c>
      <c r="Y256" s="176">
        <f si="122" t="shared"/>
        <v>0</v>
      </c>
      <c r="Z256" s="247">
        <f si="123" t="shared"/>
        <v>0</v>
      </c>
    </row>
    <row r="257" spans="22:26" x14ac:dyDescent="0.25">
      <c r="V257" s="161">
        <f>DayPatternCoefficients!A265</f>
        <v>826</v>
      </c>
      <c r="W257" s="161" t="str">
        <f>DayPatternCoefficients!B265</f>
        <v>T-INTDEN</v>
      </c>
      <c r="X257" s="155">
        <f>DayPatternCoefficients!D265</f>
        <v>1.5230910899999999E-3</v>
      </c>
      <c r="Y257" s="176">
        <f si="122" t="shared"/>
        <v>1.5230910899999999E-3</v>
      </c>
      <c r="Z257" s="247">
        <f si="123" t="shared"/>
        <v>0</v>
      </c>
    </row>
    <row r="258" spans="22:26" x14ac:dyDescent="0.25">
      <c r="V258" s="161">
        <f>DayPatternCoefficients!A266</f>
        <v>827</v>
      </c>
      <c r="W258" s="161" t="str">
        <f>DayPatternCoefficients!B266</f>
        <v>T-ACCLOG</v>
      </c>
      <c r="X258" s="155">
        <f>DayPatternCoefficients!D266</f>
        <v>1.926247926E-2</v>
      </c>
      <c r="Y258" s="176">
        <f si="122" t="shared"/>
        <v>1.926247926E-2</v>
      </c>
      <c r="Z258" s="247">
        <f si="123" t="shared"/>
        <v>0</v>
      </c>
    </row>
    <row r="259" spans="22:26" x14ac:dyDescent="0.25">
      <c r="V259" s="161">
        <f>DayPatternCoefficients!A267</f>
        <v>828</v>
      </c>
      <c r="W259" s="161" t="str">
        <f>DayPatternCoefficients!B267</f>
        <v>T-WISLOG</v>
      </c>
      <c r="X259" s="155">
        <f>DayPatternCoefficients!D267</f>
        <v>0</v>
      </c>
      <c r="Y259" s="176">
        <f si="122" t="shared"/>
        <v>0</v>
      </c>
      <c r="Z259" s="247">
        <f si="123" t="shared"/>
        <v>0</v>
      </c>
    </row>
    <row r="260" spans="22:26" x14ac:dyDescent="0.25">
      <c r="V260" s="161">
        <f>DayPatternCoefficients!A268</f>
        <v>851</v>
      </c>
      <c r="W260" s="161" t="str">
        <f>DayPatternCoefficients!B268</f>
        <v>T-FTW</v>
      </c>
      <c r="X260" s="155">
        <f>DayPatternCoefficients!D268</f>
        <v>0</v>
      </c>
      <c r="Y260" s="176">
        <f ref="Y260:Y323" si="130" t="shared">_xlfn.IFNA(VLOOKUP(V260,$L$63:$N$105,3,FALSE),_xlfn.IFNA(VLOOKUP(V260,$H$5:$L$11,5,FALSE),_xlfn.IFNA(VLOOKUP(V260,$J$33:$N$39,5,FALSE),X260)))</f>
        <v>0</v>
      </c>
      <c r="Z260" s="247">
        <f ref="Z260:Z323" si="131" t="shared">IF(X260=Y260,0,1)</f>
        <v>0</v>
      </c>
    </row>
    <row r="261" spans="22:26" x14ac:dyDescent="0.25">
      <c r="V261" s="161">
        <f>DayPatternCoefficients!A269</f>
        <v>902</v>
      </c>
      <c r="W261" s="161" t="str">
        <f>DayPatternCoefficients!B269</f>
        <v>I-PTW</v>
      </c>
      <c r="X261" s="155">
        <f>DayPatternCoefficients!D269</f>
        <v>0</v>
      </c>
      <c r="Y261" s="176">
        <f si="130" t="shared"/>
        <v>0</v>
      </c>
      <c r="Z261" s="247">
        <f si="131" t="shared"/>
        <v>0</v>
      </c>
    </row>
    <row r="262" spans="22:26" x14ac:dyDescent="0.25">
      <c r="V262" s="161">
        <f>DayPatternCoefficients!A270</f>
        <v>903</v>
      </c>
      <c r="W262" s="161" t="str">
        <f>DayPatternCoefficients!B270</f>
        <v>I-RET</v>
      </c>
      <c r="X262" s="155">
        <f>DayPatternCoefficients!D270</f>
        <v>0</v>
      </c>
      <c r="Y262" s="176">
        <f si="130" t="shared"/>
        <v>0</v>
      </c>
      <c r="Z262" s="247">
        <f si="131" t="shared"/>
        <v>0</v>
      </c>
    </row>
    <row r="263" spans="22:26" x14ac:dyDescent="0.25">
      <c r="V263" s="161">
        <f>DayPatternCoefficients!A271</f>
        <v>904</v>
      </c>
      <c r="W263" s="161" t="str">
        <f>DayPatternCoefficients!B271</f>
        <v>I-NWA</v>
      </c>
      <c r="X263" s="155">
        <f>DayPatternCoefficients!D271</f>
        <v>7.1217396059999993E-2</v>
      </c>
      <c r="Y263" s="176">
        <f si="130" t="shared"/>
        <v>7.1217396059999993E-2</v>
      </c>
      <c r="Z263" s="247">
        <f si="131" t="shared"/>
        <v>0</v>
      </c>
    </row>
    <row r="264" spans="22:26" x14ac:dyDescent="0.25">
      <c r="V264" s="161">
        <f>DayPatternCoefficients!A272</f>
        <v>905</v>
      </c>
      <c r="W264" s="161" t="str">
        <f>DayPatternCoefficients!B272</f>
        <v>I-UNI</v>
      </c>
      <c r="X264" s="155">
        <f>DayPatternCoefficients!D272</f>
        <v>0</v>
      </c>
      <c r="Y264" s="176">
        <f si="130" t="shared"/>
        <v>0</v>
      </c>
      <c r="Z264" s="247">
        <f si="131" t="shared"/>
        <v>0</v>
      </c>
    </row>
    <row r="265" spans="22:26" x14ac:dyDescent="0.25">
      <c r="V265" s="161">
        <f>DayPatternCoefficients!A273</f>
        <v>906</v>
      </c>
      <c r="W265" s="161" t="str">
        <f>DayPatternCoefficients!B273</f>
        <v>I-DAS</v>
      </c>
      <c r="X265" s="155">
        <f>DayPatternCoefficients!D273</f>
        <v>0.96179941879999997</v>
      </c>
      <c r="Y265" s="176">
        <f si="130" t="shared"/>
        <v>0.96179941879999997</v>
      </c>
      <c r="Z265" s="247">
        <f si="131" t="shared"/>
        <v>0</v>
      </c>
    </row>
    <row r="266" spans="22:26" x14ac:dyDescent="0.25">
      <c r="V266" s="161">
        <f>DayPatternCoefficients!A274</f>
        <v>907</v>
      </c>
      <c r="W266" s="161" t="str">
        <f>DayPatternCoefficients!B274</f>
        <v>I-PAS</v>
      </c>
      <c r="X266" s="155">
        <f>DayPatternCoefficients!D274</f>
        <v>0.24396724398</v>
      </c>
      <c r="Y266" s="176">
        <f si="130" t="shared"/>
        <v>0.24396724398</v>
      </c>
      <c r="Z266" s="247">
        <f si="131" t="shared"/>
        <v>0</v>
      </c>
    </row>
    <row r="267" spans="22:26" x14ac:dyDescent="0.25">
      <c r="V267" s="161">
        <f>DayPatternCoefficients!A275</f>
        <v>908</v>
      </c>
      <c r="W267" s="161" t="str">
        <f>DayPatternCoefficients!B275</f>
        <v>I-CU5</v>
      </c>
      <c r="X267" s="155">
        <f>DayPatternCoefficients!D275</f>
        <v>0</v>
      </c>
      <c r="Y267" s="176">
        <f si="130" t="shared"/>
        <v>0</v>
      </c>
      <c r="Z267" s="247">
        <f si="131" t="shared"/>
        <v>0</v>
      </c>
    </row>
    <row r="268" spans="22:26" x14ac:dyDescent="0.25">
      <c r="V268" s="161">
        <f>DayPatternCoefficients!A276</f>
        <v>909</v>
      </c>
      <c r="W268" s="161" t="str">
        <f>DayPatternCoefficients!B276</f>
        <v>I-VLINC</v>
      </c>
      <c r="X268" s="155">
        <f>DayPatternCoefficients!D276</f>
        <v>0</v>
      </c>
      <c r="Y268" s="176">
        <f si="130" t="shared"/>
        <v>0</v>
      </c>
      <c r="Z268" s="247">
        <f si="131" t="shared"/>
        <v>0</v>
      </c>
    </row>
    <row r="269" spans="22:26" x14ac:dyDescent="0.25">
      <c r="V269" s="161">
        <f>DayPatternCoefficients!A277</f>
        <v>910</v>
      </c>
      <c r="W269" s="161" t="str">
        <f>DayPatternCoefficients!B277</f>
        <v>I-LOINC</v>
      </c>
      <c r="X269" s="155">
        <f>DayPatternCoefficients!D277</f>
        <v>0</v>
      </c>
      <c r="Y269" s="176">
        <f si="130" t="shared"/>
        <v>0</v>
      </c>
      <c r="Z269" s="247">
        <f si="131" t="shared"/>
        <v>0</v>
      </c>
    </row>
    <row r="270" spans="22:26" x14ac:dyDescent="0.25">
      <c r="V270" s="161">
        <f>DayPatternCoefficients!A278</f>
        <v>911</v>
      </c>
      <c r="W270" s="161" t="str">
        <f>DayPatternCoefficients!B278</f>
        <v>I-HIINC</v>
      </c>
      <c r="X270" s="155">
        <f>DayPatternCoefficients!D278</f>
        <v>0</v>
      </c>
      <c r="Y270" s="176">
        <f si="130" t="shared"/>
        <v>0</v>
      </c>
      <c r="Z270" s="247">
        <f si="131" t="shared"/>
        <v>0</v>
      </c>
    </row>
    <row r="271" spans="22:26" x14ac:dyDescent="0.25">
      <c r="V271" s="161">
        <f>DayPatternCoefficients!A279</f>
        <v>912</v>
      </c>
      <c r="W271" s="161" t="str">
        <f>DayPatternCoefficients!B279</f>
        <v>I-CARSPD</v>
      </c>
      <c r="X271" s="155">
        <f>DayPatternCoefficients!D279</f>
        <v>0</v>
      </c>
      <c r="Y271" s="176">
        <f si="130" t="shared"/>
        <v>0</v>
      </c>
      <c r="Z271" s="247">
        <f si="131" t="shared"/>
        <v>0</v>
      </c>
    </row>
    <row r="272" spans="22:26" x14ac:dyDescent="0.25">
      <c r="V272" s="161">
        <f>DayPatternCoefficients!A280</f>
        <v>913</v>
      </c>
      <c r="W272" s="161" t="str">
        <f>DayPatternCoefficients!B280</f>
        <v>I-ONLYAD</v>
      </c>
      <c r="X272" s="155">
        <f>DayPatternCoefficients!D280</f>
        <v>0</v>
      </c>
      <c r="Y272" s="176">
        <f si="130" t="shared"/>
        <v>0</v>
      </c>
      <c r="Z272" s="247">
        <f si="131" t="shared"/>
        <v>0</v>
      </c>
    </row>
    <row r="273" spans="22:26" x14ac:dyDescent="0.25">
      <c r="V273" s="161">
        <f>DayPatternCoefficients!A281</f>
        <v>914</v>
      </c>
      <c r="W273" s="161" t="str">
        <f>DayPatternCoefficients!B281</f>
        <v>I-ONLYWK</v>
      </c>
      <c r="X273" s="155">
        <f>DayPatternCoefficients!D281</f>
        <v>0</v>
      </c>
      <c r="Y273" s="176">
        <f si="130" t="shared"/>
        <v>0</v>
      </c>
      <c r="Z273" s="247">
        <f si="131" t="shared"/>
        <v>0</v>
      </c>
    </row>
    <row r="274" spans="22:26" x14ac:dyDescent="0.25">
      <c r="V274" s="161">
        <f>DayPatternCoefficients!A282</f>
        <v>916</v>
      </c>
      <c r="W274" s="161" t="str">
        <f>DayPatternCoefficients!B282</f>
        <v>I-FEMNOC</v>
      </c>
      <c r="X274" s="155">
        <f>DayPatternCoefficients!D282</f>
        <v>0</v>
      </c>
      <c r="Y274" s="176">
        <f si="130" t="shared"/>
        <v>0</v>
      </c>
      <c r="Z274" s="247">
        <f si="131" t="shared"/>
        <v>0</v>
      </c>
    </row>
    <row r="275" spans="22:26" x14ac:dyDescent="0.25">
      <c r="V275" s="161">
        <f>DayPatternCoefficients!A283</f>
        <v>917</v>
      </c>
      <c r="W275" s="161" t="str">
        <f>DayPatternCoefficients!B283</f>
        <v>I-FADCU5</v>
      </c>
      <c r="X275" s="155">
        <f>DayPatternCoefficients!D283</f>
        <v>0</v>
      </c>
      <c r="Y275" s="176">
        <f si="130" t="shared"/>
        <v>0</v>
      </c>
      <c r="Z275" s="247">
        <f si="131" t="shared"/>
        <v>0</v>
      </c>
    </row>
    <row r="276" spans="22:26" x14ac:dyDescent="0.25">
      <c r="V276" s="161">
        <f>DayPatternCoefficients!A284</f>
        <v>918</v>
      </c>
      <c r="W276" s="161" t="str">
        <f>DayPatternCoefficients!B284</f>
        <v>I-FAD515</v>
      </c>
      <c r="X276" s="155">
        <f>DayPatternCoefficients!D284</f>
        <v>0</v>
      </c>
      <c r="Y276" s="176">
        <f si="130" t="shared"/>
        <v>0</v>
      </c>
      <c r="Z276" s="247">
        <f si="131" t="shared"/>
        <v>0</v>
      </c>
    </row>
    <row r="277" spans="22:26" x14ac:dyDescent="0.25">
      <c r="V277" s="161">
        <f>DayPatternCoefficients!A285</f>
        <v>919</v>
      </c>
      <c r="W277" s="161" t="str">
        <f>DayPatternCoefficients!B285</f>
        <v>I-MADCU5</v>
      </c>
      <c r="X277" s="155">
        <f>DayPatternCoefficients!D285</f>
        <v>0</v>
      </c>
      <c r="Y277" s="176">
        <f si="130" t="shared"/>
        <v>0</v>
      </c>
      <c r="Z277" s="247">
        <f si="131" t="shared"/>
        <v>0</v>
      </c>
    </row>
    <row r="278" spans="22:26" x14ac:dyDescent="0.25">
      <c r="V278" s="161">
        <f>DayPatternCoefficients!A286</f>
        <v>920</v>
      </c>
      <c r="W278" s="161" t="str">
        <f>DayPatternCoefficients!B286</f>
        <v>I-MAD515</v>
      </c>
      <c r="X278" s="155">
        <f>DayPatternCoefficients!D286</f>
        <v>0</v>
      </c>
      <c r="Y278" s="176">
        <f si="130" t="shared"/>
        <v>0</v>
      </c>
      <c r="Z278" s="247">
        <f si="131" t="shared"/>
        <v>0</v>
      </c>
    </row>
    <row r="279" spans="22:26" x14ac:dyDescent="0.25">
      <c r="V279" s="161">
        <f>DayPatternCoefficients!A287</f>
        <v>921</v>
      </c>
      <c r="W279" s="161" t="str">
        <f>DayPatternCoefficients!B287</f>
        <v>I-AG1825</v>
      </c>
      <c r="X279" s="155">
        <f>DayPatternCoefficients!D287</f>
        <v>0</v>
      </c>
      <c r="Y279" s="176">
        <f si="130" t="shared"/>
        <v>0</v>
      </c>
      <c r="Z279" s="247">
        <f si="131" t="shared"/>
        <v>0</v>
      </c>
    </row>
    <row r="280" spans="22:26" x14ac:dyDescent="0.25">
      <c r="V280" s="161">
        <f>DayPatternCoefficients!A288</f>
        <v>922</v>
      </c>
      <c r="W280" s="161" t="str">
        <f>DayPatternCoefficients!B288</f>
        <v>I-AG2635</v>
      </c>
      <c r="X280" s="155">
        <f>DayPatternCoefficients!D288</f>
        <v>0</v>
      </c>
      <c r="Y280" s="176">
        <f si="130" t="shared"/>
        <v>0</v>
      </c>
      <c r="Z280" s="247">
        <f si="131" t="shared"/>
        <v>0</v>
      </c>
    </row>
    <row r="281" spans="22:26" x14ac:dyDescent="0.25">
      <c r="V281" s="161">
        <f>DayPatternCoefficients!A289</f>
        <v>923</v>
      </c>
      <c r="W281" s="161" t="str">
        <f>DayPatternCoefficients!B289</f>
        <v>I-AG5165</v>
      </c>
      <c r="X281" s="155">
        <f>DayPatternCoefficients!D289</f>
        <v>0</v>
      </c>
      <c r="Y281" s="176">
        <f si="130" t="shared"/>
        <v>0</v>
      </c>
      <c r="Z281" s="247">
        <f si="131" t="shared"/>
        <v>0</v>
      </c>
    </row>
    <row r="282" spans="22:26" x14ac:dyDescent="0.25">
      <c r="V282" s="161">
        <f>DayPatternCoefficients!A290</f>
        <v>924</v>
      </c>
      <c r="W282" s="161" t="str">
        <f>DayPatternCoefficients!B290</f>
        <v>I-WAHOME</v>
      </c>
      <c r="X282" s="155">
        <f>DayPatternCoefficients!D290</f>
        <v>0.29114282556999999</v>
      </c>
      <c r="Y282" s="176">
        <f si="130" t="shared"/>
        <v>0.29114282556999999</v>
      </c>
      <c r="Z282" s="247">
        <f si="131" t="shared"/>
        <v>0</v>
      </c>
    </row>
    <row r="283" spans="22:26" x14ac:dyDescent="0.25">
      <c r="V283" s="161">
        <f>DayPatternCoefficients!A291</f>
        <v>925</v>
      </c>
      <c r="W283" s="161" t="str">
        <f>DayPatternCoefficients!B291</f>
        <v>I-MIXDEN</v>
      </c>
      <c r="X283" s="155">
        <f>DayPatternCoefficients!D291</f>
        <v>0</v>
      </c>
      <c r="Y283" s="176">
        <f si="130" t="shared"/>
        <v>0</v>
      </c>
      <c r="Z283" s="247">
        <f si="131" t="shared"/>
        <v>0</v>
      </c>
    </row>
    <row r="284" spans="22:26" x14ac:dyDescent="0.25">
      <c r="V284" s="161">
        <f>DayPatternCoefficients!A292</f>
        <v>926</v>
      </c>
      <c r="W284" s="161" t="str">
        <f>DayPatternCoefficients!B292</f>
        <v>I-INTDEN</v>
      </c>
      <c r="X284" s="155">
        <f>DayPatternCoefficients!D292</f>
        <v>0</v>
      </c>
      <c r="Y284" s="176">
        <f si="130" t="shared"/>
        <v>0</v>
      </c>
      <c r="Z284" s="247">
        <f si="131" t="shared"/>
        <v>0</v>
      </c>
    </row>
    <row r="285" spans="22:26" x14ac:dyDescent="0.25">
      <c r="V285" s="161">
        <f>DayPatternCoefficients!A293</f>
        <v>927</v>
      </c>
      <c r="W285" s="161" t="str">
        <f>DayPatternCoefficients!B293</f>
        <v>I-ACCLOG</v>
      </c>
      <c r="X285" s="155">
        <f>DayPatternCoefficients!D293</f>
        <v>0</v>
      </c>
      <c r="Y285" s="176">
        <f si="130" t="shared"/>
        <v>0</v>
      </c>
      <c r="Z285" s="247">
        <f si="131" t="shared"/>
        <v>0</v>
      </c>
    </row>
    <row r="286" spans="22:26" x14ac:dyDescent="0.25">
      <c r="V286" s="161">
        <f>DayPatternCoefficients!A294</f>
        <v>928</v>
      </c>
      <c r="W286" s="161" t="str">
        <f>DayPatternCoefficients!B294</f>
        <v>I-WISLOG</v>
      </c>
      <c r="X286" s="155">
        <f>DayPatternCoefficients!D294</f>
        <v>0</v>
      </c>
      <c r="Y286" s="176">
        <f si="130" t="shared"/>
        <v>0</v>
      </c>
      <c r="Z286" s="247">
        <f si="131" t="shared"/>
        <v>0</v>
      </c>
    </row>
    <row r="287" spans="22:26" x14ac:dyDescent="0.25">
      <c r="V287" s="161">
        <f>DayPatternCoefficients!A295</f>
        <v>951</v>
      </c>
      <c r="W287" s="161" t="str">
        <f>DayPatternCoefficients!B295</f>
        <v>I-FTW</v>
      </c>
      <c r="X287" s="155">
        <f>DayPatternCoefficients!D295</f>
        <v>0</v>
      </c>
      <c r="Y287" s="176">
        <f si="130" t="shared"/>
        <v>0</v>
      </c>
      <c r="Z287" s="247">
        <f si="131" t="shared"/>
        <v>0</v>
      </c>
    </row>
    <row r="288" spans="22:26" x14ac:dyDescent="0.25">
      <c r="V288" s="161">
        <f>DayPatternCoefficients!A296</f>
        <v>1010</v>
      </c>
      <c r="W288" s="161" t="str">
        <f>DayPatternCoefficients!B296</f>
        <v>TW/S-LS</v>
      </c>
      <c r="X288" s="155">
        <f>DayPatternCoefficients!D296</f>
        <v>0.45786643087000001</v>
      </c>
      <c r="Y288" s="176">
        <f si="130" t="shared"/>
        <v>0.45786643087000001</v>
      </c>
      <c r="Z288" s="247">
        <f si="131" t="shared"/>
        <v>0</v>
      </c>
    </row>
    <row r="289" spans="22:26" x14ac:dyDescent="0.25">
      <c r="V289" s="161">
        <f>DayPatternCoefficients!A297</f>
        <v>1011</v>
      </c>
      <c r="W289" s="161" t="str">
        <f>DayPatternCoefficients!B297</f>
        <v>T/S-W/W</v>
      </c>
      <c r="X289" s="155">
        <f>DayPatternCoefficients!D297</f>
        <v>-1.89314616394</v>
      </c>
      <c r="Y289" s="176">
        <f si="130" t="shared"/>
        <v>-1.89314616394</v>
      </c>
      <c r="Z289" s="247">
        <f si="131" t="shared"/>
        <v>0</v>
      </c>
    </row>
    <row r="290" spans="22:26" x14ac:dyDescent="0.25">
      <c r="V290" s="161">
        <f>DayPatternCoefficients!A298</f>
        <v>1012</v>
      </c>
      <c r="W290" s="161" t="str">
        <f>DayPatternCoefficients!B298</f>
        <v>T/S-W/S</v>
      </c>
      <c r="X290" s="155">
        <f>DayPatternCoefficients!D298</f>
        <v>0.18030694579000001</v>
      </c>
      <c r="Y290" s="176">
        <f si="130" t="shared"/>
        <v>0.18030694579000001</v>
      </c>
      <c r="Z290" s="247">
        <f si="131" t="shared"/>
        <v>0</v>
      </c>
    </row>
    <row r="291" spans="22:26" x14ac:dyDescent="0.25">
      <c r="V291" s="161">
        <f>DayPatternCoefficients!A299</f>
        <v>1013</v>
      </c>
      <c r="W291" s="161" t="str">
        <f>DayPatternCoefficients!B299</f>
        <v>T/S-W/E</v>
      </c>
      <c r="X291" s="155">
        <f>DayPatternCoefficients!D299</f>
        <v>1.0017474184599999</v>
      </c>
      <c r="Y291" s="176">
        <f si="130" t="shared"/>
        <v>1.0017474184599999</v>
      </c>
      <c r="Z291" s="247">
        <f si="131" t="shared"/>
        <v>0</v>
      </c>
    </row>
    <row r="292" spans="22:26" x14ac:dyDescent="0.25">
      <c r="V292" s="161">
        <f>DayPatternCoefficients!A300</f>
        <v>1014</v>
      </c>
      <c r="W292" s="161" t="str">
        <f>DayPatternCoefficients!B300</f>
        <v>T/S-W/P</v>
      </c>
      <c r="X292" s="155">
        <f>DayPatternCoefficients!D300</f>
        <v>-0.28287807831</v>
      </c>
      <c r="Y292" s="176">
        <f si="130" t="shared"/>
        <v>-0.28287807831</v>
      </c>
      <c r="Z292" s="247">
        <f si="131" t="shared"/>
        <v>0</v>
      </c>
    </row>
    <row r="293" spans="22:26" x14ac:dyDescent="0.25">
      <c r="V293" s="161">
        <f>DayPatternCoefficients!A301</f>
        <v>1015</v>
      </c>
      <c r="W293" s="161" t="str">
        <f>DayPatternCoefficients!B301</f>
        <v>T/S-W/H</v>
      </c>
      <c r="X293" s="155">
        <f>DayPatternCoefficients!D301</f>
        <v>-0.19412767935</v>
      </c>
      <c r="Y293" s="176">
        <f si="130" t="shared"/>
        <v>-0.19412767935</v>
      </c>
      <c r="Z293" s="247">
        <f si="131" t="shared"/>
        <v>0</v>
      </c>
    </row>
    <row r="294" spans="22:26" x14ac:dyDescent="0.25">
      <c r="V294" s="161">
        <f>DayPatternCoefficients!A302</f>
        <v>1016</v>
      </c>
      <c r="W294" s="161" t="str">
        <f>DayPatternCoefficients!B302</f>
        <v>T/S-W/M</v>
      </c>
      <c r="X294" s="155">
        <f>DayPatternCoefficients!D302</f>
        <v>0.46459217164</v>
      </c>
      <c r="Y294" s="176">
        <f si="130" t="shared"/>
        <v>0.46459217164</v>
      </c>
      <c r="Z294" s="247">
        <f si="131" t="shared"/>
        <v>0</v>
      </c>
    </row>
    <row r="295" spans="22:26" x14ac:dyDescent="0.25">
      <c r="V295" s="161">
        <f>DayPatternCoefficients!A303</f>
        <v>1018</v>
      </c>
      <c r="W295" s="161" t="str">
        <f>DayPatternCoefficients!B303</f>
        <v>TW/S-HLS</v>
      </c>
      <c r="X295" s="155">
        <f>DayPatternCoefficients!D303</f>
        <v>-1.3899299449999999E-2</v>
      </c>
      <c r="Y295" s="176">
        <f si="130" t="shared"/>
        <v>-1.3899299449999999E-2</v>
      </c>
      <c r="Z295" s="247">
        <f si="131" t="shared"/>
        <v>0</v>
      </c>
    </row>
    <row r="296" spans="22:26" x14ac:dyDescent="0.25">
      <c r="V296" s="161">
        <f>DayPatternCoefficients!A304</f>
        <v>1019</v>
      </c>
      <c r="W296" s="161" t="str">
        <f>DayPatternCoefficients!B304</f>
        <v>TW/S-WLS</v>
      </c>
      <c r="X296" s="155">
        <f>DayPatternCoefficients!D304</f>
        <v>-2.669063524E-2</v>
      </c>
      <c r="Y296" s="176">
        <f si="130" t="shared"/>
        <v>-2.669063524E-2</v>
      </c>
      <c r="Z296" s="247">
        <f si="131" t="shared"/>
        <v>0</v>
      </c>
    </row>
    <row r="297" spans="22:26" x14ac:dyDescent="0.25">
      <c r="V297" s="161">
        <f>DayPatternCoefficients!A305</f>
        <v>1020</v>
      </c>
      <c r="W297" s="161" t="str">
        <f>DayPatternCoefficients!B305</f>
        <v>TS/S-LS</v>
      </c>
      <c r="X297" s="155">
        <f>DayPatternCoefficients!D305</f>
        <v>0.95021951402000004</v>
      </c>
      <c r="Y297" s="176">
        <f si="130" t="shared"/>
        <v>0.95021951402000004</v>
      </c>
      <c r="Z297" s="247">
        <f si="131" t="shared"/>
        <v>0</v>
      </c>
    </row>
    <row r="298" spans="22:26" x14ac:dyDescent="0.25">
      <c r="V298" s="161">
        <f>DayPatternCoefficients!A306</f>
        <v>1021</v>
      </c>
      <c r="W298" s="161" t="str">
        <f>DayPatternCoefficients!B306</f>
        <v>T/S-S/W</v>
      </c>
      <c r="X298" s="155">
        <f>DayPatternCoefficients!D306</f>
        <v>4.6119139490000002E-2</v>
      </c>
      <c r="Y298" s="176">
        <f si="130" t="shared"/>
        <v>4.6119139490000002E-2</v>
      </c>
      <c r="Z298" s="247">
        <f si="131" t="shared"/>
        <v>0</v>
      </c>
    </row>
    <row r="299" spans="22:26" x14ac:dyDescent="0.25">
      <c r="V299" s="161">
        <f>DayPatternCoefficients!A307</f>
        <v>1022</v>
      </c>
      <c r="W299" s="161" t="str">
        <f>DayPatternCoefficients!B307</f>
        <v>T/S-S/S</v>
      </c>
      <c r="X299" s="155">
        <f>DayPatternCoefficients!D307</f>
        <v>-0.50334562370000002</v>
      </c>
      <c r="Y299" s="176">
        <f si="130" t="shared"/>
        <v>-0.50334562370000002</v>
      </c>
      <c r="Z299" s="247">
        <f si="131" t="shared"/>
        <v>0</v>
      </c>
    </row>
    <row r="300" spans="22:26" x14ac:dyDescent="0.25">
      <c r="V300" s="161">
        <f>DayPatternCoefficients!A308</f>
        <v>1023</v>
      </c>
      <c r="W300" s="161" t="str">
        <f>DayPatternCoefficients!B308</f>
        <v>T/S-S/E</v>
      </c>
      <c r="X300" s="155">
        <f>DayPatternCoefficients!D308</f>
        <v>1.0587748827500001</v>
      </c>
      <c r="Y300" s="176">
        <f si="130" t="shared"/>
        <v>1.0587748827500001</v>
      </c>
      <c r="Z300" s="247">
        <f si="131" t="shared"/>
        <v>0</v>
      </c>
    </row>
    <row r="301" spans="22:26" x14ac:dyDescent="0.25">
      <c r="V301" s="161">
        <f>DayPatternCoefficients!A309</f>
        <v>1024</v>
      </c>
      <c r="W301" s="161" t="str">
        <f>DayPatternCoefficients!B309</f>
        <v>T/S-S/P</v>
      </c>
      <c r="X301" s="155">
        <f>DayPatternCoefficients!D309</f>
        <v>-0.53848378215000003</v>
      </c>
      <c r="Y301" s="176">
        <f si="130" t="shared"/>
        <v>-0.53848378215000003</v>
      </c>
      <c r="Z301" s="247">
        <f si="131" t="shared"/>
        <v>0</v>
      </c>
    </row>
    <row r="302" spans="22:26" x14ac:dyDescent="0.25">
      <c r="V302" s="161">
        <f>DayPatternCoefficients!A310</f>
        <v>1025</v>
      </c>
      <c r="W302" s="161" t="str">
        <f>DayPatternCoefficients!B310</f>
        <v>T/S-S/H</v>
      </c>
      <c r="X302" s="155">
        <f>DayPatternCoefficients!D310</f>
        <v>-0.56980481664000004</v>
      </c>
      <c r="Y302" s="176">
        <f si="130" t="shared"/>
        <v>-0.56980481664000004</v>
      </c>
      <c r="Z302" s="247">
        <f si="131" t="shared"/>
        <v>0</v>
      </c>
    </row>
    <row r="303" spans="22:26" x14ac:dyDescent="0.25">
      <c r="V303" s="161">
        <f>DayPatternCoefficients!A311</f>
        <v>1026</v>
      </c>
      <c r="W303" s="161" t="str">
        <f>DayPatternCoefficients!B311</f>
        <v>T/S-S/M</v>
      </c>
      <c r="X303" s="155">
        <f>DayPatternCoefficients!D311</f>
        <v>-0.36556883931</v>
      </c>
      <c r="Y303" s="176">
        <f si="130" t="shared"/>
        <v>-0.36556883931</v>
      </c>
      <c r="Z303" s="247">
        <f si="131" t="shared"/>
        <v>0</v>
      </c>
    </row>
    <row r="304" spans="22:26" x14ac:dyDescent="0.25">
      <c r="V304" s="161">
        <f>DayPatternCoefficients!A312</f>
        <v>1028</v>
      </c>
      <c r="W304" s="161" t="str">
        <f>DayPatternCoefficients!B312</f>
        <v>TS/S-HLS</v>
      </c>
      <c r="X304" s="155">
        <f>DayPatternCoefficients!D312</f>
        <v>-5.1231861699999999E-2</v>
      </c>
      <c r="Y304" s="176">
        <f si="130" t="shared"/>
        <v>-5.1231861699999999E-2</v>
      </c>
      <c r="Z304" s="247">
        <f si="131" t="shared"/>
        <v>0</v>
      </c>
    </row>
    <row r="305" spans="22:26" x14ac:dyDescent="0.25">
      <c r="V305" s="161">
        <f>DayPatternCoefficients!A313</f>
        <v>1029</v>
      </c>
      <c r="W305" s="161" t="str">
        <f>DayPatternCoefficients!B313</f>
        <v>TS/S-SLS</v>
      </c>
      <c r="X305" s="155">
        <f>DayPatternCoefficients!D313</f>
        <v>0</v>
      </c>
      <c r="Y305" s="176">
        <f si="130" t="shared"/>
        <v>0</v>
      </c>
      <c r="Z305" s="247">
        <f si="131" t="shared"/>
        <v>0</v>
      </c>
    </row>
    <row r="306" spans="22:26" x14ac:dyDescent="0.25">
      <c r="V306" s="161">
        <f>DayPatternCoefficients!A314</f>
        <v>1033</v>
      </c>
      <c r="W306" s="161" t="str">
        <f>DayPatternCoefficients!B314</f>
        <v>T/S-E/E</v>
      </c>
      <c r="X306" s="155">
        <f>DayPatternCoefficients!D314</f>
        <v>2.3191467598700002</v>
      </c>
      <c r="Y306" s="176">
        <f si="130" t="shared"/>
        <v>2.3191467598700002</v>
      </c>
      <c r="Z306" s="247">
        <f si="131" t="shared"/>
        <v>0</v>
      </c>
    </row>
    <row r="307" spans="22:26" x14ac:dyDescent="0.25">
      <c r="V307" s="161">
        <f>DayPatternCoefficients!A315</f>
        <v>1034</v>
      </c>
      <c r="W307" s="161" t="str">
        <f>DayPatternCoefficients!B315</f>
        <v>T/S-E/P</v>
      </c>
      <c r="X307" s="155">
        <f>DayPatternCoefficients!D315</f>
        <v>0.43882869600000002</v>
      </c>
      <c r="Y307" s="176">
        <f si="130" t="shared"/>
        <v>0.43882869600000002</v>
      </c>
      <c r="Z307" s="247">
        <f si="131" t="shared"/>
        <v>0</v>
      </c>
    </row>
    <row r="308" spans="22:26" x14ac:dyDescent="0.25">
      <c r="V308" s="161">
        <f>DayPatternCoefficients!A316</f>
        <v>1035</v>
      </c>
      <c r="W308" s="161" t="str">
        <f>DayPatternCoefficients!B316</f>
        <v>T/S-E/H</v>
      </c>
      <c r="X308" s="155">
        <f>DayPatternCoefficients!D316</f>
        <v>0.38801901626000002</v>
      </c>
      <c r="Y308" s="176">
        <f si="130" t="shared"/>
        <v>0.38801901626000002</v>
      </c>
      <c r="Z308" s="247">
        <f si="131" t="shared"/>
        <v>0</v>
      </c>
    </row>
    <row r="309" spans="22:26" x14ac:dyDescent="0.25">
      <c r="V309" s="161">
        <f>DayPatternCoefficients!A317</f>
        <v>1036</v>
      </c>
      <c r="W309" s="161" t="str">
        <f>DayPatternCoefficients!B317</f>
        <v>T/S-E/M</v>
      </c>
      <c r="X309" s="155">
        <f>DayPatternCoefficients!D317</f>
        <v>0.60596435895</v>
      </c>
      <c r="Y309" s="176">
        <f si="130" t="shared"/>
        <v>0.60596435895</v>
      </c>
      <c r="Z309" s="247">
        <f si="131" t="shared"/>
        <v>0</v>
      </c>
    </row>
    <row r="310" spans="22:26" x14ac:dyDescent="0.25">
      <c r="V310" s="161">
        <f>DayPatternCoefficients!A318</f>
        <v>1043</v>
      </c>
      <c r="W310" s="161" t="str">
        <f>DayPatternCoefficients!B318</f>
        <v>T/S-P/E</v>
      </c>
      <c r="X310" s="155">
        <f>DayPatternCoefficients!D318</f>
        <v>-0.54382622784000001</v>
      </c>
      <c r="Y310" s="176">
        <f si="130" t="shared"/>
        <v>-0.54382622784000001</v>
      </c>
      <c r="Z310" s="247">
        <f si="131" t="shared"/>
        <v>0</v>
      </c>
    </row>
    <row r="311" spans="22:26" x14ac:dyDescent="0.25">
      <c r="V311" s="161">
        <f>DayPatternCoefficients!A319</f>
        <v>1044</v>
      </c>
      <c r="W311" s="161" t="str">
        <f>DayPatternCoefficients!B319</f>
        <v>T/S-P/P</v>
      </c>
      <c r="X311" s="155">
        <f>DayPatternCoefficients!D319</f>
        <v>0.15599073697999999</v>
      </c>
      <c r="Y311" s="176">
        <f si="130" t="shared"/>
        <v>0.15599073697999999</v>
      </c>
      <c r="Z311" s="247">
        <f si="131" t="shared"/>
        <v>0</v>
      </c>
    </row>
    <row r="312" spans="22:26" x14ac:dyDescent="0.25">
      <c r="V312" s="161">
        <f>DayPatternCoefficients!A320</f>
        <v>1045</v>
      </c>
      <c r="W312" s="161" t="str">
        <f>DayPatternCoefficients!B320</f>
        <v>T/S-P/H</v>
      </c>
      <c r="X312" s="155">
        <f>DayPatternCoefficients!D320</f>
        <v>0.14237055478999999</v>
      </c>
      <c r="Y312" s="176">
        <f si="130" t="shared"/>
        <v>0.14237055478999999</v>
      </c>
      <c r="Z312" s="247">
        <f si="131" t="shared"/>
        <v>0</v>
      </c>
    </row>
    <row r="313" spans="22:26" x14ac:dyDescent="0.25">
      <c r="V313" s="161">
        <f>DayPatternCoefficients!A321</f>
        <v>1046</v>
      </c>
      <c r="W313" s="161" t="str">
        <f>DayPatternCoefficients!B321</f>
        <v>T/S-P/M</v>
      </c>
      <c r="X313" s="155">
        <f>DayPatternCoefficients!D321</f>
        <v>0.23516411118</v>
      </c>
      <c r="Y313" s="176">
        <f si="130" t="shared"/>
        <v>0.23516411118</v>
      </c>
      <c r="Z313" s="247">
        <f si="131" t="shared"/>
        <v>0</v>
      </c>
    </row>
    <row r="314" spans="22:26" x14ac:dyDescent="0.25">
      <c r="V314" s="161">
        <f>DayPatternCoefficients!A322</f>
        <v>1053</v>
      </c>
      <c r="W314" s="161" t="str">
        <f>DayPatternCoefficients!B322</f>
        <v>T/S-H/E</v>
      </c>
      <c r="X314" s="155">
        <f>DayPatternCoefficients!D322</f>
        <v>-0.39185646229999999</v>
      </c>
      <c r="Y314" s="176">
        <f si="130" t="shared"/>
        <v>-0.39185646229999999</v>
      </c>
      <c r="Z314" s="247">
        <f si="131" t="shared"/>
        <v>0</v>
      </c>
    </row>
    <row r="315" spans="22:26" x14ac:dyDescent="0.25">
      <c r="V315" s="161">
        <f>DayPatternCoefficients!A323</f>
        <v>1054</v>
      </c>
      <c r="W315" s="161" t="str">
        <f>DayPatternCoefficients!B323</f>
        <v>T/S-H/P</v>
      </c>
      <c r="X315" s="155">
        <f>DayPatternCoefficients!D323</f>
        <v>0.18528363720999999</v>
      </c>
      <c r="Y315" s="176">
        <f si="130" t="shared"/>
        <v>0.18528363720999999</v>
      </c>
      <c r="Z315" s="247">
        <f si="131" t="shared"/>
        <v>0</v>
      </c>
    </row>
    <row r="316" spans="22:26" x14ac:dyDescent="0.25">
      <c r="V316" s="161">
        <f>DayPatternCoefficients!A324</f>
        <v>1055</v>
      </c>
      <c r="W316" s="161" t="str">
        <f>DayPatternCoefficients!B324</f>
        <v>T/S-H/H</v>
      </c>
      <c r="X316" s="155">
        <f>DayPatternCoefficients!D324</f>
        <v>0.50750506111000004</v>
      </c>
      <c r="Y316" s="176">
        <f si="130" t="shared"/>
        <v>0.50750506111000004</v>
      </c>
      <c r="Z316" s="247">
        <f si="131" t="shared"/>
        <v>0</v>
      </c>
    </row>
    <row r="317" spans="22:26" x14ac:dyDescent="0.25">
      <c r="V317" s="161">
        <f>DayPatternCoefficients!A325</f>
        <v>1056</v>
      </c>
      <c r="W317" s="161" t="str">
        <f>DayPatternCoefficients!B325</f>
        <v>T/S-H/M</v>
      </c>
      <c r="X317" s="155">
        <f>DayPatternCoefficients!D325</f>
        <v>-0.31245288367000001</v>
      </c>
      <c r="Y317" s="176">
        <f si="130" t="shared"/>
        <v>-0.31245288367000001</v>
      </c>
      <c r="Z317" s="247">
        <f si="131" t="shared"/>
        <v>0</v>
      </c>
    </row>
    <row r="318" spans="22:26" x14ac:dyDescent="0.25">
      <c r="V318" s="161">
        <f>DayPatternCoefficients!A326</f>
        <v>1063</v>
      </c>
      <c r="W318" s="161" t="str">
        <f>DayPatternCoefficients!B326</f>
        <v>T/S-M/E</v>
      </c>
      <c r="X318" s="155">
        <f>DayPatternCoefficients!D326</f>
        <v>-6.4681278980000007E-2</v>
      </c>
      <c r="Y318" s="176">
        <f si="130" t="shared"/>
        <v>-6.4681278980000007E-2</v>
      </c>
      <c r="Z318" s="247">
        <f si="131" t="shared"/>
        <v>0</v>
      </c>
    </row>
    <row r="319" spans="22:26" x14ac:dyDescent="0.25">
      <c r="V319" s="161">
        <f>DayPatternCoefficients!A327</f>
        <v>1064</v>
      </c>
      <c r="W319" s="161" t="str">
        <f>DayPatternCoefficients!B327</f>
        <v>T/S-M/P</v>
      </c>
      <c r="X319" s="155">
        <f>DayPatternCoefficients!D327</f>
        <v>0.22146406565999999</v>
      </c>
      <c r="Y319" s="176">
        <f si="130" t="shared"/>
        <v>0.22146406565999999</v>
      </c>
      <c r="Z319" s="247">
        <f si="131" t="shared"/>
        <v>0</v>
      </c>
    </row>
    <row r="320" spans="22:26" x14ac:dyDescent="0.25">
      <c r="V320" s="161">
        <f>DayPatternCoefficients!A328</f>
        <v>1065</v>
      </c>
      <c r="W320" s="161" t="str">
        <f>DayPatternCoefficients!B328</f>
        <v>T/S-M/H</v>
      </c>
      <c r="X320" s="155">
        <f>DayPatternCoefficients!D328</f>
        <v>0.29629414685</v>
      </c>
      <c r="Y320" s="176">
        <f si="130" t="shared"/>
        <v>0.29629414685</v>
      </c>
      <c r="Z320" s="247">
        <f si="131" t="shared"/>
        <v>0</v>
      </c>
    </row>
    <row r="321" spans="22:26" x14ac:dyDescent="0.25">
      <c r="V321" s="161">
        <f>DayPatternCoefficients!A329</f>
        <v>1066</v>
      </c>
      <c r="W321" s="161" t="str">
        <f>DayPatternCoefficients!B329</f>
        <v>T/S-M/M</v>
      </c>
      <c r="X321" s="155">
        <f>DayPatternCoefficients!D329</f>
        <v>-0.26730699518000001</v>
      </c>
      <c r="Y321" s="176">
        <f si="130" t="shared"/>
        <v>-0.26730699518000001</v>
      </c>
      <c r="Z321" s="247">
        <f si="131" t="shared"/>
        <v>0</v>
      </c>
    </row>
    <row r="322" spans="22:26" x14ac:dyDescent="0.25">
      <c r="V322" s="161">
        <f>DayPatternCoefficients!A330</f>
        <v>1073</v>
      </c>
      <c r="W322" s="161" t="str">
        <f>DayPatternCoefficients!B330</f>
        <v>T/S-D/E</v>
      </c>
      <c r="X322" s="155">
        <f>DayPatternCoefficients!D330</f>
        <v>-0.5416388862</v>
      </c>
      <c r="Y322" s="176">
        <f si="130" t="shared"/>
        <v>-0.5416388862</v>
      </c>
      <c r="Z322" s="247">
        <f si="131" t="shared"/>
        <v>0</v>
      </c>
    </row>
    <row r="323" spans="22:26" x14ac:dyDescent="0.25">
      <c r="V323" s="161">
        <f>DayPatternCoefficients!A331</f>
        <v>1074</v>
      </c>
      <c r="W323" s="161" t="str">
        <f>DayPatternCoefficients!B331</f>
        <v>T/S-D/P</v>
      </c>
      <c r="X323" s="155">
        <f>DayPatternCoefficients!D331</f>
        <v>-7.6209529090000006E-2</v>
      </c>
      <c r="Y323" s="176">
        <f si="130" t="shared"/>
        <v>-7.6209529090000006E-2</v>
      </c>
      <c r="Z323" s="247">
        <f si="131" t="shared"/>
        <v>0</v>
      </c>
    </row>
    <row r="324" spans="22:26" x14ac:dyDescent="0.25">
      <c r="V324" s="161">
        <f>DayPatternCoefficients!A332</f>
        <v>1075</v>
      </c>
      <c r="W324" s="161" t="str">
        <f>DayPatternCoefficients!B332</f>
        <v>T/S-D/H</v>
      </c>
      <c r="X324" s="155">
        <f>DayPatternCoefficients!D332</f>
        <v>0.11079465702999999</v>
      </c>
      <c r="Y324" s="176">
        <f ref="Y324:Y384" si="132" t="shared">_xlfn.IFNA(VLOOKUP(V324,$L$63:$N$105,3,FALSE),_xlfn.IFNA(VLOOKUP(V324,$H$5:$L$11,5,FALSE),_xlfn.IFNA(VLOOKUP(V324,$J$33:$N$39,5,FALSE),X324)))</f>
        <v>0.11079465702999999</v>
      </c>
      <c r="Z324" s="247">
        <f ref="Z324:Z384" si="133" t="shared">IF(X324=Y324,0,1)</f>
        <v>0</v>
      </c>
    </row>
    <row r="325" spans="22:26" x14ac:dyDescent="0.25">
      <c r="V325" s="161">
        <f>DayPatternCoefficients!A333</f>
        <v>1076</v>
      </c>
      <c r="W325" s="161" t="str">
        <f>DayPatternCoefficients!B333</f>
        <v>T/S-D/M</v>
      </c>
      <c r="X325" s="155">
        <f>DayPatternCoefficients!D333</f>
        <v>0.41172526745999999</v>
      </c>
      <c r="Y325" s="176">
        <f si="132" t="shared"/>
        <v>0.41172526745999999</v>
      </c>
      <c r="Z325" s="247">
        <f si="133" t="shared"/>
        <v>0</v>
      </c>
    </row>
    <row r="326" spans="22:26" x14ac:dyDescent="0.25">
      <c r="V326" s="161">
        <f>DayPatternCoefficients!A334</f>
        <v>1112</v>
      </c>
      <c r="W326" s="161" t="str">
        <f>DayPatternCoefficients!B334</f>
        <v>T/T-W/S</v>
      </c>
      <c r="X326" s="155">
        <f>DayPatternCoefficients!D334</f>
        <v>-1.5644309596599999</v>
      </c>
      <c r="Y326" s="176">
        <f si="132" t="shared"/>
        <v>-1.5644309596599999</v>
      </c>
      <c r="Z326" s="247">
        <f si="133" t="shared"/>
        <v>0</v>
      </c>
    </row>
    <row r="327" spans="22:26" x14ac:dyDescent="0.25">
      <c r="V327" s="161">
        <f>DayPatternCoefficients!A335</f>
        <v>1113</v>
      </c>
      <c r="W327" s="161" t="str">
        <f>DayPatternCoefficients!B335</f>
        <v>T/T-W/E</v>
      </c>
      <c r="X327" s="155">
        <f>DayPatternCoefficients!D335</f>
        <v>-1.2740274169500001</v>
      </c>
      <c r="Y327" s="176">
        <f si="132" t="shared"/>
        <v>-1.2740274169500001</v>
      </c>
      <c r="Z327" s="247">
        <f si="133" t="shared"/>
        <v>0</v>
      </c>
    </row>
    <row r="328" spans="22:26" x14ac:dyDescent="0.25">
      <c r="V328" s="161">
        <f>DayPatternCoefficients!A336</f>
        <v>1114</v>
      </c>
      <c r="W328" s="161" t="str">
        <f>DayPatternCoefficients!B336</f>
        <v>T/T-W/P</v>
      </c>
      <c r="X328" s="155">
        <f>DayPatternCoefficients!D336</f>
        <v>-1.0749348599599999</v>
      </c>
      <c r="Y328" s="176">
        <f si="132" t="shared"/>
        <v>-1.0749348599599999</v>
      </c>
      <c r="Z328" s="247">
        <f si="133" t="shared"/>
        <v>0</v>
      </c>
    </row>
    <row r="329" spans="22:26" x14ac:dyDescent="0.25">
      <c r="V329" s="161">
        <f>DayPatternCoefficients!A337</f>
        <v>1115</v>
      </c>
      <c r="W329" s="161" t="str">
        <f>DayPatternCoefficients!B337</f>
        <v>T/T-W/H</v>
      </c>
      <c r="X329" s="155">
        <f>DayPatternCoefficients!D337</f>
        <v>-0.94518526709999995</v>
      </c>
      <c r="Y329" s="176">
        <f si="132" t="shared"/>
        <v>-0.94518526709999995</v>
      </c>
      <c r="Z329" s="247">
        <f si="133" t="shared"/>
        <v>0</v>
      </c>
    </row>
    <row r="330" spans="22:26" x14ac:dyDescent="0.25">
      <c r="V330" s="161">
        <f>DayPatternCoefficients!A338</f>
        <v>1116</v>
      </c>
      <c r="W330" s="161" t="str">
        <f>DayPatternCoefficients!B338</f>
        <v>T/T-W/M</v>
      </c>
      <c r="X330" s="155">
        <f>DayPatternCoefficients!D338</f>
        <v>-0.50215980633000001</v>
      </c>
      <c r="Y330" s="176">
        <f si="132" t="shared"/>
        <v>-0.50215980633000001</v>
      </c>
      <c r="Z330" s="247">
        <f si="133" t="shared"/>
        <v>0</v>
      </c>
    </row>
    <row r="331" spans="22:26" x14ac:dyDescent="0.25">
      <c r="V331" s="161">
        <f>DayPatternCoefficients!A339</f>
        <v>1117</v>
      </c>
      <c r="W331" s="161" t="str">
        <f>DayPatternCoefficients!B339</f>
        <v>T/T-W/D</v>
      </c>
      <c r="X331" s="155">
        <f>DayPatternCoefficients!D339</f>
        <v>-0.54063652535999995</v>
      </c>
      <c r="Y331" s="176">
        <f si="132" t="shared"/>
        <v>-0.54063652535999995</v>
      </c>
      <c r="Z331" s="247">
        <f si="133" t="shared"/>
        <v>0</v>
      </c>
    </row>
    <row r="332" spans="22:26" x14ac:dyDescent="0.25">
      <c r="V332" s="161">
        <f>DayPatternCoefficients!A340</f>
        <v>1123</v>
      </c>
      <c r="W332" s="161" t="str">
        <f>DayPatternCoefficients!B340</f>
        <v>T/T-S/E</v>
      </c>
      <c r="X332" s="155">
        <f>DayPatternCoefficients!D340</f>
        <v>-1.3616026243299999</v>
      </c>
      <c r="Y332" s="176">
        <f si="132" t="shared"/>
        <v>-1.3616026243299999</v>
      </c>
      <c r="Z332" s="247">
        <f si="133" t="shared"/>
        <v>0</v>
      </c>
    </row>
    <row r="333" spans="22:26" x14ac:dyDescent="0.25">
      <c r="V333" s="161">
        <f>DayPatternCoefficients!A341</f>
        <v>1124</v>
      </c>
      <c r="W333" s="161" t="str">
        <f>DayPatternCoefficients!B341</f>
        <v>T/T-S/P</v>
      </c>
      <c r="X333" s="155">
        <f>DayPatternCoefficients!D341</f>
        <v>-0.84898836228999996</v>
      </c>
      <c r="Y333" s="176">
        <f si="132" t="shared"/>
        <v>-0.84898836228999996</v>
      </c>
      <c r="Z333" s="247">
        <f si="133" t="shared"/>
        <v>0</v>
      </c>
    </row>
    <row r="334" spans="22:26" x14ac:dyDescent="0.25">
      <c r="V334" s="161">
        <f>DayPatternCoefficients!A342</f>
        <v>1125</v>
      </c>
      <c r="W334" s="161" t="str">
        <f>DayPatternCoefficients!B342</f>
        <v>T/T-S/H</v>
      </c>
      <c r="X334" s="155">
        <f>DayPatternCoefficients!D342</f>
        <v>-0.78613389561000002</v>
      </c>
      <c r="Y334" s="176">
        <f si="132" t="shared"/>
        <v>-0.78613389561000002</v>
      </c>
      <c r="Z334" s="247">
        <f si="133" t="shared"/>
        <v>0</v>
      </c>
    </row>
    <row r="335" spans="22:26" x14ac:dyDescent="0.25">
      <c r="V335" s="161">
        <f>DayPatternCoefficients!A343</f>
        <v>1126</v>
      </c>
      <c r="W335" s="161" t="str">
        <f>DayPatternCoefficients!B343</f>
        <v>T/T-S/M</v>
      </c>
      <c r="X335" s="155">
        <f>DayPatternCoefficients!D343</f>
        <v>-0.54681847911000003</v>
      </c>
      <c r="Y335" s="176">
        <f si="132" t="shared"/>
        <v>-0.54681847911000003</v>
      </c>
      <c r="Z335" s="247">
        <f si="133" t="shared"/>
        <v>0</v>
      </c>
    </row>
    <row r="336" spans="22:26" x14ac:dyDescent="0.25">
      <c r="V336" s="161">
        <f>DayPatternCoefficients!A344</f>
        <v>1127</v>
      </c>
      <c r="W336" s="161" t="str">
        <f>DayPatternCoefficients!B344</f>
        <v>T/T-S/D</v>
      </c>
      <c r="X336" s="155">
        <f>DayPatternCoefficients!D344</f>
        <v>-0.52556611821999999</v>
      </c>
      <c r="Y336" s="176">
        <f si="132" t="shared"/>
        <v>-0.52556611821999999</v>
      </c>
      <c r="Z336" s="247">
        <f si="133" t="shared"/>
        <v>0</v>
      </c>
    </row>
    <row r="337" spans="22:26" x14ac:dyDescent="0.25">
      <c r="V337" s="161">
        <f>DayPatternCoefficients!A345</f>
        <v>1134</v>
      </c>
      <c r="W337" s="161" t="str">
        <f>DayPatternCoefficients!B345</f>
        <v>T/T-E/P</v>
      </c>
      <c r="X337" s="155">
        <f>DayPatternCoefficients!D345</f>
        <v>0.36235102463000002</v>
      </c>
      <c r="Y337" s="176">
        <f si="132" t="shared"/>
        <v>0.36235102463000002</v>
      </c>
      <c r="Z337" s="247">
        <f si="133" t="shared"/>
        <v>0</v>
      </c>
    </row>
    <row r="338" spans="22:26" x14ac:dyDescent="0.25">
      <c r="V338" s="161">
        <f>DayPatternCoefficients!A346</f>
        <v>1135</v>
      </c>
      <c r="W338" s="161" t="str">
        <f>DayPatternCoefficients!B346</f>
        <v>T/T-E/H</v>
      </c>
      <c r="X338" s="155">
        <f>DayPatternCoefficients!D346</f>
        <v>-0.10012866324</v>
      </c>
      <c r="Y338" s="176">
        <f si="132" t="shared"/>
        <v>-0.10012866324</v>
      </c>
      <c r="Z338" s="247">
        <f si="133" t="shared"/>
        <v>0</v>
      </c>
    </row>
    <row r="339" spans="22:26" x14ac:dyDescent="0.25">
      <c r="V339" s="161">
        <f>DayPatternCoefficients!A347</f>
        <v>1136</v>
      </c>
      <c r="W339" s="161" t="str">
        <f>DayPatternCoefficients!B347</f>
        <v>T/T-E/M</v>
      </c>
      <c r="X339" s="155">
        <f>DayPatternCoefficients!D347</f>
        <v>-0.10673219229</v>
      </c>
      <c r="Y339" s="176">
        <f si="132" t="shared"/>
        <v>-0.10673219229</v>
      </c>
      <c r="Z339" s="247">
        <f si="133" t="shared"/>
        <v>0</v>
      </c>
    </row>
    <row r="340" spans="22:26" x14ac:dyDescent="0.25">
      <c r="V340" s="161">
        <f>DayPatternCoefficients!A348</f>
        <v>1137</v>
      </c>
      <c r="W340" s="161" t="str">
        <f>DayPatternCoefficients!B348</f>
        <v>T/T-E/D</v>
      </c>
      <c r="X340" s="155">
        <f>DayPatternCoefficients!D348</f>
        <v>0.21650598322</v>
      </c>
      <c r="Y340" s="176">
        <f si="132" t="shared"/>
        <v>0.21650598322</v>
      </c>
      <c r="Z340" s="247">
        <f si="133" t="shared"/>
        <v>0</v>
      </c>
    </row>
    <row r="341" spans="22:26" x14ac:dyDescent="0.25">
      <c r="V341" s="161">
        <f>DayPatternCoefficients!A349</f>
        <v>1145</v>
      </c>
      <c r="W341" s="161" t="str">
        <f>DayPatternCoefficients!B349</f>
        <v>T/T-P/H</v>
      </c>
      <c r="X341" s="155">
        <f>DayPatternCoefficients!D349</f>
        <v>-5.5921311629999998E-2</v>
      </c>
      <c r="Y341" s="176">
        <f si="132" t="shared"/>
        <v>-5.5921311629999998E-2</v>
      </c>
      <c r="Z341" s="247">
        <f si="133" t="shared"/>
        <v>0</v>
      </c>
    </row>
    <row r="342" spans="22:26" x14ac:dyDescent="0.25">
      <c r="V342" s="161">
        <f>DayPatternCoefficients!A350</f>
        <v>1146</v>
      </c>
      <c r="W342" s="161" t="str">
        <f>DayPatternCoefficients!B350</f>
        <v>T/T-P/M</v>
      </c>
      <c r="X342" s="155">
        <f>DayPatternCoefficients!D350</f>
        <v>0.24358333610999999</v>
      </c>
      <c r="Y342" s="176">
        <f si="132" t="shared"/>
        <v>0.24358333610999999</v>
      </c>
      <c r="Z342" s="247">
        <f si="133" t="shared"/>
        <v>0</v>
      </c>
    </row>
    <row r="343" spans="22:26" x14ac:dyDescent="0.25">
      <c r="V343" s="161">
        <f>DayPatternCoefficients!A351</f>
        <v>1147</v>
      </c>
      <c r="W343" s="161" t="str">
        <f>DayPatternCoefficients!B351</f>
        <v>T/T-P/D</v>
      </c>
      <c r="X343" s="155">
        <f>DayPatternCoefficients!D351</f>
        <v>-0.18853487848</v>
      </c>
      <c r="Y343" s="176">
        <f si="132" t="shared"/>
        <v>-0.18853487848</v>
      </c>
      <c r="Z343" s="247">
        <f si="133" t="shared"/>
        <v>0</v>
      </c>
    </row>
    <row r="344" spans="22:26" x14ac:dyDescent="0.25">
      <c r="V344" s="161">
        <f>DayPatternCoefficients!A352</f>
        <v>1156</v>
      </c>
      <c r="W344" s="161" t="str">
        <f>DayPatternCoefficients!B352</f>
        <v>T/T-H/M</v>
      </c>
      <c r="X344" s="155">
        <f>DayPatternCoefficients!D352</f>
        <v>-0.44226070846999999</v>
      </c>
      <c r="Y344" s="176">
        <f si="132" t="shared"/>
        <v>-0.44226070846999999</v>
      </c>
      <c r="Z344" s="247">
        <f si="133" t="shared"/>
        <v>0</v>
      </c>
    </row>
    <row r="345" spans="22:26" x14ac:dyDescent="0.25">
      <c r="V345" s="161">
        <f>DayPatternCoefficients!A353</f>
        <v>1157</v>
      </c>
      <c r="W345" s="161" t="str">
        <f>DayPatternCoefficients!B353</f>
        <v>T/T-H/D</v>
      </c>
      <c r="X345" s="155">
        <f>DayPatternCoefficients!D353</f>
        <v>1.030149396E-2</v>
      </c>
      <c r="Y345" s="176">
        <f si="132" t="shared"/>
        <v>1.030149396E-2</v>
      </c>
      <c r="Z345" s="247">
        <f si="133" t="shared"/>
        <v>0</v>
      </c>
    </row>
    <row r="346" spans="22:26" x14ac:dyDescent="0.25">
      <c r="V346" s="161">
        <f>DayPatternCoefficients!A354</f>
        <v>1213</v>
      </c>
      <c r="W346" s="161" t="str">
        <f>DayPatternCoefficients!B354</f>
        <v>S/S-W/E</v>
      </c>
      <c r="X346" s="155">
        <f>DayPatternCoefficients!D354</f>
        <v>-1.36481525144</v>
      </c>
      <c r="Y346" s="176">
        <f si="132" t="shared"/>
        <v>-1.36481525144</v>
      </c>
      <c r="Z346" s="247">
        <f si="133" t="shared"/>
        <v>0</v>
      </c>
    </row>
    <row r="347" spans="22:26" x14ac:dyDescent="0.25">
      <c r="V347" s="161">
        <f>DayPatternCoefficients!A355</f>
        <v>1214</v>
      </c>
      <c r="W347" s="161" t="str">
        <f>DayPatternCoefficients!B355</f>
        <v>S/S-W/P</v>
      </c>
      <c r="X347" s="155">
        <f>DayPatternCoefficients!D355</f>
        <v>-0.61775033894999998</v>
      </c>
      <c r="Y347" s="176">
        <f si="132" t="shared"/>
        <v>-0.61775033894999998</v>
      </c>
      <c r="Z347" s="247">
        <f si="133" t="shared"/>
        <v>0</v>
      </c>
    </row>
    <row r="348" spans="22:26" x14ac:dyDescent="0.25">
      <c r="V348" s="161">
        <f>DayPatternCoefficients!A356</f>
        <v>1215</v>
      </c>
      <c r="W348" s="161" t="str">
        <f>DayPatternCoefficients!B356</f>
        <v>S/S-W/H</v>
      </c>
      <c r="X348" s="155">
        <f>DayPatternCoefficients!D356</f>
        <v>-0.64325229668999995</v>
      </c>
      <c r="Y348" s="176">
        <f si="132" t="shared"/>
        <v>-0.64325229668999995</v>
      </c>
      <c r="Z348" s="247">
        <f si="133" t="shared"/>
        <v>0</v>
      </c>
    </row>
    <row r="349" spans="22:26" x14ac:dyDescent="0.25">
      <c r="V349" s="161">
        <f>DayPatternCoefficients!A357</f>
        <v>1216</v>
      </c>
      <c r="W349" s="161" t="str">
        <f>DayPatternCoefficients!B357</f>
        <v>S/S-W/M</v>
      </c>
      <c r="X349" s="155">
        <f>DayPatternCoefficients!D357</f>
        <v>-0.44793136683000001</v>
      </c>
      <c r="Y349" s="176">
        <f si="132" t="shared"/>
        <v>-0.44793136683000001</v>
      </c>
      <c r="Z349" s="247">
        <f si="133" t="shared"/>
        <v>0</v>
      </c>
    </row>
    <row r="350" spans="22:26" x14ac:dyDescent="0.25">
      <c r="V350" s="161">
        <f>DayPatternCoefficients!A358</f>
        <v>1217</v>
      </c>
      <c r="W350" s="161" t="str">
        <f>DayPatternCoefficients!B358</f>
        <v>S/S-W/D</v>
      </c>
      <c r="X350" s="155">
        <f>DayPatternCoefficients!D358</f>
        <v>-0.93801074919000005</v>
      </c>
      <c r="Y350" s="176">
        <f si="132" t="shared"/>
        <v>-0.93801074919000005</v>
      </c>
      <c r="Z350" s="247">
        <f si="133" t="shared"/>
        <v>0</v>
      </c>
    </row>
    <row r="351" spans="22:26" x14ac:dyDescent="0.25">
      <c r="V351" s="161">
        <f>DayPatternCoefficients!A359</f>
        <v>1223</v>
      </c>
      <c r="W351" s="161" t="str">
        <f>DayPatternCoefficients!B359</f>
        <v>S/S-S/E</v>
      </c>
      <c r="X351" s="155">
        <f>DayPatternCoefficients!D359</f>
        <v>-1.1092063858900001</v>
      </c>
      <c r="Y351" s="176">
        <f si="132" t="shared"/>
        <v>-1.1092063858900001</v>
      </c>
      <c r="Z351" s="247">
        <f si="133" t="shared"/>
        <v>0</v>
      </c>
    </row>
    <row r="352" spans="22:26" x14ac:dyDescent="0.25">
      <c r="V352" s="161">
        <f>DayPatternCoefficients!A360</f>
        <v>1224</v>
      </c>
      <c r="W352" s="161" t="str">
        <f>DayPatternCoefficients!B360</f>
        <v>S/S-S/P</v>
      </c>
      <c r="X352" s="155">
        <f>DayPatternCoefficients!D360</f>
        <v>-0.37840972925999999</v>
      </c>
      <c r="Y352" s="176">
        <f si="132" t="shared"/>
        <v>-0.37840972925999999</v>
      </c>
      <c r="Z352" s="247">
        <f si="133" t="shared"/>
        <v>0</v>
      </c>
    </row>
    <row r="353" spans="22:26" x14ac:dyDescent="0.25">
      <c r="V353" s="161">
        <f>DayPatternCoefficients!A361</f>
        <v>1225</v>
      </c>
      <c r="W353" s="161" t="str">
        <f>DayPatternCoefficients!B361</f>
        <v>S/S-S/H</v>
      </c>
      <c r="X353" s="155">
        <f>DayPatternCoefficients!D361</f>
        <v>-1.13150811347</v>
      </c>
      <c r="Y353" s="176">
        <f si="132" t="shared"/>
        <v>-1.13150811347</v>
      </c>
      <c r="Z353" s="247">
        <f si="133" t="shared"/>
        <v>0</v>
      </c>
    </row>
    <row r="354" spans="22:26" x14ac:dyDescent="0.25">
      <c r="V354" s="161">
        <f>DayPatternCoefficients!A362</f>
        <v>1226</v>
      </c>
      <c r="W354" s="161" t="str">
        <f>DayPatternCoefficients!B362</f>
        <v>S/S-S/M</v>
      </c>
      <c r="X354" s="155">
        <f>DayPatternCoefficients!D362</f>
        <v>0.46235910839</v>
      </c>
      <c r="Y354" s="176">
        <f si="132" t="shared"/>
        <v>0.46235910839</v>
      </c>
      <c r="Z354" s="247">
        <f si="133" t="shared"/>
        <v>0</v>
      </c>
    </row>
    <row r="355" spans="22:26" x14ac:dyDescent="0.25">
      <c r="V355" s="161">
        <f>DayPatternCoefficients!A363</f>
        <v>1227</v>
      </c>
      <c r="W355" s="161" t="str">
        <f>DayPatternCoefficients!B363</f>
        <v>S/S-S/D</v>
      </c>
      <c r="X355" s="155">
        <f>DayPatternCoefficients!D363</f>
        <v>-0.18611062162</v>
      </c>
      <c r="Y355" s="176">
        <f si="132" t="shared"/>
        <v>-0.18611062162</v>
      </c>
      <c r="Z355" s="247">
        <f si="133" t="shared"/>
        <v>0</v>
      </c>
    </row>
    <row r="356" spans="22:26" x14ac:dyDescent="0.25">
      <c r="V356" s="161">
        <f>DayPatternCoefficients!A364</f>
        <v>1234</v>
      </c>
      <c r="W356" s="161" t="str">
        <f>DayPatternCoefficients!B364</f>
        <v>S/S-E/P</v>
      </c>
      <c r="X356" s="155">
        <f>DayPatternCoefficients!D364</f>
        <v>-0.52820419371000005</v>
      </c>
      <c r="Y356" s="176">
        <f si="132" t="shared"/>
        <v>-0.52820419371000005</v>
      </c>
      <c r="Z356" s="247">
        <f si="133" t="shared"/>
        <v>0</v>
      </c>
    </row>
    <row r="357" spans="22:26" x14ac:dyDescent="0.25">
      <c r="V357" s="161">
        <f>DayPatternCoefficients!A365</f>
        <v>1235</v>
      </c>
      <c r="W357" s="161" t="str">
        <f>DayPatternCoefficients!B365</f>
        <v>S/S-E/H</v>
      </c>
      <c r="X357" s="155">
        <f>DayPatternCoefficients!D365</f>
        <v>-0.73156894307999998</v>
      </c>
      <c r="Y357" s="176">
        <f si="132" t="shared"/>
        <v>-0.73156894307999998</v>
      </c>
      <c r="Z357" s="247">
        <f si="133" t="shared"/>
        <v>0</v>
      </c>
    </row>
    <row r="358" spans="22:26" x14ac:dyDescent="0.25">
      <c r="V358" s="161">
        <f>DayPatternCoefficients!A366</f>
        <v>1236</v>
      </c>
      <c r="W358" s="161" t="str">
        <f>DayPatternCoefficients!B366</f>
        <v>S/S-E/M</v>
      </c>
      <c r="X358" s="155">
        <f>DayPatternCoefficients!D366</f>
        <v>-0.38019855195000002</v>
      </c>
      <c r="Y358" s="176">
        <f si="132" t="shared"/>
        <v>-0.38019855195000002</v>
      </c>
      <c r="Z358" s="247">
        <f si="133" t="shared"/>
        <v>0</v>
      </c>
    </row>
    <row r="359" spans="22:26" x14ac:dyDescent="0.25">
      <c r="V359" s="161">
        <f>DayPatternCoefficients!A367</f>
        <v>1237</v>
      </c>
      <c r="W359" s="161" t="str">
        <f>DayPatternCoefficients!B367</f>
        <v>S/S-E/D</v>
      </c>
      <c r="X359" s="155">
        <f>DayPatternCoefficients!D367</f>
        <v>-0.17169006107000001</v>
      </c>
      <c r="Y359" s="176">
        <f si="132" t="shared"/>
        <v>-0.17169006107000001</v>
      </c>
      <c r="Z359" s="247">
        <f si="133" t="shared"/>
        <v>0</v>
      </c>
    </row>
    <row r="360" spans="22:26" x14ac:dyDescent="0.25">
      <c r="V360" s="161">
        <f>DayPatternCoefficients!A368</f>
        <v>1245</v>
      </c>
      <c r="W360" s="161" t="str">
        <f>DayPatternCoefficients!B368</f>
        <v>S/S-P/H</v>
      </c>
      <c r="X360" s="155">
        <f>DayPatternCoefficients!D368</f>
        <v>-0.20732203726000001</v>
      </c>
      <c r="Y360" s="176">
        <f si="132" t="shared"/>
        <v>-0.20732203726000001</v>
      </c>
      <c r="Z360" s="247">
        <f si="133" t="shared"/>
        <v>0</v>
      </c>
    </row>
    <row r="361" spans="22:26" x14ac:dyDescent="0.25">
      <c r="V361" s="161">
        <f>DayPatternCoefficients!A369</f>
        <v>1246</v>
      </c>
      <c r="W361" s="161" t="str">
        <f>DayPatternCoefficients!B369</f>
        <v>S/S-P/M</v>
      </c>
      <c r="X361" s="155">
        <f>DayPatternCoefficients!D369</f>
        <v>-0.48987563117999999</v>
      </c>
      <c r="Y361" s="176">
        <f si="132" t="shared"/>
        <v>-0.48987563117999999</v>
      </c>
      <c r="Z361" s="247">
        <f si="133" t="shared"/>
        <v>0</v>
      </c>
    </row>
    <row r="362" spans="22:26" x14ac:dyDescent="0.25">
      <c r="V362" s="161">
        <f>DayPatternCoefficients!A370</f>
        <v>1247</v>
      </c>
      <c r="W362" s="161" t="str">
        <f>DayPatternCoefficients!B370</f>
        <v>S/S-P/D</v>
      </c>
      <c r="X362" s="155">
        <f>DayPatternCoefficients!D370</f>
        <v>-0.70672408033</v>
      </c>
      <c r="Y362" s="176">
        <f si="132" t="shared"/>
        <v>-0.70672408033</v>
      </c>
      <c r="Z362" s="247">
        <f si="133" t="shared"/>
        <v>0</v>
      </c>
    </row>
    <row r="363" spans="22:26" x14ac:dyDescent="0.25">
      <c r="V363" s="161">
        <f>DayPatternCoefficients!A371</f>
        <v>1256</v>
      </c>
      <c r="W363" s="161" t="str">
        <f>DayPatternCoefficients!B371</f>
        <v>S/S-H/M</v>
      </c>
      <c r="X363" s="155">
        <f>DayPatternCoefficients!D371</f>
        <v>-0.48653889900000002</v>
      </c>
      <c r="Y363" s="176">
        <f si="132" t="shared"/>
        <v>-0.48653889900000002</v>
      </c>
      <c r="Z363" s="247">
        <f si="133" t="shared"/>
        <v>0</v>
      </c>
    </row>
    <row r="364" spans="22:26" x14ac:dyDescent="0.25">
      <c r="V364" s="161">
        <f>DayPatternCoefficients!A372</f>
        <v>1257</v>
      </c>
      <c r="W364" s="161" t="str">
        <f>DayPatternCoefficients!B372</f>
        <v>S/S-H/D</v>
      </c>
      <c r="X364" s="155">
        <f>DayPatternCoefficients!D372</f>
        <v>-0.64057657043000005</v>
      </c>
      <c r="Y364" s="176">
        <f si="132" t="shared"/>
        <v>-0.64057657043000005</v>
      </c>
      <c r="Z364" s="247">
        <f si="133" t="shared"/>
        <v>0</v>
      </c>
    </row>
    <row r="365" spans="22:26" x14ac:dyDescent="0.25">
      <c r="V365" s="161">
        <f>DayPatternCoefficients!A373</f>
        <v>1311</v>
      </c>
      <c r="W365" s="161" t="str">
        <f>DayPatternCoefficients!B373</f>
        <v>NT/NS-1/1</v>
      </c>
      <c r="X365" s="155">
        <f>DayPatternCoefficients!D373</f>
        <v>-3.0895488316500002</v>
      </c>
      <c r="Y365" s="176">
        <f si="132" t="shared"/>
        <v>-3.0895488316500002</v>
      </c>
      <c r="Z365" s="247">
        <f si="133" t="shared"/>
        <v>0</v>
      </c>
    </row>
    <row r="366" spans="22:26" x14ac:dyDescent="0.25">
      <c r="V366" s="161">
        <f>DayPatternCoefficients!A374</f>
        <v>1312</v>
      </c>
      <c r="W366" s="161" t="str">
        <f>DayPatternCoefficients!B374</f>
        <v>NT/NS-1/2</v>
      </c>
      <c r="X366" s="155">
        <f>DayPatternCoefficients!D374</f>
        <v>-4.6880391214500001</v>
      </c>
      <c r="Y366" s="176">
        <f si="132" t="shared"/>
        <v>-4.6880391214500001</v>
      </c>
      <c r="Z366" s="247">
        <f si="133" t="shared"/>
        <v>0</v>
      </c>
    </row>
    <row r="367" spans="22:26" x14ac:dyDescent="0.25">
      <c r="V367" s="161">
        <f>DayPatternCoefficients!A375</f>
        <v>1313</v>
      </c>
      <c r="W367" s="161" t="str">
        <f>DayPatternCoefficients!B375</f>
        <v>NT/NS-1/3</v>
      </c>
      <c r="X367" s="155">
        <f>DayPatternCoefficients!D375</f>
        <v>-5.2719733197699998</v>
      </c>
      <c r="Y367" s="176">
        <f si="132" t="shared"/>
        <v>-5.2719733197699998</v>
      </c>
      <c r="Z367" s="247">
        <f si="133" t="shared"/>
        <v>0</v>
      </c>
    </row>
    <row r="368" spans="22:26" x14ac:dyDescent="0.25">
      <c r="V368" s="161">
        <f>DayPatternCoefficients!A376</f>
        <v>1321</v>
      </c>
      <c r="W368" s="161" t="str">
        <f>DayPatternCoefficients!B376</f>
        <v>NT/NS-2/1</v>
      </c>
      <c r="X368" s="155">
        <f>DayPatternCoefficients!D376</f>
        <v>-2.98919984582</v>
      </c>
      <c r="Y368" s="176">
        <f si="132" t="shared"/>
        <v>-2.98919984582</v>
      </c>
      <c r="Z368" s="247">
        <f si="133" t="shared"/>
        <v>0</v>
      </c>
    </row>
    <row r="369" spans="22:26" x14ac:dyDescent="0.25">
      <c r="V369" s="161">
        <f>DayPatternCoefficients!A377</f>
        <v>1322</v>
      </c>
      <c r="W369" s="161" t="str">
        <f>DayPatternCoefficients!B377</f>
        <v>NT/NS-2/2</v>
      </c>
      <c r="X369" s="155">
        <f>DayPatternCoefficients!D377</f>
        <v>-4.5628566934299997</v>
      </c>
      <c r="Y369" s="176">
        <f si="132" t="shared"/>
        <v>-4.5628566934299997</v>
      </c>
      <c r="Z369" s="247">
        <f si="133" t="shared"/>
        <v>0</v>
      </c>
    </row>
    <row r="370" spans="22:26" x14ac:dyDescent="0.25">
      <c r="V370" s="161">
        <f>DayPatternCoefficients!A378</f>
        <v>1323</v>
      </c>
      <c r="W370" s="161" t="str">
        <f>DayPatternCoefficients!B378</f>
        <v>NT/NS-2/3</v>
      </c>
      <c r="X370" s="155">
        <f>DayPatternCoefficients!D378</f>
        <v>-5.1473826788899997</v>
      </c>
      <c r="Y370" s="176">
        <f si="132" t="shared"/>
        <v>-5.1473826788899997</v>
      </c>
      <c r="Z370" s="247">
        <f si="133" t="shared"/>
        <v>0</v>
      </c>
    </row>
    <row r="371" spans="22:26" x14ac:dyDescent="0.25">
      <c r="V371" s="161">
        <f>DayPatternCoefficients!A379</f>
        <v>1331</v>
      </c>
      <c r="W371" s="161" t="str">
        <f>DayPatternCoefficients!B379</f>
        <v>NT/NS-3/1</v>
      </c>
      <c r="X371" s="155">
        <f>DayPatternCoefficients!D379</f>
        <v>-2.7935912245000001</v>
      </c>
      <c r="Y371" s="176">
        <f si="132" t="shared"/>
        <v>-2.7935912245000001</v>
      </c>
      <c r="Z371" s="247">
        <f si="133" t="shared"/>
        <v>0</v>
      </c>
    </row>
    <row r="372" spans="22:26" x14ac:dyDescent="0.25">
      <c r="V372" s="161">
        <f>DayPatternCoefficients!A380</f>
        <v>1332</v>
      </c>
      <c r="W372" s="161" t="str">
        <f>DayPatternCoefficients!B380</f>
        <v>NT/NS-3/2</v>
      </c>
      <c r="X372" s="155">
        <f>DayPatternCoefficients!D380</f>
        <v>-4.48645805507</v>
      </c>
      <c r="Y372" s="176">
        <f si="132" t="shared"/>
        <v>-4.48645805507</v>
      </c>
      <c r="Z372" s="247">
        <f si="133" t="shared"/>
        <v>0</v>
      </c>
    </row>
    <row r="373" spans="22:26" x14ac:dyDescent="0.25">
      <c r="V373" s="161">
        <f>DayPatternCoefficients!A381</f>
        <v>1401</v>
      </c>
      <c r="W373" s="161" t="str">
        <f>DayPatternCoefficients!B381</f>
        <v>TxCARSPD</v>
      </c>
      <c r="X373" s="155">
        <f>DayPatternCoefficients!D381</f>
        <v>6.7478150240000007E-2</v>
      </c>
      <c r="Y373" s="176">
        <f si="132" t="shared"/>
        <v>6.7478150240000007E-2</v>
      </c>
      <c r="Z373" s="247">
        <f si="133" t="shared"/>
        <v>0</v>
      </c>
    </row>
    <row r="374" spans="22:26" x14ac:dyDescent="0.25">
      <c r="V374" s="161">
        <f>DayPatternCoefficients!A382</f>
        <v>1402</v>
      </c>
      <c r="W374" s="161" t="str">
        <f>DayPatternCoefficients!B382</f>
        <v>TxWAHOME</v>
      </c>
      <c r="X374" s="155">
        <f>DayPatternCoefficients!D382</f>
        <v>0.24276221477000001</v>
      </c>
      <c r="Y374" s="176">
        <f si="132" t="shared"/>
        <v>0.24276221477000001</v>
      </c>
      <c r="Z374" s="247">
        <f si="133" t="shared"/>
        <v>0</v>
      </c>
    </row>
    <row r="375" spans="22:26" x14ac:dyDescent="0.25">
      <c r="V375" s="161">
        <f>DayPatternCoefficients!A383</f>
        <v>1403</v>
      </c>
      <c r="W375" s="161" t="str">
        <f>DayPatternCoefficients!B383</f>
        <v>TxMIXDEN</v>
      </c>
      <c r="X375" s="155">
        <f>DayPatternCoefficients!D383</f>
        <v>0.56918922084000001</v>
      </c>
      <c r="Y375" s="176">
        <f si="132" t="shared"/>
        <v>0.56918922084000001</v>
      </c>
      <c r="Z375" s="247">
        <f si="133" t="shared"/>
        <v>0</v>
      </c>
    </row>
    <row r="376" spans="22:26" x14ac:dyDescent="0.25">
      <c r="V376" s="161">
        <f>DayPatternCoefficients!A384</f>
        <v>1404</v>
      </c>
      <c r="W376" s="161" t="str">
        <f>DayPatternCoefficients!B384</f>
        <v>TxMDEN515</v>
      </c>
      <c r="X376" s="155">
        <f>DayPatternCoefficients!D384</f>
        <v>-0.78749655288999998</v>
      </c>
      <c r="Y376" s="176">
        <f si="132" t="shared"/>
        <v>-0.78749655288999998</v>
      </c>
      <c r="Z376" s="247">
        <f si="133" t="shared"/>
        <v>0</v>
      </c>
    </row>
    <row r="377" spans="22:26" x14ac:dyDescent="0.25">
      <c r="V377" s="161">
        <f>DayPatternCoefficients!A385</f>
        <v>1405</v>
      </c>
      <c r="W377" s="161" t="str">
        <f>DayPatternCoefficients!B385</f>
        <v>TxHLOGS</v>
      </c>
      <c r="X377" s="155">
        <f>DayPatternCoefficients!D385</f>
        <v>-3.3357793339999997E-2</v>
      </c>
      <c r="Y377" s="176">
        <f si="132" t="shared"/>
        <v>-3.3357793339999997E-2</v>
      </c>
      <c r="Z377" s="247">
        <f si="133" t="shared"/>
        <v>0</v>
      </c>
    </row>
    <row r="378" spans="22:26" x14ac:dyDescent="0.25">
      <c r="V378" s="161">
        <f>DayPatternCoefficients!A386</f>
        <v>1406</v>
      </c>
      <c r="W378" s="161" t="str">
        <f>DayPatternCoefficients!B386</f>
        <v>TxTPASS</v>
      </c>
      <c r="X378" s="155">
        <f>DayPatternCoefficients!D386</f>
        <v>0</v>
      </c>
      <c r="Y378" s="176">
        <f si="132" t="shared"/>
        <v>0</v>
      </c>
      <c r="Z378" s="247">
        <f si="133" t="shared"/>
        <v>0</v>
      </c>
    </row>
    <row r="379" spans="22:26" x14ac:dyDescent="0.25">
      <c r="V379" s="161">
        <f>DayPatternCoefficients!A387</f>
        <v>1411</v>
      </c>
      <c r="W379" s="161" t="str">
        <f>DayPatternCoefficients!B387</f>
        <v>SxCARSPD</v>
      </c>
      <c r="X379" s="155">
        <f>DayPatternCoefficients!D387</f>
        <v>0.27559751794999998</v>
      </c>
      <c r="Y379" s="176">
        <f si="132" t="shared"/>
        <v>0.27559751794999998</v>
      </c>
      <c r="Z379" s="247">
        <f si="133" t="shared"/>
        <v>0</v>
      </c>
    </row>
    <row r="380" spans="22:26" x14ac:dyDescent="0.25">
      <c r="V380" s="161">
        <f>DayPatternCoefficients!A388</f>
        <v>1412</v>
      </c>
      <c r="W380" s="161" t="str">
        <f>DayPatternCoefficients!B388</f>
        <v>SxWAHOME</v>
      </c>
      <c r="X380" s="155">
        <f>DayPatternCoefficients!D388</f>
        <v>0.17673343790000001</v>
      </c>
      <c r="Y380" s="176">
        <f si="132" t="shared"/>
        <v>0.17673343790000001</v>
      </c>
      <c r="Z380" s="247">
        <f si="133" t="shared"/>
        <v>0</v>
      </c>
    </row>
    <row r="381" spans="22:26" x14ac:dyDescent="0.25">
      <c r="V381" s="161">
        <f>DayPatternCoefficients!A389</f>
        <v>1413</v>
      </c>
      <c r="W381" s="161" t="str">
        <f>DayPatternCoefficients!B389</f>
        <v>SxMIXDEN</v>
      </c>
      <c r="X381" s="155">
        <f>DayPatternCoefficients!D389</f>
        <v>0</v>
      </c>
      <c r="Y381" s="176">
        <f si="132" t="shared"/>
        <v>0</v>
      </c>
      <c r="Z381" s="247">
        <f si="133" t="shared"/>
        <v>0</v>
      </c>
    </row>
    <row r="382" spans="22:26" x14ac:dyDescent="0.25">
      <c r="V382" s="161">
        <f>DayPatternCoefficients!A390</f>
        <v>1414</v>
      </c>
      <c r="W382" s="161" t="str">
        <f>DayPatternCoefficients!B390</f>
        <v>SxMDEN515</v>
      </c>
      <c r="X382" s="155">
        <f>DayPatternCoefficients!D390</f>
        <v>0.53708781768000002</v>
      </c>
      <c r="Y382" s="176">
        <f si="132" t="shared"/>
        <v>0.53708781768000002</v>
      </c>
      <c r="Z382" s="247">
        <f si="133" t="shared"/>
        <v>0</v>
      </c>
    </row>
    <row r="383" spans="22:26" x14ac:dyDescent="0.25">
      <c r="V383" s="161">
        <f>DayPatternCoefficients!A391</f>
        <v>1415</v>
      </c>
      <c r="W383" s="161" t="str">
        <f>DayPatternCoefficients!B391</f>
        <v>SxHLOGS</v>
      </c>
      <c r="X383" s="155">
        <f>DayPatternCoefficients!D391</f>
        <v>4.1828202400000002E-3</v>
      </c>
      <c r="Y383" s="176">
        <f si="132" t="shared"/>
        <v>4.1828202400000002E-3</v>
      </c>
      <c r="Z383" s="247">
        <f si="133" t="shared"/>
        <v>0</v>
      </c>
    </row>
    <row r="384" spans="22:26" x14ac:dyDescent="0.25">
      <c r="V384" s="161">
        <f>DayPatternCoefficients!A392</f>
        <v>1416</v>
      </c>
      <c r="W384" s="161" t="str">
        <f>DayPatternCoefficients!B392</f>
        <v>SxTPASS</v>
      </c>
      <c r="X384" s="155">
        <f>DayPatternCoefficients!D392</f>
        <v>0</v>
      </c>
      <c r="Y384" s="176">
        <f si="132" t="shared"/>
        <v>0</v>
      </c>
      <c r="Z384" s="247">
        <f si="133" t="shared"/>
        <v>0</v>
      </c>
    </row>
    <row r="385" spans="22:26" x14ac:dyDescent="0.25">
      <c r="V385" s="161">
        <f>DayPatternCoefficients!A393</f>
        <v>-1</v>
      </c>
      <c r="W385" s="161">
        <f>DayPatternCoefficients!B393</f>
        <v>0</v>
      </c>
      <c r="X385" s="155"/>
      <c r="Y385" s="222"/>
      <c r="Z385" s="222"/>
    </row>
    <row r="386" spans="22:26" x14ac:dyDescent="0.25">
      <c r="V386" s="161"/>
      <c r="W386" s="161"/>
      <c r="X386" s="155"/>
      <c r="Y386" s="222"/>
      <c r="Z386" s="222"/>
    </row>
    <row r="387" spans="22:26" x14ac:dyDescent="0.25">
      <c r="V387" s="161"/>
      <c r="W387" s="161"/>
      <c r="X387" s="155"/>
      <c r="Y387" s="222"/>
      <c r="Z387" s="222"/>
    </row>
    <row r="388" spans="22:26" x14ac:dyDescent="0.25">
      <c r="V388" s="161"/>
      <c r="W388" s="161"/>
      <c r="X388" s="155"/>
      <c r="Y388" s="155"/>
      <c r="Z388" s="155"/>
    </row>
    <row r="389" spans="22:26" x14ac:dyDescent="0.25">
      <c r="V389" s="161"/>
      <c r="W389" s="161"/>
      <c r="X389" s="155"/>
      <c r="Y389" s="155"/>
      <c r="Z389" s="155"/>
    </row>
    <row r="390" spans="22:26" x14ac:dyDescent="0.25">
      <c r="V390" s="161"/>
      <c r="W390" s="161"/>
      <c r="X390" s="155"/>
      <c r="Y390" s="155"/>
      <c r="Z390" s="155"/>
    </row>
    <row r="391" spans="22:26" x14ac:dyDescent="0.25">
      <c r="V391" s="161"/>
      <c r="W391" s="161"/>
      <c r="X391" s="155"/>
      <c r="Y391" s="155"/>
      <c r="Z391" s="155"/>
    </row>
    <row r="392" spans="22:26" x14ac:dyDescent="0.25">
      <c r="V392" s="161"/>
      <c r="W392" s="161"/>
      <c r="X392" s="155"/>
      <c r="Y392" s="155"/>
      <c r="Z392" s="155"/>
    </row>
    <row r="393" spans="22:26" x14ac:dyDescent="0.25">
      <c r="V393" s="161"/>
      <c r="W393" s="161"/>
      <c r="X393" s="155"/>
      <c r="Y393" s="155"/>
      <c r="Z393" s="155"/>
    </row>
    <row r="394" spans="22:26" x14ac:dyDescent="0.25">
      <c r="V394" s="161"/>
      <c r="W394" s="161"/>
      <c r="X394" s="155"/>
      <c r="Y394" s="155"/>
      <c r="Z394" s="155"/>
    </row>
    <row r="395" spans="22:26" x14ac:dyDescent="0.25">
      <c r="V395" s="161"/>
      <c r="W395" s="161"/>
      <c r="X395" s="155"/>
      <c r="Y395" s="155"/>
      <c r="Z395" s="155"/>
    </row>
    <row r="396" spans="22:26" x14ac:dyDescent="0.25">
      <c r="V396" s="161"/>
      <c r="W396" s="161"/>
      <c r="X396" s="155"/>
      <c r="Y396" s="155"/>
      <c r="Z396" s="155"/>
    </row>
    <row r="397" spans="22:26" x14ac:dyDescent="0.25">
      <c r="V397" s="161"/>
      <c r="W397" s="161"/>
      <c r="X397" s="155"/>
      <c r="Y397" s="155"/>
      <c r="Z397" s="155"/>
    </row>
    <row r="398" spans="22:26" x14ac:dyDescent="0.25">
      <c r="V398" s="161"/>
      <c r="W398" s="161"/>
      <c r="X398" s="155"/>
      <c r="Y398" s="155"/>
      <c r="Z398" s="155"/>
    </row>
  </sheetData>
  <autoFilter ref="AI2:AM122"/>
  <conditionalFormatting sqref="Z3:Z384">
    <cfRule priority="3" type="colorScale">
      <colorScale>
        <cfvo type="min"/>
        <cfvo type="max"/>
        <color rgb="FFFCFCFF"/>
        <color rgb="FF63BE7B"/>
      </colorScale>
    </cfRule>
  </conditionalFormatting>
  <conditionalFormatting sqref="C102:D102 C104:I108 C103 G103:I103 G102:H102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F3:AF1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P7673"/>
  <sheetViews>
    <sheetView workbookViewId="0" zoomScaleNormal="100">
      <selection activeCell="A8" sqref="A8:D7673"/>
    </sheetView>
  </sheetViews>
  <sheetFormatPr defaultRowHeight="15" x14ac:dyDescent="0.25"/>
  <cols>
    <col min="1" max="14" style="115" width="9.0" collapsed="true"/>
    <col min="15" max="15" customWidth="true" style="115" width="14.5" collapsed="true"/>
    <col min="16" max="16384" style="115" width="9.0" collapsed="true"/>
  </cols>
  <sheetData>
    <row r="1" spans="1:15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197"/>
      <c r="L1" s="197"/>
      <c r="M1" s="197"/>
      <c r="N1" s="197"/>
      <c r="O1" s="198"/>
    </row>
    <row r="2" spans="1:15" x14ac:dyDescent="0.25">
      <c r="A2" s="199">
        <v>1</v>
      </c>
      <c r="B2" s="200" t="s">
        <v>1133</v>
      </c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1"/>
    </row>
    <row r="3" spans="1:15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0"/>
      <c r="L3" s="200"/>
      <c r="M3" s="200"/>
      <c r="N3" s="200"/>
      <c r="O3" s="201"/>
    </row>
    <row r="4" spans="1:15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1:15" x14ac:dyDescent="0.25">
      <c r="A5" s="199">
        <v>4</v>
      </c>
      <c r="B5" s="200" t="s">
        <v>1031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1"/>
    </row>
    <row r="6" spans="1:15" x14ac:dyDescent="0.25">
      <c r="A6" s="204" t="s">
        <v>1150</v>
      </c>
      <c r="B6" s="202" t="s">
        <v>1151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3"/>
    </row>
    <row r="8" spans="1:15" x14ac:dyDescent="0.25">
      <c r="A8" s="115" t="s">
        <v>1226</v>
      </c>
      <c r="B8" s="115" t="s">
        <v>1227</v>
      </c>
      <c r="C8" s="115" t="s">
        <v>1228</v>
      </c>
      <c r="D8" s="115" t="s">
        <v>8706</v>
      </c>
      <c r="E8" s="115" t="s">
        <v>1229</v>
      </c>
    </row>
    <row r="9" spans="1:15" x14ac:dyDescent="0.25">
      <c r="A9" s="115" t="s">
        <v>1230</v>
      </c>
      <c r="B9" s="115" t="s">
        <v>1231</v>
      </c>
      <c r="C9" s="115" t="s">
        <v>1232</v>
      </c>
      <c r="D9" s="115" t="s">
        <v>8707</v>
      </c>
      <c r="E9" s="115" t="s">
        <v>1233</v>
      </c>
      <c r="F9" s="116">
        <v>0.34832175925925929</v>
      </c>
      <c r="G9" s="115" t="s">
        <v>1127</v>
      </c>
      <c r="H9" s="115">
        <v>26</v>
      </c>
      <c r="I9" s="115" t="s">
        <v>1213</v>
      </c>
      <c r="J9" s="115">
        <v>12</v>
      </c>
    </row>
    <row r="10" spans="1:15" x14ac:dyDescent="0.25">
      <c r="A10" s="115" t="s">
        <v>315</v>
      </c>
    </row>
    <row r="11" spans="1:15" x14ac:dyDescent="0.25">
      <c r="A11" s="115">
        <v>100</v>
      </c>
      <c r="B11" s="115" t="s">
        <v>320</v>
      </c>
      <c r="C11" s="115" t="s">
        <v>321</v>
      </c>
      <c r="D11" s="115">
        <v>1.9017439303100001</v>
      </c>
      <c r="E11" s="117"/>
      <c r="F11" s="117"/>
    </row>
    <row r="12" spans="1:15" x14ac:dyDescent="0.25">
      <c r="A12" s="115">
        <v>101</v>
      </c>
      <c r="B12" s="115" t="s">
        <v>323</v>
      </c>
      <c r="C12" s="115" t="s">
        <v>321</v>
      </c>
      <c r="D12" s="115">
        <v>3.6928987586500002</v>
      </c>
    </row>
    <row r="13" spans="1:15" x14ac:dyDescent="0.25">
      <c r="A13" s="115">
        <v>102</v>
      </c>
      <c r="B13" s="115" t="s">
        <v>325</v>
      </c>
      <c r="C13" s="115" t="s">
        <v>321</v>
      </c>
      <c r="D13" s="115">
        <v>-0.12630532374</v>
      </c>
      <c r="E13" s="117"/>
      <c r="F13" s="117"/>
    </row>
    <row r="14" spans="1:15" x14ac:dyDescent="0.25">
      <c r="A14" s="115">
        <v>105</v>
      </c>
      <c r="B14" s="115" t="s">
        <v>327</v>
      </c>
      <c r="C14" s="115" t="s">
        <v>321</v>
      </c>
      <c r="D14" s="115">
        <v>-2.5142965129700001</v>
      </c>
    </row>
    <row r="15" spans="1:15" x14ac:dyDescent="0.25">
      <c r="A15" s="115">
        <v>106</v>
      </c>
      <c r="B15" s="115" t="s">
        <v>329</v>
      </c>
      <c r="C15" s="115" t="s">
        <v>321</v>
      </c>
      <c r="D15" s="115">
        <v>-3.8295481163199998</v>
      </c>
    </row>
    <row r="16" spans="1:15" x14ac:dyDescent="0.25">
      <c r="A16" s="115">
        <v>109</v>
      </c>
      <c r="B16" s="115" t="s">
        <v>331</v>
      </c>
      <c r="C16" s="115" t="s">
        <v>340</v>
      </c>
      <c r="D16" s="115">
        <v>0</v>
      </c>
    </row>
    <row r="17" spans="1:6" x14ac:dyDescent="0.25">
      <c r="A17" s="115">
        <v>110</v>
      </c>
      <c r="B17" s="115" t="s">
        <v>333</v>
      </c>
      <c r="C17" s="115" t="s">
        <v>340</v>
      </c>
      <c r="D17" s="115">
        <v>0</v>
      </c>
      <c r="E17" s="117"/>
      <c r="F17" s="117"/>
    </row>
    <row r="18" spans="1:6" x14ac:dyDescent="0.25">
      <c r="A18" s="115">
        <v>111</v>
      </c>
      <c r="B18" s="115" t="s">
        <v>335</v>
      </c>
      <c r="C18" s="115" t="s">
        <v>321</v>
      </c>
      <c r="D18" s="117">
        <v>8.8907504740000004E-2</v>
      </c>
      <c r="E18" s="117"/>
      <c r="F18" s="117"/>
    </row>
    <row r="19" spans="1:6" x14ac:dyDescent="0.25">
      <c r="A19" s="115">
        <v>112</v>
      </c>
      <c r="B19" s="115" t="s">
        <v>337</v>
      </c>
      <c r="C19" s="115" t="s">
        <v>340</v>
      </c>
      <c r="D19" s="117">
        <v>0</v>
      </c>
      <c r="E19" s="117"/>
      <c r="F19" s="117"/>
    </row>
    <row r="20" spans="1:6" x14ac:dyDescent="0.25">
      <c r="A20" s="115">
        <v>113</v>
      </c>
      <c r="B20" s="115" t="s">
        <v>339</v>
      </c>
      <c r="C20" s="115" t="s">
        <v>340</v>
      </c>
      <c r="D20" s="115">
        <v>0</v>
      </c>
    </row>
    <row r="21" spans="1:6" x14ac:dyDescent="0.25">
      <c r="A21" s="115">
        <v>114</v>
      </c>
      <c r="B21" s="115" t="s">
        <v>342</v>
      </c>
      <c r="C21" s="115" t="s">
        <v>340</v>
      </c>
      <c r="D21" s="115">
        <v>0</v>
      </c>
    </row>
    <row r="22" spans="1:6" x14ac:dyDescent="0.25">
      <c r="A22" s="115">
        <v>116</v>
      </c>
      <c r="B22" s="115" t="s">
        <v>344</v>
      </c>
      <c r="C22" s="115" t="s">
        <v>321</v>
      </c>
      <c r="D22" s="117">
        <v>8.3424060300000005E-2</v>
      </c>
      <c r="E22" s="117"/>
      <c r="F22" s="117"/>
    </row>
    <row r="23" spans="1:6" x14ac:dyDescent="0.25">
      <c r="A23" s="115">
        <v>117</v>
      </c>
      <c r="B23" s="115" t="s">
        <v>346</v>
      </c>
      <c r="C23" s="115" t="s">
        <v>321</v>
      </c>
      <c r="D23" s="115">
        <v>-0.36733346327999999</v>
      </c>
    </row>
    <row r="24" spans="1:6" x14ac:dyDescent="0.25">
      <c r="A24" s="115">
        <v>118</v>
      </c>
      <c r="B24" s="115" t="s">
        <v>348</v>
      </c>
      <c r="C24" s="115" t="s">
        <v>340</v>
      </c>
      <c r="D24" s="115">
        <v>0</v>
      </c>
    </row>
    <row r="25" spans="1:6" x14ac:dyDescent="0.25">
      <c r="A25" s="115">
        <v>119</v>
      </c>
      <c r="B25" s="115" t="s">
        <v>350</v>
      </c>
      <c r="C25" s="115" t="s">
        <v>340</v>
      </c>
      <c r="D25" s="115">
        <v>0</v>
      </c>
    </row>
    <row r="26" spans="1:6" x14ac:dyDescent="0.25">
      <c r="A26" s="115">
        <v>120</v>
      </c>
      <c r="B26" s="115" t="s">
        <v>352</v>
      </c>
      <c r="C26" s="115" t="s">
        <v>340</v>
      </c>
      <c r="D26" s="115">
        <v>0</v>
      </c>
    </row>
    <row r="27" spans="1:6" x14ac:dyDescent="0.25">
      <c r="A27" s="115">
        <v>121</v>
      </c>
      <c r="B27" s="115" t="s">
        <v>354</v>
      </c>
      <c r="C27" s="115" t="s">
        <v>340</v>
      </c>
      <c r="D27" s="115">
        <v>0</v>
      </c>
    </row>
    <row r="28" spans="1:6" x14ac:dyDescent="0.25">
      <c r="A28" s="115">
        <v>122</v>
      </c>
      <c r="B28" s="115" t="s">
        <v>356</v>
      </c>
      <c r="C28" s="115" t="s">
        <v>340</v>
      </c>
      <c r="D28" s="115">
        <v>0</v>
      </c>
    </row>
    <row r="29" spans="1:6" x14ac:dyDescent="0.25">
      <c r="A29" s="115">
        <v>123</v>
      </c>
      <c r="B29" s="115" t="s">
        <v>358</v>
      </c>
      <c r="C29" s="115" t="s">
        <v>340</v>
      </c>
      <c r="D29" s="115">
        <v>0</v>
      </c>
    </row>
    <row r="30" spans="1:6" x14ac:dyDescent="0.25">
      <c r="A30" s="115">
        <v>124</v>
      </c>
      <c r="B30" s="115" t="s">
        <v>360</v>
      </c>
      <c r="C30" s="115" t="s">
        <v>321</v>
      </c>
      <c r="D30" s="115">
        <v>-2.1672870261199999</v>
      </c>
    </row>
    <row r="31" spans="1:6" x14ac:dyDescent="0.25">
      <c r="A31" s="115">
        <v>125</v>
      </c>
      <c r="B31" s="115" t="s">
        <v>362</v>
      </c>
      <c r="C31" s="115" t="s">
        <v>340</v>
      </c>
      <c r="D31" s="115">
        <v>0</v>
      </c>
    </row>
    <row r="32" spans="1:6" x14ac:dyDescent="0.25">
      <c r="A32" s="115">
        <v>126</v>
      </c>
      <c r="B32" s="115" t="s">
        <v>364</v>
      </c>
      <c r="C32" s="115" t="s">
        <v>340</v>
      </c>
      <c r="D32" s="115">
        <v>0</v>
      </c>
    </row>
    <row r="33" spans="1:6" x14ac:dyDescent="0.25">
      <c r="A33" s="115">
        <v>127</v>
      </c>
      <c r="B33" s="115" t="s">
        <v>366</v>
      </c>
      <c r="C33" s="115" t="s">
        <v>321</v>
      </c>
      <c r="D33" s="115">
        <v>0.38761782790999999</v>
      </c>
      <c r="E33" s="117"/>
      <c r="F33" s="117"/>
    </row>
    <row r="34" spans="1:6" x14ac:dyDescent="0.25">
      <c r="A34" s="115">
        <v>128</v>
      </c>
      <c r="B34" s="115" t="s">
        <v>1177</v>
      </c>
      <c r="C34" s="115" t="s">
        <v>340</v>
      </c>
      <c r="D34" s="115">
        <v>0</v>
      </c>
      <c r="E34" s="117"/>
      <c r="F34" s="117"/>
    </row>
    <row r="35" spans="1:6" x14ac:dyDescent="0.25">
      <c r="A35" s="115">
        <v>129</v>
      </c>
      <c r="B35" s="115" t="s">
        <v>368</v>
      </c>
      <c r="C35" s="115" t="s">
        <v>321</v>
      </c>
      <c r="D35" s="115">
        <v>-0.23310400815000001</v>
      </c>
    </row>
    <row r="36" spans="1:6" x14ac:dyDescent="0.25">
      <c r="A36" s="115">
        <v>130</v>
      </c>
      <c r="B36" s="115" t="s">
        <v>1178</v>
      </c>
      <c r="C36" s="115" t="s">
        <v>340</v>
      </c>
      <c r="D36" s="115">
        <v>0</v>
      </c>
    </row>
    <row r="37" spans="1:6" x14ac:dyDescent="0.25">
      <c r="A37" s="115">
        <v>131</v>
      </c>
      <c r="B37" s="115" t="s">
        <v>369</v>
      </c>
      <c r="C37" s="115" t="s">
        <v>321</v>
      </c>
      <c r="D37" s="115">
        <v>-0.32003778984999998</v>
      </c>
      <c r="E37" s="117"/>
      <c r="F37" s="117"/>
    </row>
    <row r="38" spans="1:6" x14ac:dyDescent="0.25">
      <c r="A38" s="115">
        <v>132</v>
      </c>
      <c r="B38" s="115" t="s">
        <v>1179</v>
      </c>
      <c r="C38" s="115" t="s">
        <v>321</v>
      </c>
      <c r="D38" s="115">
        <v>-0.91278430805999999</v>
      </c>
      <c r="E38" s="117"/>
      <c r="F38" s="117"/>
    </row>
    <row r="39" spans="1:6" x14ac:dyDescent="0.25">
      <c r="A39" s="115">
        <v>133</v>
      </c>
      <c r="B39" s="115" t="s">
        <v>1180</v>
      </c>
      <c r="C39" s="115" t="s">
        <v>321</v>
      </c>
      <c r="D39" s="117">
        <v>-9.7755538330000002E-2</v>
      </c>
      <c r="E39" s="117"/>
      <c r="F39" s="117"/>
    </row>
    <row r="40" spans="1:6" x14ac:dyDescent="0.25">
      <c r="A40" s="115">
        <v>151</v>
      </c>
      <c r="B40" s="115" t="s">
        <v>370</v>
      </c>
      <c r="C40" s="115" t="s">
        <v>340</v>
      </c>
      <c r="D40" s="115">
        <v>-0.47911897977000001</v>
      </c>
    </row>
    <row r="41" spans="1:6" x14ac:dyDescent="0.25">
      <c r="A41" s="115">
        <v>200</v>
      </c>
      <c r="B41" s="115" t="s">
        <v>372</v>
      </c>
      <c r="C41" s="115" t="s">
        <v>321</v>
      </c>
      <c r="D41" s="115">
        <v>-1.1650098583199999</v>
      </c>
    </row>
    <row r="42" spans="1:6" x14ac:dyDescent="0.25">
      <c r="A42" s="115">
        <v>201</v>
      </c>
      <c r="B42" s="115" t="s">
        <v>374</v>
      </c>
      <c r="C42" s="115" t="s">
        <v>321</v>
      </c>
      <c r="D42" s="115">
        <v>0.39716470355</v>
      </c>
    </row>
    <row r="43" spans="1:6" x14ac:dyDescent="0.25">
      <c r="A43" s="115">
        <v>205</v>
      </c>
      <c r="B43" s="115" t="s">
        <v>379</v>
      </c>
      <c r="C43" s="115" t="s">
        <v>321</v>
      </c>
      <c r="D43" s="115">
        <v>-0.54322823780999996</v>
      </c>
    </row>
    <row r="44" spans="1:6" x14ac:dyDescent="0.25">
      <c r="A44" s="115">
        <v>206</v>
      </c>
      <c r="B44" s="115" t="s">
        <v>381</v>
      </c>
      <c r="C44" s="115" t="s">
        <v>321</v>
      </c>
      <c r="D44" s="115">
        <v>0.32874149364999999</v>
      </c>
    </row>
    <row r="45" spans="1:6" x14ac:dyDescent="0.25">
      <c r="A45" s="115">
        <v>207</v>
      </c>
      <c r="B45" s="115" t="s">
        <v>383</v>
      </c>
      <c r="C45" s="115" t="s">
        <v>321</v>
      </c>
      <c r="D45" s="115">
        <v>2.3775085649699998</v>
      </c>
    </row>
    <row r="46" spans="1:6" x14ac:dyDescent="0.25">
      <c r="A46" s="115">
        <v>208</v>
      </c>
      <c r="B46" s="115" t="s">
        <v>385</v>
      </c>
      <c r="C46" s="115" t="s">
        <v>321</v>
      </c>
      <c r="D46" s="117">
        <v>1.1554295912400001</v>
      </c>
      <c r="E46" s="117"/>
      <c r="F46" s="117"/>
    </row>
    <row r="47" spans="1:6" x14ac:dyDescent="0.25">
      <c r="A47" s="115">
        <v>209</v>
      </c>
      <c r="B47" s="115" t="s">
        <v>387</v>
      </c>
      <c r="C47" s="115" t="s">
        <v>340</v>
      </c>
      <c r="D47" s="115">
        <v>0</v>
      </c>
    </row>
    <row r="48" spans="1:6" x14ac:dyDescent="0.25">
      <c r="A48" s="115">
        <v>210</v>
      </c>
      <c r="B48" s="115" t="s">
        <v>389</v>
      </c>
      <c r="C48" s="115" t="s">
        <v>321</v>
      </c>
      <c r="D48" s="115">
        <v>0.1877879022</v>
      </c>
    </row>
    <row r="49" spans="1:4" x14ac:dyDescent="0.25">
      <c r="A49" s="115">
        <v>211</v>
      </c>
      <c r="B49" s="115" t="s">
        <v>391</v>
      </c>
      <c r="C49" s="115" t="s">
        <v>340</v>
      </c>
      <c r="D49" s="115">
        <v>0</v>
      </c>
    </row>
    <row r="50" spans="1:4" x14ac:dyDescent="0.25">
      <c r="A50" s="115">
        <v>212</v>
      </c>
      <c r="B50" s="115" t="s">
        <v>393</v>
      </c>
      <c r="C50" s="115" t="s">
        <v>340</v>
      </c>
      <c r="D50" s="115">
        <v>0</v>
      </c>
    </row>
    <row r="51" spans="1:4" x14ac:dyDescent="0.25">
      <c r="A51" s="115">
        <v>213</v>
      </c>
      <c r="B51" s="115" t="s">
        <v>395</v>
      </c>
      <c r="C51" s="115" t="s">
        <v>340</v>
      </c>
      <c r="D51" s="115">
        <v>0</v>
      </c>
    </row>
    <row r="52" spans="1:4" x14ac:dyDescent="0.25">
      <c r="A52" s="115">
        <v>214</v>
      </c>
      <c r="B52" s="115" t="s">
        <v>397</v>
      </c>
      <c r="C52" s="115" t="s">
        <v>340</v>
      </c>
      <c r="D52" s="115">
        <v>0</v>
      </c>
    </row>
    <row r="53" spans="1:4" x14ac:dyDescent="0.25">
      <c r="A53" s="115">
        <v>216</v>
      </c>
      <c r="B53" s="115" t="s">
        <v>400</v>
      </c>
      <c r="C53" s="115" t="s">
        <v>340</v>
      </c>
      <c r="D53" s="115">
        <v>0</v>
      </c>
    </row>
    <row r="54" spans="1:4" x14ac:dyDescent="0.25">
      <c r="A54" s="115">
        <v>217</v>
      </c>
      <c r="B54" s="115" t="s">
        <v>402</v>
      </c>
      <c r="C54" s="115" t="s">
        <v>321</v>
      </c>
      <c r="D54" s="115">
        <v>-1.07693002171</v>
      </c>
    </row>
    <row r="55" spans="1:4" x14ac:dyDescent="0.25">
      <c r="A55" s="115">
        <v>218</v>
      </c>
      <c r="B55" s="115" t="s">
        <v>404</v>
      </c>
      <c r="C55" s="115" t="s">
        <v>340</v>
      </c>
      <c r="D55" s="115">
        <v>0</v>
      </c>
    </row>
    <row r="56" spans="1:4" x14ac:dyDescent="0.25">
      <c r="A56" s="115">
        <v>219</v>
      </c>
      <c r="B56" s="115" t="s">
        <v>406</v>
      </c>
      <c r="C56" s="115" t="s">
        <v>340</v>
      </c>
      <c r="D56" s="115">
        <v>0</v>
      </c>
    </row>
    <row r="57" spans="1:4" x14ac:dyDescent="0.25">
      <c r="A57" s="115">
        <v>220</v>
      </c>
      <c r="B57" s="115" t="s">
        <v>408</v>
      </c>
      <c r="C57" s="115" t="s">
        <v>340</v>
      </c>
      <c r="D57" s="115">
        <v>0</v>
      </c>
    </row>
    <row r="58" spans="1:4" x14ac:dyDescent="0.25">
      <c r="A58" s="115">
        <v>221</v>
      </c>
      <c r="B58" s="115" t="s">
        <v>410</v>
      </c>
      <c r="C58" s="115" t="s">
        <v>321</v>
      </c>
      <c r="D58" s="115">
        <v>0.33401706346999999</v>
      </c>
    </row>
    <row r="59" spans="1:4" x14ac:dyDescent="0.25">
      <c r="A59" s="115">
        <v>222</v>
      </c>
      <c r="B59" s="115" t="s">
        <v>412</v>
      </c>
      <c r="C59" s="115" t="s">
        <v>340</v>
      </c>
      <c r="D59" s="115">
        <v>0</v>
      </c>
    </row>
    <row r="60" spans="1:4" x14ac:dyDescent="0.25">
      <c r="A60" s="115">
        <v>223</v>
      </c>
      <c r="B60" s="115" t="s">
        <v>414</v>
      </c>
      <c r="C60" s="115" t="s">
        <v>321</v>
      </c>
      <c r="D60" s="115">
        <v>-0.94598469378000005</v>
      </c>
    </row>
    <row r="61" spans="1:4" x14ac:dyDescent="0.25">
      <c r="A61" s="115">
        <v>224</v>
      </c>
      <c r="B61" s="115" t="s">
        <v>416</v>
      </c>
      <c r="C61" s="115" t="s">
        <v>340</v>
      </c>
      <c r="D61" s="115">
        <v>0</v>
      </c>
    </row>
    <row r="62" spans="1:4" x14ac:dyDescent="0.25">
      <c r="A62" s="115">
        <v>225</v>
      </c>
      <c r="B62" s="115" t="s">
        <v>418</v>
      </c>
      <c r="C62" s="115" t="s">
        <v>340</v>
      </c>
      <c r="D62" s="115">
        <v>0</v>
      </c>
    </row>
    <row r="63" spans="1:4" x14ac:dyDescent="0.25">
      <c r="A63" s="115">
        <v>226</v>
      </c>
      <c r="B63" s="115" t="s">
        <v>420</v>
      </c>
      <c r="C63" s="115" t="s">
        <v>340</v>
      </c>
      <c r="D63" s="115">
        <v>0</v>
      </c>
    </row>
    <row r="64" spans="1:4" x14ac:dyDescent="0.25">
      <c r="A64" s="115">
        <v>227</v>
      </c>
      <c r="B64" s="115" t="s">
        <v>422</v>
      </c>
      <c r="C64" s="115" t="s">
        <v>340</v>
      </c>
      <c r="D64" s="115">
        <v>0</v>
      </c>
    </row>
    <row r="65" spans="1:6" x14ac:dyDescent="0.25">
      <c r="A65" s="115">
        <v>228</v>
      </c>
      <c r="B65" s="115" t="s">
        <v>1181</v>
      </c>
      <c r="C65" s="115" t="s">
        <v>340</v>
      </c>
      <c r="D65" s="115">
        <v>0</v>
      </c>
    </row>
    <row r="66" spans="1:6" x14ac:dyDescent="0.25">
      <c r="A66" s="115">
        <v>229</v>
      </c>
      <c r="B66" s="115" t="s">
        <v>424</v>
      </c>
      <c r="C66" s="115" t="s">
        <v>321</v>
      </c>
      <c r="D66" s="115">
        <v>0.15632093079000001</v>
      </c>
      <c r="E66" s="117"/>
      <c r="F66" s="117"/>
    </row>
    <row r="67" spans="1:6" x14ac:dyDescent="0.25">
      <c r="A67" s="115">
        <v>230</v>
      </c>
      <c r="B67" s="115" t="s">
        <v>1182</v>
      </c>
      <c r="C67" s="115" t="s">
        <v>340</v>
      </c>
      <c r="D67" s="115">
        <v>0</v>
      </c>
    </row>
    <row r="68" spans="1:6" x14ac:dyDescent="0.25">
      <c r="A68" s="115">
        <v>231</v>
      </c>
      <c r="B68" s="115" t="s">
        <v>425</v>
      </c>
      <c r="C68" s="115" t="s">
        <v>321</v>
      </c>
      <c r="D68" s="115">
        <v>0.44595990495999999</v>
      </c>
    </row>
    <row r="69" spans="1:6" x14ac:dyDescent="0.25">
      <c r="A69" s="115">
        <v>232</v>
      </c>
      <c r="B69" s="115" t="s">
        <v>1183</v>
      </c>
      <c r="C69" s="115" t="s">
        <v>321</v>
      </c>
      <c r="D69" s="115">
        <v>-0.60208080629000005</v>
      </c>
    </row>
    <row r="70" spans="1:6" x14ac:dyDescent="0.25">
      <c r="A70" s="115">
        <v>233</v>
      </c>
      <c r="B70" s="115" t="s">
        <v>1184</v>
      </c>
      <c r="C70" s="115" t="s">
        <v>340</v>
      </c>
      <c r="D70" s="115">
        <v>0</v>
      </c>
    </row>
    <row r="71" spans="1:6" x14ac:dyDescent="0.25">
      <c r="A71" s="115">
        <v>251</v>
      </c>
      <c r="B71" s="115" t="s">
        <v>426</v>
      </c>
      <c r="C71" s="115" t="s">
        <v>340</v>
      </c>
      <c r="D71" s="115">
        <v>-0.13882682499999999</v>
      </c>
    </row>
    <row r="72" spans="1:6" x14ac:dyDescent="0.25">
      <c r="A72" s="115">
        <v>300</v>
      </c>
      <c r="B72" s="115" t="s">
        <v>428</v>
      </c>
      <c r="C72" s="115" t="s">
        <v>321</v>
      </c>
      <c r="D72" s="115">
        <v>-3.20782328605</v>
      </c>
    </row>
    <row r="73" spans="1:6" x14ac:dyDescent="0.25">
      <c r="A73" s="115">
        <v>301</v>
      </c>
      <c r="B73" s="115" t="s">
        <v>430</v>
      </c>
      <c r="C73" s="115" t="s">
        <v>321</v>
      </c>
      <c r="D73" s="115">
        <v>-0.40483252988000001</v>
      </c>
    </row>
    <row r="74" spans="1:6" x14ac:dyDescent="0.25">
      <c r="A74" s="115">
        <v>302</v>
      </c>
      <c r="B74" s="115" t="s">
        <v>432</v>
      </c>
      <c r="C74" s="115" t="s">
        <v>340</v>
      </c>
      <c r="D74" s="115">
        <v>1.2614942409100001</v>
      </c>
      <c r="E74" s="117"/>
      <c r="F74" s="117"/>
    </row>
    <row r="75" spans="1:6" x14ac:dyDescent="0.25">
      <c r="A75" s="115">
        <v>303</v>
      </c>
      <c r="B75" s="115" t="s">
        <v>434</v>
      </c>
      <c r="C75" s="115" t="s">
        <v>321</v>
      </c>
      <c r="D75" s="115">
        <v>-2.11024149046</v>
      </c>
    </row>
    <row r="76" spans="1:6" x14ac:dyDescent="0.25">
      <c r="A76" s="115">
        <v>304</v>
      </c>
      <c r="B76" s="115" t="s">
        <v>436</v>
      </c>
      <c r="C76" s="115" t="s">
        <v>340</v>
      </c>
      <c r="D76" s="115">
        <v>-1.1088219987000001</v>
      </c>
    </row>
    <row r="77" spans="1:6" x14ac:dyDescent="0.25">
      <c r="A77" s="115">
        <v>305</v>
      </c>
      <c r="B77" s="115" t="s">
        <v>438</v>
      </c>
      <c r="C77" s="115" t="s">
        <v>340</v>
      </c>
      <c r="D77" s="115">
        <v>-1.4521986715899999</v>
      </c>
      <c r="E77" s="117"/>
      <c r="F77" s="117"/>
    </row>
    <row r="78" spans="1:6" x14ac:dyDescent="0.25">
      <c r="A78" s="115">
        <v>306</v>
      </c>
      <c r="B78" s="115" t="s">
        <v>440</v>
      </c>
      <c r="C78" s="115" t="s">
        <v>340</v>
      </c>
      <c r="D78" s="115">
        <v>-1.83417982882</v>
      </c>
      <c r="E78" s="117"/>
      <c r="F78" s="117"/>
    </row>
    <row r="79" spans="1:6" x14ac:dyDescent="0.25">
      <c r="A79" s="115">
        <v>307</v>
      </c>
      <c r="B79" s="115" t="s">
        <v>442</v>
      </c>
      <c r="C79" s="115" t="s">
        <v>340</v>
      </c>
      <c r="D79" s="115">
        <v>-1.8750020057100001</v>
      </c>
    </row>
    <row r="80" spans="1:6" x14ac:dyDescent="0.25">
      <c r="A80" s="115">
        <v>308</v>
      </c>
      <c r="B80" s="115" t="s">
        <v>444</v>
      </c>
      <c r="C80" s="115" t="s">
        <v>321</v>
      </c>
      <c r="D80" s="115">
        <v>0.58461516065999997</v>
      </c>
    </row>
    <row r="81" spans="1:6" x14ac:dyDescent="0.25">
      <c r="A81" s="115">
        <v>309</v>
      </c>
      <c r="B81" s="115" t="s">
        <v>446</v>
      </c>
      <c r="C81" s="115" t="s">
        <v>321</v>
      </c>
      <c r="D81" s="115">
        <v>-0.18680904856</v>
      </c>
      <c r="E81" s="117"/>
      <c r="F81" s="117"/>
    </row>
    <row r="82" spans="1:6" x14ac:dyDescent="0.25">
      <c r="A82" s="115">
        <v>310</v>
      </c>
      <c r="B82" s="115" t="s">
        <v>448</v>
      </c>
      <c r="C82" s="115" t="s">
        <v>321</v>
      </c>
      <c r="D82" s="115">
        <v>-0.11525581364</v>
      </c>
      <c r="E82" s="117"/>
      <c r="F82" s="117"/>
    </row>
    <row r="83" spans="1:6" x14ac:dyDescent="0.25">
      <c r="A83" s="115">
        <v>311</v>
      </c>
      <c r="B83" s="115" t="s">
        <v>450</v>
      </c>
      <c r="C83" s="115" t="s">
        <v>340</v>
      </c>
      <c r="D83" s="115">
        <v>0</v>
      </c>
    </row>
    <row r="84" spans="1:6" x14ac:dyDescent="0.25">
      <c r="A84" s="115">
        <v>312</v>
      </c>
      <c r="B84" s="115" t="s">
        <v>452</v>
      </c>
      <c r="C84" s="115" t="s">
        <v>340</v>
      </c>
      <c r="D84" s="115">
        <v>0</v>
      </c>
    </row>
    <row r="85" spans="1:6" x14ac:dyDescent="0.25">
      <c r="A85" s="115">
        <v>313</v>
      </c>
      <c r="B85" s="115" t="s">
        <v>454</v>
      </c>
      <c r="C85" s="115" t="s">
        <v>321</v>
      </c>
      <c r="D85" s="115">
        <v>0.11275167466</v>
      </c>
      <c r="E85" s="117"/>
      <c r="F85" s="117"/>
    </row>
    <row r="86" spans="1:6" x14ac:dyDescent="0.25">
      <c r="A86" s="115">
        <v>314</v>
      </c>
      <c r="B86" s="115" t="s">
        <v>456</v>
      </c>
      <c r="C86" s="115" t="s">
        <v>321</v>
      </c>
      <c r="D86" s="115">
        <v>-0.47378038370999997</v>
      </c>
    </row>
    <row r="87" spans="1:6" x14ac:dyDescent="0.25">
      <c r="A87" s="115">
        <v>316</v>
      </c>
      <c r="B87" s="115" t="s">
        <v>459</v>
      </c>
      <c r="C87" s="115" t="s">
        <v>340</v>
      </c>
      <c r="D87" s="115">
        <v>0</v>
      </c>
    </row>
    <row r="88" spans="1:6" x14ac:dyDescent="0.25">
      <c r="A88" s="115">
        <v>317</v>
      </c>
      <c r="B88" s="115" t="s">
        <v>461</v>
      </c>
      <c r="C88" s="115" t="s">
        <v>321</v>
      </c>
      <c r="D88" s="115">
        <v>1.25074400924</v>
      </c>
    </row>
    <row r="89" spans="1:6" x14ac:dyDescent="0.25">
      <c r="A89" s="115">
        <v>318</v>
      </c>
      <c r="B89" s="115" t="s">
        <v>463</v>
      </c>
      <c r="C89" s="115" t="s">
        <v>321</v>
      </c>
      <c r="D89" s="115">
        <v>1.7780840091600001</v>
      </c>
    </row>
    <row r="90" spans="1:6" x14ac:dyDescent="0.25">
      <c r="A90" s="115">
        <v>319</v>
      </c>
      <c r="B90" s="115" t="s">
        <v>465</v>
      </c>
      <c r="C90" s="115" t="s">
        <v>321</v>
      </c>
      <c r="D90" s="115">
        <v>0.58933089640000003</v>
      </c>
    </row>
    <row r="91" spans="1:6" x14ac:dyDescent="0.25">
      <c r="A91" s="115">
        <v>320</v>
      </c>
      <c r="B91" s="115" t="s">
        <v>467</v>
      </c>
      <c r="C91" s="115" t="s">
        <v>321</v>
      </c>
      <c r="D91" s="117">
        <v>1.2248944044500001</v>
      </c>
      <c r="E91" s="117"/>
      <c r="F91" s="117"/>
    </row>
    <row r="92" spans="1:6" x14ac:dyDescent="0.25">
      <c r="A92" s="115">
        <v>321</v>
      </c>
      <c r="B92" s="115" t="s">
        <v>469</v>
      </c>
      <c r="C92" s="115" t="s">
        <v>321</v>
      </c>
      <c r="D92" s="117">
        <v>-0.64118983166999999</v>
      </c>
      <c r="E92" s="117"/>
      <c r="F92" s="117"/>
    </row>
    <row r="93" spans="1:6" x14ac:dyDescent="0.25">
      <c r="A93" s="115">
        <v>322</v>
      </c>
      <c r="B93" s="115" t="s">
        <v>471</v>
      </c>
      <c r="C93" s="115" t="s">
        <v>321</v>
      </c>
      <c r="D93" s="115">
        <v>-0.26216348222000002</v>
      </c>
      <c r="E93" s="117"/>
      <c r="F93" s="117"/>
    </row>
    <row r="94" spans="1:6" x14ac:dyDescent="0.25">
      <c r="A94" s="115">
        <v>323</v>
      </c>
      <c r="B94" s="115" t="s">
        <v>473</v>
      </c>
      <c r="C94" s="115" t="s">
        <v>321</v>
      </c>
      <c r="D94" s="115">
        <v>-0.34261970775</v>
      </c>
      <c r="E94" s="117"/>
      <c r="F94" s="117"/>
    </row>
    <row r="95" spans="1:6" x14ac:dyDescent="0.25">
      <c r="A95" s="115">
        <v>324</v>
      </c>
      <c r="B95" s="115" t="s">
        <v>475</v>
      </c>
      <c r="C95" s="115" t="s">
        <v>340</v>
      </c>
      <c r="D95" s="117">
        <v>0</v>
      </c>
      <c r="E95" s="117"/>
    </row>
    <row r="96" spans="1:6" x14ac:dyDescent="0.25">
      <c r="A96" s="115">
        <v>325</v>
      </c>
      <c r="B96" s="115" t="s">
        <v>477</v>
      </c>
      <c r="C96" s="115" t="s">
        <v>340</v>
      </c>
      <c r="D96" s="115">
        <v>0</v>
      </c>
      <c r="E96" s="117"/>
      <c r="F96" s="117"/>
    </row>
    <row r="97" spans="1:6" x14ac:dyDescent="0.25">
      <c r="A97" s="115">
        <v>326</v>
      </c>
      <c r="B97" s="115" t="s">
        <v>479</v>
      </c>
      <c r="C97" s="115" t="s">
        <v>340</v>
      </c>
      <c r="D97" s="115">
        <v>0</v>
      </c>
      <c r="E97" s="117"/>
      <c r="F97" s="117"/>
    </row>
    <row r="98" spans="1:6" x14ac:dyDescent="0.25">
      <c r="A98" s="115">
        <v>327</v>
      </c>
      <c r="B98" s="115" t="s">
        <v>481</v>
      </c>
      <c r="C98" s="115" t="s">
        <v>340</v>
      </c>
      <c r="D98" s="115">
        <v>0</v>
      </c>
      <c r="E98" s="117"/>
      <c r="F98" s="117"/>
    </row>
    <row r="99" spans="1:6" x14ac:dyDescent="0.25">
      <c r="A99" s="115">
        <v>328</v>
      </c>
      <c r="B99" s="115" t="s">
        <v>1185</v>
      </c>
      <c r="C99" s="115" t="s">
        <v>340</v>
      </c>
      <c r="D99" s="115">
        <v>0</v>
      </c>
    </row>
    <row r="100" spans="1:6" x14ac:dyDescent="0.25">
      <c r="A100" s="115">
        <v>329</v>
      </c>
      <c r="B100" s="115" t="s">
        <v>483</v>
      </c>
      <c r="C100" s="115" t="s">
        <v>321</v>
      </c>
      <c r="D100" s="117">
        <v>6.6231123020000005E-2</v>
      </c>
      <c r="E100" s="117"/>
      <c r="F100" s="117"/>
    </row>
    <row r="101" spans="1:6" x14ac:dyDescent="0.25">
      <c r="A101" s="115">
        <v>330</v>
      </c>
      <c r="B101" s="115" t="s">
        <v>1186</v>
      </c>
      <c r="C101" s="115" t="s">
        <v>340</v>
      </c>
      <c r="D101" s="115">
        <v>0</v>
      </c>
    </row>
    <row r="102" spans="1:6" x14ac:dyDescent="0.25">
      <c r="A102" s="115">
        <v>331</v>
      </c>
      <c r="B102" s="115" t="s">
        <v>484</v>
      </c>
      <c r="C102" s="115" t="s">
        <v>321</v>
      </c>
      <c r="D102" s="117">
        <v>7.8148553590000003E-2</v>
      </c>
      <c r="E102" s="117"/>
      <c r="F102" s="117"/>
    </row>
    <row r="103" spans="1:6" x14ac:dyDescent="0.25">
      <c r="A103" s="115">
        <v>332</v>
      </c>
      <c r="B103" s="115" t="s">
        <v>1187</v>
      </c>
      <c r="C103" s="115" t="s">
        <v>321</v>
      </c>
      <c r="D103" s="115">
        <v>-0.36162839107</v>
      </c>
      <c r="E103" s="117"/>
      <c r="F103" s="117"/>
    </row>
    <row r="104" spans="1:6" x14ac:dyDescent="0.25">
      <c r="A104" s="115">
        <v>333</v>
      </c>
      <c r="B104" s="115" t="s">
        <v>1188</v>
      </c>
      <c r="C104" s="115" t="s">
        <v>321</v>
      </c>
      <c r="D104" s="115">
        <v>-0.16749789355</v>
      </c>
      <c r="E104" s="117"/>
      <c r="F104" s="117"/>
    </row>
    <row r="105" spans="1:6" x14ac:dyDescent="0.25">
      <c r="A105" s="115">
        <v>351</v>
      </c>
      <c r="B105" s="115" t="s">
        <v>485</v>
      </c>
      <c r="C105" s="115" t="s">
        <v>340</v>
      </c>
      <c r="D105" s="117">
        <v>-1.0623648370200001</v>
      </c>
      <c r="E105" s="117"/>
      <c r="F105" s="117"/>
    </row>
    <row r="106" spans="1:6" x14ac:dyDescent="0.25">
      <c r="A106" s="115">
        <v>400</v>
      </c>
      <c r="B106" s="115" t="s">
        <v>487</v>
      </c>
      <c r="C106" s="115" t="s">
        <v>321</v>
      </c>
      <c r="D106" s="117">
        <v>-1.5432299922999999</v>
      </c>
      <c r="E106" s="117"/>
      <c r="F106" s="117"/>
    </row>
    <row r="107" spans="1:6" x14ac:dyDescent="0.25">
      <c r="A107" s="115">
        <v>401</v>
      </c>
      <c r="B107" s="115" t="s">
        <v>489</v>
      </c>
      <c r="C107" s="115" t="s">
        <v>321</v>
      </c>
      <c r="D107" s="115">
        <v>3.31854492639</v>
      </c>
      <c r="E107" s="117"/>
      <c r="F107" s="117"/>
    </row>
    <row r="108" spans="1:6" x14ac:dyDescent="0.25">
      <c r="A108" s="115">
        <v>402</v>
      </c>
      <c r="B108" s="115" t="s">
        <v>491</v>
      </c>
      <c r="C108" s="115" t="s">
        <v>321</v>
      </c>
      <c r="D108" s="115">
        <v>2.8035772453900001</v>
      </c>
      <c r="E108" s="117"/>
      <c r="F108" s="117"/>
    </row>
    <row r="109" spans="1:6" x14ac:dyDescent="0.25">
      <c r="A109" s="115">
        <v>403</v>
      </c>
      <c r="B109" s="115" t="s">
        <v>493</v>
      </c>
      <c r="C109" s="115" t="s">
        <v>321</v>
      </c>
      <c r="D109" s="115">
        <v>-0.24624373095999999</v>
      </c>
    </row>
    <row r="110" spans="1:6" x14ac:dyDescent="0.25">
      <c r="A110" s="115">
        <v>404</v>
      </c>
      <c r="B110" s="115" t="s">
        <v>495</v>
      </c>
      <c r="C110" s="115" t="s">
        <v>321</v>
      </c>
      <c r="D110" s="115">
        <v>-1.1659743151199999</v>
      </c>
    </row>
    <row r="111" spans="1:6" x14ac:dyDescent="0.25">
      <c r="A111" s="115">
        <v>405</v>
      </c>
      <c r="B111" s="115" t="s">
        <v>497</v>
      </c>
      <c r="C111" s="115" t="s">
        <v>340</v>
      </c>
      <c r="D111" s="115">
        <v>-2.0528822094499999</v>
      </c>
    </row>
    <row r="112" spans="1:6" x14ac:dyDescent="0.25">
      <c r="A112" s="115">
        <v>406</v>
      </c>
      <c r="B112" s="115" t="s">
        <v>499</v>
      </c>
      <c r="C112" s="115" t="s">
        <v>321</v>
      </c>
      <c r="D112" s="115">
        <v>-2.4818889930700001</v>
      </c>
    </row>
    <row r="113" spans="1:6" x14ac:dyDescent="0.25">
      <c r="A113" s="115">
        <v>407</v>
      </c>
      <c r="B113" s="115" t="s">
        <v>501</v>
      </c>
      <c r="C113" s="115" t="s">
        <v>321</v>
      </c>
      <c r="D113" s="115">
        <v>-1.73055593888</v>
      </c>
    </row>
    <row r="114" spans="1:6" x14ac:dyDescent="0.25">
      <c r="A114" s="115">
        <v>408</v>
      </c>
      <c r="B114" s="115" t="s">
        <v>503</v>
      </c>
      <c r="C114" s="115" t="s">
        <v>321</v>
      </c>
      <c r="D114" s="115">
        <v>-0.41495252702000002</v>
      </c>
      <c r="E114" s="117"/>
      <c r="F114" s="117"/>
    </row>
    <row r="115" spans="1:6" x14ac:dyDescent="0.25">
      <c r="A115" s="115">
        <v>409</v>
      </c>
      <c r="B115" s="115" t="s">
        <v>505</v>
      </c>
      <c r="C115" s="115" t="s">
        <v>321</v>
      </c>
      <c r="D115" s="117">
        <v>-7.0369393259999996E-2</v>
      </c>
      <c r="E115" s="117"/>
      <c r="F115" s="117"/>
    </row>
    <row r="116" spans="1:6" x14ac:dyDescent="0.25">
      <c r="A116" s="115">
        <v>410</v>
      </c>
      <c r="B116" s="115" t="s">
        <v>507</v>
      </c>
      <c r="C116" s="115" t="s">
        <v>340</v>
      </c>
      <c r="D116" s="115">
        <v>0</v>
      </c>
      <c r="E116" s="117"/>
      <c r="F116" s="117"/>
    </row>
    <row r="117" spans="1:6" x14ac:dyDescent="0.25">
      <c r="A117" s="115">
        <v>411</v>
      </c>
      <c r="B117" s="115" t="s">
        <v>509</v>
      </c>
      <c r="C117" s="115" t="s">
        <v>321</v>
      </c>
      <c r="D117" s="115">
        <v>0.11538390076</v>
      </c>
      <c r="E117" s="117"/>
      <c r="F117" s="117"/>
    </row>
    <row r="118" spans="1:6" x14ac:dyDescent="0.25">
      <c r="A118" s="115">
        <v>412</v>
      </c>
      <c r="B118" s="115" t="s">
        <v>511</v>
      </c>
      <c r="C118" s="115" t="s">
        <v>321</v>
      </c>
      <c r="D118" s="117">
        <v>2.96634151E-2</v>
      </c>
      <c r="E118" s="117"/>
      <c r="F118" s="117"/>
    </row>
    <row r="119" spans="1:6" x14ac:dyDescent="0.25">
      <c r="A119" s="115">
        <v>413</v>
      </c>
      <c r="B119" s="115" t="s">
        <v>513</v>
      </c>
      <c r="C119" s="115" t="s">
        <v>340</v>
      </c>
      <c r="D119" s="115">
        <v>0</v>
      </c>
    </row>
    <row r="120" spans="1:6" x14ac:dyDescent="0.25">
      <c r="A120" s="115">
        <v>414</v>
      </c>
      <c r="B120" s="115" t="s">
        <v>515</v>
      </c>
      <c r="C120" s="115" t="s">
        <v>340</v>
      </c>
      <c r="D120" s="115">
        <v>0</v>
      </c>
    </row>
    <row r="121" spans="1:6" x14ac:dyDescent="0.25">
      <c r="A121" s="115">
        <v>416</v>
      </c>
      <c r="B121" s="115" t="s">
        <v>518</v>
      </c>
      <c r="C121" s="115" t="s">
        <v>340</v>
      </c>
      <c r="D121" s="117">
        <v>0</v>
      </c>
      <c r="E121" s="117"/>
      <c r="F121" s="117"/>
    </row>
    <row r="122" spans="1:6" x14ac:dyDescent="0.25">
      <c r="A122" s="115">
        <v>417</v>
      </c>
      <c r="B122" s="115" t="s">
        <v>520</v>
      </c>
      <c r="C122" s="115" t="s">
        <v>321</v>
      </c>
      <c r="D122" s="117">
        <v>-0.38489686671000001</v>
      </c>
      <c r="E122" s="117"/>
      <c r="F122" s="117"/>
    </row>
    <row r="123" spans="1:6" x14ac:dyDescent="0.25">
      <c r="A123" s="115">
        <v>418</v>
      </c>
      <c r="B123" s="115" t="s">
        <v>522</v>
      </c>
      <c r="C123" s="115" t="s">
        <v>321</v>
      </c>
      <c r="D123" s="115">
        <v>-0.29875526683999998</v>
      </c>
    </row>
    <row r="124" spans="1:6" x14ac:dyDescent="0.25">
      <c r="A124" s="115">
        <v>419</v>
      </c>
      <c r="B124" s="115" t="s">
        <v>524</v>
      </c>
      <c r="C124" s="115" t="s">
        <v>340</v>
      </c>
      <c r="D124" s="115">
        <v>0</v>
      </c>
    </row>
    <row r="125" spans="1:6" x14ac:dyDescent="0.25">
      <c r="A125" s="115">
        <v>420</v>
      </c>
      <c r="B125" s="115" t="s">
        <v>526</v>
      </c>
      <c r="C125" s="115" t="s">
        <v>321</v>
      </c>
      <c r="D125" s="115">
        <v>-0.45044495679000002</v>
      </c>
    </row>
    <row r="126" spans="1:6" x14ac:dyDescent="0.25">
      <c r="A126" s="115">
        <v>421</v>
      </c>
      <c r="B126" s="115" t="s">
        <v>528</v>
      </c>
      <c r="C126" s="115" t="s">
        <v>321</v>
      </c>
      <c r="D126" s="115">
        <v>-0.30637165113999998</v>
      </c>
      <c r="E126" s="117"/>
      <c r="F126" s="117"/>
    </row>
    <row r="127" spans="1:6" x14ac:dyDescent="0.25">
      <c r="A127" s="115">
        <v>422</v>
      </c>
      <c r="B127" s="115" t="s">
        <v>530</v>
      </c>
      <c r="C127" s="115" t="s">
        <v>321</v>
      </c>
      <c r="D127" s="115">
        <v>-0.20794112521999999</v>
      </c>
      <c r="E127" s="117"/>
      <c r="F127" s="117"/>
    </row>
    <row r="128" spans="1:6" x14ac:dyDescent="0.25">
      <c r="A128" s="115">
        <v>423</v>
      </c>
      <c r="B128" s="115" t="s">
        <v>532</v>
      </c>
      <c r="C128" s="115" t="s">
        <v>321</v>
      </c>
      <c r="D128" s="117">
        <v>6.3943550629999998E-2</v>
      </c>
      <c r="E128" s="117"/>
      <c r="F128" s="117"/>
    </row>
    <row r="129" spans="1:6" x14ac:dyDescent="0.25">
      <c r="A129" s="115">
        <v>424</v>
      </c>
      <c r="B129" s="115" t="s">
        <v>534</v>
      </c>
      <c r="C129" s="115" t="s">
        <v>340</v>
      </c>
      <c r="D129" s="115">
        <v>0</v>
      </c>
    </row>
    <row r="130" spans="1:6" x14ac:dyDescent="0.25">
      <c r="A130" s="115">
        <v>425</v>
      </c>
      <c r="B130" s="115" t="s">
        <v>536</v>
      </c>
      <c r="C130" s="115" t="s">
        <v>340</v>
      </c>
      <c r="D130" s="115">
        <v>0</v>
      </c>
    </row>
    <row r="131" spans="1:6" x14ac:dyDescent="0.25">
      <c r="A131" s="115">
        <v>426</v>
      </c>
      <c r="B131" s="115" t="s">
        <v>538</v>
      </c>
      <c r="C131" s="115" t="s">
        <v>340</v>
      </c>
      <c r="D131" s="115">
        <v>0</v>
      </c>
    </row>
    <row r="132" spans="1:6" x14ac:dyDescent="0.25">
      <c r="A132" s="115">
        <v>427</v>
      </c>
      <c r="B132" s="115" t="s">
        <v>540</v>
      </c>
      <c r="C132" s="115" t="s">
        <v>340</v>
      </c>
      <c r="D132" s="115">
        <v>0</v>
      </c>
    </row>
    <row r="133" spans="1:6" x14ac:dyDescent="0.25">
      <c r="A133" s="115">
        <v>428</v>
      </c>
      <c r="B133" s="115" t="s">
        <v>1189</v>
      </c>
      <c r="C133" s="115" t="s">
        <v>340</v>
      </c>
      <c r="D133" s="115">
        <v>0</v>
      </c>
      <c r="E133" s="117"/>
      <c r="F133" s="117"/>
    </row>
    <row r="134" spans="1:6" x14ac:dyDescent="0.25">
      <c r="A134" s="115">
        <v>429</v>
      </c>
      <c r="B134" s="115" t="s">
        <v>542</v>
      </c>
      <c r="C134" s="115" t="s">
        <v>321</v>
      </c>
      <c r="D134" s="117">
        <v>2.930861446E-2</v>
      </c>
      <c r="E134" s="117"/>
      <c r="F134" s="117"/>
    </row>
    <row r="135" spans="1:6" x14ac:dyDescent="0.25">
      <c r="A135" s="115">
        <v>430</v>
      </c>
      <c r="B135" s="115" t="s">
        <v>1190</v>
      </c>
      <c r="C135" s="115" t="s">
        <v>340</v>
      </c>
      <c r="D135" s="115">
        <v>0</v>
      </c>
    </row>
    <row r="136" spans="1:6" x14ac:dyDescent="0.25">
      <c r="A136" s="115">
        <v>431</v>
      </c>
      <c r="B136" s="115" t="s">
        <v>543</v>
      </c>
      <c r="C136" s="115" t="s">
        <v>321</v>
      </c>
      <c r="D136" s="117">
        <v>-7.5671272809999995E-2</v>
      </c>
      <c r="E136" s="117"/>
      <c r="F136" s="117"/>
    </row>
    <row r="137" spans="1:6" x14ac:dyDescent="0.25">
      <c r="A137" s="115">
        <v>432</v>
      </c>
      <c r="B137" s="115" t="s">
        <v>1191</v>
      </c>
      <c r="C137" s="115" t="s">
        <v>321</v>
      </c>
      <c r="D137" s="115">
        <v>-0.97950456358000004</v>
      </c>
      <c r="E137" s="117"/>
      <c r="F137" s="117"/>
    </row>
    <row r="138" spans="1:6" x14ac:dyDescent="0.25">
      <c r="A138" s="115">
        <v>433</v>
      </c>
      <c r="B138" s="115" t="s">
        <v>1192</v>
      </c>
      <c r="C138" s="115" t="s">
        <v>321</v>
      </c>
      <c r="D138" s="115">
        <v>-0.23241280488999999</v>
      </c>
      <c r="E138" s="117"/>
      <c r="F138" s="117"/>
    </row>
    <row r="139" spans="1:6" x14ac:dyDescent="0.25">
      <c r="A139" s="115">
        <v>451</v>
      </c>
      <c r="B139" s="115" t="s">
        <v>544</v>
      </c>
      <c r="C139" s="115" t="s">
        <v>340</v>
      </c>
      <c r="D139" s="115">
        <v>-0.78628794521000001</v>
      </c>
      <c r="E139" s="117"/>
      <c r="F139" s="117"/>
    </row>
    <row r="140" spans="1:6" x14ac:dyDescent="0.25">
      <c r="A140" s="115">
        <v>500</v>
      </c>
      <c r="B140" s="115" t="s">
        <v>546</v>
      </c>
      <c r="C140" s="115" t="s">
        <v>321</v>
      </c>
      <c r="D140" s="115">
        <v>-1.8946560162599999</v>
      </c>
    </row>
    <row r="141" spans="1:6" x14ac:dyDescent="0.25">
      <c r="A141" s="115">
        <v>501</v>
      </c>
      <c r="B141" s="115" t="s">
        <v>548</v>
      </c>
      <c r="C141" s="115" t="s">
        <v>321</v>
      </c>
      <c r="D141" s="115">
        <v>2.2010931360999999</v>
      </c>
    </row>
    <row r="142" spans="1:6" x14ac:dyDescent="0.25">
      <c r="A142" s="115">
        <v>502</v>
      </c>
      <c r="B142" s="115" t="s">
        <v>550</v>
      </c>
      <c r="C142" s="115" t="s">
        <v>321</v>
      </c>
      <c r="D142" s="117">
        <v>2.37096125334</v>
      </c>
      <c r="E142" s="117"/>
      <c r="F142" s="117"/>
    </row>
    <row r="143" spans="1:6" x14ac:dyDescent="0.25">
      <c r="A143" s="115">
        <v>503</v>
      </c>
      <c r="B143" s="115" t="s">
        <v>552</v>
      </c>
      <c r="C143" s="115" t="s">
        <v>321</v>
      </c>
      <c r="D143" s="115">
        <v>-0.75642426743000002</v>
      </c>
      <c r="E143" s="117"/>
      <c r="F143" s="117"/>
    </row>
    <row r="144" spans="1:6" x14ac:dyDescent="0.25">
      <c r="A144" s="115">
        <v>504</v>
      </c>
      <c r="B144" s="115" t="s">
        <v>554</v>
      </c>
      <c r="C144" s="115" t="s">
        <v>321</v>
      </c>
      <c r="D144" s="115">
        <v>-0.80435735085000004</v>
      </c>
      <c r="E144" s="117"/>
      <c r="F144" s="117"/>
    </row>
    <row r="145" spans="1:6" x14ac:dyDescent="0.25">
      <c r="A145" s="115">
        <v>505</v>
      </c>
      <c r="B145" s="115" t="s">
        <v>556</v>
      </c>
      <c r="C145" s="115" t="s">
        <v>321</v>
      </c>
      <c r="D145" s="115">
        <v>-1.32038599973</v>
      </c>
      <c r="E145" s="117"/>
      <c r="F145" s="117"/>
    </row>
    <row r="146" spans="1:6" x14ac:dyDescent="0.25">
      <c r="A146" s="115">
        <v>506</v>
      </c>
      <c r="B146" s="115" t="s">
        <v>558</v>
      </c>
      <c r="C146" s="115" t="s">
        <v>321</v>
      </c>
      <c r="D146" s="115">
        <v>-3.1616474248899999</v>
      </c>
      <c r="E146" s="117"/>
      <c r="F146" s="117"/>
    </row>
    <row r="147" spans="1:6" x14ac:dyDescent="0.25">
      <c r="A147" s="115">
        <v>507</v>
      </c>
      <c r="B147" s="115" t="s">
        <v>560</v>
      </c>
      <c r="C147" s="115" t="s">
        <v>321</v>
      </c>
      <c r="D147" s="115">
        <v>-2.1164686959500001</v>
      </c>
    </row>
    <row r="148" spans="1:6" x14ac:dyDescent="0.25">
      <c r="A148" s="115">
        <v>508</v>
      </c>
      <c r="B148" s="115" t="s">
        <v>562</v>
      </c>
      <c r="C148" s="115" t="s">
        <v>340</v>
      </c>
      <c r="D148" s="115">
        <v>0</v>
      </c>
    </row>
    <row r="149" spans="1:6" x14ac:dyDescent="0.25">
      <c r="A149" s="115">
        <v>509</v>
      </c>
      <c r="B149" s="115" t="s">
        <v>564</v>
      </c>
      <c r="C149" s="115" t="s">
        <v>321</v>
      </c>
      <c r="D149" s="115">
        <v>-0.10456159314000001</v>
      </c>
      <c r="E149" s="117"/>
      <c r="F149" s="117"/>
    </row>
    <row r="150" spans="1:6" x14ac:dyDescent="0.25">
      <c r="A150" s="115">
        <v>510</v>
      </c>
      <c r="B150" s="115" t="s">
        <v>566</v>
      </c>
      <c r="C150" s="115" t="s">
        <v>340</v>
      </c>
      <c r="D150" s="115">
        <v>0</v>
      </c>
    </row>
    <row r="151" spans="1:6" x14ac:dyDescent="0.25">
      <c r="A151" s="115">
        <v>511</v>
      </c>
      <c r="B151" s="115" t="s">
        <v>568</v>
      </c>
      <c r="C151" s="115" t="s">
        <v>340</v>
      </c>
      <c r="D151" s="117">
        <v>0</v>
      </c>
      <c r="E151" s="117"/>
      <c r="F151" s="117"/>
    </row>
    <row r="152" spans="1:6" x14ac:dyDescent="0.25">
      <c r="A152" s="115">
        <v>512</v>
      </c>
      <c r="B152" s="115" t="s">
        <v>570</v>
      </c>
      <c r="C152" s="115" t="s">
        <v>321</v>
      </c>
      <c r="D152" s="117">
        <v>5.745555644E-2</v>
      </c>
      <c r="E152" s="117"/>
      <c r="F152" s="117"/>
    </row>
    <row r="153" spans="1:6" x14ac:dyDescent="0.25">
      <c r="A153" s="115">
        <v>513</v>
      </c>
      <c r="B153" s="115" t="s">
        <v>572</v>
      </c>
      <c r="C153" s="115" t="s">
        <v>321</v>
      </c>
      <c r="D153" s="115">
        <v>0.19161158986999999</v>
      </c>
      <c r="E153" s="117"/>
      <c r="F153" s="117"/>
    </row>
    <row r="154" spans="1:6" x14ac:dyDescent="0.25">
      <c r="A154" s="115">
        <v>514</v>
      </c>
      <c r="B154" s="115" t="s">
        <v>574</v>
      </c>
      <c r="C154" s="115" t="s">
        <v>340</v>
      </c>
      <c r="D154" s="115">
        <v>0</v>
      </c>
    </row>
    <row r="155" spans="1:6" x14ac:dyDescent="0.25">
      <c r="A155" s="115">
        <v>516</v>
      </c>
      <c r="B155" s="115" t="s">
        <v>577</v>
      </c>
      <c r="C155" s="115" t="s">
        <v>321</v>
      </c>
      <c r="D155" s="115">
        <v>0.15645340274</v>
      </c>
      <c r="E155" s="117"/>
      <c r="F155" s="117"/>
    </row>
    <row r="156" spans="1:6" x14ac:dyDescent="0.25">
      <c r="A156" s="115">
        <v>517</v>
      </c>
      <c r="B156" s="115" t="s">
        <v>579</v>
      </c>
      <c r="C156" s="115" t="s">
        <v>340</v>
      </c>
      <c r="D156" s="117">
        <v>0</v>
      </c>
      <c r="E156" s="117"/>
      <c r="F156" s="117"/>
    </row>
    <row r="157" spans="1:6" x14ac:dyDescent="0.25">
      <c r="A157" s="115">
        <v>518</v>
      </c>
      <c r="B157" s="115" t="s">
        <v>581</v>
      </c>
      <c r="C157" s="115" t="s">
        <v>340</v>
      </c>
      <c r="D157" s="115">
        <v>0</v>
      </c>
    </row>
    <row r="158" spans="1:6" x14ac:dyDescent="0.25">
      <c r="A158" s="115">
        <v>519</v>
      </c>
      <c r="B158" s="115" t="s">
        <v>583</v>
      </c>
      <c r="C158" s="115" t="s">
        <v>321</v>
      </c>
      <c r="D158" s="115">
        <v>-0.29155341554999997</v>
      </c>
    </row>
    <row r="159" spans="1:6" x14ac:dyDescent="0.25">
      <c r="A159" s="115">
        <v>520</v>
      </c>
      <c r="B159" s="115" t="s">
        <v>585</v>
      </c>
      <c r="C159" s="115" t="s">
        <v>340</v>
      </c>
      <c r="D159" s="115">
        <v>0</v>
      </c>
    </row>
    <row r="160" spans="1:6" x14ac:dyDescent="0.25">
      <c r="A160" s="115">
        <v>521</v>
      </c>
      <c r="B160" s="115" t="s">
        <v>587</v>
      </c>
      <c r="C160" s="115" t="s">
        <v>321</v>
      </c>
      <c r="D160" s="115">
        <v>-0.23060470699999999</v>
      </c>
    </row>
    <row r="161" spans="1:6" x14ac:dyDescent="0.25">
      <c r="A161" s="115">
        <v>522</v>
      </c>
      <c r="B161" s="115" t="s">
        <v>589</v>
      </c>
      <c r="C161" s="115" t="s">
        <v>321</v>
      </c>
      <c r="D161" s="115">
        <v>-0.30518042548000002</v>
      </c>
    </row>
    <row r="162" spans="1:6" x14ac:dyDescent="0.25">
      <c r="A162" s="115">
        <v>523</v>
      </c>
      <c r="B162" s="115" t="s">
        <v>591</v>
      </c>
      <c r="C162" s="115" t="s">
        <v>321</v>
      </c>
      <c r="D162" s="117">
        <v>4.7427549270000001E-2</v>
      </c>
      <c r="E162" s="117"/>
      <c r="F162" s="117"/>
    </row>
    <row r="163" spans="1:6" x14ac:dyDescent="0.25">
      <c r="A163" s="115">
        <v>524</v>
      </c>
      <c r="B163" s="115" t="s">
        <v>593</v>
      </c>
      <c r="C163" s="115" t="s">
        <v>340</v>
      </c>
      <c r="D163" s="115">
        <v>0</v>
      </c>
      <c r="E163" s="117"/>
      <c r="F163" s="117"/>
    </row>
    <row r="164" spans="1:6" x14ac:dyDescent="0.25">
      <c r="A164" s="115">
        <v>525</v>
      </c>
      <c r="B164" s="115" t="s">
        <v>595</v>
      </c>
      <c r="C164" s="115" t="s">
        <v>340</v>
      </c>
      <c r="D164" s="117">
        <v>0</v>
      </c>
      <c r="E164" s="117"/>
      <c r="F164" s="117"/>
    </row>
    <row r="165" spans="1:6" x14ac:dyDescent="0.25">
      <c r="A165" s="115">
        <v>526</v>
      </c>
      <c r="B165" s="115" t="s">
        <v>597</v>
      </c>
      <c r="C165" s="115" t="s">
        <v>340</v>
      </c>
      <c r="D165" s="115">
        <v>0</v>
      </c>
    </row>
    <row r="166" spans="1:6" x14ac:dyDescent="0.25">
      <c r="A166" s="115">
        <v>527</v>
      </c>
      <c r="B166" s="115" t="s">
        <v>599</v>
      </c>
      <c r="C166" s="115" t="s">
        <v>340</v>
      </c>
      <c r="D166" s="115">
        <v>0</v>
      </c>
      <c r="E166" s="117"/>
      <c r="F166" s="117"/>
    </row>
    <row r="167" spans="1:6" x14ac:dyDescent="0.25">
      <c r="A167" s="115">
        <v>528</v>
      </c>
      <c r="B167" s="115" t="s">
        <v>1193</v>
      </c>
      <c r="C167" s="115" t="s">
        <v>340</v>
      </c>
      <c r="D167" s="115">
        <v>0</v>
      </c>
    </row>
    <row r="168" spans="1:6" x14ac:dyDescent="0.25">
      <c r="A168" s="115">
        <v>529</v>
      </c>
      <c r="B168" s="115" t="s">
        <v>601</v>
      </c>
      <c r="C168" s="115" t="s">
        <v>321</v>
      </c>
      <c r="D168" s="117">
        <v>3.2339996109999998E-2</v>
      </c>
      <c r="E168" s="117"/>
      <c r="F168" s="117"/>
    </row>
    <row r="169" spans="1:6" x14ac:dyDescent="0.25">
      <c r="A169" s="115">
        <v>530</v>
      </c>
      <c r="B169" s="115" t="s">
        <v>1194</v>
      </c>
      <c r="C169" s="115" t="s">
        <v>340</v>
      </c>
      <c r="D169" s="117">
        <v>0</v>
      </c>
      <c r="E169" s="117"/>
      <c r="F169" s="117"/>
    </row>
    <row r="170" spans="1:6" x14ac:dyDescent="0.25">
      <c r="A170" s="115">
        <v>531</v>
      </c>
      <c r="B170" s="115" t="s">
        <v>602</v>
      </c>
      <c r="C170" s="115" t="s">
        <v>321</v>
      </c>
      <c r="D170" s="117">
        <v>-3.6036766669999998E-2</v>
      </c>
      <c r="E170" s="117"/>
      <c r="F170" s="117"/>
    </row>
    <row r="171" spans="1:6" x14ac:dyDescent="0.25">
      <c r="A171" s="115">
        <v>532</v>
      </c>
      <c r="B171" s="115" t="s">
        <v>1195</v>
      </c>
      <c r="C171" s="115" t="s">
        <v>321</v>
      </c>
      <c r="D171" s="115">
        <v>-0.89221574083999999</v>
      </c>
      <c r="E171" s="117"/>
      <c r="F171" s="117"/>
    </row>
    <row r="172" spans="1:6" x14ac:dyDescent="0.25">
      <c r="A172" s="115">
        <v>533</v>
      </c>
      <c r="B172" s="115" t="s">
        <v>1196</v>
      </c>
      <c r="C172" s="115" t="s">
        <v>321</v>
      </c>
      <c r="D172" s="115">
        <v>-0.21394173623000001</v>
      </c>
      <c r="E172" s="117"/>
      <c r="F172" s="117"/>
    </row>
    <row r="173" spans="1:6" x14ac:dyDescent="0.25">
      <c r="A173" s="115">
        <v>551</v>
      </c>
      <c r="B173" s="115" t="s">
        <v>603</v>
      </c>
      <c r="C173" s="115" t="s">
        <v>340</v>
      </c>
      <c r="D173" s="115">
        <v>-0.95312305667999997</v>
      </c>
    </row>
    <row r="174" spans="1:6" x14ac:dyDescent="0.25">
      <c r="A174" s="115">
        <v>600</v>
      </c>
      <c r="B174" s="115" t="s">
        <v>605</v>
      </c>
      <c r="C174" s="115" t="s">
        <v>321</v>
      </c>
      <c r="D174" s="115">
        <v>-2.06583195268</v>
      </c>
    </row>
    <row r="175" spans="1:6" x14ac:dyDescent="0.25">
      <c r="A175" s="115">
        <v>601</v>
      </c>
      <c r="B175" s="115" t="s">
        <v>607</v>
      </c>
      <c r="C175" s="115" t="s">
        <v>321</v>
      </c>
      <c r="D175" s="115">
        <v>1.6525579475700001</v>
      </c>
    </row>
    <row r="176" spans="1:6" x14ac:dyDescent="0.25">
      <c r="A176" s="115">
        <v>602</v>
      </c>
      <c r="B176" s="115" t="s">
        <v>609</v>
      </c>
      <c r="C176" s="115" t="s">
        <v>321</v>
      </c>
      <c r="D176" s="115">
        <v>0.50535074812000003</v>
      </c>
    </row>
    <row r="177" spans="1:6" x14ac:dyDescent="0.25">
      <c r="A177" s="115">
        <v>603</v>
      </c>
      <c r="B177" s="115" t="s">
        <v>611</v>
      </c>
      <c r="C177" s="115" t="s">
        <v>340</v>
      </c>
      <c r="D177" s="115">
        <v>-0.82288544304</v>
      </c>
    </row>
    <row r="178" spans="1:6" x14ac:dyDescent="0.25">
      <c r="A178" s="115">
        <v>604</v>
      </c>
      <c r="B178" s="115" t="s">
        <v>613</v>
      </c>
      <c r="C178" s="115" t="s">
        <v>340</v>
      </c>
      <c r="D178" s="115">
        <v>-1.4950205351900001</v>
      </c>
    </row>
    <row r="179" spans="1:6" x14ac:dyDescent="0.25">
      <c r="A179" s="115">
        <v>605</v>
      </c>
      <c r="B179" s="115" t="s">
        <v>615</v>
      </c>
      <c r="C179" s="115" t="s">
        <v>340</v>
      </c>
      <c r="D179" s="115">
        <v>-0.96389520255000005</v>
      </c>
    </row>
    <row r="180" spans="1:6" x14ac:dyDescent="0.25">
      <c r="A180" s="115">
        <v>606</v>
      </c>
      <c r="B180" s="115" t="s">
        <v>617</v>
      </c>
      <c r="C180" s="115" t="s">
        <v>321</v>
      </c>
      <c r="D180" s="115">
        <v>-2.9948228206800001</v>
      </c>
    </row>
    <row r="181" spans="1:6" x14ac:dyDescent="0.25">
      <c r="A181" s="115">
        <v>607</v>
      </c>
      <c r="B181" s="115" t="s">
        <v>619</v>
      </c>
      <c r="C181" s="115" t="s">
        <v>321</v>
      </c>
      <c r="D181" s="117">
        <v>-1.98828318011</v>
      </c>
      <c r="E181" s="117"/>
      <c r="F181" s="117"/>
    </row>
    <row r="182" spans="1:6" x14ac:dyDescent="0.25">
      <c r="A182" s="115">
        <v>608</v>
      </c>
      <c r="B182" s="115" t="s">
        <v>621</v>
      </c>
      <c r="C182" s="115" t="s">
        <v>321</v>
      </c>
      <c r="D182" s="117">
        <v>-0.28195572471000002</v>
      </c>
      <c r="E182" s="117"/>
      <c r="F182" s="117"/>
    </row>
    <row r="183" spans="1:6" x14ac:dyDescent="0.25">
      <c r="A183" s="115">
        <v>609</v>
      </c>
      <c r="B183" s="115" t="s">
        <v>623</v>
      </c>
      <c r="C183" s="115" t="s">
        <v>321</v>
      </c>
      <c r="D183" s="115">
        <v>-0.10168568981999999</v>
      </c>
      <c r="E183" s="117"/>
      <c r="F183" s="117"/>
    </row>
    <row r="184" spans="1:6" x14ac:dyDescent="0.25">
      <c r="A184" s="115">
        <v>610</v>
      </c>
      <c r="B184" s="115" t="s">
        <v>625</v>
      </c>
      <c r="C184" s="115" t="s">
        <v>321</v>
      </c>
      <c r="D184" s="115">
        <v>-0.12921988157</v>
      </c>
      <c r="E184" s="117"/>
      <c r="F184" s="117"/>
    </row>
    <row r="185" spans="1:6" x14ac:dyDescent="0.25">
      <c r="A185" s="115">
        <v>611</v>
      </c>
      <c r="B185" s="115" t="s">
        <v>627</v>
      </c>
      <c r="C185" s="115" t="s">
        <v>340</v>
      </c>
      <c r="D185" s="115">
        <v>0</v>
      </c>
    </row>
    <row r="186" spans="1:6" x14ac:dyDescent="0.25">
      <c r="A186" s="115">
        <v>612</v>
      </c>
      <c r="B186" s="115" t="s">
        <v>629</v>
      </c>
      <c r="C186" s="115" t="s">
        <v>321</v>
      </c>
      <c r="D186" s="117">
        <v>8.0869880239999997E-2</v>
      </c>
      <c r="E186" s="117"/>
      <c r="F186" s="117"/>
    </row>
    <row r="187" spans="1:6" x14ac:dyDescent="0.25">
      <c r="A187" s="115">
        <v>613</v>
      </c>
      <c r="B187" s="115" t="s">
        <v>631</v>
      </c>
      <c r="C187" s="115" t="s">
        <v>340</v>
      </c>
      <c r="D187" s="115">
        <v>0</v>
      </c>
    </row>
    <row r="188" spans="1:6" x14ac:dyDescent="0.25">
      <c r="A188" s="115">
        <v>614</v>
      </c>
      <c r="B188" s="115" t="s">
        <v>633</v>
      </c>
      <c r="C188" s="115" t="s">
        <v>340</v>
      </c>
      <c r="D188" s="115">
        <v>0</v>
      </c>
    </row>
    <row r="189" spans="1:6" x14ac:dyDescent="0.25">
      <c r="A189" s="115">
        <v>616</v>
      </c>
      <c r="B189" s="115" t="s">
        <v>636</v>
      </c>
      <c r="C189" s="115" t="s">
        <v>321</v>
      </c>
      <c r="D189" s="115">
        <v>-0.16267799775</v>
      </c>
      <c r="E189" s="117"/>
      <c r="F189" s="117"/>
    </row>
    <row r="190" spans="1:6" x14ac:dyDescent="0.25">
      <c r="A190" s="115">
        <v>617</v>
      </c>
      <c r="B190" s="115" t="s">
        <v>638</v>
      </c>
      <c r="C190" s="115" t="s">
        <v>340</v>
      </c>
      <c r="D190" s="115">
        <v>0</v>
      </c>
    </row>
    <row r="191" spans="1:6" x14ac:dyDescent="0.25">
      <c r="A191" s="115">
        <v>618</v>
      </c>
      <c r="B191" s="115" t="s">
        <v>640</v>
      </c>
      <c r="C191" s="115" t="s">
        <v>321</v>
      </c>
      <c r="D191" s="115">
        <v>-0.77288709444000003</v>
      </c>
    </row>
    <row r="192" spans="1:6" x14ac:dyDescent="0.25">
      <c r="A192" s="115">
        <v>619</v>
      </c>
      <c r="B192" s="115" t="s">
        <v>642</v>
      </c>
      <c r="C192" s="115" t="s">
        <v>340</v>
      </c>
      <c r="D192" s="115">
        <v>0</v>
      </c>
      <c r="E192" s="117"/>
      <c r="F192" s="117"/>
    </row>
    <row r="193" spans="1:6" x14ac:dyDescent="0.25">
      <c r="A193" s="115">
        <v>620</v>
      </c>
      <c r="B193" s="115" t="s">
        <v>644</v>
      </c>
      <c r="C193" s="115" t="s">
        <v>321</v>
      </c>
      <c r="D193" s="115">
        <v>-0.51821598620999998</v>
      </c>
      <c r="E193" s="117"/>
      <c r="F193" s="117"/>
    </row>
    <row r="194" spans="1:6" x14ac:dyDescent="0.25">
      <c r="A194" s="115">
        <v>621</v>
      </c>
      <c r="B194" s="115" t="s">
        <v>646</v>
      </c>
      <c r="C194" s="115" t="s">
        <v>340</v>
      </c>
      <c r="D194" s="117">
        <v>0</v>
      </c>
      <c r="E194" s="117"/>
      <c r="F194" s="117"/>
    </row>
    <row r="195" spans="1:6" x14ac:dyDescent="0.25">
      <c r="A195" s="115">
        <v>622</v>
      </c>
      <c r="B195" s="115" t="s">
        <v>648</v>
      </c>
      <c r="C195" s="115" t="s">
        <v>340</v>
      </c>
      <c r="D195" s="115">
        <v>0</v>
      </c>
      <c r="E195" s="117"/>
      <c r="F195" s="117"/>
    </row>
    <row r="196" spans="1:6" x14ac:dyDescent="0.25">
      <c r="A196" s="115">
        <v>623</v>
      </c>
      <c r="B196" s="115" t="s">
        <v>650</v>
      </c>
      <c r="C196" s="115" t="s">
        <v>340</v>
      </c>
      <c r="D196" s="115">
        <v>0</v>
      </c>
      <c r="E196" s="117"/>
      <c r="F196" s="117"/>
    </row>
    <row r="197" spans="1:6" x14ac:dyDescent="0.25">
      <c r="A197" s="115">
        <v>624</v>
      </c>
      <c r="B197" s="115" t="s">
        <v>652</v>
      </c>
      <c r="C197" s="115" t="s">
        <v>340</v>
      </c>
      <c r="D197" s="117">
        <v>0</v>
      </c>
      <c r="E197" s="117"/>
      <c r="F197" s="117"/>
    </row>
    <row r="198" spans="1:6" x14ac:dyDescent="0.25">
      <c r="A198" s="115">
        <v>625</v>
      </c>
      <c r="B198" s="115" t="s">
        <v>654</v>
      </c>
      <c r="C198" s="115" t="s">
        <v>340</v>
      </c>
      <c r="D198" s="115">
        <v>0</v>
      </c>
    </row>
    <row r="199" spans="1:6" x14ac:dyDescent="0.25">
      <c r="A199" s="115">
        <v>626</v>
      </c>
      <c r="B199" s="115" t="s">
        <v>656</v>
      </c>
      <c r="C199" s="115" t="s">
        <v>340</v>
      </c>
      <c r="D199" s="115">
        <v>0</v>
      </c>
    </row>
    <row r="200" spans="1:6" x14ac:dyDescent="0.25">
      <c r="A200" s="115">
        <v>627</v>
      </c>
      <c r="B200" s="115" t="s">
        <v>658</v>
      </c>
      <c r="C200" s="115" t="s">
        <v>340</v>
      </c>
      <c r="D200" s="115">
        <v>0</v>
      </c>
    </row>
    <row r="201" spans="1:6" x14ac:dyDescent="0.25">
      <c r="A201" s="115">
        <v>628</v>
      </c>
      <c r="B201" s="115" t="s">
        <v>1197</v>
      </c>
      <c r="C201" s="115" t="s">
        <v>340</v>
      </c>
      <c r="D201" s="115">
        <v>0</v>
      </c>
      <c r="E201" s="117"/>
      <c r="F201" s="117"/>
    </row>
    <row r="202" spans="1:6" x14ac:dyDescent="0.25">
      <c r="A202" s="115">
        <v>629</v>
      </c>
      <c r="B202" s="115" t="s">
        <v>660</v>
      </c>
      <c r="C202" s="115" t="s">
        <v>321</v>
      </c>
      <c r="D202" s="117">
        <v>2.6649678940000001E-2</v>
      </c>
      <c r="E202" s="117"/>
      <c r="F202" s="117"/>
    </row>
    <row r="203" spans="1:6" x14ac:dyDescent="0.25">
      <c r="A203" s="115">
        <v>630</v>
      </c>
      <c r="B203" s="115" t="s">
        <v>1198</v>
      </c>
      <c r="C203" s="115" t="s">
        <v>340</v>
      </c>
      <c r="D203" s="115">
        <v>0</v>
      </c>
    </row>
    <row r="204" spans="1:6" x14ac:dyDescent="0.25">
      <c r="A204" s="115">
        <v>631</v>
      </c>
      <c r="B204" s="115" t="s">
        <v>661</v>
      </c>
      <c r="C204" s="115" t="s">
        <v>321</v>
      </c>
      <c r="D204" s="117">
        <v>-6.5044309719999999E-2</v>
      </c>
      <c r="E204" s="117"/>
      <c r="F204" s="117"/>
    </row>
    <row r="205" spans="1:6" x14ac:dyDescent="0.25">
      <c r="A205" s="115">
        <v>632</v>
      </c>
      <c r="B205" s="115" t="s">
        <v>1199</v>
      </c>
      <c r="C205" s="115" t="s">
        <v>321</v>
      </c>
      <c r="D205" s="115">
        <v>-0.72078261221999995</v>
      </c>
      <c r="E205" s="117"/>
      <c r="F205" s="117"/>
    </row>
    <row r="206" spans="1:6" x14ac:dyDescent="0.25">
      <c r="A206" s="115">
        <v>633</v>
      </c>
      <c r="B206" s="115" t="s">
        <v>1200</v>
      </c>
      <c r="C206" s="115" t="s">
        <v>321</v>
      </c>
      <c r="D206" s="117">
        <v>-8.6248917470000006E-2</v>
      </c>
      <c r="E206" s="117"/>
      <c r="F206" s="117"/>
    </row>
    <row r="207" spans="1:6" x14ac:dyDescent="0.25">
      <c r="A207" s="115">
        <v>651</v>
      </c>
      <c r="B207" s="115" t="s">
        <v>662</v>
      </c>
      <c r="C207" s="115" t="s">
        <v>340</v>
      </c>
      <c r="D207" s="115">
        <v>-0.67422601961999995</v>
      </c>
    </row>
    <row r="208" spans="1:6" x14ac:dyDescent="0.25">
      <c r="A208" s="115">
        <v>700</v>
      </c>
      <c r="B208" s="115" t="s">
        <v>664</v>
      </c>
      <c r="C208" s="115" t="s">
        <v>321</v>
      </c>
      <c r="D208" s="115">
        <v>-1.2801669037600001</v>
      </c>
    </row>
    <row r="209" spans="1:6" x14ac:dyDescent="0.25">
      <c r="A209" s="115">
        <v>701</v>
      </c>
      <c r="B209" s="115" t="s">
        <v>666</v>
      </c>
      <c r="C209" s="115" t="s">
        <v>321</v>
      </c>
      <c r="D209" s="115">
        <v>2.0647581169100002</v>
      </c>
    </row>
    <row r="210" spans="1:6" x14ac:dyDescent="0.25">
      <c r="A210" s="115">
        <v>702</v>
      </c>
      <c r="B210" s="115" t="s">
        <v>668</v>
      </c>
      <c r="C210" s="115" t="s">
        <v>340</v>
      </c>
      <c r="D210" s="115">
        <v>0.65142938905000003</v>
      </c>
    </row>
    <row r="211" spans="1:6" x14ac:dyDescent="0.25">
      <c r="A211" s="115">
        <v>703</v>
      </c>
      <c r="B211" s="115" t="s">
        <v>670</v>
      </c>
      <c r="C211" s="115" t="s">
        <v>340</v>
      </c>
      <c r="D211" s="117">
        <v>-1.1475698162500001</v>
      </c>
      <c r="E211" s="117"/>
      <c r="F211" s="117"/>
    </row>
    <row r="212" spans="1:6" x14ac:dyDescent="0.25">
      <c r="A212" s="115">
        <v>704</v>
      </c>
      <c r="B212" s="115" t="s">
        <v>672</v>
      </c>
      <c r="C212" s="115" t="s">
        <v>340</v>
      </c>
      <c r="D212" s="117">
        <v>-1.0826110979400001</v>
      </c>
      <c r="E212" s="117"/>
      <c r="F212" s="117"/>
    </row>
    <row r="213" spans="1:6" x14ac:dyDescent="0.25">
      <c r="A213" s="115">
        <v>705</v>
      </c>
      <c r="B213" s="115" t="s">
        <v>674</v>
      </c>
      <c r="C213" s="115" t="s">
        <v>340</v>
      </c>
      <c r="D213" s="115">
        <v>-2.0534535142900001</v>
      </c>
      <c r="E213" s="117"/>
      <c r="F213" s="117"/>
    </row>
    <row r="214" spans="1:6" x14ac:dyDescent="0.25">
      <c r="A214" s="115">
        <v>706</v>
      </c>
      <c r="B214" s="115" t="s">
        <v>676</v>
      </c>
      <c r="C214" s="115" t="s">
        <v>340</v>
      </c>
      <c r="D214" s="115">
        <v>-1.5469095636900001</v>
      </c>
    </row>
    <row r="215" spans="1:6" x14ac:dyDescent="0.25">
      <c r="A215" s="115">
        <v>707</v>
      </c>
      <c r="B215" s="115" t="s">
        <v>678</v>
      </c>
      <c r="C215" s="115" t="s">
        <v>321</v>
      </c>
      <c r="D215" s="117">
        <v>-0.36546801553000002</v>
      </c>
      <c r="E215" s="117"/>
    </row>
    <row r="216" spans="1:6" x14ac:dyDescent="0.25">
      <c r="A216" s="115">
        <v>708</v>
      </c>
      <c r="B216" s="115" t="s">
        <v>680</v>
      </c>
      <c r="C216" s="115" t="s">
        <v>321</v>
      </c>
      <c r="D216" s="117">
        <v>0.43115396777999998</v>
      </c>
      <c r="E216" s="117"/>
    </row>
    <row r="217" spans="1:6" x14ac:dyDescent="0.25">
      <c r="A217" s="115">
        <v>709</v>
      </c>
      <c r="B217" s="115" t="s">
        <v>682</v>
      </c>
      <c r="C217" s="115" t="s">
        <v>321</v>
      </c>
      <c r="D217" s="115">
        <v>-0.23414926352000001</v>
      </c>
      <c r="E217" s="117"/>
      <c r="F217" s="117"/>
    </row>
    <row r="218" spans="1:6" x14ac:dyDescent="0.25">
      <c r="A218" s="115">
        <v>710</v>
      </c>
      <c r="B218" s="115" t="s">
        <v>684</v>
      </c>
      <c r="C218" s="115" t="s">
        <v>321</v>
      </c>
      <c r="D218" s="115">
        <v>-0.16753633813999999</v>
      </c>
      <c r="E218" s="117"/>
      <c r="F218" s="117"/>
    </row>
    <row r="219" spans="1:6" x14ac:dyDescent="0.25">
      <c r="A219" s="115">
        <v>711</v>
      </c>
      <c r="B219" s="115" t="s">
        <v>686</v>
      </c>
      <c r="C219" s="115" t="s">
        <v>321</v>
      </c>
      <c r="D219" s="115">
        <v>0.24127006967</v>
      </c>
      <c r="E219" s="117"/>
      <c r="F219" s="117"/>
    </row>
    <row r="220" spans="1:6" x14ac:dyDescent="0.25">
      <c r="A220" s="115">
        <v>712</v>
      </c>
      <c r="B220" s="115" t="s">
        <v>688</v>
      </c>
      <c r="C220" s="115" t="s">
        <v>321</v>
      </c>
      <c r="D220" s="117">
        <v>9.3852056000000003E-2</v>
      </c>
      <c r="E220" s="117"/>
      <c r="F220" s="117"/>
    </row>
    <row r="221" spans="1:6" x14ac:dyDescent="0.25">
      <c r="A221" s="115">
        <v>713</v>
      </c>
      <c r="B221" s="115" t="s">
        <v>690</v>
      </c>
      <c r="C221" s="115" t="s">
        <v>340</v>
      </c>
      <c r="D221" s="115">
        <v>0</v>
      </c>
    </row>
    <row r="222" spans="1:6" x14ac:dyDescent="0.25">
      <c r="A222" s="115">
        <v>714</v>
      </c>
      <c r="B222" s="115" t="s">
        <v>692</v>
      </c>
      <c r="C222" s="115" t="s">
        <v>340</v>
      </c>
      <c r="D222" s="115">
        <v>0</v>
      </c>
    </row>
    <row r="223" spans="1:6" x14ac:dyDescent="0.25">
      <c r="A223" s="115">
        <v>716</v>
      </c>
      <c r="B223" s="115" t="s">
        <v>695</v>
      </c>
      <c r="C223" s="115" t="s">
        <v>340</v>
      </c>
      <c r="D223" s="115">
        <v>0</v>
      </c>
    </row>
    <row r="224" spans="1:6" x14ac:dyDescent="0.25">
      <c r="A224" s="115">
        <v>717</v>
      </c>
      <c r="B224" s="115" t="s">
        <v>697</v>
      </c>
      <c r="C224" s="115" t="s">
        <v>340</v>
      </c>
      <c r="D224" s="115">
        <v>0</v>
      </c>
    </row>
    <row r="225" spans="1:6" x14ac:dyDescent="0.25">
      <c r="A225" s="115">
        <v>718</v>
      </c>
      <c r="B225" s="115" t="s">
        <v>699</v>
      </c>
      <c r="C225" s="115" t="s">
        <v>321</v>
      </c>
      <c r="D225" s="115">
        <v>-0.34985702366999999</v>
      </c>
    </row>
    <row r="226" spans="1:6" x14ac:dyDescent="0.25">
      <c r="A226" s="115">
        <v>719</v>
      </c>
      <c r="B226" s="115" t="s">
        <v>701</v>
      </c>
      <c r="C226" s="115" t="s">
        <v>340</v>
      </c>
      <c r="D226" s="115">
        <v>0</v>
      </c>
    </row>
    <row r="227" spans="1:6" x14ac:dyDescent="0.25">
      <c r="A227" s="115">
        <v>720</v>
      </c>
      <c r="B227" s="115" t="s">
        <v>703</v>
      </c>
      <c r="C227" s="115" t="s">
        <v>321</v>
      </c>
      <c r="D227" s="115">
        <v>-0.36186341506000003</v>
      </c>
      <c r="E227" s="117"/>
      <c r="F227" s="117"/>
    </row>
    <row r="228" spans="1:6" x14ac:dyDescent="0.25">
      <c r="A228" s="115">
        <v>721</v>
      </c>
      <c r="B228" s="115" t="s">
        <v>705</v>
      </c>
      <c r="C228" s="115" t="s">
        <v>340</v>
      </c>
      <c r="D228" s="115">
        <v>0</v>
      </c>
    </row>
    <row r="229" spans="1:6" x14ac:dyDescent="0.25">
      <c r="A229" s="115">
        <v>722</v>
      </c>
      <c r="B229" s="115" t="s">
        <v>707</v>
      </c>
      <c r="C229" s="115" t="s">
        <v>340</v>
      </c>
      <c r="D229" s="115">
        <v>0</v>
      </c>
    </row>
    <row r="230" spans="1:6" x14ac:dyDescent="0.25">
      <c r="A230" s="115">
        <v>723</v>
      </c>
      <c r="B230" s="115" t="s">
        <v>709</v>
      </c>
      <c r="C230" s="115" t="s">
        <v>321</v>
      </c>
      <c r="D230" s="115">
        <v>-0.29322999638000002</v>
      </c>
      <c r="E230" s="117"/>
      <c r="F230" s="117"/>
    </row>
    <row r="231" spans="1:6" x14ac:dyDescent="0.25">
      <c r="A231" s="115">
        <v>724</v>
      </c>
      <c r="B231" s="115" t="s">
        <v>711</v>
      </c>
      <c r="C231" s="115" t="s">
        <v>321</v>
      </c>
      <c r="D231" s="115">
        <v>-0.54873078521999996</v>
      </c>
    </row>
    <row r="232" spans="1:6" x14ac:dyDescent="0.25">
      <c r="A232" s="115">
        <v>725</v>
      </c>
      <c r="B232" s="115" t="s">
        <v>713</v>
      </c>
      <c r="C232" s="115" t="s">
        <v>340</v>
      </c>
      <c r="D232" s="117">
        <v>0</v>
      </c>
      <c r="E232" s="117"/>
    </row>
    <row r="233" spans="1:6" x14ac:dyDescent="0.25">
      <c r="A233" s="115">
        <v>726</v>
      </c>
      <c r="B233" s="115" t="s">
        <v>715</v>
      </c>
      <c r="C233" s="115" t="s">
        <v>340</v>
      </c>
      <c r="D233" s="115">
        <v>0</v>
      </c>
    </row>
    <row r="234" spans="1:6" x14ac:dyDescent="0.25">
      <c r="A234" s="115">
        <v>727</v>
      </c>
      <c r="B234" s="115" t="s">
        <v>717</v>
      </c>
      <c r="C234" s="115" t="s">
        <v>340</v>
      </c>
      <c r="D234" s="115">
        <v>0</v>
      </c>
    </row>
    <row r="235" spans="1:6" x14ac:dyDescent="0.25">
      <c r="A235" s="115">
        <v>728</v>
      </c>
      <c r="B235" s="115" t="s">
        <v>1201</v>
      </c>
      <c r="C235" s="115" t="s">
        <v>340</v>
      </c>
      <c r="D235" s="115">
        <v>0</v>
      </c>
    </row>
    <row r="236" spans="1:6" x14ac:dyDescent="0.25">
      <c r="A236" s="115">
        <v>729</v>
      </c>
      <c r="B236" s="115" t="s">
        <v>719</v>
      </c>
      <c r="C236" s="115" t="s">
        <v>321</v>
      </c>
      <c r="D236" s="117">
        <v>2.299546198E-2</v>
      </c>
      <c r="E236" s="117"/>
      <c r="F236" s="117"/>
    </row>
    <row r="237" spans="1:6" x14ac:dyDescent="0.25">
      <c r="A237" s="115">
        <v>730</v>
      </c>
      <c r="B237" s="115" t="s">
        <v>1202</v>
      </c>
      <c r="C237" s="115" t="s">
        <v>340</v>
      </c>
      <c r="D237" s="117">
        <v>0</v>
      </c>
      <c r="E237" s="117"/>
      <c r="F237" s="117"/>
    </row>
    <row r="238" spans="1:6" x14ac:dyDescent="0.25">
      <c r="A238" s="115">
        <v>731</v>
      </c>
      <c r="B238" s="115" t="s">
        <v>720</v>
      </c>
      <c r="C238" s="115" t="s">
        <v>321</v>
      </c>
      <c r="D238" s="117">
        <v>-0.11198004113</v>
      </c>
      <c r="E238" s="117"/>
      <c r="F238" s="117"/>
    </row>
    <row r="239" spans="1:6" x14ac:dyDescent="0.25">
      <c r="A239" s="115">
        <v>732</v>
      </c>
      <c r="B239" s="115" t="s">
        <v>1203</v>
      </c>
      <c r="C239" s="115" t="s">
        <v>321</v>
      </c>
      <c r="D239" s="115">
        <v>-0.68960917957000001</v>
      </c>
      <c r="E239" s="117"/>
      <c r="F239" s="117"/>
    </row>
    <row r="240" spans="1:6" x14ac:dyDescent="0.25">
      <c r="A240" s="115">
        <v>733</v>
      </c>
      <c r="B240" s="115" t="s">
        <v>1204</v>
      </c>
      <c r="C240" s="115" t="s">
        <v>321</v>
      </c>
      <c r="D240" s="115">
        <v>-0.11786941991</v>
      </c>
      <c r="E240" s="117"/>
      <c r="F240" s="117"/>
    </row>
    <row r="241" spans="1:6" x14ac:dyDescent="0.25">
      <c r="A241" s="115">
        <v>751</v>
      </c>
      <c r="B241" s="115" t="s">
        <v>721</v>
      </c>
      <c r="C241" s="115" t="s">
        <v>321</v>
      </c>
      <c r="D241" s="115">
        <v>-1.08724312621</v>
      </c>
      <c r="E241" s="117"/>
      <c r="F241" s="117"/>
    </row>
    <row r="242" spans="1:6" x14ac:dyDescent="0.25">
      <c r="A242" s="115">
        <v>802</v>
      </c>
      <c r="B242" s="115" t="s">
        <v>723</v>
      </c>
      <c r="C242" s="115" t="s">
        <v>321</v>
      </c>
      <c r="D242" s="115">
        <v>0.60977667497999999</v>
      </c>
    </row>
    <row r="243" spans="1:6" x14ac:dyDescent="0.25">
      <c r="A243" s="115">
        <v>803</v>
      </c>
      <c r="B243" s="115" t="s">
        <v>725</v>
      </c>
      <c r="C243" s="115" t="s">
        <v>321</v>
      </c>
      <c r="D243" s="115">
        <v>0.35295912634999999</v>
      </c>
    </row>
    <row r="244" spans="1:6" x14ac:dyDescent="0.25">
      <c r="A244" s="115">
        <v>804</v>
      </c>
      <c r="B244" s="115" t="s">
        <v>727</v>
      </c>
      <c r="C244" s="115" t="s">
        <v>321</v>
      </c>
      <c r="D244" s="115">
        <v>0.20798756905999999</v>
      </c>
    </row>
    <row r="245" spans="1:6" x14ac:dyDescent="0.25">
      <c r="A245" s="115">
        <v>805</v>
      </c>
      <c r="B245" s="115" t="s">
        <v>729</v>
      </c>
      <c r="C245" s="115" t="s">
        <v>321</v>
      </c>
      <c r="D245" s="115">
        <v>0.31535405351000001</v>
      </c>
    </row>
    <row r="246" spans="1:6" x14ac:dyDescent="0.25">
      <c r="A246" s="115">
        <v>806</v>
      </c>
      <c r="B246" s="115" t="s">
        <v>731</v>
      </c>
      <c r="C246" s="115" t="s">
        <v>321</v>
      </c>
      <c r="D246" s="115">
        <v>0.98676165079</v>
      </c>
    </row>
    <row r="247" spans="1:6" x14ac:dyDescent="0.25">
      <c r="A247" s="115">
        <v>807</v>
      </c>
      <c r="B247" s="115" t="s">
        <v>733</v>
      </c>
      <c r="C247" s="115" t="s">
        <v>321</v>
      </c>
      <c r="D247" s="115">
        <v>0.72867818651000005</v>
      </c>
    </row>
    <row r="248" spans="1:6" x14ac:dyDescent="0.25">
      <c r="A248" s="115">
        <v>808</v>
      </c>
      <c r="B248" s="115" t="s">
        <v>735</v>
      </c>
      <c r="C248" s="115" t="s">
        <v>340</v>
      </c>
      <c r="D248" s="115">
        <v>0</v>
      </c>
    </row>
    <row r="249" spans="1:6" x14ac:dyDescent="0.25">
      <c r="A249" s="115">
        <v>809</v>
      </c>
      <c r="B249" s="115" t="s">
        <v>737</v>
      </c>
      <c r="C249" s="115" t="s">
        <v>340</v>
      </c>
      <c r="D249" s="115">
        <v>0</v>
      </c>
    </row>
    <row r="250" spans="1:6" x14ac:dyDescent="0.25">
      <c r="A250" s="115">
        <v>810</v>
      </c>
      <c r="B250" s="115" t="s">
        <v>739</v>
      </c>
      <c r="C250" s="115" t="s">
        <v>340</v>
      </c>
      <c r="D250" s="115">
        <v>0</v>
      </c>
    </row>
    <row r="251" spans="1:6" x14ac:dyDescent="0.25">
      <c r="A251" s="115">
        <v>811</v>
      </c>
      <c r="B251" s="115" t="s">
        <v>741</v>
      </c>
      <c r="C251" s="115" t="s">
        <v>340</v>
      </c>
      <c r="D251" s="115">
        <v>0</v>
      </c>
    </row>
    <row r="252" spans="1:6" x14ac:dyDescent="0.25">
      <c r="A252" s="115">
        <v>812</v>
      </c>
      <c r="B252" s="115" t="s">
        <v>743</v>
      </c>
      <c r="C252" s="115" t="s">
        <v>340</v>
      </c>
      <c r="D252" s="115">
        <v>0</v>
      </c>
    </row>
    <row r="253" spans="1:6" x14ac:dyDescent="0.25">
      <c r="A253" s="115">
        <v>813</v>
      </c>
      <c r="B253" s="115" t="s">
        <v>745</v>
      </c>
      <c r="C253" s="115" t="s">
        <v>340</v>
      </c>
      <c r="D253" s="115">
        <v>0</v>
      </c>
    </row>
    <row r="254" spans="1:6" x14ac:dyDescent="0.25">
      <c r="A254" s="115">
        <v>814</v>
      </c>
      <c r="B254" s="115" t="s">
        <v>747</v>
      </c>
      <c r="C254" s="115" t="s">
        <v>340</v>
      </c>
      <c r="D254" s="115">
        <v>0</v>
      </c>
    </row>
    <row r="255" spans="1:6" x14ac:dyDescent="0.25">
      <c r="A255" s="115">
        <v>816</v>
      </c>
      <c r="B255" s="115" t="s">
        <v>750</v>
      </c>
      <c r="C255" s="115" t="s">
        <v>321</v>
      </c>
      <c r="D255" s="115">
        <v>-0.18079951418000001</v>
      </c>
      <c r="E255" s="117"/>
      <c r="F255" s="117"/>
    </row>
    <row r="256" spans="1:6" x14ac:dyDescent="0.25">
      <c r="A256" s="115">
        <v>817</v>
      </c>
      <c r="B256" s="115" t="s">
        <v>752</v>
      </c>
      <c r="C256" s="115" t="s">
        <v>321</v>
      </c>
      <c r="D256" s="115">
        <v>-0.81715753822000003</v>
      </c>
    </row>
    <row r="257" spans="1:6" x14ac:dyDescent="0.25">
      <c r="A257" s="115">
        <v>818</v>
      </c>
      <c r="B257" s="115" t="s">
        <v>754</v>
      </c>
      <c r="C257" s="115" t="s">
        <v>321</v>
      </c>
      <c r="D257" s="115">
        <v>0.67896564696999995</v>
      </c>
    </row>
    <row r="258" spans="1:6" x14ac:dyDescent="0.25">
      <c r="A258" s="115">
        <v>819</v>
      </c>
      <c r="B258" s="115" t="s">
        <v>756</v>
      </c>
      <c r="C258" s="115" t="s">
        <v>321</v>
      </c>
      <c r="D258" s="115">
        <v>-0.30146391228000002</v>
      </c>
    </row>
    <row r="259" spans="1:6" x14ac:dyDescent="0.25">
      <c r="A259" s="115">
        <v>820</v>
      </c>
      <c r="B259" s="115" t="s">
        <v>758</v>
      </c>
      <c r="C259" s="115" t="s">
        <v>321</v>
      </c>
      <c r="D259" s="115">
        <v>0.59568631491000001</v>
      </c>
    </row>
    <row r="260" spans="1:6" x14ac:dyDescent="0.25">
      <c r="A260" s="115">
        <v>821</v>
      </c>
      <c r="B260" s="115" t="s">
        <v>760</v>
      </c>
      <c r="C260" s="115" t="s">
        <v>321</v>
      </c>
      <c r="D260" s="115">
        <v>0.48251789562000003</v>
      </c>
    </row>
    <row r="261" spans="1:6" x14ac:dyDescent="0.25">
      <c r="A261" s="115">
        <v>822</v>
      </c>
      <c r="B261" s="115" t="s">
        <v>762</v>
      </c>
      <c r="C261" s="115" t="s">
        <v>340</v>
      </c>
      <c r="D261" s="115">
        <v>0</v>
      </c>
    </row>
    <row r="262" spans="1:6" x14ac:dyDescent="0.25">
      <c r="A262" s="115">
        <v>823</v>
      </c>
      <c r="B262" s="115" t="s">
        <v>764</v>
      </c>
      <c r="C262" s="115" t="s">
        <v>340</v>
      </c>
      <c r="D262" s="115">
        <v>0</v>
      </c>
    </row>
    <row r="263" spans="1:6" x14ac:dyDescent="0.25">
      <c r="A263" s="115">
        <v>824</v>
      </c>
      <c r="B263" s="115" t="s">
        <v>766</v>
      </c>
      <c r="C263" s="115" t="s">
        <v>321</v>
      </c>
      <c r="D263" s="115">
        <v>0.57205792138</v>
      </c>
    </row>
    <row r="264" spans="1:6" x14ac:dyDescent="0.25">
      <c r="A264" s="115">
        <v>825</v>
      </c>
      <c r="B264" s="115" t="s">
        <v>768</v>
      </c>
      <c r="C264" s="115" t="s">
        <v>340</v>
      </c>
      <c r="D264" s="115">
        <v>0</v>
      </c>
    </row>
    <row r="265" spans="1:6" x14ac:dyDescent="0.25">
      <c r="A265" s="115">
        <v>826</v>
      </c>
      <c r="B265" s="115" t="s">
        <v>770</v>
      </c>
      <c r="C265" s="115" t="s">
        <v>321</v>
      </c>
      <c r="D265" s="117">
        <v>1.5230910899999999E-3</v>
      </c>
      <c r="E265" s="117"/>
      <c r="F265" s="117"/>
    </row>
    <row r="266" spans="1:6" x14ac:dyDescent="0.25">
      <c r="A266" s="115">
        <v>827</v>
      </c>
      <c r="B266" s="115" t="s">
        <v>772</v>
      </c>
      <c r="C266" s="115" t="s">
        <v>321</v>
      </c>
      <c r="D266" s="117">
        <v>1.926247926E-2</v>
      </c>
      <c r="E266" s="117"/>
      <c r="F266" s="117"/>
    </row>
    <row r="267" spans="1:6" x14ac:dyDescent="0.25">
      <c r="A267" s="115">
        <v>828</v>
      </c>
      <c r="B267" s="115" t="s">
        <v>1205</v>
      </c>
      <c r="C267" s="115" t="s">
        <v>340</v>
      </c>
      <c r="D267" s="115">
        <v>0</v>
      </c>
    </row>
    <row r="268" spans="1:6" x14ac:dyDescent="0.25">
      <c r="A268" s="115">
        <v>851</v>
      </c>
      <c r="B268" s="115" t="s">
        <v>774</v>
      </c>
      <c r="C268" s="115" t="s">
        <v>340</v>
      </c>
      <c r="D268" s="115">
        <v>0</v>
      </c>
    </row>
    <row r="269" spans="1:6" x14ac:dyDescent="0.25">
      <c r="A269" s="115">
        <v>902</v>
      </c>
      <c r="B269" s="115" t="s">
        <v>776</v>
      </c>
      <c r="C269" s="115" t="s">
        <v>340</v>
      </c>
      <c r="D269" s="115">
        <v>0</v>
      </c>
    </row>
    <row r="270" spans="1:6" x14ac:dyDescent="0.25">
      <c r="A270" s="115">
        <v>903</v>
      </c>
      <c r="B270" s="115" t="s">
        <v>778</v>
      </c>
      <c r="C270" s="115" t="s">
        <v>340</v>
      </c>
      <c r="D270" s="115">
        <v>0</v>
      </c>
      <c r="E270" s="117"/>
    </row>
    <row r="271" spans="1:6" x14ac:dyDescent="0.25">
      <c r="A271" s="115">
        <v>904</v>
      </c>
      <c r="B271" s="115" t="s">
        <v>780</v>
      </c>
      <c r="C271" s="115" t="s">
        <v>321</v>
      </c>
      <c r="D271" s="117">
        <v>7.1217396059999993E-2</v>
      </c>
      <c r="E271" s="117"/>
    </row>
    <row r="272" spans="1:6" x14ac:dyDescent="0.25">
      <c r="A272" s="115">
        <v>905</v>
      </c>
      <c r="B272" s="115" t="s">
        <v>782</v>
      </c>
      <c r="C272" s="115" t="s">
        <v>340</v>
      </c>
      <c r="D272" s="117">
        <v>0</v>
      </c>
    </row>
    <row r="273" spans="1:5" x14ac:dyDescent="0.25">
      <c r="A273" s="115">
        <v>906</v>
      </c>
      <c r="B273" s="115" t="s">
        <v>784</v>
      </c>
      <c r="C273" s="115" t="s">
        <v>321</v>
      </c>
      <c r="D273" s="117">
        <v>0.96179941879999997</v>
      </c>
      <c r="E273" s="117"/>
    </row>
    <row r="274" spans="1:5" x14ac:dyDescent="0.25">
      <c r="A274" s="115">
        <v>907</v>
      </c>
      <c r="B274" s="115" t="s">
        <v>786</v>
      </c>
      <c r="C274" s="115" t="s">
        <v>321</v>
      </c>
      <c r="D274" s="117">
        <v>0.24396724398</v>
      </c>
      <c r="E274" s="117"/>
    </row>
    <row r="275" spans="1:5" x14ac:dyDescent="0.25">
      <c r="A275" s="115">
        <v>908</v>
      </c>
      <c r="B275" s="115" t="s">
        <v>788</v>
      </c>
      <c r="C275" s="115" t="s">
        <v>340</v>
      </c>
      <c r="D275" s="115">
        <v>0</v>
      </c>
    </row>
    <row r="276" spans="1:5" x14ac:dyDescent="0.25">
      <c r="A276" s="115">
        <v>909</v>
      </c>
      <c r="B276" s="115" t="s">
        <v>790</v>
      </c>
      <c r="C276" s="115" t="s">
        <v>340</v>
      </c>
      <c r="D276" s="115">
        <v>0</v>
      </c>
    </row>
    <row r="277" spans="1:5" x14ac:dyDescent="0.25">
      <c r="A277" s="115">
        <v>910</v>
      </c>
      <c r="B277" s="115" t="s">
        <v>792</v>
      </c>
      <c r="C277" s="115" t="s">
        <v>340</v>
      </c>
      <c r="D277" s="117">
        <v>0</v>
      </c>
    </row>
    <row r="278" spans="1:5" x14ac:dyDescent="0.25">
      <c r="A278" s="115">
        <v>911</v>
      </c>
      <c r="B278" s="115" t="s">
        <v>794</v>
      </c>
      <c r="C278" s="115" t="s">
        <v>340</v>
      </c>
      <c r="D278" s="115">
        <v>0</v>
      </c>
    </row>
    <row r="279" spans="1:5" x14ac:dyDescent="0.25">
      <c r="A279" s="115">
        <v>912</v>
      </c>
      <c r="B279" s="115" t="s">
        <v>796</v>
      </c>
      <c r="C279" s="115" t="s">
        <v>340</v>
      </c>
      <c r="D279" s="115">
        <v>0</v>
      </c>
    </row>
    <row r="280" spans="1:5" x14ac:dyDescent="0.25">
      <c r="A280" s="115">
        <v>913</v>
      </c>
      <c r="B280" s="115" t="s">
        <v>798</v>
      </c>
      <c r="C280" s="115" t="s">
        <v>340</v>
      </c>
      <c r="D280" s="115">
        <v>0</v>
      </c>
    </row>
    <row r="281" spans="1:5" x14ac:dyDescent="0.25">
      <c r="A281" s="115">
        <v>914</v>
      </c>
      <c r="B281" s="115" t="s">
        <v>800</v>
      </c>
      <c r="C281" s="115" t="s">
        <v>340</v>
      </c>
      <c r="D281" s="117">
        <v>0</v>
      </c>
    </row>
    <row r="282" spans="1:5" x14ac:dyDescent="0.25">
      <c r="A282" s="115">
        <v>916</v>
      </c>
      <c r="B282" s="115" t="s">
        <v>803</v>
      </c>
      <c r="C282" s="115" t="s">
        <v>340</v>
      </c>
      <c r="D282" s="117">
        <v>0</v>
      </c>
      <c r="E282" s="117"/>
    </row>
    <row r="283" spans="1:5" x14ac:dyDescent="0.25">
      <c r="A283" s="115">
        <v>917</v>
      </c>
      <c r="B283" s="115" t="s">
        <v>805</v>
      </c>
      <c r="C283" s="115" t="s">
        <v>340</v>
      </c>
      <c r="D283" s="115">
        <v>0</v>
      </c>
    </row>
    <row r="284" spans="1:5" x14ac:dyDescent="0.25">
      <c r="A284" s="115">
        <v>918</v>
      </c>
      <c r="B284" s="115" t="s">
        <v>807</v>
      </c>
      <c r="C284" s="115" t="s">
        <v>340</v>
      </c>
      <c r="D284" s="115">
        <v>0</v>
      </c>
    </row>
    <row r="285" spans="1:5" x14ac:dyDescent="0.25">
      <c r="A285" s="115">
        <v>919</v>
      </c>
      <c r="B285" s="115" t="s">
        <v>809</v>
      </c>
      <c r="C285" s="115" t="s">
        <v>340</v>
      </c>
      <c r="D285" s="115">
        <v>0</v>
      </c>
      <c r="E285" s="117"/>
    </row>
    <row r="286" spans="1:5" x14ac:dyDescent="0.25">
      <c r="A286" s="115">
        <v>920</v>
      </c>
      <c r="B286" s="115" t="s">
        <v>811</v>
      </c>
      <c r="C286" s="115" t="s">
        <v>340</v>
      </c>
      <c r="D286" s="115">
        <v>0</v>
      </c>
      <c r="E286" s="117"/>
    </row>
    <row r="287" spans="1:5" x14ac:dyDescent="0.25">
      <c r="A287" s="115">
        <v>921</v>
      </c>
      <c r="B287" s="115" t="s">
        <v>813</v>
      </c>
      <c r="C287" s="115" t="s">
        <v>340</v>
      </c>
      <c r="D287" s="115">
        <v>0</v>
      </c>
    </row>
    <row r="288" spans="1:5" x14ac:dyDescent="0.25">
      <c r="A288" s="115">
        <v>922</v>
      </c>
      <c r="B288" s="115" t="s">
        <v>815</v>
      </c>
      <c r="C288" s="115" t="s">
        <v>340</v>
      </c>
      <c r="D288" s="115">
        <v>0</v>
      </c>
    </row>
    <row r="289" spans="1:5" x14ac:dyDescent="0.25">
      <c r="A289" s="115">
        <v>923</v>
      </c>
      <c r="B289" s="115" t="s">
        <v>817</v>
      </c>
      <c r="C289" s="115" t="s">
        <v>340</v>
      </c>
      <c r="D289" s="115">
        <v>0</v>
      </c>
    </row>
    <row r="290" spans="1:5" x14ac:dyDescent="0.25">
      <c r="A290" s="115">
        <v>924</v>
      </c>
      <c r="B290" s="115" t="s">
        <v>819</v>
      </c>
      <c r="C290" s="115" t="s">
        <v>321</v>
      </c>
      <c r="D290" s="117">
        <v>0.29114282556999999</v>
      </c>
      <c r="E290" s="117"/>
    </row>
    <row r="291" spans="1:5" x14ac:dyDescent="0.25">
      <c r="A291" s="115">
        <v>925</v>
      </c>
      <c r="B291" s="115" t="s">
        <v>821</v>
      </c>
      <c r="C291" s="115" t="s">
        <v>340</v>
      </c>
      <c r="D291" s="115">
        <v>0</v>
      </c>
    </row>
    <row r="292" spans="1:5" x14ac:dyDescent="0.25">
      <c r="A292" s="115">
        <v>926</v>
      </c>
      <c r="B292" s="115" t="s">
        <v>823</v>
      </c>
      <c r="C292" s="115" t="s">
        <v>340</v>
      </c>
      <c r="D292" s="115">
        <v>0</v>
      </c>
    </row>
    <row r="293" spans="1:5" x14ac:dyDescent="0.25">
      <c r="A293" s="115">
        <v>927</v>
      </c>
      <c r="B293" s="115" t="s">
        <v>825</v>
      </c>
      <c r="C293" s="115" t="s">
        <v>340</v>
      </c>
      <c r="D293" s="115">
        <v>0</v>
      </c>
      <c r="E293" s="117"/>
    </row>
    <row r="294" spans="1:5" x14ac:dyDescent="0.25">
      <c r="A294" s="115">
        <v>928</v>
      </c>
      <c r="B294" s="115" t="s">
        <v>1206</v>
      </c>
      <c r="C294" s="115" t="s">
        <v>340</v>
      </c>
      <c r="D294" s="115">
        <v>0</v>
      </c>
      <c r="E294" s="117"/>
    </row>
    <row r="295" spans="1:5" x14ac:dyDescent="0.25">
      <c r="A295" s="115">
        <v>951</v>
      </c>
      <c r="B295" s="115" t="s">
        <v>827</v>
      </c>
      <c r="C295" s="115" t="s">
        <v>340</v>
      </c>
      <c r="D295" s="117">
        <v>0</v>
      </c>
    </row>
    <row r="296" spans="1:5" x14ac:dyDescent="0.25">
      <c r="A296" s="115">
        <v>1010</v>
      </c>
      <c r="B296" s="115" t="s">
        <v>829</v>
      </c>
      <c r="C296" s="115" t="s">
        <v>321</v>
      </c>
      <c r="D296" s="117">
        <v>0.45786643087000001</v>
      </c>
      <c r="E296" s="117"/>
    </row>
    <row r="297" spans="1:5" x14ac:dyDescent="0.25">
      <c r="A297" s="115">
        <v>1011</v>
      </c>
      <c r="B297" s="115" t="s">
        <v>831</v>
      </c>
      <c r="C297" s="115" t="s">
        <v>321</v>
      </c>
      <c r="D297" s="115">
        <v>-1.89314616394</v>
      </c>
    </row>
    <row r="298" spans="1:5" x14ac:dyDescent="0.25">
      <c r="A298" s="115">
        <v>1012</v>
      </c>
      <c r="B298" s="115" t="s">
        <v>833</v>
      </c>
      <c r="C298" s="115" t="s">
        <v>321</v>
      </c>
      <c r="D298" s="117">
        <v>0.18030694579000001</v>
      </c>
    </row>
    <row r="299" spans="1:5" x14ac:dyDescent="0.25">
      <c r="A299" s="115">
        <v>1013</v>
      </c>
      <c r="B299" s="115" t="s">
        <v>835</v>
      </c>
      <c r="C299" s="115" t="s">
        <v>321</v>
      </c>
      <c r="D299" s="115">
        <v>1.0017474184599999</v>
      </c>
    </row>
    <row r="300" spans="1:5" x14ac:dyDescent="0.25">
      <c r="A300" s="115">
        <v>1014</v>
      </c>
      <c r="B300" s="115" t="s">
        <v>837</v>
      </c>
      <c r="C300" s="115" t="s">
        <v>321</v>
      </c>
      <c r="D300" s="115">
        <v>-0.28287807831</v>
      </c>
    </row>
    <row r="301" spans="1:5" x14ac:dyDescent="0.25">
      <c r="A301" s="115">
        <v>1015</v>
      </c>
      <c r="B301" s="115" t="s">
        <v>839</v>
      </c>
      <c r="C301" s="115" t="s">
        <v>321</v>
      </c>
      <c r="D301" s="117">
        <v>-0.19412767935</v>
      </c>
      <c r="E301" s="117"/>
    </row>
    <row r="302" spans="1:5" x14ac:dyDescent="0.25">
      <c r="A302" s="115">
        <v>1016</v>
      </c>
      <c r="B302" s="115" t="s">
        <v>841</v>
      </c>
      <c r="C302" s="115" t="s">
        <v>321</v>
      </c>
      <c r="D302" s="117">
        <v>0.46459217164</v>
      </c>
      <c r="E302" s="117"/>
    </row>
    <row r="303" spans="1:5" x14ac:dyDescent="0.25">
      <c r="A303" s="115">
        <v>1018</v>
      </c>
      <c r="B303" s="115" t="s">
        <v>844</v>
      </c>
      <c r="C303" s="115" t="s">
        <v>321</v>
      </c>
      <c r="D303" s="117">
        <v>-1.3899299449999999E-2</v>
      </c>
      <c r="E303" s="117"/>
    </row>
    <row r="304" spans="1:5" x14ac:dyDescent="0.25">
      <c r="A304" s="115">
        <v>1019</v>
      </c>
      <c r="B304" s="115" t="s">
        <v>846</v>
      </c>
      <c r="C304" s="115" t="s">
        <v>321</v>
      </c>
      <c r="D304" s="117">
        <v>-2.669063524E-2</v>
      </c>
      <c r="E304" s="117"/>
    </row>
    <row r="305" spans="1:5" x14ac:dyDescent="0.25">
      <c r="A305" s="115">
        <v>1020</v>
      </c>
      <c r="B305" s="115" t="s">
        <v>848</v>
      </c>
      <c r="C305" s="115" t="s">
        <v>321</v>
      </c>
      <c r="D305" s="115">
        <v>0.95021951402000004</v>
      </c>
    </row>
    <row r="306" spans="1:5" x14ac:dyDescent="0.25">
      <c r="A306" s="115">
        <v>1021</v>
      </c>
      <c r="B306" s="115" t="s">
        <v>850</v>
      </c>
      <c r="C306" s="115" t="s">
        <v>321</v>
      </c>
      <c r="D306" s="117">
        <v>4.6119139490000002E-2</v>
      </c>
    </row>
    <row r="307" spans="1:5" x14ac:dyDescent="0.25">
      <c r="A307" s="115">
        <v>1022</v>
      </c>
      <c r="B307" s="115" t="s">
        <v>852</v>
      </c>
      <c r="C307" s="115" t="s">
        <v>321</v>
      </c>
      <c r="D307" s="115">
        <v>-0.50334562370000002</v>
      </c>
      <c r="E307" s="117"/>
    </row>
    <row r="308" spans="1:5" x14ac:dyDescent="0.25">
      <c r="A308" s="115">
        <v>1023</v>
      </c>
      <c r="B308" s="115" t="s">
        <v>854</v>
      </c>
      <c r="C308" s="115" t="s">
        <v>321</v>
      </c>
      <c r="D308" s="115">
        <v>1.0587748827500001</v>
      </c>
    </row>
    <row r="309" spans="1:5" x14ac:dyDescent="0.25">
      <c r="A309" s="115">
        <v>1024</v>
      </c>
      <c r="B309" s="115" t="s">
        <v>856</v>
      </c>
      <c r="C309" s="115" t="s">
        <v>321</v>
      </c>
      <c r="D309" s="115">
        <v>-0.53848378215000003</v>
      </c>
      <c r="E309" s="117"/>
    </row>
    <row r="310" spans="1:5" x14ac:dyDescent="0.25">
      <c r="A310" s="115">
        <v>1025</v>
      </c>
      <c r="B310" s="115" t="s">
        <v>858</v>
      </c>
      <c r="C310" s="115" t="s">
        <v>321</v>
      </c>
      <c r="D310" s="115">
        <v>-0.56980481664000004</v>
      </c>
    </row>
    <row r="311" spans="1:5" x14ac:dyDescent="0.25">
      <c r="A311" s="115">
        <v>1026</v>
      </c>
      <c r="B311" s="115" t="s">
        <v>860</v>
      </c>
      <c r="C311" s="115" t="s">
        <v>321</v>
      </c>
      <c r="D311" s="115">
        <v>-0.36556883931</v>
      </c>
    </row>
    <row r="312" spans="1:5" x14ac:dyDescent="0.25">
      <c r="A312" s="115">
        <v>1028</v>
      </c>
      <c r="B312" s="115" t="s">
        <v>862</v>
      </c>
      <c r="C312" s="115" t="s">
        <v>321</v>
      </c>
      <c r="D312" s="117">
        <v>-5.1231861699999999E-2</v>
      </c>
      <c r="E312" s="117"/>
    </row>
    <row r="313" spans="1:5" x14ac:dyDescent="0.25">
      <c r="A313" s="115">
        <v>1029</v>
      </c>
      <c r="B313" s="115" t="s">
        <v>864</v>
      </c>
      <c r="C313" s="115" t="s">
        <v>340</v>
      </c>
      <c r="D313" s="115">
        <v>0</v>
      </c>
    </row>
    <row r="314" spans="1:5" x14ac:dyDescent="0.25">
      <c r="A314" s="115">
        <v>1033</v>
      </c>
      <c r="B314" s="115" t="s">
        <v>866</v>
      </c>
      <c r="C314" s="115" t="s">
        <v>321</v>
      </c>
      <c r="D314" s="115">
        <v>2.3191467598700002</v>
      </c>
    </row>
    <row r="315" spans="1:5" x14ac:dyDescent="0.25">
      <c r="A315" s="115">
        <v>1034</v>
      </c>
      <c r="B315" s="115" t="s">
        <v>868</v>
      </c>
      <c r="C315" s="115" t="s">
        <v>321</v>
      </c>
      <c r="D315" s="117">
        <v>0.43882869600000002</v>
      </c>
    </row>
    <row r="316" spans="1:5" x14ac:dyDescent="0.25">
      <c r="A316" s="115">
        <v>1035</v>
      </c>
      <c r="B316" s="115" t="s">
        <v>870</v>
      </c>
      <c r="C316" s="115" t="s">
        <v>321</v>
      </c>
      <c r="D316" s="117">
        <v>0.38801901626000002</v>
      </c>
    </row>
    <row r="317" spans="1:5" x14ac:dyDescent="0.25">
      <c r="A317" s="115">
        <v>1036</v>
      </c>
      <c r="B317" s="115" t="s">
        <v>872</v>
      </c>
      <c r="C317" s="115" t="s">
        <v>321</v>
      </c>
      <c r="D317" s="117">
        <v>0.60596435895</v>
      </c>
    </row>
    <row r="318" spans="1:5" x14ac:dyDescent="0.25">
      <c r="A318" s="115">
        <v>1043</v>
      </c>
      <c r="B318" s="115" t="s">
        <v>874</v>
      </c>
      <c r="C318" s="115" t="s">
        <v>321</v>
      </c>
      <c r="D318" s="115">
        <v>-0.54382622784000001</v>
      </c>
    </row>
    <row r="319" spans="1:5" x14ac:dyDescent="0.25">
      <c r="A319" s="115">
        <v>1044</v>
      </c>
      <c r="B319" s="115" t="s">
        <v>876</v>
      </c>
      <c r="C319" s="115" t="s">
        <v>321</v>
      </c>
      <c r="D319" s="115">
        <v>0.15599073697999999</v>
      </c>
    </row>
    <row r="320" spans="1:5" x14ac:dyDescent="0.25">
      <c r="A320" s="115">
        <v>1045</v>
      </c>
      <c r="B320" s="115" t="s">
        <v>878</v>
      </c>
      <c r="C320" s="115" t="s">
        <v>321</v>
      </c>
      <c r="D320" s="117">
        <v>0.14237055478999999</v>
      </c>
    </row>
    <row r="321" spans="1:5" x14ac:dyDescent="0.25">
      <c r="A321" s="115">
        <v>1046</v>
      </c>
      <c r="B321" s="115" t="s">
        <v>880</v>
      </c>
      <c r="C321" s="115" t="s">
        <v>321</v>
      </c>
      <c r="D321" s="117">
        <v>0.23516411118</v>
      </c>
      <c r="E321" s="117"/>
    </row>
    <row r="322" spans="1:5" x14ac:dyDescent="0.25">
      <c r="A322" s="115">
        <v>1053</v>
      </c>
      <c r="B322" s="115" t="s">
        <v>882</v>
      </c>
      <c r="C322" s="115" t="s">
        <v>321</v>
      </c>
      <c r="D322" s="117">
        <v>-0.39185646229999999</v>
      </c>
    </row>
    <row r="323" spans="1:5" x14ac:dyDescent="0.25">
      <c r="A323" s="115">
        <v>1054</v>
      </c>
      <c r="B323" s="115" t="s">
        <v>884</v>
      </c>
      <c r="C323" s="115" t="s">
        <v>321</v>
      </c>
      <c r="D323" s="115">
        <v>0.18528363720999999</v>
      </c>
      <c r="E323" s="117"/>
    </row>
    <row r="324" spans="1:5" x14ac:dyDescent="0.25">
      <c r="A324" s="115">
        <v>1055</v>
      </c>
      <c r="B324" s="115" t="s">
        <v>886</v>
      </c>
      <c r="C324" s="115" t="s">
        <v>321</v>
      </c>
      <c r="D324" s="115">
        <v>0.50750506111000004</v>
      </c>
    </row>
    <row r="325" spans="1:5" x14ac:dyDescent="0.25">
      <c r="A325" s="115">
        <v>1056</v>
      </c>
      <c r="B325" s="115" t="s">
        <v>888</v>
      </c>
      <c r="C325" s="115" t="s">
        <v>321</v>
      </c>
      <c r="D325" s="115">
        <v>-0.31245288367000001</v>
      </c>
    </row>
    <row r="326" spans="1:5" x14ac:dyDescent="0.25">
      <c r="A326" s="115">
        <v>1063</v>
      </c>
      <c r="B326" s="115" t="s">
        <v>890</v>
      </c>
      <c r="C326" s="115" t="s">
        <v>321</v>
      </c>
      <c r="D326" s="117">
        <v>-6.4681278980000007E-2</v>
      </c>
    </row>
    <row r="327" spans="1:5" x14ac:dyDescent="0.25">
      <c r="A327" s="115">
        <v>1064</v>
      </c>
      <c r="B327" s="115" t="s">
        <v>892</v>
      </c>
      <c r="C327" s="115" t="s">
        <v>321</v>
      </c>
      <c r="D327" s="115">
        <v>0.22146406565999999</v>
      </c>
    </row>
    <row r="328" spans="1:5" x14ac:dyDescent="0.25">
      <c r="A328" s="115">
        <v>1065</v>
      </c>
      <c r="B328" s="115" t="s">
        <v>894</v>
      </c>
      <c r="C328" s="115" t="s">
        <v>321</v>
      </c>
      <c r="D328" s="115">
        <v>0.29629414685</v>
      </c>
    </row>
    <row r="329" spans="1:5" x14ac:dyDescent="0.25">
      <c r="A329" s="115">
        <v>1066</v>
      </c>
      <c r="B329" s="115" t="s">
        <v>896</v>
      </c>
      <c r="C329" s="115" t="s">
        <v>321</v>
      </c>
      <c r="D329" s="115">
        <v>-0.26730699518000001</v>
      </c>
    </row>
    <row r="330" spans="1:5" x14ac:dyDescent="0.25">
      <c r="A330" s="115">
        <v>1073</v>
      </c>
      <c r="B330" s="115" t="s">
        <v>898</v>
      </c>
      <c r="C330" s="115" t="s">
        <v>321</v>
      </c>
      <c r="D330" s="115">
        <v>-0.5416388862</v>
      </c>
    </row>
    <row r="331" spans="1:5" x14ac:dyDescent="0.25">
      <c r="A331" s="115">
        <v>1074</v>
      </c>
      <c r="B331" s="115" t="s">
        <v>900</v>
      </c>
      <c r="C331" s="115" t="s">
        <v>321</v>
      </c>
      <c r="D331" s="117">
        <v>-7.6209529090000006E-2</v>
      </c>
    </row>
    <row r="332" spans="1:5" x14ac:dyDescent="0.25">
      <c r="A332" s="115">
        <v>1075</v>
      </c>
      <c r="B332" s="115" t="s">
        <v>902</v>
      </c>
      <c r="C332" s="115" t="s">
        <v>321</v>
      </c>
      <c r="D332" s="115">
        <v>0.11079465702999999</v>
      </c>
    </row>
    <row r="333" spans="1:5" x14ac:dyDescent="0.25">
      <c r="A333" s="115">
        <v>1076</v>
      </c>
      <c r="B333" s="115" t="s">
        <v>904</v>
      </c>
      <c r="C333" s="115" t="s">
        <v>321</v>
      </c>
      <c r="D333" s="115">
        <v>0.41172526745999999</v>
      </c>
    </row>
    <row r="334" spans="1:5" x14ac:dyDescent="0.25">
      <c r="A334" s="115">
        <v>1112</v>
      </c>
      <c r="B334" s="115" t="s">
        <v>906</v>
      </c>
      <c r="C334" s="115" t="s">
        <v>321</v>
      </c>
      <c r="D334" s="115">
        <v>-1.5644309596599999</v>
      </c>
    </row>
    <row r="335" spans="1:5" x14ac:dyDescent="0.25">
      <c r="A335" s="115">
        <v>1113</v>
      </c>
      <c r="B335" s="115" t="s">
        <v>908</v>
      </c>
      <c r="C335" s="115" t="s">
        <v>321</v>
      </c>
      <c r="D335" s="115">
        <v>-1.2740274169500001</v>
      </c>
    </row>
    <row r="336" spans="1:5" x14ac:dyDescent="0.25">
      <c r="A336" s="115">
        <v>1114</v>
      </c>
      <c r="B336" s="115" t="s">
        <v>910</v>
      </c>
      <c r="C336" s="115" t="s">
        <v>321</v>
      </c>
      <c r="D336" s="115">
        <v>-1.0749348599599999</v>
      </c>
    </row>
    <row r="337" spans="1:5" x14ac:dyDescent="0.25">
      <c r="A337" s="115">
        <v>1115</v>
      </c>
      <c r="B337" s="115" t="s">
        <v>912</v>
      </c>
      <c r="C337" s="115" t="s">
        <v>321</v>
      </c>
      <c r="D337" s="117">
        <v>-0.94518526709999995</v>
      </c>
    </row>
    <row r="338" spans="1:5" x14ac:dyDescent="0.25">
      <c r="A338" s="115">
        <v>1116</v>
      </c>
      <c r="B338" s="115" t="s">
        <v>914</v>
      </c>
      <c r="C338" s="115" t="s">
        <v>321</v>
      </c>
      <c r="D338" s="115">
        <v>-0.50215980633000001</v>
      </c>
      <c r="E338" s="117"/>
    </row>
    <row r="339" spans="1:5" x14ac:dyDescent="0.25">
      <c r="A339" s="115">
        <v>1117</v>
      </c>
      <c r="B339" s="115" t="s">
        <v>916</v>
      </c>
      <c r="C339" s="115" t="s">
        <v>321</v>
      </c>
      <c r="D339" s="117">
        <v>-0.54063652535999995</v>
      </c>
      <c r="E339" s="117"/>
    </row>
    <row r="340" spans="1:5" x14ac:dyDescent="0.25">
      <c r="A340" s="115">
        <v>1123</v>
      </c>
      <c r="B340" s="115" t="s">
        <v>918</v>
      </c>
      <c r="C340" s="115" t="s">
        <v>321</v>
      </c>
      <c r="D340" s="115">
        <v>-1.3616026243299999</v>
      </c>
    </row>
    <row r="341" spans="1:5" x14ac:dyDescent="0.25">
      <c r="A341" s="115">
        <v>1124</v>
      </c>
      <c r="B341" s="115" t="s">
        <v>920</v>
      </c>
      <c r="C341" s="115" t="s">
        <v>321</v>
      </c>
      <c r="D341" s="115">
        <v>-0.84898836228999996</v>
      </c>
      <c r="E341" s="117"/>
    </row>
    <row r="342" spans="1:5" x14ac:dyDescent="0.25">
      <c r="A342" s="115">
        <v>1125</v>
      </c>
      <c r="B342" s="115" t="s">
        <v>922</v>
      </c>
      <c r="C342" s="115" t="s">
        <v>321</v>
      </c>
      <c r="D342" s="115">
        <v>-0.78613389561000002</v>
      </c>
      <c r="E342" s="117"/>
    </row>
    <row r="343" spans="1:5" x14ac:dyDescent="0.25">
      <c r="A343" s="115">
        <v>1126</v>
      </c>
      <c r="B343" s="115" t="s">
        <v>924</v>
      </c>
      <c r="C343" s="115" t="s">
        <v>321</v>
      </c>
      <c r="D343" s="115">
        <v>-0.54681847911000003</v>
      </c>
    </row>
    <row r="344" spans="1:5" x14ac:dyDescent="0.25">
      <c r="A344" s="115">
        <v>1127</v>
      </c>
      <c r="B344" s="115" t="s">
        <v>926</v>
      </c>
      <c r="C344" s="115" t="s">
        <v>321</v>
      </c>
      <c r="D344" s="115">
        <v>-0.52556611821999999</v>
      </c>
    </row>
    <row r="345" spans="1:5" x14ac:dyDescent="0.25">
      <c r="A345" s="115">
        <v>1134</v>
      </c>
      <c r="B345" s="115" t="s">
        <v>928</v>
      </c>
      <c r="C345" s="115" t="s">
        <v>321</v>
      </c>
      <c r="D345" s="115">
        <v>0.36235102463000002</v>
      </c>
    </row>
    <row r="346" spans="1:5" x14ac:dyDescent="0.25">
      <c r="A346" s="115">
        <v>1135</v>
      </c>
      <c r="B346" s="115" t="s">
        <v>930</v>
      </c>
      <c r="C346" s="115" t="s">
        <v>321</v>
      </c>
      <c r="D346" s="115">
        <v>-0.10012866324</v>
      </c>
    </row>
    <row r="347" spans="1:5" x14ac:dyDescent="0.25">
      <c r="A347" s="115">
        <v>1136</v>
      </c>
      <c r="B347" s="115" t="s">
        <v>932</v>
      </c>
      <c r="C347" s="115" t="s">
        <v>321</v>
      </c>
      <c r="D347" s="115">
        <v>-0.10673219229</v>
      </c>
    </row>
    <row r="348" spans="1:5" x14ac:dyDescent="0.25">
      <c r="A348" s="115">
        <v>1137</v>
      </c>
      <c r="B348" s="115" t="s">
        <v>934</v>
      </c>
      <c r="C348" s="115" t="s">
        <v>321</v>
      </c>
      <c r="D348" s="115">
        <v>0.21650598322</v>
      </c>
    </row>
    <row r="349" spans="1:5" x14ac:dyDescent="0.25">
      <c r="A349" s="115">
        <v>1145</v>
      </c>
      <c r="B349" s="115" t="s">
        <v>936</v>
      </c>
      <c r="C349" s="115" t="s">
        <v>321</v>
      </c>
      <c r="D349" s="117">
        <v>-5.5921311629999998E-2</v>
      </c>
    </row>
    <row r="350" spans="1:5" x14ac:dyDescent="0.25">
      <c r="A350" s="115">
        <v>1146</v>
      </c>
      <c r="B350" s="115" t="s">
        <v>938</v>
      </c>
      <c r="C350" s="115" t="s">
        <v>321</v>
      </c>
      <c r="D350" s="115">
        <v>0.24358333610999999</v>
      </c>
    </row>
    <row r="351" spans="1:5" x14ac:dyDescent="0.25">
      <c r="A351" s="115">
        <v>1147</v>
      </c>
      <c r="B351" s="115" t="s">
        <v>940</v>
      </c>
      <c r="C351" s="115" t="s">
        <v>321</v>
      </c>
      <c r="D351" s="115">
        <v>-0.18853487848</v>
      </c>
      <c r="E351" s="117"/>
    </row>
    <row r="352" spans="1:5" x14ac:dyDescent="0.25">
      <c r="A352" s="115">
        <v>1156</v>
      </c>
      <c r="B352" s="115" t="s">
        <v>942</v>
      </c>
      <c r="C352" s="115" t="s">
        <v>321</v>
      </c>
      <c r="D352" s="115">
        <v>-0.44226070846999999</v>
      </c>
    </row>
    <row r="353" spans="1:5" x14ac:dyDescent="0.25">
      <c r="A353" s="115">
        <v>1157</v>
      </c>
      <c r="B353" s="115" t="s">
        <v>944</v>
      </c>
      <c r="C353" s="115" t="s">
        <v>321</v>
      </c>
      <c r="D353" s="117">
        <v>1.030149396E-2</v>
      </c>
    </row>
    <row r="354" spans="1:5" x14ac:dyDescent="0.25">
      <c r="A354" s="115">
        <v>1213</v>
      </c>
      <c r="B354" s="115" t="s">
        <v>946</v>
      </c>
      <c r="C354" s="115" t="s">
        <v>321</v>
      </c>
      <c r="D354" s="115">
        <v>-1.36481525144</v>
      </c>
    </row>
    <row r="355" spans="1:5" x14ac:dyDescent="0.25">
      <c r="A355" s="115">
        <v>1214</v>
      </c>
      <c r="B355" s="115" t="s">
        <v>948</v>
      </c>
      <c r="C355" s="115" t="s">
        <v>321</v>
      </c>
      <c r="D355" s="117">
        <v>-0.61775033894999998</v>
      </c>
      <c r="E355" s="117"/>
    </row>
    <row r="356" spans="1:5" x14ac:dyDescent="0.25">
      <c r="A356" s="115">
        <v>1215</v>
      </c>
      <c r="B356" s="115" t="s">
        <v>950</v>
      </c>
      <c r="C356" s="115" t="s">
        <v>321</v>
      </c>
      <c r="D356" s="115">
        <v>-0.64325229668999995</v>
      </c>
      <c r="E356" s="117"/>
    </row>
    <row r="357" spans="1:5" x14ac:dyDescent="0.25">
      <c r="A357" s="115">
        <v>1216</v>
      </c>
      <c r="B357" s="115" t="s">
        <v>952</v>
      </c>
      <c r="C357" s="115" t="s">
        <v>321</v>
      </c>
      <c r="D357" s="115">
        <v>-0.44793136683000001</v>
      </c>
    </row>
    <row r="358" spans="1:5" x14ac:dyDescent="0.25">
      <c r="A358" s="115">
        <v>1217</v>
      </c>
      <c r="B358" s="115" t="s">
        <v>954</v>
      </c>
      <c r="C358" s="115" t="s">
        <v>321</v>
      </c>
      <c r="D358" s="117">
        <v>-0.93801074919000005</v>
      </c>
    </row>
    <row r="359" spans="1:5" x14ac:dyDescent="0.25">
      <c r="A359" s="115">
        <v>1223</v>
      </c>
      <c r="B359" s="115" t="s">
        <v>956</v>
      </c>
      <c r="C359" s="115" t="s">
        <v>321</v>
      </c>
      <c r="D359" s="115">
        <v>-1.1092063858900001</v>
      </c>
    </row>
    <row r="360" spans="1:5" x14ac:dyDescent="0.25">
      <c r="A360" s="115">
        <v>1224</v>
      </c>
      <c r="B360" s="115" t="s">
        <v>958</v>
      </c>
      <c r="C360" s="115" t="s">
        <v>321</v>
      </c>
      <c r="D360" s="117">
        <v>-0.37840972925999999</v>
      </c>
      <c r="E360" s="117"/>
    </row>
    <row r="361" spans="1:5" x14ac:dyDescent="0.25">
      <c r="A361" s="115">
        <v>1225</v>
      </c>
      <c r="B361" s="115" t="s">
        <v>960</v>
      </c>
      <c r="C361" s="115" t="s">
        <v>321</v>
      </c>
      <c r="D361" s="115">
        <v>-1.13150811347</v>
      </c>
    </row>
    <row r="362" spans="1:5" x14ac:dyDescent="0.25">
      <c r="A362" s="115">
        <v>1226</v>
      </c>
      <c r="B362" s="115" t="s">
        <v>962</v>
      </c>
      <c r="C362" s="117" t="s">
        <v>321</v>
      </c>
      <c r="D362" s="117">
        <v>0.46235910839</v>
      </c>
      <c r="E362" s="117"/>
    </row>
    <row r="363" spans="1:5" x14ac:dyDescent="0.25">
      <c r="A363" s="115">
        <v>1227</v>
      </c>
      <c r="B363" s="115" t="s">
        <v>964</v>
      </c>
      <c r="C363" s="115" t="s">
        <v>321</v>
      </c>
      <c r="D363" s="115">
        <v>-0.18611062162</v>
      </c>
    </row>
    <row r="364" spans="1:5" x14ac:dyDescent="0.25">
      <c r="A364" s="115">
        <v>1234</v>
      </c>
      <c r="B364" s="115" t="s">
        <v>966</v>
      </c>
      <c r="C364" s="115" t="s">
        <v>321</v>
      </c>
      <c r="D364" s="115">
        <v>-0.52820419371000005</v>
      </c>
    </row>
    <row r="365" spans="1:5" x14ac:dyDescent="0.25">
      <c r="A365" s="115">
        <v>1235</v>
      </c>
      <c r="B365" s="115" t="s">
        <v>968</v>
      </c>
      <c r="C365" s="115" t="s">
        <v>321</v>
      </c>
      <c r="D365" s="115">
        <v>-0.73156894307999998</v>
      </c>
    </row>
    <row r="366" spans="1:5" x14ac:dyDescent="0.25">
      <c r="A366" s="115">
        <v>1236</v>
      </c>
      <c r="B366" s="115" t="s">
        <v>970</v>
      </c>
      <c r="C366" s="115" t="s">
        <v>321</v>
      </c>
      <c r="D366" s="115">
        <v>-0.38019855195000002</v>
      </c>
    </row>
    <row r="367" spans="1:5" x14ac:dyDescent="0.25">
      <c r="A367" s="115">
        <v>1237</v>
      </c>
      <c r="B367" s="115" t="s">
        <v>972</v>
      </c>
      <c r="C367" s="115" t="s">
        <v>321</v>
      </c>
      <c r="D367" s="115">
        <v>-0.17169006107000001</v>
      </c>
    </row>
    <row r="368" spans="1:5" x14ac:dyDescent="0.25">
      <c r="A368" s="115">
        <v>1245</v>
      </c>
      <c r="B368" s="115" t="s">
        <v>974</v>
      </c>
      <c r="C368" s="115" t="s">
        <v>321</v>
      </c>
      <c r="D368" s="115">
        <v>-0.20732203726000001</v>
      </c>
    </row>
    <row r="369" spans="1:5" x14ac:dyDescent="0.25">
      <c r="A369" s="115">
        <v>1246</v>
      </c>
      <c r="B369" s="115" t="s">
        <v>976</v>
      </c>
      <c r="C369" s="115" t="s">
        <v>321</v>
      </c>
      <c r="D369" s="115">
        <v>-0.48987563117999999</v>
      </c>
    </row>
    <row r="370" spans="1:5" x14ac:dyDescent="0.25">
      <c r="A370" s="115">
        <v>1247</v>
      </c>
      <c r="B370" s="115" t="s">
        <v>978</v>
      </c>
      <c r="C370" s="115" t="s">
        <v>321</v>
      </c>
      <c r="D370" s="115">
        <v>-0.70672408033</v>
      </c>
    </row>
    <row r="371" spans="1:5" x14ac:dyDescent="0.25">
      <c r="A371" s="115">
        <v>1256</v>
      </c>
      <c r="B371" s="115" t="s">
        <v>980</v>
      </c>
      <c r="C371" s="115" t="s">
        <v>321</v>
      </c>
      <c r="D371" s="115">
        <v>-0.48653889900000002</v>
      </c>
    </row>
    <row r="372" spans="1:5" x14ac:dyDescent="0.25">
      <c r="A372" s="115">
        <v>1257</v>
      </c>
      <c r="B372" s="115" t="s">
        <v>982</v>
      </c>
      <c r="C372" s="115" t="s">
        <v>321</v>
      </c>
      <c r="D372" s="115">
        <v>-0.64057657043000005</v>
      </c>
    </row>
    <row r="373" spans="1:5" x14ac:dyDescent="0.25">
      <c r="A373" s="115">
        <v>1311</v>
      </c>
      <c r="B373" s="115" t="s">
        <v>984</v>
      </c>
      <c r="C373" s="115" t="s">
        <v>321</v>
      </c>
      <c r="D373" s="115">
        <v>-3.0895488316500002</v>
      </c>
    </row>
    <row r="374" spans="1:5" x14ac:dyDescent="0.25">
      <c r="A374" s="115">
        <v>1312</v>
      </c>
      <c r="B374" s="115" t="s">
        <v>986</v>
      </c>
      <c r="C374" s="115" t="s">
        <v>321</v>
      </c>
      <c r="D374" s="115">
        <v>-4.6880391214500001</v>
      </c>
    </row>
    <row r="375" spans="1:5" x14ac:dyDescent="0.25">
      <c r="A375" s="115">
        <v>1313</v>
      </c>
      <c r="B375" s="115" t="s">
        <v>988</v>
      </c>
      <c r="C375" s="115" t="s">
        <v>321</v>
      </c>
      <c r="D375" s="115">
        <v>-5.2719733197699998</v>
      </c>
    </row>
    <row r="376" spans="1:5" x14ac:dyDescent="0.25">
      <c r="A376" s="115">
        <v>1321</v>
      </c>
      <c r="B376" s="115" t="s">
        <v>990</v>
      </c>
      <c r="C376" s="115" t="s">
        <v>321</v>
      </c>
      <c r="D376" s="115">
        <v>-2.98919984582</v>
      </c>
    </row>
    <row r="377" spans="1:5" x14ac:dyDescent="0.25">
      <c r="A377" s="115">
        <v>1322</v>
      </c>
      <c r="B377" s="115" t="s">
        <v>992</v>
      </c>
      <c r="C377" s="115" t="s">
        <v>321</v>
      </c>
      <c r="D377" s="115">
        <v>-4.5628566934299997</v>
      </c>
    </row>
    <row r="378" spans="1:5" x14ac:dyDescent="0.25">
      <c r="A378" s="115">
        <v>1323</v>
      </c>
      <c r="B378" s="115" t="s">
        <v>994</v>
      </c>
      <c r="C378" s="115" t="s">
        <v>321</v>
      </c>
      <c r="D378" s="115">
        <v>-5.1473826788899997</v>
      </c>
    </row>
    <row r="379" spans="1:5" x14ac:dyDescent="0.25">
      <c r="A379" s="115">
        <v>1331</v>
      </c>
      <c r="B379" s="115" t="s">
        <v>996</v>
      </c>
      <c r="C379" s="115" t="s">
        <v>321</v>
      </c>
      <c r="D379" s="115">
        <v>-2.7935912245000001</v>
      </c>
    </row>
    <row r="380" spans="1:5" x14ac:dyDescent="0.25">
      <c r="A380" s="115">
        <v>1332</v>
      </c>
      <c r="B380" s="115" t="s">
        <v>998</v>
      </c>
      <c r="C380" s="115" t="s">
        <v>321</v>
      </c>
      <c r="D380" s="115">
        <v>-4.48645805507</v>
      </c>
    </row>
    <row r="381" spans="1:5" x14ac:dyDescent="0.25">
      <c r="A381" s="115">
        <v>1401</v>
      </c>
      <c r="B381" s="115" t="s">
        <v>1000</v>
      </c>
      <c r="C381" s="115" t="s">
        <v>321</v>
      </c>
      <c r="D381" s="117">
        <v>6.7478150240000007E-2</v>
      </c>
      <c r="E381" s="117"/>
    </row>
    <row r="382" spans="1:5" x14ac:dyDescent="0.25">
      <c r="A382" s="115">
        <v>1402</v>
      </c>
      <c r="B382" s="115" t="s">
        <v>1002</v>
      </c>
      <c r="C382" s="115" t="s">
        <v>321</v>
      </c>
      <c r="D382" s="115">
        <v>0.24276221477000001</v>
      </c>
    </row>
    <row r="383" spans="1:5" x14ac:dyDescent="0.25">
      <c r="A383" s="115">
        <v>1403</v>
      </c>
      <c r="B383" s="115" t="s">
        <v>1004</v>
      </c>
      <c r="C383" s="115" t="s">
        <v>321</v>
      </c>
      <c r="D383" s="115">
        <v>0.56918922084000001</v>
      </c>
    </row>
    <row r="384" spans="1:5" x14ac:dyDescent="0.25">
      <c r="A384" s="115">
        <v>1404</v>
      </c>
      <c r="B384" s="115" t="s">
        <v>1006</v>
      </c>
      <c r="C384" s="115" t="s">
        <v>321</v>
      </c>
      <c r="D384" s="115">
        <v>-0.78749655288999998</v>
      </c>
    </row>
    <row r="385" spans="1:11" x14ac:dyDescent="0.25">
      <c r="A385" s="115">
        <v>1405</v>
      </c>
      <c r="B385" s="115" t="s">
        <v>1008</v>
      </c>
      <c r="C385" s="115" t="s">
        <v>321</v>
      </c>
      <c r="D385" s="117">
        <v>-3.3357793339999997E-2</v>
      </c>
      <c r="E385" s="117"/>
    </row>
    <row r="386" spans="1:11" x14ac:dyDescent="0.25">
      <c r="A386" s="115">
        <v>1406</v>
      </c>
      <c r="B386" s="115" t="s">
        <v>1207</v>
      </c>
      <c r="C386" s="115" t="s">
        <v>340</v>
      </c>
      <c r="D386" s="115">
        <v>0</v>
      </c>
    </row>
    <row r="387" spans="1:11" x14ac:dyDescent="0.25">
      <c r="A387" s="115">
        <v>1411</v>
      </c>
      <c r="B387" s="115" t="s">
        <v>1010</v>
      </c>
      <c r="C387" s="115" t="s">
        <v>321</v>
      </c>
      <c r="D387" s="115">
        <v>0.27559751794999998</v>
      </c>
      <c r="E387" s="117"/>
    </row>
    <row r="388" spans="1:11" x14ac:dyDescent="0.25">
      <c r="A388" s="115">
        <v>1412</v>
      </c>
      <c r="B388" s="115" t="s">
        <v>1012</v>
      </c>
      <c r="C388" s="115" t="s">
        <v>321</v>
      </c>
      <c r="D388" s="115">
        <v>0.17673343790000001</v>
      </c>
    </row>
    <row r="389" spans="1:11" x14ac:dyDescent="0.25">
      <c r="A389" s="115">
        <v>1413</v>
      </c>
      <c r="B389" s="115" t="s">
        <v>1014</v>
      </c>
      <c r="C389" s="115" t="s">
        <v>340</v>
      </c>
      <c r="D389" s="115">
        <v>0</v>
      </c>
    </row>
    <row r="390" spans="1:11" x14ac:dyDescent="0.25">
      <c r="A390" s="115">
        <v>1414</v>
      </c>
      <c r="B390" s="115" t="s">
        <v>1016</v>
      </c>
      <c r="C390" s="115" t="s">
        <v>321</v>
      </c>
      <c r="D390" s="115">
        <v>0.53708781768000002</v>
      </c>
    </row>
    <row r="391" spans="1:11" x14ac:dyDescent="0.25">
      <c r="A391" s="115">
        <v>1415</v>
      </c>
      <c r="B391" s="115" t="s">
        <v>1018</v>
      </c>
      <c r="C391" s="115" t="s">
        <v>321</v>
      </c>
      <c r="D391" s="117">
        <v>4.1828202400000002E-3</v>
      </c>
      <c r="E391" s="117"/>
    </row>
    <row r="392" spans="1:11" x14ac:dyDescent="0.25">
      <c r="A392" s="115">
        <v>1416</v>
      </c>
      <c r="B392" s="115" t="s">
        <v>1208</v>
      </c>
      <c r="C392" s="115" t="s">
        <v>340</v>
      </c>
      <c r="D392" s="115">
        <v>0</v>
      </c>
    </row>
    <row r="393" spans="1:11" x14ac:dyDescent="0.25">
      <c r="A393" s="115">
        <v>-1</v>
      </c>
    </row>
    <row r="394" spans="1:11" x14ac:dyDescent="0.25">
      <c r="B394" s="115" t="s">
        <v>1234</v>
      </c>
      <c r="C394" s="117">
        <v>399</v>
      </c>
      <c r="D394" s="117" t="s">
        <v>8708</v>
      </c>
      <c r="E394" s="117" t="s">
        <v>1235</v>
      </c>
    </row>
    <row r="395" spans="1:11" x14ac:dyDescent="0.25">
      <c r="A395" s="115">
        <v>4</v>
      </c>
      <c r="B395" s="115" t="s">
        <v>1236</v>
      </c>
      <c r="C395" s="115">
        <v>35</v>
      </c>
      <c r="D395" s="116" t="s">
        <v>1237</v>
      </c>
      <c r="F395" s="115">
        <v>26</v>
      </c>
      <c r="G395" s="115" t="s">
        <v>1213</v>
      </c>
      <c r="H395" s="115">
        <v>12</v>
      </c>
    </row>
    <row r="396" spans="1:11" x14ac:dyDescent="0.25">
      <c r="A396" s="115">
        <v>8</v>
      </c>
      <c r="B396" s="115" t="s">
        <v>1238</v>
      </c>
      <c r="C396" s="115" t="s">
        <v>1239</v>
      </c>
      <c r="D396" s="115" t="s">
        <v>8709</v>
      </c>
      <c r="E396" s="115" t="s">
        <v>1240</v>
      </c>
      <c r="F396" s="115">
        <v>-12810</v>
      </c>
      <c r="G396" s="115">
        <v>13822</v>
      </c>
      <c r="H396" s="115">
        <v>-1674</v>
      </c>
      <c r="I396" s="115">
        <v>-7440</v>
      </c>
      <c r="J396" s="115">
        <v>6372</v>
      </c>
      <c r="K396" s="115">
        <v>25945</v>
      </c>
    </row>
    <row r="397" spans="1:11" x14ac:dyDescent="0.25">
      <c r="B397" s="115" t="s">
        <v>1241</v>
      </c>
      <c r="D397" s="115" t="s">
        <v>8710</v>
      </c>
      <c r="E397" s="115" t="s">
        <v>1242</v>
      </c>
      <c r="F397" s="115">
        <v>0</v>
      </c>
      <c r="G397" s="115">
        <v>0</v>
      </c>
      <c r="H397" s="115">
        <v>0</v>
      </c>
      <c r="I397" s="115">
        <v>0</v>
      </c>
      <c r="J397" s="115">
        <v>0</v>
      </c>
      <c r="K397" s="115">
        <v>0</v>
      </c>
    </row>
    <row r="398" spans="1:11" x14ac:dyDescent="0.25">
      <c r="B398" s="115" t="s">
        <v>1243</v>
      </c>
      <c r="C398" s="115" t="s">
        <v>1239</v>
      </c>
      <c r="D398" s="115" t="s">
        <v>8711</v>
      </c>
      <c r="E398" s="115" t="s">
        <v>1244</v>
      </c>
      <c r="F398" s="115">
        <v>5910</v>
      </c>
      <c r="G398" s="115">
        <v>558</v>
      </c>
      <c r="H398" s="115">
        <v>0</v>
      </c>
      <c r="I398" s="115">
        <v>0</v>
      </c>
      <c r="J398" s="115">
        <v>0</v>
      </c>
      <c r="K398" s="115">
        <v>0</v>
      </c>
    </row>
    <row r="399" spans="1:11" x14ac:dyDescent="0.25">
      <c r="B399" s="115" t="s">
        <v>1241</v>
      </c>
      <c r="D399" s="115" t="s">
        <v>8710</v>
      </c>
      <c r="E399" s="115" t="s">
        <v>1242</v>
      </c>
      <c r="F399" s="115">
        <v>0</v>
      </c>
      <c r="G399" s="115">
        <v>0</v>
      </c>
      <c r="H399" s="115">
        <v>0</v>
      </c>
      <c r="I399" s="115">
        <v>0</v>
      </c>
      <c r="J399" s="115">
        <v>0</v>
      </c>
      <c r="K399" s="115">
        <v>0</v>
      </c>
    </row>
    <row r="400" spans="1:11" x14ac:dyDescent="0.25">
      <c r="B400" s="115" t="s">
        <v>1241</v>
      </c>
      <c r="D400" s="115" t="s">
        <v>8710</v>
      </c>
      <c r="E400" s="115" t="s">
        <v>1242</v>
      </c>
      <c r="F400" s="115">
        <v>0</v>
      </c>
      <c r="G400" s="115">
        <v>0</v>
      </c>
      <c r="H400" s="115">
        <v>0</v>
      </c>
      <c r="I400" s="115">
        <v>0</v>
      </c>
      <c r="J400" s="115">
        <v>0</v>
      </c>
      <c r="K400" s="115">
        <v>0</v>
      </c>
    </row>
    <row r="401" spans="1:11" x14ac:dyDescent="0.25">
      <c r="B401" s="115" t="s">
        <v>1241</v>
      </c>
      <c r="D401" s="115" t="s">
        <v>8712</v>
      </c>
      <c r="E401" s="115" t="s">
        <v>1245</v>
      </c>
      <c r="F401" s="115">
        <v>0</v>
      </c>
      <c r="G401" s="115">
        <v>-26066</v>
      </c>
      <c r="H401" s="115">
        <v>-4132</v>
      </c>
      <c r="I401" s="115">
        <v>-12339</v>
      </c>
      <c r="J401" s="115">
        <v>-6961</v>
      </c>
      <c r="K401" s="115">
        <v>9380</v>
      </c>
    </row>
    <row r="402" spans="1:11" x14ac:dyDescent="0.25">
      <c r="B402" s="115" t="s">
        <v>1241</v>
      </c>
      <c r="D402" s="115" t="s">
        <v>8713</v>
      </c>
      <c r="E402" s="115" t="s">
        <v>1246</v>
      </c>
      <c r="F402" s="115">
        <v>0</v>
      </c>
      <c r="G402" s="115">
        <v>0</v>
      </c>
      <c r="H402" s="115">
        <v>-6748</v>
      </c>
      <c r="I402" s="115">
        <v>-491</v>
      </c>
      <c r="J402" s="115">
        <v>-8214</v>
      </c>
      <c r="K402" s="115">
        <v>-2854</v>
      </c>
    </row>
    <row r="403" spans="1:11" x14ac:dyDescent="0.25">
      <c r="A403" s="115">
        <v>4</v>
      </c>
      <c r="B403" s="115" t="s">
        <v>1247</v>
      </c>
      <c r="D403" s="115" t="s">
        <v>8714</v>
      </c>
      <c r="E403" s="115" t="s">
        <v>1248</v>
      </c>
      <c r="F403" s="115">
        <v>0</v>
      </c>
      <c r="G403" s="115">
        <v>0</v>
      </c>
      <c r="H403" s="115">
        <v>0</v>
      </c>
      <c r="I403" s="115">
        <v>16425</v>
      </c>
      <c r="J403" s="115">
        <v>0</v>
      </c>
      <c r="K403" s="115">
        <v>0</v>
      </c>
    </row>
    <row r="404" spans="1:11" x14ac:dyDescent="0.25">
      <c r="B404" s="115" t="s">
        <v>1241</v>
      </c>
      <c r="D404" s="115" t="s">
        <v>8710</v>
      </c>
      <c r="E404" s="115" t="s">
        <v>1242</v>
      </c>
      <c r="F404" s="115">
        <v>0</v>
      </c>
      <c r="G404" s="115">
        <v>0</v>
      </c>
      <c r="H404" s="115">
        <v>0</v>
      </c>
      <c r="I404" s="115">
        <v>0</v>
      </c>
      <c r="J404" s="115">
        <v>0</v>
      </c>
      <c r="K404" s="115">
        <v>0</v>
      </c>
    </row>
    <row r="405" spans="1:11" x14ac:dyDescent="0.25">
      <c r="B405" s="115" t="s">
        <v>1241</v>
      </c>
      <c r="D405" s="115" t="s">
        <v>8710</v>
      </c>
      <c r="E405" s="115" t="s">
        <v>1242</v>
      </c>
      <c r="F405" s="115">
        <v>0</v>
      </c>
      <c r="G405" s="115">
        <v>0</v>
      </c>
      <c r="H405" s="115">
        <v>0</v>
      </c>
      <c r="I405" s="115">
        <v>0</v>
      </c>
      <c r="J405" s="115">
        <v>0</v>
      </c>
      <c r="K405" s="115">
        <v>0</v>
      </c>
    </row>
    <row r="406" spans="1:11" x14ac:dyDescent="0.25">
      <c r="B406" s="115" t="s">
        <v>1241</v>
      </c>
      <c r="D406" s="115" t="s">
        <v>8710</v>
      </c>
      <c r="E406" s="115" t="s">
        <v>1242</v>
      </c>
      <c r="F406" s="115">
        <v>0</v>
      </c>
      <c r="G406" s="115">
        <v>0</v>
      </c>
      <c r="H406" s="115">
        <v>0</v>
      </c>
      <c r="I406" s="115">
        <v>0</v>
      </c>
      <c r="J406" s="115">
        <v>0</v>
      </c>
      <c r="K406" s="115">
        <v>0</v>
      </c>
    </row>
    <row r="407" spans="1:11" x14ac:dyDescent="0.25">
      <c r="B407" s="115" t="s">
        <v>1241</v>
      </c>
      <c r="D407" s="115" t="s">
        <v>8710</v>
      </c>
      <c r="E407" s="115" t="s">
        <v>1242</v>
      </c>
      <c r="F407" s="115">
        <v>0</v>
      </c>
      <c r="G407" s="115">
        <v>0</v>
      </c>
      <c r="H407" s="115">
        <v>0</v>
      </c>
      <c r="I407" s="115">
        <v>0</v>
      </c>
      <c r="J407" s="115">
        <v>0</v>
      </c>
      <c r="K407" s="115">
        <v>0</v>
      </c>
    </row>
    <row r="408" spans="1:11" x14ac:dyDescent="0.25">
      <c r="B408" s="115" t="s">
        <v>1241</v>
      </c>
      <c r="D408" s="115" t="s">
        <v>8710</v>
      </c>
      <c r="E408" s="115" t="s">
        <v>1242</v>
      </c>
      <c r="F408" s="115">
        <v>0</v>
      </c>
      <c r="G408" s="115">
        <v>0</v>
      </c>
      <c r="H408" s="115">
        <v>0</v>
      </c>
      <c r="I408" s="115">
        <v>0</v>
      </c>
      <c r="J408" s="115">
        <v>0</v>
      </c>
      <c r="K408" s="115">
        <v>0</v>
      </c>
    </row>
    <row r="409" spans="1:11" x14ac:dyDescent="0.25">
      <c r="B409" s="115" t="s">
        <v>1241</v>
      </c>
      <c r="D409" s="115" t="s">
        <v>8710</v>
      </c>
      <c r="E409" s="115" t="s">
        <v>1242</v>
      </c>
      <c r="F409" s="115">
        <v>0</v>
      </c>
      <c r="G409" s="115">
        <v>0</v>
      </c>
      <c r="H409" s="115">
        <v>0</v>
      </c>
      <c r="I409" s="115">
        <v>0</v>
      </c>
      <c r="J409" s="115">
        <v>0</v>
      </c>
      <c r="K409" s="115">
        <v>0</v>
      </c>
    </row>
    <row r="410" spans="1:11" x14ac:dyDescent="0.25">
      <c r="B410" s="115" t="s">
        <v>1241</v>
      </c>
      <c r="D410" s="115" t="s">
        <v>8710</v>
      </c>
      <c r="E410" s="115" t="s">
        <v>1242</v>
      </c>
      <c r="F410" s="115">
        <v>0</v>
      </c>
      <c r="G410" s="115">
        <v>0</v>
      </c>
      <c r="H410" s="115">
        <v>0</v>
      </c>
      <c r="I410" s="115">
        <v>0</v>
      </c>
      <c r="J410" s="115">
        <v>0</v>
      </c>
      <c r="K410" s="115">
        <v>0</v>
      </c>
    </row>
    <row r="411" spans="1:11" x14ac:dyDescent="0.25">
      <c r="B411" s="115" t="s">
        <v>1241</v>
      </c>
      <c r="D411" s="115" t="s">
        <v>8710</v>
      </c>
      <c r="E411" s="115" t="s">
        <v>1242</v>
      </c>
      <c r="F411" s="115">
        <v>0</v>
      </c>
      <c r="G411" s="115">
        <v>0</v>
      </c>
      <c r="H411" s="115">
        <v>0</v>
      </c>
      <c r="I411" s="115">
        <v>0</v>
      </c>
      <c r="J411" s="115">
        <v>0</v>
      </c>
      <c r="K411" s="115">
        <v>0</v>
      </c>
    </row>
    <row r="412" spans="1:11" x14ac:dyDescent="0.25">
      <c r="B412" s="115" t="s">
        <v>1241</v>
      </c>
      <c r="D412" s="115" t="s">
        <v>8710</v>
      </c>
      <c r="E412" s="115" t="s">
        <v>1242</v>
      </c>
      <c r="F412" s="115">
        <v>0</v>
      </c>
      <c r="G412" s="115">
        <v>0</v>
      </c>
      <c r="H412" s="115">
        <v>0</v>
      </c>
      <c r="I412" s="115">
        <v>0</v>
      </c>
      <c r="J412" s="115">
        <v>0</v>
      </c>
      <c r="K412" s="115">
        <v>0</v>
      </c>
    </row>
    <row r="413" spans="1:11" x14ac:dyDescent="0.25">
      <c r="B413" s="115" t="s">
        <v>1249</v>
      </c>
      <c r="C413" s="115" t="s">
        <v>1239</v>
      </c>
      <c r="D413" s="115" t="s">
        <v>8715</v>
      </c>
      <c r="E413" s="115" t="s">
        <v>1250</v>
      </c>
      <c r="F413" s="115">
        <v>430</v>
      </c>
      <c r="G413" s="115">
        <v>264</v>
      </c>
      <c r="H413" s="115">
        <v>0</v>
      </c>
      <c r="I413" s="115">
        <v>0</v>
      </c>
      <c r="J413" s="115">
        <v>-2867</v>
      </c>
      <c r="K413" s="115">
        <v>0</v>
      </c>
    </row>
    <row r="414" spans="1:11" x14ac:dyDescent="0.25">
      <c r="B414" s="115" t="s">
        <v>1241</v>
      </c>
      <c r="D414" s="115" t="s">
        <v>8716</v>
      </c>
      <c r="E414" s="115" t="s">
        <v>1242</v>
      </c>
      <c r="F414" s="115">
        <v>0</v>
      </c>
      <c r="G414" s="115">
        <v>0</v>
      </c>
      <c r="H414" s="115">
        <v>0</v>
      </c>
      <c r="I414" s="115">
        <v>0</v>
      </c>
      <c r="J414" s="115">
        <v>0</v>
      </c>
      <c r="K414" s="115">
        <v>0</v>
      </c>
    </row>
    <row r="415" spans="1:11" x14ac:dyDescent="0.25">
      <c r="B415" s="115" t="s">
        <v>1241</v>
      </c>
      <c r="D415" s="115" t="s">
        <v>8710</v>
      </c>
      <c r="E415" s="115" t="s">
        <v>1242</v>
      </c>
      <c r="F415" s="115">
        <v>0</v>
      </c>
      <c r="G415" s="115">
        <v>0</v>
      </c>
      <c r="H415" s="115">
        <v>0</v>
      </c>
      <c r="I415" s="115">
        <v>0</v>
      </c>
      <c r="J415" s="115">
        <v>0</v>
      </c>
      <c r="K415" s="115">
        <v>0</v>
      </c>
    </row>
    <row r="416" spans="1:11" x14ac:dyDescent="0.25">
      <c r="B416" s="115" t="s">
        <v>1241</v>
      </c>
      <c r="D416" s="115" t="s">
        <v>8710</v>
      </c>
      <c r="E416" s="115" t="s">
        <v>1242</v>
      </c>
      <c r="F416" s="115">
        <v>0</v>
      </c>
      <c r="G416" s="115">
        <v>0</v>
      </c>
      <c r="H416" s="115">
        <v>0</v>
      </c>
      <c r="I416" s="115">
        <v>0</v>
      </c>
      <c r="J416" s="115">
        <v>0</v>
      </c>
      <c r="K416" s="115">
        <v>0</v>
      </c>
    </row>
    <row r="417" spans="1:11" x14ac:dyDescent="0.25">
      <c r="B417" s="115" t="s">
        <v>1241</v>
      </c>
      <c r="D417" s="115" t="s">
        <v>8710</v>
      </c>
      <c r="E417" s="115" t="s">
        <v>1242</v>
      </c>
      <c r="F417" s="115">
        <v>0</v>
      </c>
      <c r="G417" s="115">
        <v>0</v>
      </c>
      <c r="H417" s="115">
        <v>0</v>
      </c>
      <c r="I417" s="115">
        <v>0</v>
      </c>
      <c r="J417" s="115">
        <v>0</v>
      </c>
      <c r="K417" s="115">
        <v>0</v>
      </c>
    </row>
    <row r="418" spans="1:11" x14ac:dyDescent="0.25">
      <c r="B418" s="115" t="s">
        <v>1241</v>
      </c>
      <c r="D418" s="115" t="s">
        <v>8710</v>
      </c>
      <c r="E418" s="115" t="s">
        <v>1242</v>
      </c>
      <c r="F418" s="115">
        <v>0</v>
      </c>
      <c r="G418" s="115">
        <v>0</v>
      </c>
      <c r="H418" s="115">
        <v>0</v>
      </c>
      <c r="I418" s="115">
        <v>0</v>
      </c>
      <c r="J418" s="115">
        <v>0</v>
      </c>
      <c r="K418" s="115">
        <v>0</v>
      </c>
    </row>
    <row r="419" spans="1:11" x14ac:dyDescent="0.25">
      <c r="B419" s="115" t="s">
        <v>1251</v>
      </c>
      <c r="C419" s="115">
        <v>-4</v>
      </c>
      <c r="D419" s="115" t="s">
        <v>8717</v>
      </c>
      <c r="E419" s="115" t="s">
        <v>1252</v>
      </c>
      <c r="F419" s="115">
        <v>-2366</v>
      </c>
      <c r="G419" s="115">
        <v>-6857</v>
      </c>
      <c r="H419" s="115">
        <v>0</v>
      </c>
      <c r="I419" s="115">
        <v>0</v>
      </c>
      <c r="J419" s="115">
        <v>-455</v>
      </c>
      <c r="K419" s="115">
        <v>0</v>
      </c>
    </row>
    <row r="420" spans="1:11" x14ac:dyDescent="0.25">
      <c r="B420" s="115" t="s">
        <v>1241</v>
      </c>
      <c r="D420" s="115" t="s">
        <v>8718</v>
      </c>
      <c r="E420" s="115" t="s">
        <v>1242</v>
      </c>
      <c r="F420" s="115">
        <v>0</v>
      </c>
      <c r="G420" s="115">
        <v>0</v>
      </c>
      <c r="H420" s="115">
        <v>0</v>
      </c>
      <c r="I420" s="115">
        <v>0</v>
      </c>
      <c r="J420" s="115">
        <v>0</v>
      </c>
      <c r="K420" s="115">
        <v>0</v>
      </c>
    </row>
    <row r="421" spans="1:11" x14ac:dyDescent="0.25">
      <c r="A421" s="115">
        <v>5</v>
      </c>
      <c r="B421" s="115" t="s">
        <v>1253</v>
      </c>
      <c r="D421" s="115" t="s">
        <v>8710</v>
      </c>
      <c r="E421" s="115" t="s">
        <v>1242</v>
      </c>
      <c r="F421" s="115">
        <v>0</v>
      </c>
      <c r="G421" s="115">
        <v>0</v>
      </c>
      <c r="H421" s="115">
        <v>0</v>
      </c>
      <c r="I421" s="115">
        <v>0</v>
      </c>
      <c r="J421" s="115">
        <v>0</v>
      </c>
      <c r="K421" s="115">
        <v>0</v>
      </c>
    </row>
    <row r="422" spans="1:11" x14ac:dyDescent="0.25">
      <c r="B422" s="115" t="s">
        <v>1241</v>
      </c>
      <c r="D422" s="115" t="s">
        <v>8710</v>
      </c>
      <c r="E422" s="115" t="s">
        <v>1242</v>
      </c>
      <c r="F422" s="115">
        <v>0</v>
      </c>
      <c r="G422" s="115">
        <v>0</v>
      </c>
      <c r="H422" s="115">
        <v>0</v>
      </c>
      <c r="I422" s="115">
        <v>0</v>
      </c>
      <c r="J422" s="115">
        <v>0</v>
      </c>
      <c r="K422" s="115">
        <v>0</v>
      </c>
    </row>
    <row r="423" spans="1:11" x14ac:dyDescent="0.25">
      <c r="B423" s="115" t="s">
        <v>1241</v>
      </c>
      <c r="D423" s="115" t="s">
        <v>8719</v>
      </c>
      <c r="E423" s="115" t="s">
        <v>1254</v>
      </c>
      <c r="F423" s="115">
        <v>0</v>
      </c>
      <c r="G423" s="115">
        <v>0</v>
      </c>
      <c r="H423" s="115">
        <v>-6981</v>
      </c>
      <c r="I423" s="115">
        <v>46889</v>
      </c>
      <c r="J423" s="115">
        <v>692</v>
      </c>
      <c r="K423" s="115">
        <v>451</v>
      </c>
    </row>
    <row r="424" spans="1:11" x14ac:dyDescent="0.25">
      <c r="A424" s="115">
        <v>4</v>
      </c>
      <c r="B424" s="115" t="s">
        <v>1255</v>
      </c>
      <c r="D424" s="115" t="s">
        <v>8720</v>
      </c>
      <c r="E424" s="115" t="s">
        <v>1256</v>
      </c>
      <c r="F424" s="115">
        <v>0</v>
      </c>
      <c r="G424" s="115">
        <v>0</v>
      </c>
      <c r="H424" s="115">
        <v>0</v>
      </c>
      <c r="I424" s="115">
        <v>61</v>
      </c>
      <c r="J424" s="115">
        <v>284</v>
      </c>
      <c r="K424" s="115">
        <v>0</v>
      </c>
    </row>
    <row r="425" spans="1:11" x14ac:dyDescent="0.25">
      <c r="B425" s="115" t="s">
        <v>1241</v>
      </c>
      <c r="D425" s="115" t="s">
        <v>8721</v>
      </c>
      <c r="E425" s="115" t="s">
        <v>1257</v>
      </c>
      <c r="F425" s="115">
        <v>0</v>
      </c>
      <c r="G425" s="115">
        <v>971</v>
      </c>
      <c r="H425" s="115">
        <v>0</v>
      </c>
      <c r="I425" s="115">
        <v>0</v>
      </c>
      <c r="J425" s="115">
        <v>-97457</v>
      </c>
      <c r="K425" s="115">
        <v>0</v>
      </c>
    </row>
    <row r="426" spans="1:11" x14ac:dyDescent="0.25">
      <c r="B426" s="115" t="s">
        <v>1241</v>
      </c>
      <c r="D426" s="115" t="s">
        <v>8710</v>
      </c>
      <c r="E426" s="115" t="s">
        <v>1242</v>
      </c>
      <c r="F426" s="115">
        <v>0</v>
      </c>
      <c r="G426" s="115">
        <v>0</v>
      </c>
      <c r="H426" s="115">
        <v>0</v>
      </c>
      <c r="I426" s="115">
        <v>0</v>
      </c>
      <c r="J426" s="115">
        <v>0</v>
      </c>
      <c r="K426" s="115">
        <v>0</v>
      </c>
    </row>
    <row r="427" spans="1:11" x14ac:dyDescent="0.25">
      <c r="B427" s="115" t="s">
        <v>1241</v>
      </c>
      <c r="D427" s="115" t="s">
        <v>8710</v>
      </c>
      <c r="E427" s="115" t="s">
        <v>1242</v>
      </c>
      <c r="F427" s="115">
        <v>0</v>
      </c>
      <c r="G427" s="115">
        <v>0</v>
      </c>
      <c r="H427" s="115">
        <v>0</v>
      </c>
      <c r="I427" s="115">
        <v>0</v>
      </c>
      <c r="J427" s="115">
        <v>0</v>
      </c>
      <c r="K427" s="115">
        <v>0</v>
      </c>
    </row>
    <row r="428" spans="1:11" x14ac:dyDescent="0.25">
      <c r="B428" s="115" t="s">
        <v>1241</v>
      </c>
      <c r="D428" s="115" t="s">
        <v>8722</v>
      </c>
      <c r="E428" s="115" t="s">
        <v>1258</v>
      </c>
      <c r="F428" s="115">
        <v>0</v>
      </c>
      <c r="G428" s="115">
        <v>659</v>
      </c>
      <c r="H428" s="115">
        <v>3964</v>
      </c>
      <c r="I428" s="115">
        <v>143</v>
      </c>
      <c r="J428" s="115">
        <v>4</v>
      </c>
      <c r="K428" s="115">
        <v>438</v>
      </c>
    </row>
    <row r="429" spans="1:11" x14ac:dyDescent="0.25">
      <c r="B429" s="115" t="s">
        <v>1241</v>
      </c>
      <c r="D429" s="115" t="s">
        <v>8723</v>
      </c>
      <c r="E429" s="115" t="s">
        <v>1259</v>
      </c>
      <c r="F429" s="115">
        <v>0</v>
      </c>
      <c r="G429" s="115">
        <v>0</v>
      </c>
      <c r="H429" s="115">
        <v>-186</v>
      </c>
      <c r="I429" s="115">
        <v>586</v>
      </c>
      <c r="J429" s="115">
        <v>0</v>
      </c>
      <c r="K429" s="115">
        <v>0</v>
      </c>
    </row>
    <row r="430" spans="1:11" x14ac:dyDescent="0.25">
      <c r="B430" s="115" t="s">
        <v>1241</v>
      </c>
      <c r="D430" s="115" t="s">
        <v>8724</v>
      </c>
      <c r="E430" s="115" t="s">
        <v>1260</v>
      </c>
      <c r="F430" s="115">
        <v>-226</v>
      </c>
      <c r="G430" s="115">
        <v>0</v>
      </c>
      <c r="H430" s="115">
        <v>0</v>
      </c>
      <c r="I430" s="115">
        <v>-31640</v>
      </c>
      <c r="J430" s="115">
        <v>0</v>
      </c>
      <c r="K430" s="115">
        <v>31397</v>
      </c>
    </row>
    <row r="431" spans="1:11" x14ac:dyDescent="0.25">
      <c r="B431" s="115" t="s">
        <v>1261</v>
      </c>
      <c r="C431" s="115" t="s">
        <v>1239</v>
      </c>
      <c r="D431" s="115" t="s">
        <v>8725</v>
      </c>
      <c r="E431" s="115" t="s">
        <v>1262</v>
      </c>
      <c r="F431" s="115">
        <v>2337</v>
      </c>
      <c r="G431" s="115">
        <v>2447</v>
      </c>
      <c r="H431" s="115">
        <v>0</v>
      </c>
      <c r="I431" s="115">
        <v>0</v>
      </c>
      <c r="J431" s="115">
        <v>3686</v>
      </c>
      <c r="K431" s="115">
        <v>0</v>
      </c>
    </row>
    <row r="432" spans="1:11" x14ac:dyDescent="0.25">
      <c r="B432" s="115" t="s">
        <v>1241</v>
      </c>
      <c r="D432" s="115" t="s">
        <v>8726</v>
      </c>
      <c r="E432" s="115" t="s">
        <v>1242</v>
      </c>
      <c r="F432" s="115">
        <v>0</v>
      </c>
      <c r="G432" s="115">
        <v>0</v>
      </c>
      <c r="H432" s="115">
        <v>0</v>
      </c>
      <c r="I432" s="115">
        <v>0</v>
      </c>
      <c r="J432" s="115">
        <v>0</v>
      </c>
      <c r="K432" s="115">
        <v>0</v>
      </c>
    </row>
    <row r="433" spans="1:11" x14ac:dyDescent="0.25">
      <c r="A433" s="115">
        <v>3</v>
      </c>
      <c r="B433" s="115" t="s">
        <v>1263</v>
      </c>
      <c r="D433" s="115" t="s">
        <v>8727</v>
      </c>
      <c r="E433" s="115" t="s">
        <v>1264</v>
      </c>
      <c r="F433" s="115">
        <v>0</v>
      </c>
      <c r="G433" s="115">
        <v>-16</v>
      </c>
      <c r="H433" s="115">
        <v>0</v>
      </c>
      <c r="I433" s="115">
        <v>376</v>
      </c>
      <c r="J433" s="115">
        <v>-34558</v>
      </c>
      <c r="K433" s="115">
        <v>-4878</v>
      </c>
    </row>
    <row r="434" spans="1:11" x14ac:dyDescent="0.25">
      <c r="A434" s="115">
        <v>3</v>
      </c>
      <c r="B434" s="115" t="s">
        <v>1265</v>
      </c>
      <c r="C434" s="115" t="s">
        <v>1239</v>
      </c>
      <c r="D434" s="115" t="s">
        <v>8728</v>
      </c>
      <c r="E434" s="115" t="s">
        <v>1266</v>
      </c>
      <c r="F434" s="115">
        <v>0</v>
      </c>
      <c r="G434" s="115">
        <v>-5470</v>
      </c>
      <c r="H434" s="115">
        <v>0</v>
      </c>
      <c r="I434" s="115">
        <v>0</v>
      </c>
      <c r="J434" s="115">
        <v>0</v>
      </c>
      <c r="K434" s="115">
        <v>3093</v>
      </c>
    </row>
    <row r="435" spans="1:11" x14ac:dyDescent="0.25">
      <c r="A435" s="115">
        <v>1</v>
      </c>
      <c r="B435" s="115" t="s">
        <v>1267</v>
      </c>
      <c r="D435" s="115" t="s">
        <v>8729</v>
      </c>
      <c r="E435" s="115" t="s">
        <v>1268</v>
      </c>
      <c r="F435" s="115">
        <v>0</v>
      </c>
      <c r="G435" s="115">
        <v>0</v>
      </c>
      <c r="H435" s="115">
        <v>0</v>
      </c>
      <c r="I435" s="115">
        <v>6779</v>
      </c>
      <c r="J435" s="115">
        <v>0</v>
      </c>
      <c r="K435" s="115">
        <v>0</v>
      </c>
    </row>
    <row r="436" spans="1:11" x14ac:dyDescent="0.25">
      <c r="B436" s="115" t="s">
        <v>1269</v>
      </c>
      <c r="D436" s="115" t="s">
        <v>8730</v>
      </c>
      <c r="E436" s="115" t="s">
        <v>1270</v>
      </c>
      <c r="F436" s="115">
        <v>53</v>
      </c>
      <c r="G436" s="115">
        <v>-13253</v>
      </c>
      <c r="H436" s="115">
        <v>0</v>
      </c>
      <c r="I436" s="115">
        <v>0</v>
      </c>
      <c r="J436" s="115">
        <v>0</v>
      </c>
      <c r="K436" s="115">
        <v>0</v>
      </c>
    </row>
    <row r="437" spans="1:11" x14ac:dyDescent="0.25">
      <c r="B437" s="115" t="s">
        <v>1241</v>
      </c>
      <c r="D437" s="115" t="s">
        <v>8710</v>
      </c>
      <c r="E437" s="115" t="s">
        <v>1242</v>
      </c>
      <c r="F437" s="115">
        <v>0</v>
      </c>
      <c r="G437" s="115">
        <v>0</v>
      </c>
      <c r="H437" s="115">
        <v>0</v>
      </c>
      <c r="I437" s="115">
        <v>0</v>
      </c>
      <c r="J437" s="115">
        <v>0</v>
      </c>
      <c r="K437" s="115">
        <v>0</v>
      </c>
    </row>
    <row r="438" spans="1:11" x14ac:dyDescent="0.25">
      <c r="B438" s="115" t="s">
        <v>1241</v>
      </c>
      <c r="D438" s="115" t="s">
        <v>8710</v>
      </c>
      <c r="E438" s="115" t="s">
        <v>1242</v>
      </c>
      <c r="F438" s="115">
        <v>0</v>
      </c>
      <c r="G438" s="115">
        <v>0</v>
      </c>
      <c r="H438" s="115">
        <v>0</v>
      </c>
      <c r="I438" s="115">
        <v>0</v>
      </c>
      <c r="J438" s="115">
        <v>0</v>
      </c>
      <c r="K438" s="115">
        <v>0</v>
      </c>
    </row>
    <row r="439" spans="1:11" x14ac:dyDescent="0.25">
      <c r="B439" s="115" t="s">
        <v>1241</v>
      </c>
      <c r="D439" s="115" t="s">
        <v>8731</v>
      </c>
      <c r="E439" s="115" t="s">
        <v>1271</v>
      </c>
      <c r="F439" s="115">
        <v>0</v>
      </c>
      <c r="G439" s="115">
        <v>5483</v>
      </c>
      <c r="H439" s="115">
        <v>-14960</v>
      </c>
      <c r="I439" s="115">
        <v>-2992</v>
      </c>
      <c r="J439" s="115">
        <v>21916</v>
      </c>
      <c r="K439" s="115">
        <v>17511</v>
      </c>
    </row>
    <row r="440" spans="1:11" x14ac:dyDescent="0.25">
      <c r="B440" s="115" t="s">
        <v>1241</v>
      </c>
      <c r="D440" s="115" t="s">
        <v>8732</v>
      </c>
      <c r="E440" s="115" t="s">
        <v>1272</v>
      </c>
      <c r="F440" s="115">
        <v>0</v>
      </c>
      <c r="G440" s="115">
        <v>0</v>
      </c>
      <c r="H440" s="115">
        <v>937</v>
      </c>
      <c r="I440" s="115">
        <v>-1184</v>
      </c>
      <c r="J440" s="115">
        <v>0</v>
      </c>
      <c r="K440" s="115">
        <v>0</v>
      </c>
    </row>
    <row r="441" spans="1:11" x14ac:dyDescent="0.25">
      <c r="B441" s="115" t="s">
        <v>1241</v>
      </c>
      <c r="D441" s="115" t="s">
        <v>8733</v>
      </c>
      <c r="E441" s="115" t="s">
        <v>1273</v>
      </c>
      <c r="F441" s="115">
        <v>-244</v>
      </c>
      <c r="G441" s="115">
        <v>0</v>
      </c>
      <c r="H441" s="115">
        <v>0</v>
      </c>
      <c r="I441" s="115">
        <v>6580</v>
      </c>
      <c r="J441" s="115">
        <v>0</v>
      </c>
      <c r="K441" s="115">
        <v>-6563</v>
      </c>
    </row>
    <row r="442" spans="1:11" x14ac:dyDescent="0.25">
      <c r="B442" s="115" t="s">
        <v>1274</v>
      </c>
      <c r="C442" s="115" t="s">
        <v>1239</v>
      </c>
      <c r="D442" s="115" t="s">
        <v>8734</v>
      </c>
      <c r="E442" s="115" t="s">
        <v>1275</v>
      </c>
      <c r="F442" s="115">
        <v>0</v>
      </c>
      <c r="G442" s="115">
        <v>45</v>
      </c>
      <c r="H442" s="115">
        <v>26187</v>
      </c>
      <c r="I442" s="115">
        <v>-27</v>
      </c>
      <c r="J442" s="115">
        <v>-3739</v>
      </c>
      <c r="K442" s="115">
        <v>-3037</v>
      </c>
    </row>
    <row r="443" spans="1:11" x14ac:dyDescent="0.25">
      <c r="B443" s="115" t="s">
        <v>1241</v>
      </c>
      <c r="D443" s="115" t="s">
        <v>8735</v>
      </c>
      <c r="E443" s="115" t="s">
        <v>1276</v>
      </c>
      <c r="F443" s="115">
        <v>0</v>
      </c>
      <c r="G443" s="115">
        <v>0</v>
      </c>
      <c r="H443" s="115">
        <v>66</v>
      </c>
      <c r="I443" s="115">
        <v>64</v>
      </c>
      <c r="J443" s="115">
        <v>0</v>
      </c>
      <c r="K443" s="115">
        <v>0</v>
      </c>
    </row>
    <row r="444" spans="1:11" x14ac:dyDescent="0.25">
      <c r="B444" s="115" t="s">
        <v>1241</v>
      </c>
      <c r="D444" s="115" t="s">
        <v>8736</v>
      </c>
      <c r="E444" s="115" t="s">
        <v>1277</v>
      </c>
      <c r="F444" s="115">
        <v>239</v>
      </c>
      <c r="G444" s="115">
        <v>0</v>
      </c>
      <c r="H444" s="115">
        <v>0</v>
      </c>
      <c r="I444" s="115">
        <v>1369</v>
      </c>
      <c r="J444" s="115">
        <v>0</v>
      </c>
      <c r="K444" s="115">
        <v>-1345</v>
      </c>
    </row>
    <row r="445" spans="1:11" x14ac:dyDescent="0.25">
      <c r="B445" s="115" t="s">
        <v>1278</v>
      </c>
      <c r="D445" s="115" t="s">
        <v>8737</v>
      </c>
      <c r="E445" s="115" t="s">
        <v>1279</v>
      </c>
      <c r="F445" s="115">
        <v>0</v>
      </c>
      <c r="G445" s="115">
        <v>15659</v>
      </c>
      <c r="H445" s="115">
        <v>-2043</v>
      </c>
      <c r="I445" s="115">
        <v>11828</v>
      </c>
      <c r="J445" s="115">
        <v>2853</v>
      </c>
      <c r="K445" s="115">
        <v>-10523</v>
      </c>
    </row>
    <row r="446" spans="1:11" x14ac:dyDescent="0.25">
      <c r="A446" s="115">
        <v>-12</v>
      </c>
      <c r="B446" s="115" t="s">
        <v>1280</v>
      </c>
      <c r="D446" s="115" t="s">
        <v>8738</v>
      </c>
      <c r="E446" s="115" t="s">
        <v>1281</v>
      </c>
      <c r="F446" s="115">
        <v>0</v>
      </c>
      <c r="G446" s="115">
        <v>0</v>
      </c>
      <c r="H446" s="115">
        <v>0</v>
      </c>
      <c r="I446" s="115">
        <v>-823</v>
      </c>
      <c r="J446" s="115">
        <v>530</v>
      </c>
      <c r="K446" s="115">
        <v>0</v>
      </c>
    </row>
    <row r="447" spans="1:11" x14ac:dyDescent="0.25">
      <c r="B447" s="115" t="s">
        <v>1241</v>
      </c>
      <c r="D447" s="115" t="s">
        <v>8739</v>
      </c>
      <c r="E447" s="115" t="s">
        <v>1282</v>
      </c>
      <c r="F447" s="115">
        <v>0</v>
      </c>
      <c r="G447" s="115">
        <v>540</v>
      </c>
      <c r="H447" s="115">
        <v>0</v>
      </c>
      <c r="I447" s="115">
        <v>0</v>
      </c>
      <c r="J447" s="115">
        <v>-7369</v>
      </c>
      <c r="K447" s="115">
        <v>0</v>
      </c>
    </row>
    <row r="448" spans="1:11" x14ac:dyDescent="0.25">
      <c r="A448" s="115">
        <v>7</v>
      </c>
      <c r="B448" s="115" t="s">
        <v>1283</v>
      </c>
      <c r="D448" s="115" t="s">
        <v>8740</v>
      </c>
      <c r="E448" s="115" t="s">
        <v>1284</v>
      </c>
      <c r="F448" s="115">
        <v>-1017</v>
      </c>
      <c r="G448" s="115">
        <v>0</v>
      </c>
      <c r="H448" s="115">
        <v>-68514</v>
      </c>
      <c r="I448" s="115">
        <v>-12889</v>
      </c>
      <c r="J448" s="115">
        <v>-2616</v>
      </c>
      <c r="K448" s="115">
        <v>12359</v>
      </c>
    </row>
    <row r="449" spans="1:11" x14ac:dyDescent="0.25">
      <c r="A449" s="115">
        <v>2</v>
      </c>
      <c r="B449" s="115" t="s">
        <v>1285</v>
      </c>
      <c r="C449" s="115" t="s">
        <v>1239</v>
      </c>
      <c r="D449" s="115" t="s">
        <v>8741</v>
      </c>
      <c r="E449" s="115" t="s">
        <v>1286</v>
      </c>
      <c r="F449" s="115">
        <v>0</v>
      </c>
      <c r="G449" s="115">
        <v>191</v>
      </c>
      <c r="H449" s="115">
        <v>0</v>
      </c>
      <c r="I449" s="115">
        <v>0</v>
      </c>
      <c r="J449" s="115">
        <v>0</v>
      </c>
      <c r="K449" s="115">
        <v>-868</v>
      </c>
    </row>
    <row r="450" spans="1:11" x14ac:dyDescent="0.25">
      <c r="B450" s="115" t="s">
        <v>1287</v>
      </c>
      <c r="D450" s="115" t="s">
        <v>8742</v>
      </c>
      <c r="E450" s="115" t="s">
        <v>1288</v>
      </c>
      <c r="F450" s="115">
        <v>0</v>
      </c>
      <c r="G450" s="115">
        <v>0</v>
      </c>
      <c r="H450" s="115">
        <v>0</v>
      </c>
      <c r="I450" s="115">
        <v>228</v>
      </c>
      <c r="J450" s="115">
        <v>0</v>
      </c>
      <c r="K450" s="115">
        <v>0</v>
      </c>
    </row>
    <row r="451" spans="1:11" x14ac:dyDescent="0.25">
      <c r="A451" s="115">
        <v>-7</v>
      </c>
      <c r="B451" s="115" t="s">
        <v>1289</v>
      </c>
      <c r="D451" s="115" t="s">
        <v>8743</v>
      </c>
      <c r="E451" s="115" t="s">
        <v>1290</v>
      </c>
      <c r="F451" s="115">
        <v>306</v>
      </c>
      <c r="G451" s="115">
        <v>713</v>
      </c>
      <c r="H451" s="115">
        <v>-718</v>
      </c>
      <c r="I451" s="115">
        <v>0</v>
      </c>
      <c r="J451" s="115">
        <v>-72122</v>
      </c>
      <c r="K451" s="115">
        <v>-13186</v>
      </c>
    </row>
    <row r="452" spans="1:11" x14ac:dyDescent="0.25">
      <c r="A452" s="115">
        <v>59</v>
      </c>
      <c r="B452" s="115" t="s">
        <v>1291</v>
      </c>
      <c r="C452" s="115">
        <v>1</v>
      </c>
      <c r="D452" s="115" t="s">
        <v>8744</v>
      </c>
      <c r="E452" s="115" t="s">
        <v>1292</v>
      </c>
      <c r="F452" s="115">
        <v>-21171</v>
      </c>
      <c r="G452" s="115">
        <v>-16959</v>
      </c>
      <c r="H452" s="115">
        <v>0</v>
      </c>
      <c r="I452" s="115">
        <v>0</v>
      </c>
      <c r="J452" s="115">
        <v>393</v>
      </c>
      <c r="K452" s="115">
        <v>0</v>
      </c>
    </row>
    <row r="453" spans="1:11" x14ac:dyDescent="0.25">
      <c r="B453" s="115" t="s">
        <v>1241</v>
      </c>
      <c r="C453" s="115" t="s">
        <v>1239</v>
      </c>
      <c r="D453" s="115" t="s">
        <v>8745</v>
      </c>
      <c r="E453" s="115" t="s">
        <v>1242</v>
      </c>
      <c r="F453" s="115">
        <v>0</v>
      </c>
      <c r="G453" s="115">
        <v>0</v>
      </c>
      <c r="H453" s="115">
        <v>0</v>
      </c>
      <c r="I453" s="115">
        <v>0</v>
      </c>
      <c r="J453" s="115">
        <v>0</v>
      </c>
      <c r="K453" s="115">
        <v>0</v>
      </c>
    </row>
    <row r="454" spans="1:11" x14ac:dyDescent="0.25">
      <c r="B454" s="115" t="s">
        <v>1293</v>
      </c>
      <c r="D454" s="115" t="s">
        <v>8746</v>
      </c>
      <c r="E454" s="115" t="s">
        <v>1294</v>
      </c>
      <c r="F454" s="115">
        <v>0</v>
      </c>
      <c r="G454" s="115">
        <v>6485</v>
      </c>
      <c r="H454" s="115">
        <v>0</v>
      </c>
      <c r="I454" s="115">
        <v>217</v>
      </c>
      <c r="J454" s="115">
        <v>1223</v>
      </c>
      <c r="K454" s="115">
        <v>-735</v>
      </c>
    </row>
    <row r="455" spans="1:11" x14ac:dyDescent="0.25">
      <c r="B455" s="115" t="s">
        <v>1295</v>
      </c>
      <c r="C455" s="115">
        <v>-1</v>
      </c>
      <c r="D455" s="115" t="s">
        <v>8747</v>
      </c>
      <c r="E455" s="115" t="s">
        <v>1296</v>
      </c>
      <c r="F455" s="115">
        <v>70171</v>
      </c>
      <c r="G455" s="115">
        <v>-2017</v>
      </c>
      <c r="H455" s="115">
        <v>12063</v>
      </c>
      <c r="I455" s="115">
        <v>2361</v>
      </c>
      <c r="J455" s="115">
        <v>-17832</v>
      </c>
      <c r="K455" s="115">
        <v>-14780</v>
      </c>
    </row>
    <row r="456" spans="1:11" x14ac:dyDescent="0.25">
      <c r="B456" s="115" t="s">
        <v>1241</v>
      </c>
      <c r="D456" s="115" t="s">
        <v>8748</v>
      </c>
      <c r="E456" s="115" t="s">
        <v>1297</v>
      </c>
      <c r="F456" s="115">
        <v>0</v>
      </c>
      <c r="G456" s="115">
        <v>0</v>
      </c>
      <c r="H456" s="115">
        <v>-894</v>
      </c>
      <c r="I456" s="115">
        <v>1069</v>
      </c>
      <c r="J456" s="115">
        <v>0</v>
      </c>
      <c r="K456" s="115">
        <v>0</v>
      </c>
    </row>
    <row r="457" spans="1:11" x14ac:dyDescent="0.25">
      <c r="B457" s="115" t="s">
        <v>1241</v>
      </c>
      <c r="D457" s="115" t="s">
        <v>8749</v>
      </c>
      <c r="E457" s="115" t="s">
        <v>1298</v>
      </c>
      <c r="F457" s="115">
        <v>-262</v>
      </c>
      <c r="G457" s="115">
        <v>0</v>
      </c>
      <c r="H457" s="115">
        <v>0</v>
      </c>
      <c r="I457" s="115">
        <v>-4028</v>
      </c>
      <c r="J457" s="115">
        <v>0</v>
      </c>
      <c r="K457" s="115">
        <v>3885</v>
      </c>
    </row>
    <row r="458" spans="1:11" x14ac:dyDescent="0.25">
      <c r="B458" s="115" t="s">
        <v>1299</v>
      </c>
      <c r="D458" s="115" t="s">
        <v>8750</v>
      </c>
      <c r="E458" s="115" t="s">
        <v>1300</v>
      </c>
      <c r="F458" s="115">
        <v>0</v>
      </c>
      <c r="G458" s="115">
        <v>-63562</v>
      </c>
      <c r="H458" s="115">
        <v>-11388</v>
      </c>
      <c r="I458" s="115">
        <v>51027</v>
      </c>
      <c r="J458" s="115">
        <v>53390</v>
      </c>
      <c r="K458" s="115">
        <v>63202</v>
      </c>
    </row>
    <row r="459" spans="1:11" x14ac:dyDescent="0.25">
      <c r="B459" s="115" t="s">
        <v>1241</v>
      </c>
      <c r="D459" s="115" t="s">
        <v>8710</v>
      </c>
      <c r="E459" s="115" t="s">
        <v>1242</v>
      </c>
      <c r="F459" s="115">
        <v>0</v>
      </c>
      <c r="G459" s="115">
        <v>0</v>
      </c>
      <c r="H459" s="115">
        <v>0</v>
      </c>
      <c r="I459" s="115">
        <v>0</v>
      </c>
      <c r="J459" s="115">
        <v>0</v>
      </c>
      <c r="K459" s="115">
        <v>0</v>
      </c>
    </row>
    <row r="460" spans="1:11" x14ac:dyDescent="0.25">
      <c r="B460" s="115" t="s">
        <v>1241</v>
      </c>
      <c r="D460" s="115" t="s">
        <v>8710</v>
      </c>
      <c r="E460" s="115" t="s">
        <v>1242</v>
      </c>
      <c r="F460" s="115">
        <v>0</v>
      </c>
      <c r="G460" s="115">
        <v>0</v>
      </c>
      <c r="H460" s="115">
        <v>0</v>
      </c>
      <c r="I460" s="115">
        <v>0</v>
      </c>
      <c r="J460" s="115">
        <v>0</v>
      </c>
      <c r="K460" s="115">
        <v>0</v>
      </c>
    </row>
    <row r="461" spans="1:11" x14ac:dyDescent="0.25">
      <c r="B461" s="115" t="s">
        <v>1241</v>
      </c>
      <c r="D461" s="115" t="s">
        <v>8710</v>
      </c>
      <c r="E461" s="115" t="s">
        <v>1242</v>
      </c>
      <c r="F461" s="115">
        <v>0</v>
      </c>
      <c r="G461" s="115">
        <v>0</v>
      </c>
      <c r="H461" s="115">
        <v>0</v>
      </c>
      <c r="I461" s="115">
        <v>0</v>
      </c>
      <c r="J461" s="115">
        <v>0</v>
      </c>
      <c r="K461" s="115">
        <v>0</v>
      </c>
    </row>
    <row r="462" spans="1:11" x14ac:dyDescent="0.25">
      <c r="B462" s="115" t="s">
        <v>1241</v>
      </c>
      <c r="D462" s="115" t="s">
        <v>8751</v>
      </c>
      <c r="E462" s="115" t="s">
        <v>1301</v>
      </c>
      <c r="F462" s="115">
        <v>0</v>
      </c>
      <c r="G462" s="115">
        <v>0</v>
      </c>
      <c r="H462" s="115">
        <v>-56</v>
      </c>
      <c r="I462" s="115">
        <v>-292</v>
      </c>
      <c r="J462" s="115">
        <v>-12</v>
      </c>
      <c r="K462" s="115">
        <v>-319</v>
      </c>
    </row>
    <row r="463" spans="1:11" x14ac:dyDescent="0.25">
      <c r="A463" s="115" t="s">
        <v>1239</v>
      </c>
      <c r="B463" s="115" t="s">
        <v>1302</v>
      </c>
      <c r="D463" s="115" t="s">
        <v>8752</v>
      </c>
      <c r="E463" s="115" t="s">
        <v>1303</v>
      </c>
      <c r="F463" s="115">
        <v>0</v>
      </c>
      <c r="G463" s="115">
        <v>0</v>
      </c>
      <c r="H463" s="115">
        <v>0</v>
      </c>
      <c r="I463" s="115">
        <v>-201</v>
      </c>
      <c r="J463" s="115">
        <v>148</v>
      </c>
      <c r="K463" s="115">
        <v>0</v>
      </c>
    </row>
    <row r="464" spans="1:11" x14ac:dyDescent="0.25">
      <c r="B464" s="115" t="s">
        <v>1241</v>
      </c>
      <c r="D464" s="115" t="s">
        <v>8753</v>
      </c>
      <c r="E464" s="115" t="s">
        <v>1304</v>
      </c>
      <c r="F464" s="115">
        <v>0</v>
      </c>
      <c r="G464" s="115">
        <v>237</v>
      </c>
      <c r="H464" s="115">
        <v>0</v>
      </c>
      <c r="I464" s="115">
        <v>0</v>
      </c>
      <c r="J464" s="115">
        <v>741</v>
      </c>
      <c r="K464" s="115">
        <v>0</v>
      </c>
    </row>
    <row r="465" spans="1:11" x14ac:dyDescent="0.25">
      <c r="A465" s="115" t="s">
        <v>1239</v>
      </c>
      <c r="B465" s="115" t="s">
        <v>1305</v>
      </c>
      <c r="D465" s="115" t="s">
        <v>8754</v>
      </c>
      <c r="E465" s="115" t="s">
        <v>1306</v>
      </c>
      <c r="F465" s="115">
        <v>-120</v>
      </c>
      <c r="G465" s="115">
        <v>0</v>
      </c>
      <c r="H465" s="115">
        <v>-14632</v>
      </c>
      <c r="I465" s="115">
        <v>-3579</v>
      </c>
      <c r="J465" s="115">
        <v>2179</v>
      </c>
      <c r="K465" s="115">
        <v>159</v>
      </c>
    </row>
    <row r="466" spans="1:11" x14ac:dyDescent="0.25">
      <c r="A466" s="115">
        <v>2</v>
      </c>
      <c r="B466" s="115" t="s">
        <v>1307</v>
      </c>
      <c r="D466" s="115" t="s">
        <v>8710</v>
      </c>
      <c r="E466" s="115" t="s">
        <v>1242</v>
      </c>
      <c r="F466" s="115">
        <v>0</v>
      </c>
      <c r="G466" s="115">
        <v>0</v>
      </c>
      <c r="H466" s="115">
        <v>0</v>
      </c>
      <c r="I466" s="115">
        <v>0</v>
      </c>
      <c r="J466" s="115">
        <v>0</v>
      </c>
      <c r="K466" s="115">
        <v>0</v>
      </c>
    </row>
    <row r="467" spans="1:11" x14ac:dyDescent="0.25">
      <c r="B467" s="115" t="s">
        <v>1241</v>
      </c>
      <c r="D467" s="115" t="s">
        <v>8710</v>
      </c>
      <c r="E467" s="115" t="s">
        <v>1242</v>
      </c>
      <c r="F467" s="115">
        <v>0</v>
      </c>
      <c r="G467" s="115">
        <v>0</v>
      </c>
      <c r="H467" s="115">
        <v>0</v>
      </c>
      <c r="I467" s="115">
        <v>0</v>
      </c>
      <c r="J467" s="115">
        <v>0</v>
      </c>
      <c r="K467" s="115">
        <v>0</v>
      </c>
    </row>
    <row r="468" spans="1:11" x14ac:dyDescent="0.25">
      <c r="B468" s="115" t="s">
        <v>1241</v>
      </c>
      <c r="D468" s="115" t="s">
        <v>8710</v>
      </c>
      <c r="E468" s="115" t="s">
        <v>1242</v>
      </c>
      <c r="F468" s="115">
        <v>0</v>
      </c>
      <c r="G468" s="115">
        <v>0</v>
      </c>
      <c r="H468" s="115">
        <v>0</v>
      </c>
      <c r="I468" s="115">
        <v>0</v>
      </c>
      <c r="J468" s="115">
        <v>0</v>
      </c>
      <c r="K468" s="115">
        <v>0</v>
      </c>
    </row>
    <row r="469" spans="1:11" x14ac:dyDescent="0.25">
      <c r="B469" s="115" t="s">
        <v>1241</v>
      </c>
      <c r="D469" s="115" t="s">
        <v>8710</v>
      </c>
      <c r="E469" s="115" t="s">
        <v>1242</v>
      </c>
      <c r="F469" s="115">
        <v>0</v>
      </c>
      <c r="G469" s="115">
        <v>0</v>
      </c>
      <c r="H469" s="115">
        <v>0</v>
      </c>
      <c r="I469" s="115">
        <v>0</v>
      </c>
      <c r="J469" s="115">
        <v>0</v>
      </c>
      <c r="K469" s="115">
        <v>0</v>
      </c>
    </row>
    <row r="470" spans="1:11" x14ac:dyDescent="0.25">
      <c r="B470" s="115" t="s">
        <v>1241</v>
      </c>
      <c r="D470" s="115" t="s">
        <v>8710</v>
      </c>
      <c r="E470" s="115" t="s">
        <v>1242</v>
      </c>
      <c r="F470" s="115">
        <v>0</v>
      </c>
      <c r="G470" s="115">
        <v>0</v>
      </c>
      <c r="H470" s="115">
        <v>0</v>
      </c>
      <c r="I470" s="115">
        <v>0</v>
      </c>
      <c r="J470" s="115">
        <v>0</v>
      </c>
      <c r="K470" s="115">
        <v>0</v>
      </c>
    </row>
    <row r="471" spans="1:11" x14ac:dyDescent="0.25">
      <c r="B471" s="115" t="s">
        <v>1241</v>
      </c>
      <c r="D471" s="115" t="s">
        <v>8710</v>
      </c>
      <c r="E471" s="115" t="s">
        <v>1242</v>
      </c>
      <c r="F471" s="115">
        <v>0</v>
      </c>
      <c r="G471" s="115">
        <v>0</v>
      </c>
      <c r="H471" s="115">
        <v>0</v>
      </c>
      <c r="I471" s="115">
        <v>0</v>
      </c>
      <c r="J471" s="115">
        <v>0</v>
      </c>
      <c r="K471" s="115">
        <v>0</v>
      </c>
    </row>
    <row r="472" spans="1:11" x14ac:dyDescent="0.25">
      <c r="B472" s="115" t="s">
        <v>1241</v>
      </c>
      <c r="D472" s="115" t="s">
        <v>8710</v>
      </c>
      <c r="E472" s="115" t="s">
        <v>1242</v>
      </c>
      <c r="F472" s="115">
        <v>0</v>
      </c>
      <c r="G472" s="115">
        <v>0</v>
      </c>
      <c r="H472" s="115">
        <v>0</v>
      </c>
      <c r="I472" s="115">
        <v>0</v>
      </c>
      <c r="J472" s="115">
        <v>0</v>
      </c>
      <c r="K472" s="115">
        <v>0</v>
      </c>
    </row>
    <row r="473" spans="1:11" x14ac:dyDescent="0.25">
      <c r="B473" s="115" t="s">
        <v>1241</v>
      </c>
      <c r="D473" s="115" t="s">
        <v>8710</v>
      </c>
      <c r="E473" s="115" t="s">
        <v>1242</v>
      </c>
      <c r="F473" s="115">
        <v>0</v>
      </c>
      <c r="G473" s="115">
        <v>0</v>
      </c>
      <c r="H473" s="115">
        <v>0</v>
      </c>
      <c r="I473" s="115">
        <v>0</v>
      </c>
      <c r="J473" s="115">
        <v>0</v>
      </c>
      <c r="K473" s="115">
        <v>0</v>
      </c>
    </row>
    <row r="474" spans="1:11" x14ac:dyDescent="0.25">
      <c r="B474" s="115" t="s">
        <v>1241</v>
      </c>
      <c r="D474" s="115" t="s">
        <v>8710</v>
      </c>
      <c r="E474" s="115" t="s">
        <v>1242</v>
      </c>
      <c r="F474" s="115">
        <v>0</v>
      </c>
      <c r="G474" s="115">
        <v>0</v>
      </c>
      <c r="H474" s="115">
        <v>0</v>
      </c>
      <c r="I474" s="115">
        <v>0</v>
      </c>
      <c r="J474" s="115">
        <v>0</v>
      </c>
      <c r="K474" s="115">
        <v>0</v>
      </c>
    </row>
    <row r="475" spans="1:11" x14ac:dyDescent="0.25">
      <c r="B475" s="115" t="s">
        <v>1241</v>
      </c>
      <c r="D475" s="115" t="s">
        <v>8710</v>
      </c>
      <c r="E475" s="115" t="s">
        <v>1242</v>
      </c>
      <c r="F475" s="115">
        <v>0</v>
      </c>
      <c r="G475" s="115">
        <v>0</v>
      </c>
      <c r="H475" s="115">
        <v>0</v>
      </c>
      <c r="I475" s="115">
        <v>0</v>
      </c>
      <c r="J475" s="115">
        <v>0</v>
      </c>
      <c r="K475" s="115">
        <v>0</v>
      </c>
    </row>
    <row r="476" spans="1:11" x14ac:dyDescent="0.25">
      <c r="B476" s="115" t="s">
        <v>1241</v>
      </c>
      <c r="D476" s="115" t="s">
        <v>8710</v>
      </c>
      <c r="E476" s="115" t="s">
        <v>1242</v>
      </c>
      <c r="F476" s="115">
        <v>0</v>
      </c>
      <c r="G476" s="115">
        <v>0</v>
      </c>
      <c r="H476" s="115">
        <v>0</v>
      </c>
      <c r="I476" s="115">
        <v>0</v>
      </c>
      <c r="J476" s="115">
        <v>0</v>
      </c>
      <c r="K476" s="115">
        <v>0</v>
      </c>
    </row>
    <row r="477" spans="1:11" x14ac:dyDescent="0.25">
      <c r="B477" s="115" t="s">
        <v>1241</v>
      </c>
      <c r="D477" s="115" t="s">
        <v>8710</v>
      </c>
      <c r="E477" s="115" t="s">
        <v>1242</v>
      </c>
      <c r="F477" s="115">
        <v>0</v>
      </c>
      <c r="G477" s="115">
        <v>0</v>
      </c>
      <c r="H477" s="115">
        <v>0</v>
      </c>
      <c r="I477" s="115">
        <v>0</v>
      </c>
      <c r="J477" s="115">
        <v>0</v>
      </c>
      <c r="K477" s="115">
        <v>0</v>
      </c>
    </row>
    <row r="478" spans="1:11" x14ac:dyDescent="0.25">
      <c r="B478" s="115" t="s">
        <v>1241</v>
      </c>
      <c r="D478" s="115" t="s">
        <v>8710</v>
      </c>
      <c r="E478" s="115" t="s">
        <v>1242</v>
      </c>
      <c r="F478" s="115">
        <v>0</v>
      </c>
      <c r="G478" s="115">
        <v>0</v>
      </c>
      <c r="H478" s="115">
        <v>0</v>
      </c>
      <c r="I478" s="115">
        <v>0</v>
      </c>
      <c r="J478" s="115">
        <v>0</v>
      </c>
      <c r="K478" s="115">
        <v>0</v>
      </c>
    </row>
    <row r="479" spans="1:11" x14ac:dyDescent="0.25">
      <c r="B479" s="115" t="s">
        <v>1241</v>
      </c>
      <c r="D479" s="115" t="s">
        <v>8710</v>
      </c>
      <c r="E479" s="115" t="s">
        <v>1242</v>
      </c>
      <c r="F479" s="115">
        <v>0</v>
      </c>
      <c r="G479" s="115">
        <v>0</v>
      </c>
      <c r="H479" s="115">
        <v>0</v>
      </c>
      <c r="I479" s="115">
        <v>0</v>
      </c>
      <c r="J479" s="115">
        <v>0</v>
      </c>
      <c r="K479" s="115">
        <v>0</v>
      </c>
    </row>
    <row r="480" spans="1:11" x14ac:dyDescent="0.25">
      <c r="B480" s="115" t="s">
        <v>1241</v>
      </c>
      <c r="D480" s="115" t="s">
        <v>8710</v>
      </c>
      <c r="E480" s="115" t="s">
        <v>1242</v>
      </c>
      <c r="F480" s="115">
        <v>0</v>
      </c>
      <c r="G480" s="115">
        <v>0</v>
      </c>
      <c r="H480" s="115">
        <v>0</v>
      </c>
      <c r="I480" s="115">
        <v>0</v>
      </c>
      <c r="J480" s="115">
        <v>0</v>
      </c>
      <c r="K480" s="115">
        <v>0</v>
      </c>
    </row>
    <row r="481" spans="1:11" x14ac:dyDescent="0.25">
      <c r="B481" s="115" t="s">
        <v>1241</v>
      </c>
      <c r="D481" s="115" t="s">
        <v>8710</v>
      </c>
      <c r="E481" s="115" t="s">
        <v>1242</v>
      </c>
      <c r="F481" s="115">
        <v>0</v>
      </c>
      <c r="G481" s="115">
        <v>0</v>
      </c>
      <c r="H481" s="115">
        <v>0</v>
      </c>
      <c r="I481" s="115">
        <v>0</v>
      </c>
      <c r="J481" s="115">
        <v>0</v>
      </c>
      <c r="K481" s="115">
        <v>0</v>
      </c>
    </row>
    <row r="482" spans="1:11" x14ac:dyDescent="0.25">
      <c r="B482" s="115" t="s">
        <v>1241</v>
      </c>
      <c r="D482" s="115" t="s">
        <v>8710</v>
      </c>
      <c r="E482" s="115" t="s">
        <v>1242</v>
      </c>
      <c r="F482" s="115">
        <v>0</v>
      </c>
      <c r="G482" s="115">
        <v>0</v>
      </c>
      <c r="H482" s="115">
        <v>0</v>
      </c>
      <c r="I482" s="115">
        <v>0</v>
      </c>
      <c r="J482" s="115">
        <v>0</v>
      </c>
      <c r="K482" s="115">
        <v>0</v>
      </c>
    </row>
    <row r="483" spans="1:11" x14ac:dyDescent="0.25">
      <c r="B483" s="115" t="s">
        <v>1241</v>
      </c>
      <c r="D483" s="115" t="s">
        <v>8710</v>
      </c>
      <c r="E483" s="115" t="s">
        <v>1242</v>
      </c>
      <c r="F483" s="115">
        <v>0</v>
      </c>
      <c r="G483" s="115">
        <v>0</v>
      </c>
      <c r="H483" s="115">
        <v>0</v>
      </c>
      <c r="I483" s="115">
        <v>0</v>
      </c>
      <c r="J483" s="115">
        <v>0</v>
      </c>
      <c r="K483" s="115">
        <v>0</v>
      </c>
    </row>
    <row r="484" spans="1:11" x14ac:dyDescent="0.25">
      <c r="B484" s="115" t="s">
        <v>1241</v>
      </c>
      <c r="D484" s="115" t="s">
        <v>8710</v>
      </c>
      <c r="E484" s="115" t="s">
        <v>1242</v>
      </c>
      <c r="F484" s="115">
        <v>0</v>
      </c>
      <c r="G484" s="115">
        <v>0</v>
      </c>
      <c r="H484" s="115">
        <v>0</v>
      </c>
      <c r="I484" s="115">
        <v>0</v>
      </c>
      <c r="J484" s="115">
        <v>0</v>
      </c>
      <c r="K484" s="115">
        <v>0</v>
      </c>
    </row>
    <row r="485" spans="1:11" x14ac:dyDescent="0.25">
      <c r="B485" s="115" t="s">
        <v>1241</v>
      </c>
      <c r="D485" s="115" t="s">
        <v>8710</v>
      </c>
      <c r="E485" s="115" t="s">
        <v>1242</v>
      </c>
      <c r="F485" s="115">
        <v>0</v>
      </c>
      <c r="G485" s="115">
        <v>0</v>
      </c>
      <c r="H485" s="115">
        <v>0</v>
      </c>
      <c r="I485" s="115">
        <v>0</v>
      </c>
      <c r="J485" s="115">
        <v>0</v>
      </c>
      <c r="K485" s="115">
        <v>0</v>
      </c>
    </row>
    <row r="486" spans="1:11" x14ac:dyDescent="0.25">
      <c r="B486" s="115" t="s">
        <v>1241</v>
      </c>
      <c r="D486" s="115" t="s">
        <v>8755</v>
      </c>
      <c r="E486" s="115" t="s">
        <v>1308</v>
      </c>
      <c r="F486" s="115">
        <v>1602</v>
      </c>
      <c r="G486" s="115">
        <v>-187</v>
      </c>
      <c r="H486" s="115">
        <v>-632</v>
      </c>
      <c r="I486" s="115">
        <v>-418</v>
      </c>
      <c r="J486" s="115">
        <v>0</v>
      </c>
      <c r="K486" s="115">
        <v>0</v>
      </c>
    </row>
    <row r="487" spans="1:11" x14ac:dyDescent="0.25">
      <c r="B487" s="115" t="s">
        <v>1309</v>
      </c>
      <c r="D487" s="115" t="s">
        <v>8756</v>
      </c>
      <c r="E487" s="115" t="s">
        <v>1310</v>
      </c>
      <c r="F487" s="115">
        <v>-281</v>
      </c>
      <c r="G487" s="115">
        <v>3731</v>
      </c>
      <c r="H487" s="115">
        <v>0</v>
      </c>
      <c r="I487" s="115">
        <v>0</v>
      </c>
      <c r="J487" s="115">
        <v>0</v>
      </c>
      <c r="K487" s="115">
        <v>0</v>
      </c>
    </row>
    <row r="488" spans="1:11" x14ac:dyDescent="0.25">
      <c r="B488" s="115" t="s">
        <v>1241</v>
      </c>
      <c r="D488" s="115" t="s">
        <v>8757</v>
      </c>
      <c r="E488" s="115" t="s">
        <v>1311</v>
      </c>
      <c r="F488" s="115">
        <v>0</v>
      </c>
      <c r="G488" s="115">
        <v>-2714</v>
      </c>
      <c r="H488" s="115">
        <v>0</v>
      </c>
      <c r="I488" s="115">
        <v>2809</v>
      </c>
      <c r="J488" s="115">
        <v>0</v>
      </c>
      <c r="K488" s="115">
        <v>108</v>
      </c>
    </row>
    <row r="489" spans="1:11" x14ac:dyDescent="0.25">
      <c r="B489" s="115">
        <f>-9   -262</f>
        <v>-271</v>
      </c>
      <c r="D489" s="115" t="s">
        <v>8758</v>
      </c>
      <c r="E489" s="115" t="s">
        <v>1312</v>
      </c>
      <c r="F489" s="115">
        <v>-1822</v>
      </c>
      <c r="G489" s="115">
        <v>-2404</v>
      </c>
      <c r="H489" s="115">
        <v>6675</v>
      </c>
      <c r="I489" s="115">
        <v>6789</v>
      </c>
      <c r="J489" s="115">
        <v>6933</v>
      </c>
      <c r="K489" s="115">
        <v>0</v>
      </c>
    </row>
    <row r="490" spans="1:11" x14ac:dyDescent="0.25">
      <c r="A490" s="115">
        <v>-3</v>
      </c>
      <c r="B490" s="115" t="s">
        <v>1313</v>
      </c>
      <c r="D490" s="115" t="s">
        <v>8710</v>
      </c>
      <c r="E490" s="115" t="s">
        <v>1242</v>
      </c>
      <c r="F490" s="115">
        <v>0</v>
      </c>
      <c r="G490" s="115">
        <v>0</v>
      </c>
      <c r="H490" s="115">
        <v>0</v>
      </c>
      <c r="I490" s="115">
        <v>0</v>
      </c>
      <c r="J490" s="115">
        <v>0</v>
      </c>
      <c r="K490" s="115">
        <v>0</v>
      </c>
    </row>
    <row r="491" spans="1:11" x14ac:dyDescent="0.25">
      <c r="B491" s="115" t="s">
        <v>1241</v>
      </c>
      <c r="D491" s="115" t="s">
        <v>8710</v>
      </c>
      <c r="E491" s="115" t="s">
        <v>1242</v>
      </c>
      <c r="F491" s="115">
        <v>0</v>
      </c>
      <c r="G491" s="115">
        <v>0</v>
      </c>
      <c r="H491" s="115">
        <v>0</v>
      </c>
      <c r="I491" s="115">
        <v>0</v>
      </c>
      <c r="J491" s="115">
        <v>0</v>
      </c>
      <c r="K491" s="115">
        <v>0</v>
      </c>
    </row>
    <row r="492" spans="1:11" x14ac:dyDescent="0.25">
      <c r="B492" s="115" t="s">
        <v>1241</v>
      </c>
      <c r="D492" s="115" t="s">
        <v>8710</v>
      </c>
      <c r="E492" s="115" t="s">
        <v>1242</v>
      </c>
      <c r="F492" s="115">
        <v>0</v>
      </c>
      <c r="G492" s="115">
        <v>0</v>
      </c>
      <c r="H492" s="115">
        <v>0</v>
      </c>
      <c r="I492" s="115">
        <v>0</v>
      </c>
      <c r="J492" s="115">
        <v>0</v>
      </c>
      <c r="K492" s="115">
        <v>0</v>
      </c>
    </row>
    <row r="493" spans="1:11" x14ac:dyDescent="0.25">
      <c r="B493" s="115" t="s">
        <v>1241</v>
      </c>
      <c r="D493" s="115" t="s">
        <v>8710</v>
      </c>
      <c r="E493" s="115" t="s">
        <v>1242</v>
      </c>
      <c r="F493" s="115">
        <v>0</v>
      </c>
      <c r="G493" s="115">
        <v>0</v>
      </c>
      <c r="H493" s="115">
        <v>0</v>
      </c>
      <c r="I493" s="115">
        <v>0</v>
      </c>
      <c r="J493" s="115">
        <v>0</v>
      </c>
      <c r="K493" s="115">
        <v>0</v>
      </c>
    </row>
    <row r="494" spans="1:11" x14ac:dyDescent="0.25">
      <c r="B494" s="115" t="s">
        <v>1241</v>
      </c>
      <c r="D494" s="115" t="s">
        <v>8710</v>
      </c>
      <c r="E494" s="115" t="s">
        <v>1242</v>
      </c>
      <c r="F494" s="115">
        <v>0</v>
      </c>
      <c r="G494" s="115">
        <v>0</v>
      </c>
      <c r="H494" s="115">
        <v>0</v>
      </c>
      <c r="I494" s="115">
        <v>0</v>
      </c>
      <c r="J494" s="115">
        <v>0</v>
      </c>
      <c r="K494" s="115">
        <v>0</v>
      </c>
    </row>
    <row r="495" spans="1:11" x14ac:dyDescent="0.25">
      <c r="B495" s="115" t="s">
        <v>1241</v>
      </c>
      <c r="D495" s="115" t="s">
        <v>8710</v>
      </c>
      <c r="E495" s="115" t="s">
        <v>1242</v>
      </c>
      <c r="F495" s="115">
        <v>0</v>
      </c>
      <c r="G495" s="115">
        <v>0</v>
      </c>
      <c r="H495" s="115">
        <v>0</v>
      </c>
      <c r="I495" s="115">
        <v>0</v>
      </c>
      <c r="J495" s="115">
        <v>0</v>
      </c>
      <c r="K495" s="115">
        <v>0</v>
      </c>
    </row>
    <row r="496" spans="1:11" x14ac:dyDescent="0.25">
      <c r="B496" s="115" t="s">
        <v>1241</v>
      </c>
      <c r="D496" s="115" t="s">
        <v>8710</v>
      </c>
      <c r="E496" s="115" t="s">
        <v>1242</v>
      </c>
      <c r="F496" s="115">
        <v>0</v>
      </c>
      <c r="G496" s="115">
        <v>0</v>
      </c>
      <c r="H496" s="115">
        <v>0</v>
      </c>
      <c r="I496" s="115">
        <v>0</v>
      </c>
      <c r="J496" s="115">
        <v>0</v>
      </c>
      <c r="K496" s="115">
        <v>0</v>
      </c>
    </row>
    <row r="497" spans="1:11" x14ac:dyDescent="0.25">
      <c r="B497" s="115" t="s">
        <v>1241</v>
      </c>
      <c r="D497" s="115" t="s">
        <v>8710</v>
      </c>
      <c r="E497" s="115" t="s">
        <v>1242</v>
      </c>
      <c r="F497" s="115">
        <v>0</v>
      </c>
      <c r="G497" s="115">
        <v>0</v>
      </c>
      <c r="H497" s="115">
        <v>0</v>
      </c>
      <c r="I497" s="115">
        <v>0</v>
      </c>
      <c r="J497" s="115">
        <v>0</v>
      </c>
      <c r="K497" s="115">
        <v>0</v>
      </c>
    </row>
    <row r="498" spans="1:11" x14ac:dyDescent="0.25">
      <c r="B498" s="115" t="s">
        <v>1241</v>
      </c>
      <c r="D498" s="115" t="s">
        <v>8710</v>
      </c>
      <c r="E498" s="115" t="s">
        <v>1242</v>
      </c>
      <c r="F498" s="115">
        <v>0</v>
      </c>
      <c r="G498" s="115">
        <v>0</v>
      </c>
      <c r="H498" s="115">
        <v>0</v>
      </c>
      <c r="I498" s="115">
        <v>0</v>
      </c>
      <c r="J498" s="115">
        <v>0</v>
      </c>
      <c r="K498" s="115">
        <v>0</v>
      </c>
    </row>
    <row r="499" spans="1:11" x14ac:dyDescent="0.25">
      <c r="B499" s="115" t="s">
        <v>1241</v>
      </c>
      <c r="D499" s="115" t="s">
        <v>8710</v>
      </c>
      <c r="E499" s="115" t="s">
        <v>1242</v>
      </c>
      <c r="F499" s="115">
        <v>0</v>
      </c>
      <c r="G499" s="115">
        <v>0</v>
      </c>
      <c r="H499" s="115">
        <v>0</v>
      </c>
      <c r="I499" s="115">
        <v>0</v>
      </c>
      <c r="J499" s="115">
        <v>0</v>
      </c>
      <c r="K499" s="115">
        <v>0</v>
      </c>
    </row>
    <row r="500" spans="1:11" x14ac:dyDescent="0.25">
      <c r="B500" s="115" t="s">
        <v>1241</v>
      </c>
      <c r="D500" s="115" t="s">
        <v>8710</v>
      </c>
      <c r="E500" s="115" t="s">
        <v>1242</v>
      </c>
      <c r="F500" s="115">
        <v>0</v>
      </c>
      <c r="G500" s="115">
        <v>0</v>
      </c>
      <c r="H500" s="115">
        <v>0</v>
      </c>
      <c r="I500" s="115">
        <v>0</v>
      </c>
      <c r="J500" s="115">
        <v>0</v>
      </c>
      <c r="K500" s="115">
        <v>0</v>
      </c>
    </row>
    <row r="501" spans="1:11" x14ac:dyDescent="0.25">
      <c r="B501" s="115" t="s">
        <v>1241</v>
      </c>
      <c r="D501" s="115" t="s">
        <v>8710</v>
      </c>
      <c r="E501" s="115" t="s">
        <v>1242</v>
      </c>
      <c r="F501" s="115">
        <v>0</v>
      </c>
      <c r="G501" s="115">
        <v>0</v>
      </c>
      <c r="H501" s="115">
        <v>0</v>
      </c>
      <c r="I501" s="115">
        <v>0</v>
      </c>
      <c r="J501" s="115">
        <v>0</v>
      </c>
      <c r="K501" s="115">
        <v>0</v>
      </c>
    </row>
    <row r="502" spans="1:11" x14ac:dyDescent="0.25">
      <c r="B502" s="115" t="s">
        <v>1241</v>
      </c>
      <c r="D502" s="115" t="s">
        <v>8710</v>
      </c>
      <c r="E502" s="115" t="s">
        <v>1242</v>
      </c>
      <c r="F502" s="115">
        <v>0</v>
      </c>
      <c r="G502" s="115">
        <v>0</v>
      </c>
      <c r="H502" s="115">
        <v>0</v>
      </c>
      <c r="I502" s="115">
        <v>0</v>
      </c>
      <c r="J502" s="115">
        <v>0</v>
      </c>
      <c r="K502" s="115">
        <v>0</v>
      </c>
    </row>
    <row r="503" spans="1:11" x14ac:dyDescent="0.25">
      <c r="B503" s="115" t="s">
        <v>1241</v>
      </c>
      <c r="D503" s="115" t="s">
        <v>8710</v>
      </c>
      <c r="E503" s="115" t="s">
        <v>1242</v>
      </c>
      <c r="F503" s="115">
        <v>0</v>
      </c>
      <c r="G503" s="115">
        <v>0</v>
      </c>
      <c r="H503" s="115">
        <v>0</v>
      </c>
      <c r="I503" s="115">
        <v>0</v>
      </c>
      <c r="J503" s="115">
        <v>0</v>
      </c>
      <c r="K503" s="115">
        <v>0</v>
      </c>
    </row>
    <row r="504" spans="1:11" x14ac:dyDescent="0.25">
      <c r="B504" s="115" t="s">
        <v>1314</v>
      </c>
      <c r="C504" s="115" t="s">
        <v>1239</v>
      </c>
      <c r="D504" s="115" t="s">
        <v>8759</v>
      </c>
      <c r="E504" s="115" t="s">
        <v>1315</v>
      </c>
      <c r="F504" s="115">
        <v>5431</v>
      </c>
      <c r="G504" s="115">
        <v>3518</v>
      </c>
      <c r="H504" s="115">
        <v>0</v>
      </c>
      <c r="I504" s="115">
        <v>0</v>
      </c>
      <c r="J504" s="115">
        <v>-99</v>
      </c>
      <c r="K504" s="115">
        <v>0</v>
      </c>
    </row>
    <row r="505" spans="1:11" x14ac:dyDescent="0.25">
      <c r="B505" s="115" t="s">
        <v>1241</v>
      </c>
      <c r="D505" s="115" t="s">
        <v>8760</v>
      </c>
      <c r="E505" s="115" t="s">
        <v>1242</v>
      </c>
      <c r="F505" s="115">
        <v>0</v>
      </c>
      <c r="G505" s="115">
        <v>0</v>
      </c>
      <c r="H505" s="115">
        <v>0</v>
      </c>
      <c r="I505" s="115">
        <v>0</v>
      </c>
      <c r="J505" s="115">
        <v>0</v>
      </c>
      <c r="K505" s="115">
        <v>0</v>
      </c>
    </row>
    <row r="506" spans="1:11" x14ac:dyDescent="0.25">
      <c r="A506" s="115" t="s">
        <v>1239</v>
      </c>
      <c r="B506" s="115" t="s">
        <v>1305</v>
      </c>
      <c r="D506" s="115" t="s">
        <v>8761</v>
      </c>
      <c r="E506" s="115" t="s">
        <v>1316</v>
      </c>
      <c r="F506" s="115">
        <v>0</v>
      </c>
      <c r="G506" s="115">
        <v>-372</v>
      </c>
      <c r="H506" s="115">
        <v>0</v>
      </c>
      <c r="I506" s="115">
        <v>-38</v>
      </c>
      <c r="J506" s="115">
        <v>150</v>
      </c>
      <c r="K506" s="115">
        <v>1075</v>
      </c>
    </row>
    <row r="507" spans="1:11" x14ac:dyDescent="0.25">
      <c r="B507" s="115" t="s">
        <v>1317</v>
      </c>
      <c r="C507" s="115" t="s">
        <v>1239</v>
      </c>
      <c r="D507" s="115" t="s">
        <v>8762</v>
      </c>
      <c r="E507" s="115" t="s">
        <v>1318</v>
      </c>
      <c r="F507" s="115">
        <v>9643</v>
      </c>
      <c r="G507" s="115">
        <v>21112</v>
      </c>
      <c r="H507" s="115">
        <v>16044</v>
      </c>
      <c r="I507" s="115">
        <v>0</v>
      </c>
      <c r="J507" s="115">
        <v>4806</v>
      </c>
      <c r="K507" s="115">
        <v>0</v>
      </c>
    </row>
    <row r="508" spans="1:11" x14ac:dyDescent="0.25">
      <c r="B508" s="115" t="s">
        <v>1241</v>
      </c>
      <c r="D508" s="115" t="s">
        <v>8763</v>
      </c>
      <c r="E508" s="115" t="s">
        <v>1242</v>
      </c>
      <c r="F508" s="115">
        <v>-1837</v>
      </c>
      <c r="G508" s="115">
        <v>0</v>
      </c>
      <c r="H508" s="115">
        <v>0</v>
      </c>
      <c r="I508" s="115">
        <v>0</v>
      </c>
      <c r="J508" s="115">
        <v>0</v>
      </c>
      <c r="K508" s="115">
        <v>0</v>
      </c>
    </row>
    <row r="509" spans="1:11" x14ac:dyDescent="0.25">
      <c r="B509" s="115" t="s">
        <v>1241</v>
      </c>
      <c r="D509" s="115" t="s">
        <v>8710</v>
      </c>
      <c r="E509" s="115" t="s">
        <v>1242</v>
      </c>
      <c r="F509" s="115">
        <v>0</v>
      </c>
      <c r="G509" s="115">
        <v>0</v>
      </c>
      <c r="H509" s="115">
        <v>0</v>
      </c>
      <c r="I509" s="115">
        <v>0</v>
      </c>
      <c r="J509" s="115">
        <v>0</v>
      </c>
      <c r="K509" s="115">
        <v>0</v>
      </c>
    </row>
    <row r="510" spans="1:11" x14ac:dyDescent="0.25">
      <c r="B510" s="115" t="s">
        <v>1241</v>
      </c>
      <c r="D510" s="115" t="s">
        <v>8710</v>
      </c>
      <c r="E510" s="115" t="s">
        <v>1242</v>
      </c>
      <c r="F510" s="115">
        <v>0</v>
      </c>
      <c r="G510" s="115">
        <v>0</v>
      </c>
      <c r="H510" s="115">
        <v>0</v>
      </c>
      <c r="I510" s="115">
        <v>0</v>
      </c>
      <c r="J510" s="115">
        <v>0</v>
      </c>
      <c r="K510" s="115">
        <v>0</v>
      </c>
    </row>
    <row r="511" spans="1:11" x14ac:dyDescent="0.25">
      <c r="B511" s="115" t="s">
        <v>1241</v>
      </c>
      <c r="D511" s="115" t="s">
        <v>8710</v>
      </c>
      <c r="E511" s="115" t="s">
        <v>1242</v>
      </c>
      <c r="F511" s="115">
        <v>0</v>
      </c>
      <c r="G511" s="115">
        <v>0</v>
      </c>
      <c r="H511" s="115">
        <v>0</v>
      </c>
      <c r="I511" s="115">
        <v>0</v>
      </c>
      <c r="J511" s="115">
        <v>0</v>
      </c>
      <c r="K511" s="115">
        <v>0</v>
      </c>
    </row>
    <row r="512" spans="1:11" x14ac:dyDescent="0.25">
      <c r="B512" s="115" t="s">
        <v>1241</v>
      </c>
      <c r="D512" s="115" t="s">
        <v>8710</v>
      </c>
      <c r="E512" s="115" t="s">
        <v>1242</v>
      </c>
      <c r="F512" s="115">
        <v>0</v>
      </c>
      <c r="G512" s="115">
        <v>0</v>
      </c>
      <c r="H512" s="115">
        <v>0</v>
      </c>
      <c r="I512" s="115">
        <v>0</v>
      </c>
      <c r="J512" s="115">
        <v>0</v>
      </c>
      <c r="K512" s="115">
        <v>0</v>
      </c>
    </row>
    <row r="513" spans="1:11" x14ac:dyDescent="0.25">
      <c r="B513" s="115" t="s">
        <v>1241</v>
      </c>
      <c r="D513" s="115" t="s">
        <v>8764</v>
      </c>
      <c r="E513" s="115" t="s">
        <v>1319</v>
      </c>
      <c r="F513" s="115">
        <v>0</v>
      </c>
      <c r="G513" s="115">
        <v>0</v>
      </c>
      <c r="H513" s="115">
        <v>-137</v>
      </c>
      <c r="I513" s="115">
        <v>182</v>
      </c>
      <c r="J513" s="115">
        <v>60</v>
      </c>
      <c r="K513" s="115">
        <v>-1547</v>
      </c>
    </row>
    <row r="514" spans="1:11" x14ac:dyDescent="0.25">
      <c r="A514" s="115" t="s">
        <v>1239</v>
      </c>
      <c r="B514" s="115" t="s">
        <v>1320</v>
      </c>
      <c r="D514" s="115" t="s">
        <v>8765</v>
      </c>
      <c r="E514" s="115" t="s">
        <v>1321</v>
      </c>
      <c r="F514" s="115">
        <v>0</v>
      </c>
      <c r="G514" s="115">
        <v>0</v>
      </c>
      <c r="H514" s="115">
        <v>0</v>
      </c>
      <c r="I514" s="115">
        <v>49</v>
      </c>
      <c r="J514" s="115">
        <v>135</v>
      </c>
      <c r="K514" s="115">
        <v>0</v>
      </c>
    </row>
    <row r="515" spans="1:11" x14ac:dyDescent="0.25">
      <c r="B515" s="115" t="s">
        <v>1241</v>
      </c>
      <c r="D515" s="115" t="s">
        <v>8766</v>
      </c>
      <c r="E515" s="115" t="s">
        <v>1322</v>
      </c>
      <c r="F515" s="115">
        <v>0</v>
      </c>
      <c r="G515" s="115">
        <v>86</v>
      </c>
      <c r="H515" s="115">
        <v>0</v>
      </c>
      <c r="I515" s="115">
        <v>0</v>
      </c>
      <c r="J515" s="115">
        <v>687</v>
      </c>
      <c r="K515" s="115">
        <v>0</v>
      </c>
    </row>
    <row r="516" spans="1:11" x14ac:dyDescent="0.25">
      <c r="A516" s="115" t="s">
        <v>1239</v>
      </c>
      <c r="B516" s="115" t="s">
        <v>1323</v>
      </c>
      <c r="D516" s="115" t="s">
        <v>8767</v>
      </c>
      <c r="E516" s="115" t="s">
        <v>1324</v>
      </c>
      <c r="F516" s="115">
        <v>-11</v>
      </c>
      <c r="G516" s="115">
        <v>0</v>
      </c>
      <c r="H516" s="115">
        <v>-21453</v>
      </c>
      <c r="I516" s="115">
        <v>-5960</v>
      </c>
      <c r="J516" s="115">
        <v>-2159</v>
      </c>
      <c r="K516" s="115">
        <v>16995</v>
      </c>
    </row>
    <row r="517" spans="1:11" x14ac:dyDescent="0.25">
      <c r="A517" s="115">
        <v>21</v>
      </c>
      <c r="B517" s="115" t="s">
        <v>1325</v>
      </c>
      <c r="D517" s="115" t="s">
        <v>8768</v>
      </c>
      <c r="E517" s="115" t="s">
        <v>1326</v>
      </c>
      <c r="F517" s="115">
        <v>0</v>
      </c>
      <c r="G517" s="115">
        <v>0</v>
      </c>
      <c r="H517" s="115">
        <v>0</v>
      </c>
      <c r="I517" s="115">
        <v>0</v>
      </c>
      <c r="J517" s="115">
        <v>0</v>
      </c>
      <c r="K517" s="115">
        <v>6848</v>
      </c>
    </row>
    <row r="518" spans="1:11" x14ac:dyDescent="0.25">
      <c r="B518" s="115" t="s">
        <v>1241</v>
      </c>
      <c r="D518" s="115" t="s">
        <v>8769</v>
      </c>
      <c r="E518" s="115" t="s">
        <v>1242</v>
      </c>
      <c r="F518" s="115">
        <v>0</v>
      </c>
      <c r="G518" s="115">
        <v>0</v>
      </c>
      <c r="H518" s="115">
        <v>0</v>
      </c>
      <c r="I518" s="115">
        <v>0</v>
      </c>
      <c r="J518" s="115">
        <v>0</v>
      </c>
      <c r="K518" s="115">
        <v>0</v>
      </c>
    </row>
    <row r="519" spans="1:11" x14ac:dyDescent="0.25">
      <c r="B519" s="115" t="s">
        <v>1241</v>
      </c>
      <c r="D519" s="115" t="s">
        <v>8710</v>
      </c>
      <c r="E519" s="115" t="s">
        <v>1242</v>
      </c>
      <c r="F519" s="115">
        <v>0</v>
      </c>
      <c r="G519" s="115">
        <v>0</v>
      </c>
      <c r="H519" s="115">
        <v>0</v>
      </c>
      <c r="I519" s="115">
        <v>0</v>
      </c>
      <c r="J519" s="115">
        <v>0</v>
      </c>
      <c r="K519" s="115">
        <v>0</v>
      </c>
    </row>
    <row r="520" spans="1:11" x14ac:dyDescent="0.25">
      <c r="B520" s="115" t="s">
        <v>1241</v>
      </c>
      <c r="D520" s="115" t="s">
        <v>8710</v>
      </c>
      <c r="E520" s="115" t="s">
        <v>1242</v>
      </c>
      <c r="F520" s="115">
        <v>0</v>
      </c>
      <c r="G520" s="115">
        <v>0</v>
      </c>
      <c r="H520" s="115">
        <v>0</v>
      </c>
      <c r="I520" s="115">
        <v>0</v>
      </c>
      <c r="J520" s="115">
        <v>0</v>
      </c>
      <c r="K520" s="115">
        <v>0</v>
      </c>
    </row>
    <row r="521" spans="1:11" x14ac:dyDescent="0.25">
      <c r="B521" s="115" t="s">
        <v>1241</v>
      </c>
      <c r="D521" s="115" t="s">
        <v>8710</v>
      </c>
      <c r="E521" s="115" t="s">
        <v>1242</v>
      </c>
      <c r="F521" s="115">
        <v>0</v>
      </c>
      <c r="G521" s="115">
        <v>0</v>
      </c>
      <c r="H521" s="115">
        <v>0</v>
      </c>
      <c r="I521" s="115">
        <v>0</v>
      </c>
      <c r="J521" s="115">
        <v>0</v>
      </c>
      <c r="K521" s="115">
        <v>0</v>
      </c>
    </row>
    <row r="522" spans="1:11" x14ac:dyDescent="0.25">
      <c r="B522" s="115" t="s">
        <v>1241</v>
      </c>
      <c r="D522" s="115" t="s">
        <v>8710</v>
      </c>
      <c r="E522" s="115" t="s">
        <v>1242</v>
      </c>
      <c r="F522" s="115">
        <v>0</v>
      </c>
      <c r="G522" s="115">
        <v>0</v>
      </c>
      <c r="H522" s="115">
        <v>0</v>
      </c>
      <c r="I522" s="115">
        <v>0</v>
      </c>
      <c r="J522" s="115">
        <v>0</v>
      </c>
      <c r="K522" s="115">
        <v>0</v>
      </c>
    </row>
    <row r="523" spans="1:11" x14ac:dyDescent="0.25">
      <c r="B523" s="115" t="s">
        <v>1241</v>
      </c>
      <c r="D523" s="115" t="s">
        <v>8710</v>
      </c>
      <c r="E523" s="115" t="s">
        <v>1242</v>
      </c>
      <c r="F523" s="115">
        <v>0</v>
      </c>
      <c r="G523" s="115">
        <v>0</v>
      </c>
      <c r="H523" s="115">
        <v>0</v>
      </c>
      <c r="I523" s="115">
        <v>0</v>
      </c>
      <c r="J523" s="115">
        <v>0</v>
      </c>
      <c r="K523" s="115">
        <v>0</v>
      </c>
    </row>
    <row r="524" spans="1:11" x14ac:dyDescent="0.25">
      <c r="B524" s="115" t="s">
        <v>1241</v>
      </c>
      <c r="D524" s="115" t="s">
        <v>8710</v>
      </c>
      <c r="E524" s="115" t="s">
        <v>1242</v>
      </c>
      <c r="F524" s="115">
        <v>0</v>
      </c>
      <c r="G524" s="115">
        <v>0</v>
      </c>
      <c r="H524" s="115">
        <v>0</v>
      </c>
      <c r="I524" s="115">
        <v>0</v>
      </c>
      <c r="J524" s="115">
        <v>0</v>
      </c>
      <c r="K524" s="115">
        <v>0</v>
      </c>
    </row>
    <row r="525" spans="1:11" x14ac:dyDescent="0.25">
      <c r="B525" s="115" t="s">
        <v>1241</v>
      </c>
      <c r="D525" s="115" t="s">
        <v>8710</v>
      </c>
      <c r="E525" s="115" t="s">
        <v>1242</v>
      </c>
      <c r="F525" s="115">
        <v>0</v>
      </c>
      <c r="G525" s="115">
        <v>0</v>
      </c>
      <c r="H525" s="115">
        <v>0</v>
      </c>
      <c r="I525" s="115">
        <v>0</v>
      </c>
      <c r="J525" s="115">
        <v>0</v>
      </c>
      <c r="K525" s="115">
        <v>0</v>
      </c>
    </row>
    <row r="526" spans="1:11" x14ac:dyDescent="0.25">
      <c r="B526" s="115" t="s">
        <v>1241</v>
      </c>
      <c r="D526" s="115" t="s">
        <v>8710</v>
      </c>
      <c r="E526" s="115" t="s">
        <v>1242</v>
      </c>
      <c r="F526" s="115">
        <v>0</v>
      </c>
      <c r="G526" s="115">
        <v>0</v>
      </c>
      <c r="H526" s="115">
        <v>0</v>
      </c>
      <c r="I526" s="115">
        <v>0</v>
      </c>
      <c r="J526" s="115">
        <v>0</v>
      </c>
      <c r="K526" s="115">
        <v>0</v>
      </c>
    </row>
    <row r="527" spans="1:11" x14ac:dyDescent="0.25">
      <c r="B527" s="115" t="s">
        <v>1241</v>
      </c>
      <c r="D527" s="115" t="s">
        <v>8710</v>
      </c>
      <c r="E527" s="115" t="s">
        <v>1242</v>
      </c>
      <c r="F527" s="115">
        <v>0</v>
      </c>
      <c r="G527" s="115">
        <v>0</v>
      </c>
      <c r="H527" s="115">
        <v>0</v>
      </c>
      <c r="I527" s="115">
        <v>0</v>
      </c>
      <c r="J527" s="115">
        <v>0</v>
      </c>
      <c r="K527" s="115">
        <v>0</v>
      </c>
    </row>
    <row r="528" spans="1:11" x14ac:dyDescent="0.25">
      <c r="B528" s="115" t="s">
        <v>1241</v>
      </c>
      <c r="D528" s="115" t="s">
        <v>8710</v>
      </c>
      <c r="E528" s="115" t="s">
        <v>1242</v>
      </c>
      <c r="F528" s="115">
        <v>0</v>
      </c>
      <c r="G528" s="115">
        <v>0</v>
      </c>
      <c r="H528" s="115">
        <v>0</v>
      </c>
      <c r="I528" s="115">
        <v>0</v>
      </c>
      <c r="J528" s="115">
        <v>0</v>
      </c>
      <c r="K528" s="115">
        <v>0</v>
      </c>
    </row>
    <row r="529" spans="2:11" x14ac:dyDescent="0.25">
      <c r="B529" s="115" t="s">
        <v>1241</v>
      </c>
      <c r="D529" s="115" t="s">
        <v>8710</v>
      </c>
      <c r="E529" s="115" t="s">
        <v>1242</v>
      </c>
      <c r="F529" s="115">
        <v>0</v>
      </c>
      <c r="G529" s="115">
        <v>0</v>
      </c>
      <c r="H529" s="115">
        <v>0</v>
      </c>
      <c r="I529" s="115">
        <v>0</v>
      </c>
      <c r="J529" s="115">
        <v>0</v>
      </c>
      <c r="K529" s="115">
        <v>0</v>
      </c>
    </row>
    <row r="530" spans="2:11" x14ac:dyDescent="0.25">
      <c r="B530" s="115" t="s">
        <v>1241</v>
      </c>
      <c r="D530" s="115" t="s">
        <v>8710</v>
      </c>
      <c r="E530" s="115" t="s">
        <v>1242</v>
      </c>
      <c r="F530" s="115">
        <v>0</v>
      </c>
      <c r="G530" s="115">
        <v>0</v>
      </c>
      <c r="H530" s="115">
        <v>0</v>
      </c>
      <c r="I530" s="115">
        <v>0</v>
      </c>
      <c r="J530" s="115">
        <v>0</v>
      </c>
      <c r="K530" s="115">
        <v>0</v>
      </c>
    </row>
    <row r="531" spans="2:11" x14ac:dyDescent="0.25">
      <c r="B531" s="115" t="s">
        <v>1241</v>
      </c>
      <c r="D531" s="115" t="s">
        <v>8710</v>
      </c>
      <c r="E531" s="115" t="s">
        <v>1242</v>
      </c>
      <c r="F531" s="115">
        <v>0</v>
      </c>
      <c r="G531" s="115">
        <v>0</v>
      </c>
      <c r="H531" s="115">
        <v>0</v>
      </c>
      <c r="I531" s="115">
        <v>0</v>
      </c>
      <c r="J531" s="115">
        <v>0</v>
      </c>
      <c r="K531" s="115">
        <v>0</v>
      </c>
    </row>
    <row r="532" spans="2:11" x14ac:dyDescent="0.25">
      <c r="B532" s="115" t="s">
        <v>1241</v>
      </c>
      <c r="D532" s="115" t="s">
        <v>8710</v>
      </c>
      <c r="E532" s="115" t="s">
        <v>1242</v>
      </c>
      <c r="F532" s="115">
        <v>0</v>
      </c>
      <c r="G532" s="115">
        <v>0</v>
      </c>
      <c r="H532" s="115">
        <v>0</v>
      </c>
      <c r="I532" s="115">
        <v>0</v>
      </c>
      <c r="J532" s="115">
        <v>0</v>
      </c>
      <c r="K532" s="115">
        <v>0</v>
      </c>
    </row>
    <row r="533" spans="2:11" x14ac:dyDescent="0.25">
      <c r="B533" s="115" t="s">
        <v>1241</v>
      </c>
      <c r="D533" s="115" t="s">
        <v>8710</v>
      </c>
      <c r="E533" s="115" t="s">
        <v>1242</v>
      </c>
      <c r="F533" s="115">
        <v>0</v>
      </c>
      <c r="G533" s="115">
        <v>0</v>
      </c>
      <c r="H533" s="115">
        <v>0</v>
      </c>
      <c r="I533" s="115">
        <v>0</v>
      </c>
      <c r="J533" s="115">
        <v>0</v>
      </c>
      <c r="K533" s="115">
        <v>0</v>
      </c>
    </row>
    <row r="534" spans="2:11" x14ac:dyDescent="0.25">
      <c r="B534" s="115" t="s">
        <v>1241</v>
      </c>
      <c r="D534" s="115" t="s">
        <v>8710</v>
      </c>
      <c r="E534" s="115" t="s">
        <v>1242</v>
      </c>
      <c r="F534" s="115">
        <v>0</v>
      </c>
      <c r="G534" s="115">
        <v>0</v>
      </c>
      <c r="H534" s="115">
        <v>0</v>
      </c>
      <c r="I534" s="115">
        <v>0</v>
      </c>
      <c r="J534" s="115">
        <v>0</v>
      </c>
      <c r="K534" s="115">
        <v>0</v>
      </c>
    </row>
    <row r="535" spans="2:11" x14ac:dyDescent="0.25">
      <c r="B535" s="115" t="s">
        <v>1241</v>
      </c>
      <c r="D535" s="115" t="s">
        <v>8710</v>
      </c>
      <c r="E535" s="115" t="s">
        <v>1242</v>
      </c>
      <c r="F535" s="115">
        <v>0</v>
      </c>
      <c r="G535" s="115">
        <v>0</v>
      </c>
      <c r="H535" s="115">
        <v>0</v>
      </c>
      <c r="I535" s="115">
        <v>0</v>
      </c>
      <c r="J535" s="115">
        <v>0</v>
      </c>
      <c r="K535" s="115">
        <v>0</v>
      </c>
    </row>
    <row r="536" spans="2:11" x14ac:dyDescent="0.25">
      <c r="B536" s="115" t="s">
        <v>1241</v>
      </c>
      <c r="D536" s="115" t="s">
        <v>8710</v>
      </c>
      <c r="E536" s="115" t="s">
        <v>1242</v>
      </c>
      <c r="F536" s="115">
        <v>0</v>
      </c>
      <c r="G536" s="115">
        <v>0</v>
      </c>
      <c r="H536" s="115">
        <v>0</v>
      </c>
      <c r="I536" s="115">
        <v>0</v>
      </c>
      <c r="J536" s="115">
        <v>0</v>
      </c>
      <c r="K536" s="115">
        <v>0</v>
      </c>
    </row>
    <row r="537" spans="2:11" x14ac:dyDescent="0.25">
      <c r="B537" s="115" t="s">
        <v>1241</v>
      </c>
      <c r="D537" s="115" t="s">
        <v>8710</v>
      </c>
      <c r="E537" s="115" t="s">
        <v>1242</v>
      </c>
      <c r="F537" s="115">
        <v>0</v>
      </c>
      <c r="G537" s="115">
        <v>0</v>
      </c>
      <c r="H537" s="115">
        <v>0</v>
      </c>
      <c r="I537" s="115">
        <v>0</v>
      </c>
      <c r="J537" s="115">
        <v>0</v>
      </c>
      <c r="K537" s="115">
        <v>0</v>
      </c>
    </row>
    <row r="538" spans="2:11" x14ac:dyDescent="0.25">
      <c r="B538" s="115" t="s">
        <v>1241</v>
      </c>
      <c r="D538" s="115" t="s">
        <v>8710</v>
      </c>
      <c r="E538" s="115" t="s">
        <v>1242</v>
      </c>
      <c r="F538" s="115">
        <v>0</v>
      </c>
      <c r="G538" s="115">
        <v>0</v>
      </c>
      <c r="H538" s="115">
        <v>0</v>
      </c>
      <c r="I538" s="115">
        <v>0</v>
      </c>
      <c r="J538" s="115">
        <v>0</v>
      </c>
      <c r="K538" s="115">
        <v>0</v>
      </c>
    </row>
    <row r="539" spans="2:11" x14ac:dyDescent="0.25">
      <c r="B539" s="115" t="s">
        <v>1241</v>
      </c>
      <c r="D539" s="115" t="s">
        <v>8710</v>
      </c>
      <c r="E539" s="115" t="s">
        <v>1242</v>
      </c>
      <c r="F539" s="115">
        <v>0</v>
      </c>
      <c r="G539" s="115">
        <v>0</v>
      </c>
      <c r="H539" s="115">
        <v>0</v>
      </c>
      <c r="I539" s="115">
        <v>0</v>
      </c>
      <c r="J539" s="115">
        <v>0</v>
      </c>
      <c r="K539" s="115">
        <v>0</v>
      </c>
    </row>
    <row r="540" spans="2:11" x14ac:dyDescent="0.25">
      <c r="B540" s="115" t="s">
        <v>1241</v>
      </c>
      <c r="D540" s="115" t="s">
        <v>8710</v>
      </c>
      <c r="E540" s="115" t="s">
        <v>1242</v>
      </c>
      <c r="F540" s="115">
        <v>0</v>
      </c>
      <c r="G540" s="115">
        <v>0</v>
      </c>
      <c r="H540" s="115">
        <v>0</v>
      </c>
      <c r="I540" s="115">
        <v>0</v>
      </c>
      <c r="J540" s="115">
        <v>0</v>
      </c>
      <c r="K540" s="115">
        <v>0</v>
      </c>
    </row>
    <row r="541" spans="2:11" x14ac:dyDescent="0.25">
      <c r="B541" s="115" t="s">
        <v>1241</v>
      </c>
      <c r="D541" s="115" t="s">
        <v>8710</v>
      </c>
      <c r="E541" s="115" t="s">
        <v>1242</v>
      </c>
      <c r="F541" s="115">
        <v>0</v>
      </c>
      <c r="G541" s="115">
        <v>0</v>
      </c>
      <c r="H541" s="115">
        <v>0</v>
      </c>
      <c r="I541" s="115">
        <v>0</v>
      </c>
      <c r="J541" s="115">
        <v>0</v>
      </c>
      <c r="K541" s="115">
        <v>0</v>
      </c>
    </row>
    <row r="542" spans="2:11" x14ac:dyDescent="0.25">
      <c r="B542" s="115" t="s">
        <v>1241</v>
      </c>
      <c r="D542" s="115" t="s">
        <v>8710</v>
      </c>
      <c r="E542" s="115" t="s">
        <v>1242</v>
      </c>
      <c r="F542" s="115">
        <v>0</v>
      </c>
      <c r="G542" s="115">
        <v>0</v>
      </c>
      <c r="H542" s="115">
        <v>0</v>
      </c>
      <c r="I542" s="115">
        <v>0</v>
      </c>
      <c r="J542" s="115">
        <v>0</v>
      </c>
      <c r="K542" s="115">
        <v>0</v>
      </c>
    </row>
    <row r="543" spans="2:11" x14ac:dyDescent="0.25">
      <c r="B543" s="115" t="s">
        <v>1241</v>
      </c>
      <c r="D543" s="115" t="s">
        <v>8710</v>
      </c>
      <c r="E543" s="115" t="s">
        <v>1242</v>
      </c>
      <c r="F543" s="115">
        <v>0</v>
      </c>
      <c r="G543" s="115">
        <v>0</v>
      </c>
      <c r="H543" s="115">
        <v>0</v>
      </c>
      <c r="I543" s="115">
        <v>0</v>
      </c>
      <c r="J543" s="115">
        <v>0</v>
      </c>
      <c r="K543" s="115">
        <v>0</v>
      </c>
    </row>
    <row r="544" spans="2:11" x14ac:dyDescent="0.25">
      <c r="B544" s="115" t="s">
        <v>1241</v>
      </c>
      <c r="D544" s="115" t="s">
        <v>8770</v>
      </c>
      <c r="E544" s="115" t="s">
        <v>1327</v>
      </c>
      <c r="F544" s="115">
        <v>0</v>
      </c>
      <c r="G544" s="115">
        <v>-1151</v>
      </c>
      <c r="H544" s="115">
        <v>354</v>
      </c>
      <c r="I544" s="115">
        <v>-247</v>
      </c>
      <c r="J544" s="115">
        <v>938</v>
      </c>
      <c r="K544" s="115">
        <v>-123</v>
      </c>
    </row>
    <row r="545" spans="1:11" x14ac:dyDescent="0.25">
      <c r="B545" s="115" t="s">
        <v>1241</v>
      </c>
      <c r="D545" s="115" t="s">
        <v>8771</v>
      </c>
      <c r="E545" s="115" t="s">
        <v>1328</v>
      </c>
      <c r="F545" s="115">
        <v>0</v>
      </c>
      <c r="G545" s="115">
        <v>0</v>
      </c>
      <c r="H545" s="115">
        <v>532</v>
      </c>
      <c r="I545" s="115">
        <v>-2</v>
      </c>
      <c r="J545" s="115">
        <v>0</v>
      </c>
      <c r="K545" s="115">
        <v>0</v>
      </c>
    </row>
    <row r="546" spans="1:11" x14ac:dyDescent="0.25">
      <c r="B546" s="115" t="s">
        <v>1241</v>
      </c>
      <c r="D546" s="115" t="s">
        <v>8772</v>
      </c>
      <c r="E546" s="115" t="s">
        <v>1329</v>
      </c>
      <c r="F546" s="115">
        <v>301</v>
      </c>
      <c r="G546" s="115">
        <v>0</v>
      </c>
      <c r="H546" s="115">
        <v>0</v>
      </c>
      <c r="I546" s="115">
        <v>-1719</v>
      </c>
      <c r="J546" s="115">
        <v>0</v>
      </c>
      <c r="K546" s="115">
        <v>2117</v>
      </c>
    </row>
    <row r="547" spans="1:11" x14ac:dyDescent="0.25">
      <c r="B547" s="115" t="s">
        <v>1330</v>
      </c>
      <c r="D547" s="115" t="s">
        <v>8773</v>
      </c>
      <c r="E547" s="115" t="s">
        <v>1331</v>
      </c>
      <c r="F547" s="115">
        <v>0</v>
      </c>
      <c r="G547" s="115">
        <v>-24131</v>
      </c>
      <c r="H547" s="115">
        <v>-646</v>
      </c>
      <c r="I547" s="115">
        <v>5598</v>
      </c>
      <c r="J547" s="115">
        <v>7910</v>
      </c>
      <c r="K547" s="115">
        <v>14287</v>
      </c>
    </row>
    <row r="548" spans="1:11" x14ac:dyDescent="0.25">
      <c r="A548" s="115">
        <v>-11</v>
      </c>
      <c r="B548" s="115" t="s">
        <v>1332</v>
      </c>
      <c r="D548" s="115" t="s">
        <v>8774</v>
      </c>
      <c r="E548" s="115" t="s">
        <v>1333</v>
      </c>
      <c r="F548" s="115">
        <v>0</v>
      </c>
      <c r="G548" s="115">
        <v>0</v>
      </c>
      <c r="H548" s="115">
        <v>0</v>
      </c>
      <c r="I548" s="115">
        <v>0</v>
      </c>
      <c r="J548" s="115">
        <v>-4095</v>
      </c>
      <c r="K548" s="115">
        <v>0</v>
      </c>
    </row>
    <row r="549" spans="1:11" x14ac:dyDescent="0.25">
      <c r="B549" s="115" t="s">
        <v>1241</v>
      </c>
      <c r="D549" s="115" t="s">
        <v>8775</v>
      </c>
      <c r="E549" s="115" t="s">
        <v>1242</v>
      </c>
      <c r="F549" s="115">
        <v>-8227</v>
      </c>
      <c r="G549" s="115">
        <v>0</v>
      </c>
      <c r="H549" s="115">
        <v>0</v>
      </c>
      <c r="I549" s="115">
        <v>0</v>
      </c>
      <c r="J549" s="115">
        <v>0</v>
      </c>
      <c r="K549" s="115">
        <v>0</v>
      </c>
    </row>
    <row r="550" spans="1:11" x14ac:dyDescent="0.25">
      <c r="B550" s="115" t="s">
        <v>1241</v>
      </c>
      <c r="D550" s="115" t="s">
        <v>8710</v>
      </c>
      <c r="E550" s="115" t="s">
        <v>1242</v>
      </c>
      <c r="F550" s="115">
        <v>0</v>
      </c>
      <c r="G550" s="115">
        <v>0</v>
      </c>
      <c r="H550" s="115">
        <v>0</v>
      </c>
      <c r="I550" s="115">
        <v>0</v>
      </c>
      <c r="J550" s="115">
        <v>0</v>
      </c>
      <c r="K550" s="115">
        <v>0</v>
      </c>
    </row>
    <row r="551" spans="1:11" x14ac:dyDescent="0.25">
      <c r="B551" s="115" t="s">
        <v>1241</v>
      </c>
      <c r="D551" s="115" t="s">
        <v>8710</v>
      </c>
      <c r="E551" s="115" t="s">
        <v>1242</v>
      </c>
      <c r="F551" s="115">
        <v>0</v>
      </c>
      <c r="G551" s="115">
        <v>0</v>
      </c>
      <c r="H551" s="115">
        <v>0</v>
      </c>
      <c r="I551" s="115">
        <v>0</v>
      </c>
      <c r="J551" s="115">
        <v>0</v>
      </c>
      <c r="K551" s="115">
        <v>0</v>
      </c>
    </row>
    <row r="552" spans="1:11" x14ac:dyDescent="0.25">
      <c r="B552" s="115" t="s">
        <v>1241</v>
      </c>
      <c r="D552" s="115" t="s">
        <v>8710</v>
      </c>
      <c r="E552" s="115" t="s">
        <v>1242</v>
      </c>
      <c r="F552" s="115">
        <v>0</v>
      </c>
      <c r="G552" s="115">
        <v>0</v>
      </c>
      <c r="H552" s="115">
        <v>0</v>
      </c>
      <c r="I552" s="115">
        <v>0</v>
      </c>
      <c r="J552" s="115">
        <v>0</v>
      </c>
      <c r="K552" s="115">
        <v>0</v>
      </c>
    </row>
    <row r="553" spans="1:11" x14ac:dyDescent="0.25">
      <c r="B553" s="115" t="s">
        <v>1241</v>
      </c>
      <c r="D553" s="115" t="s">
        <v>8710</v>
      </c>
      <c r="E553" s="115" t="s">
        <v>1242</v>
      </c>
      <c r="F553" s="115">
        <v>0</v>
      </c>
      <c r="G553" s="115">
        <v>0</v>
      </c>
      <c r="H553" s="115">
        <v>0</v>
      </c>
      <c r="I553" s="115">
        <v>0</v>
      </c>
      <c r="J553" s="115">
        <v>0</v>
      </c>
      <c r="K553" s="115">
        <v>0</v>
      </c>
    </row>
    <row r="554" spans="1:11" x14ac:dyDescent="0.25">
      <c r="B554" s="115" t="s">
        <v>1241</v>
      </c>
      <c r="D554" s="115" t="s">
        <v>8710</v>
      </c>
      <c r="E554" s="115" t="s">
        <v>1242</v>
      </c>
      <c r="F554" s="115">
        <v>0</v>
      </c>
      <c r="G554" s="115">
        <v>0</v>
      </c>
      <c r="H554" s="115">
        <v>0</v>
      </c>
      <c r="I554" s="115">
        <v>0</v>
      </c>
      <c r="J554" s="115">
        <v>0</v>
      </c>
      <c r="K554" s="115">
        <v>0</v>
      </c>
    </row>
    <row r="555" spans="1:11" x14ac:dyDescent="0.25">
      <c r="B555" s="115" t="s">
        <v>1241</v>
      </c>
      <c r="D555" s="115" t="s">
        <v>8776</v>
      </c>
      <c r="E555" s="115" t="s">
        <v>1334</v>
      </c>
      <c r="F555" s="115">
        <v>0</v>
      </c>
      <c r="G555" s="115">
        <v>0</v>
      </c>
      <c r="H555" s="115">
        <v>471</v>
      </c>
      <c r="I555" s="115">
        <v>-425</v>
      </c>
      <c r="J555" s="115">
        <v>97</v>
      </c>
      <c r="K555" s="115">
        <v>272</v>
      </c>
    </row>
    <row r="556" spans="1:11" x14ac:dyDescent="0.25">
      <c r="B556" s="115" t="s">
        <v>1335</v>
      </c>
      <c r="D556" s="115" t="s">
        <v>8777</v>
      </c>
      <c r="E556" s="115" t="s">
        <v>1336</v>
      </c>
      <c r="F556" s="115">
        <v>0</v>
      </c>
      <c r="G556" s="115">
        <v>0</v>
      </c>
      <c r="H556" s="115">
        <v>0</v>
      </c>
      <c r="I556" s="115">
        <v>-228</v>
      </c>
      <c r="J556" s="115">
        <v>-155</v>
      </c>
      <c r="K556" s="115">
        <v>0</v>
      </c>
    </row>
    <row r="557" spans="1:11" x14ac:dyDescent="0.25">
      <c r="B557" s="115" t="s">
        <v>1241</v>
      </c>
      <c r="D557" s="115" t="s">
        <v>8778</v>
      </c>
      <c r="E557" s="115" t="s">
        <v>1337</v>
      </c>
      <c r="F557" s="115">
        <v>0</v>
      </c>
      <c r="G557" s="115">
        <v>-211</v>
      </c>
      <c r="H557" s="115">
        <v>0</v>
      </c>
      <c r="I557" s="115">
        <v>0</v>
      </c>
      <c r="J557" s="115">
        <v>1457</v>
      </c>
      <c r="K557" s="115">
        <v>0</v>
      </c>
    </row>
    <row r="558" spans="1:11" x14ac:dyDescent="0.25">
      <c r="A558" s="115">
        <v>-1</v>
      </c>
      <c r="B558" s="115" t="s">
        <v>1338</v>
      </c>
      <c r="D558" s="115" t="s">
        <v>8779</v>
      </c>
      <c r="E558" s="115" t="s">
        <v>1339</v>
      </c>
      <c r="F558" s="115">
        <v>-143</v>
      </c>
      <c r="G558" s="115">
        <v>0</v>
      </c>
      <c r="H558" s="115">
        <v>-3309</v>
      </c>
      <c r="I558" s="115">
        <v>-13628</v>
      </c>
      <c r="J558" s="115">
        <v>1720</v>
      </c>
      <c r="K558" s="115">
        <v>2301</v>
      </c>
    </row>
    <row r="559" spans="1:11" x14ac:dyDescent="0.25">
      <c r="A559" s="115">
        <v>2</v>
      </c>
      <c r="B559" s="115" t="s">
        <v>1340</v>
      </c>
      <c r="D559" s="115" t="s">
        <v>8780</v>
      </c>
      <c r="E559" s="115" t="s">
        <v>1341</v>
      </c>
      <c r="F559" s="115">
        <v>0</v>
      </c>
      <c r="G559" s="115">
        <v>0</v>
      </c>
      <c r="H559" s="115">
        <v>0</v>
      </c>
      <c r="I559" s="115">
        <v>0</v>
      </c>
      <c r="J559" s="115">
        <v>0</v>
      </c>
      <c r="K559" s="115">
        <v>-1039</v>
      </c>
    </row>
    <row r="560" spans="1:11" x14ac:dyDescent="0.25">
      <c r="B560" s="115" t="s">
        <v>1241</v>
      </c>
      <c r="D560" s="115" t="s">
        <v>8781</v>
      </c>
      <c r="E560" s="115" t="s">
        <v>1342</v>
      </c>
      <c r="F560" s="115">
        <v>0</v>
      </c>
      <c r="G560" s="115">
        <v>-2197</v>
      </c>
      <c r="H560" s="115">
        <v>0</v>
      </c>
      <c r="I560" s="115">
        <v>0</v>
      </c>
      <c r="J560" s="115">
        <v>0</v>
      </c>
      <c r="K560" s="115">
        <v>0</v>
      </c>
    </row>
    <row r="561" spans="1:11" x14ac:dyDescent="0.25">
      <c r="B561" s="115" t="s">
        <v>1343</v>
      </c>
      <c r="D561" s="115" t="s">
        <v>8782</v>
      </c>
      <c r="E561" s="115" t="s">
        <v>1344</v>
      </c>
      <c r="F561" s="115">
        <v>1682</v>
      </c>
      <c r="G561" s="115">
        <v>81</v>
      </c>
      <c r="H561" s="115">
        <v>-4131</v>
      </c>
      <c r="I561" s="115">
        <v>-3398</v>
      </c>
      <c r="J561" s="115">
        <v>0</v>
      </c>
      <c r="K561" s="115">
        <v>0</v>
      </c>
    </row>
    <row r="562" spans="1:11" x14ac:dyDescent="0.25">
      <c r="B562" s="115" t="s">
        <v>1345</v>
      </c>
      <c r="D562" s="115" t="s">
        <v>8783</v>
      </c>
      <c r="E562" s="115" t="s">
        <v>1346</v>
      </c>
      <c r="F562" s="115">
        <v>-98</v>
      </c>
      <c r="G562" s="115">
        <v>98</v>
      </c>
      <c r="H562" s="115">
        <v>0</v>
      </c>
      <c r="I562" s="115">
        <v>0</v>
      </c>
      <c r="J562" s="115">
        <v>0</v>
      </c>
      <c r="K562" s="115">
        <v>0</v>
      </c>
    </row>
    <row r="563" spans="1:11" x14ac:dyDescent="0.25">
      <c r="B563" s="115" t="s">
        <v>1241</v>
      </c>
      <c r="D563" s="115" t="s">
        <v>8784</v>
      </c>
      <c r="E563" s="115" t="s">
        <v>1347</v>
      </c>
      <c r="F563" s="115">
        <v>0</v>
      </c>
      <c r="G563" s="115">
        <v>75</v>
      </c>
      <c r="H563" s="115">
        <v>0</v>
      </c>
      <c r="I563" s="115">
        <v>-114</v>
      </c>
      <c r="J563" s="115">
        <v>0</v>
      </c>
      <c r="K563" s="115">
        <v>5</v>
      </c>
    </row>
    <row r="564" spans="1:11" x14ac:dyDescent="0.25">
      <c r="A564" s="115">
        <v>2</v>
      </c>
      <c r="B564" s="115" t="s">
        <v>1348</v>
      </c>
      <c r="D564" s="115" t="s">
        <v>8785</v>
      </c>
      <c r="E564" s="115" t="s">
        <v>1349</v>
      </c>
      <c r="F564" s="115">
        <v>-3370</v>
      </c>
      <c r="G564" s="115">
        <v>5769</v>
      </c>
      <c r="H564" s="115">
        <v>851</v>
      </c>
      <c r="I564" s="115">
        <v>1050</v>
      </c>
      <c r="J564" s="115">
        <v>580</v>
      </c>
      <c r="K564" s="115">
        <v>0</v>
      </c>
    </row>
    <row r="565" spans="1:11" x14ac:dyDescent="0.25">
      <c r="A565" s="115">
        <v>-5</v>
      </c>
      <c r="B565" s="115" t="s">
        <v>1350</v>
      </c>
      <c r="D565" s="115" t="s">
        <v>8786</v>
      </c>
      <c r="E565" s="115" t="s">
        <v>1351</v>
      </c>
      <c r="F565" s="115">
        <v>0</v>
      </c>
      <c r="G565" s="115">
        <v>0</v>
      </c>
      <c r="H565" s="115">
        <v>-1390</v>
      </c>
      <c r="I565" s="115">
        <v>0</v>
      </c>
      <c r="J565" s="115">
        <v>0</v>
      </c>
      <c r="K565" s="115">
        <v>0</v>
      </c>
    </row>
    <row r="566" spans="1:11" x14ac:dyDescent="0.25">
      <c r="A566" s="115">
        <v>-5</v>
      </c>
      <c r="B566" s="115" t="s">
        <v>1352</v>
      </c>
      <c r="D566" s="115" t="s">
        <v>8787</v>
      </c>
      <c r="E566" s="115" t="s">
        <v>1353</v>
      </c>
      <c r="F566" s="115">
        <v>0</v>
      </c>
      <c r="G566" s="115">
        <v>0</v>
      </c>
      <c r="H566" s="115">
        <v>0</v>
      </c>
      <c r="I566" s="115">
        <v>0</v>
      </c>
      <c r="J566" s="115">
        <v>-1635</v>
      </c>
      <c r="K566" s="115">
        <v>0</v>
      </c>
    </row>
    <row r="567" spans="1:11" x14ac:dyDescent="0.25">
      <c r="A567" s="115" t="s">
        <v>1239</v>
      </c>
      <c r="B567" s="115" t="s">
        <v>1354</v>
      </c>
      <c r="D567" s="115" t="s">
        <v>8710</v>
      </c>
      <c r="E567" s="115" t="s">
        <v>1242</v>
      </c>
      <c r="F567" s="115">
        <v>0</v>
      </c>
      <c r="G567" s="115">
        <v>0</v>
      </c>
      <c r="H567" s="115">
        <v>0</v>
      </c>
      <c r="I567" s="115">
        <v>0</v>
      </c>
      <c r="J567" s="115">
        <v>0</v>
      </c>
      <c r="K567" s="115">
        <v>0</v>
      </c>
    </row>
    <row r="568" spans="1:11" x14ac:dyDescent="0.25">
      <c r="B568" s="115" t="s">
        <v>1241</v>
      </c>
      <c r="D568" s="115" t="s">
        <v>8710</v>
      </c>
      <c r="E568" s="115" t="s">
        <v>1242</v>
      </c>
      <c r="F568" s="115">
        <v>0</v>
      </c>
      <c r="G568" s="115">
        <v>0</v>
      </c>
      <c r="H568" s="115">
        <v>0</v>
      </c>
      <c r="I568" s="115">
        <v>0</v>
      </c>
      <c r="J568" s="115">
        <v>0</v>
      </c>
      <c r="K568" s="115">
        <v>0</v>
      </c>
    </row>
    <row r="569" spans="1:11" x14ac:dyDescent="0.25">
      <c r="B569" s="115" t="s">
        <v>1241</v>
      </c>
      <c r="D569" s="115" t="s">
        <v>8710</v>
      </c>
      <c r="E569" s="115" t="s">
        <v>1242</v>
      </c>
      <c r="F569" s="115">
        <v>0</v>
      </c>
      <c r="G569" s="115">
        <v>0</v>
      </c>
      <c r="H569" s="115">
        <v>0</v>
      </c>
      <c r="I569" s="115">
        <v>0</v>
      </c>
      <c r="J569" s="115">
        <v>0</v>
      </c>
      <c r="K569" s="115">
        <v>0</v>
      </c>
    </row>
    <row r="570" spans="1:11" x14ac:dyDescent="0.25">
      <c r="B570" s="115" t="s">
        <v>1241</v>
      </c>
      <c r="D570" s="115" t="s">
        <v>8710</v>
      </c>
      <c r="E570" s="115" t="s">
        <v>1242</v>
      </c>
      <c r="F570" s="115">
        <v>0</v>
      </c>
      <c r="G570" s="115">
        <v>0</v>
      </c>
      <c r="H570" s="115">
        <v>0</v>
      </c>
      <c r="I570" s="115">
        <v>0</v>
      </c>
      <c r="J570" s="115">
        <v>0</v>
      </c>
      <c r="K570" s="115">
        <v>0</v>
      </c>
    </row>
    <row r="571" spans="1:11" x14ac:dyDescent="0.25">
      <c r="B571" s="115" t="s">
        <v>1241</v>
      </c>
      <c r="D571" s="115" t="s">
        <v>8710</v>
      </c>
      <c r="E571" s="115" t="s">
        <v>1242</v>
      </c>
      <c r="F571" s="115">
        <v>0</v>
      </c>
      <c r="G571" s="115">
        <v>0</v>
      </c>
      <c r="H571" s="115">
        <v>0</v>
      </c>
      <c r="I571" s="115">
        <v>0</v>
      </c>
      <c r="J571" s="115">
        <v>0</v>
      </c>
      <c r="K571" s="115">
        <v>0</v>
      </c>
    </row>
    <row r="572" spans="1:11" x14ac:dyDescent="0.25">
      <c r="B572" s="115" t="s">
        <v>1241</v>
      </c>
      <c r="D572" s="115" t="s">
        <v>8710</v>
      </c>
      <c r="E572" s="115" t="s">
        <v>1242</v>
      </c>
      <c r="F572" s="115">
        <v>0</v>
      </c>
      <c r="G572" s="115">
        <v>0</v>
      </c>
      <c r="H572" s="115">
        <v>0</v>
      </c>
      <c r="I572" s="115">
        <v>0</v>
      </c>
      <c r="J572" s="115">
        <v>0</v>
      </c>
      <c r="K572" s="115">
        <v>0</v>
      </c>
    </row>
    <row r="573" spans="1:11" x14ac:dyDescent="0.25">
      <c r="B573" s="115" t="s">
        <v>1241</v>
      </c>
      <c r="D573" s="115" t="s">
        <v>8710</v>
      </c>
      <c r="E573" s="115" t="s">
        <v>1242</v>
      </c>
      <c r="F573" s="115">
        <v>0</v>
      </c>
      <c r="G573" s="115">
        <v>0</v>
      </c>
      <c r="H573" s="115">
        <v>0</v>
      </c>
      <c r="I573" s="115">
        <v>0</v>
      </c>
      <c r="J573" s="115">
        <v>0</v>
      </c>
      <c r="K573" s="115">
        <v>0</v>
      </c>
    </row>
    <row r="574" spans="1:11" x14ac:dyDescent="0.25">
      <c r="B574" s="115" t="s">
        <v>1241</v>
      </c>
      <c r="D574" s="115" t="s">
        <v>8710</v>
      </c>
      <c r="E574" s="115" t="s">
        <v>1242</v>
      </c>
      <c r="F574" s="115">
        <v>0</v>
      </c>
      <c r="G574" s="115">
        <v>0</v>
      </c>
      <c r="H574" s="115">
        <v>0</v>
      </c>
      <c r="I574" s="115">
        <v>0</v>
      </c>
      <c r="J574" s="115">
        <v>0</v>
      </c>
      <c r="K574" s="115">
        <v>0</v>
      </c>
    </row>
    <row r="575" spans="1:11" x14ac:dyDescent="0.25">
      <c r="B575" s="115" t="s">
        <v>1241</v>
      </c>
      <c r="D575" s="115" t="s">
        <v>8710</v>
      </c>
      <c r="E575" s="115" t="s">
        <v>1242</v>
      </c>
      <c r="F575" s="115">
        <v>0</v>
      </c>
      <c r="G575" s="115">
        <v>0</v>
      </c>
      <c r="H575" s="115">
        <v>0</v>
      </c>
      <c r="I575" s="115">
        <v>0</v>
      </c>
      <c r="J575" s="115">
        <v>0</v>
      </c>
      <c r="K575" s="115">
        <v>0</v>
      </c>
    </row>
    <row r="576" spans="1:11" x14ac:dyDescent="0.25">
      <c r="B576" s="115" t="s">
        <v>1241</v>
      </c>
      <c r="D576" s="115" t="s">
        <v>8710</v>
      </c>
      <c r="E576" s="115" t="s">
        <v>1242</v>
      </c>
      <c r="F576" s="115">
        <v>0</v>
      </c>
      <c r="G576" s="115">
        <v>0</v>
      </c>
      <c r="H576" s="115">
        <v>0</v>
      </c>
      <c r="I576" s="115">
        <v>0</v>
      </c>
      <c r="J576" s="115">
        <v>0</v>
      </c>
      <c r="K576" s="115">
        <v>0</v>
      </c>
    </row>
    <row r="577" spans="1:11" x14ac:dyDescent="0.25">
      <c r="B577" s="115" t="s">
        <v>1241</v>
      </c>
      <c r="D577" s="115" t="s">
        <v>8710</v>
      </c>
      <c r="E577" s="115" t="s">
        <v>1242</v>
      </c>
      <c r="F577" s="115">
        <v>0</v>
      </c>
      <c r="G577" s="115">
        <v>0</v>
      </c>
      <c r="H577" s="115">
        <v>0</v>
      </c>
      <c r="I577" s="115">
        <v>0</v>
      </c>
      <c r="J577" s="115">
        <v>0</v>
      </c>
      <c r="K577" s="115">
        <v>0</v>
      </c>
    </row>
    <row r="578" spans="1:11" x14ac:dyDescent="0.25">
      <c r="B578" s="115" t="s">
        <v>1241</v>
      </c>
      <c r="D578" s="115" t="s">
        <v>8710</v>
      </c>
      <c r="E578" s="115" t="s">
        <v>1242</v>
      </c>
      <c r="F578" s="115">
        <v>0</v>
      </c>
      <c r="G578" s="115">
        <v>0</v>
      </c>
      <c r="H578" s="115">
        <v>0</v>
      </c>
      <c r="I578" s="115">
        <v>0</v>
      </c>
      <c r="J578" s="115">
        <v>0</v>
      </c>
      <c r="K578" s="115">
        <v>0</v>
      </c>
    </row>
    <row r="579" spans="1:11" x14ac:dyDescent="0.25">
      <c r="A579" s="115">
        <v>4</v>
      </c>
      <c r="B579" s="115" t="s">
        <v>1355</v>
      </c>
      <c r="D579" s="115" t="s">
        <v>8788</v>
      </c>
      <c r="E579" s="115" t="s">
        <v>1356</v>
      </c>
      <c r="F579" s="115">
        <v>-320</v>
      </c>
      <c r="G579" s="115">
        <v>0</v>
      </c>
      <c r="H579" s="115">
        <v>0</v>
      </c>
      <c r="I579" s="115">
        <v>619</v>
      </c>
      <c r="J579" s="115">
        <v>0</v>
      </c>
      <c r="K579" s="115">
        <v>0</v>
      </c>
    </row>
    <row r="580" spans="1:11" x14ac:dyDescent="0.25">
      <c r="B580" s="115" t="s">
        <v>1357</v>
      </c>
      <c r="D580" s="115" t="s">
        <v>8789</v>
      </c>
      <c r="E580" s="115" t="s">
        <v>1358</v>
      </c>
      <c r="F580" s="115">
        <v>0</v>
      </c>
      <c r="G580" s="115">
        <v>0</v>
      </c>
      <c r="H580" s="115">
        <v>0</v>
      </c>
      <c r="I580" s="115">
        <v>0</v>
      </c>
      <c r="J580" s="115">
        <v>0</v>
      </c>
      <c r="K580" s="115">
        <v>823</v>
      </c>
    </row>
    <row r="581" spans="1:11" x14ac:dyDescent="0.25">
      <c r="B581" s="115" t="s">
        <v>1241</v>
      </c>
      <c r="D581" s="115" t="s">
        <v>8790</v>
      </c>
      <c r="E581" s="115" t="s">
        <v>1359</v>
      </c>
      <c r="F581" s="115">
        <v>-260</v>
      </c>
      <c r="G581" s="115">
        <v>0</v>
      </c>
      <c r="H581" s="115">
        <v>-496</v>
      </c>
      <c r="I581" s="115">
        <v>-1711</v>
      </c>
      <c r="J581" s="115">
        <v>-775</v>
      </c>
      <c r="K581" s="115">
        <v>0</v>
      </c>
    </row>
    <row r="582" spans="1:11" x14ac:dyDescent="0.25">
      <c r="A582" s="115">
        <v>2</v>
      </c>
      <c r="B582" s="115" t="s">
        <v>1360</v>
      </c>
      <c r="D582" s="115" t="s">
        <v>8791</v>
      </c>
      <c r="E582" s="115" t="s">
        <v>1361</v>
      </c>
      <c r="F582" s="115">
        <v>-3836</v>
      </c>
      <c r="G582" s="115">
        <v>-3761</v>
      </c>
      <c r="H582" s="115">
        <v>0</v>
      </c>
      <c r="I582" s="115">
        <v>-148</v>
      </c>
      <c r="J582" s="115">
        <v>0</v>
      </c>
      <c r="K582" s="115">
        <v>0</v>
      </c>
    </row>
    <row r="583" spans="1:11" x14ac:dyDescent="0.25">
      <c r="B583" s="115" t="s">
        <v>1241</v>
      </c>
      <c r="D583" s="115" t="s">
        <v>8792</v>
      </c>
      <c r="E583" s="115" t="s">
        <v>1362</v>
      </c>
      <c r="F583" s="115">
        <v>0</v>
      </c>
      <c r="G583" s="115">
        <v>0</v>
      </c>
      <c r="H583" s="115">
        <v>0</v>
      </c>
      <c r="I583" s="115">
        <v>-1242</v>
      </c>
      <c r="J583" s="115">
        <v>0</v>
      </c>
      <c r="K583" s="115">
        <v>-134</v>
      </c>
    </row>
    <row r="584" spans="1:11" x14ac:dyDescent="0.25">
      <c r="B584" s="115" t="s">
        <v>1241</v>
      </c>
      <c r="D584" s="115" t="s">
        <v>8793</v>
      </c>
      <c r="E584" s="115" t="s">
        <v>1363</v>
      </c>
      <c r="F584" s="115">
        <v>0</v>
      </c>
      <c r="G584" s="115">
        <v>186</v>
      </c>
      <c r="H584" s="115">
        <v>0</v>
      </c>
      <c r="I584" s="115">
        <v>794</v>
      </c>
      <c r="J584" s="115">
        <v>-6</v>
      </c>
      <c r="K584" s="115">
        <v>0</v>
      </c>
    </row>
    <row r="585" spans="1:11" x14ac:dyDescent="0.25">
      <c r="B585" s="115" t="s">
        <v>1364</v>
      </c>
      <c r="C585" s="115">
        <v>3</v>
      </c>
      <c r="D585" s="115" t="s">
        <v>8794</v>
      </c>
      <c r="E585" s="115" t="s">
        <v>1365</v>
      </c>
      <c r="F585" s="115">
        <v>30</v>
      </c>
      <c r="G585" s="115">
        <v>891</v>
      </c>
      <c r="H585" s="115">
        <v>0</v>
      </c>
      <c r="I585" s="115">
        <v>0</v>
      </c>
      <c r="J585" s="115">
        <v>-5</v>
      </c>
      <c r="K585" s="115">
        <v>0</v>
      </c>
    </row>
    <row r="586" spans="1:11" x14ac:dyDescent="0.25">
      <c r="B586" s="115" t="s">
        <v>1241</v>
      </c>
      <c r="D586" s="115" t="s">
        <v>8795</v>
      </c>
      <c r="E586" s="115" t="s">
        <v>1242</v>
      </c>
      <c r="F586" s="115">
        <v>0</v>
      </c>
      <c r="G586" s="115">
        <v>0</v>
      </c>
      <c r="H586" s="115">
        <v>0</v>
      </c>
      <c r="I586" s="115">
        <v>0</v>
      </c>
      <c r="J586" s="115">
        <v>0</v>
      </c>
      <c r="K586" s="115">
        <v>0</v>
      </c>
    </row>
    <row r="587" spans="1:11" x14ac:dyDescent="0.25">
      <c r="A587" s="115" t="s">
        <v>1239</v>
      </c>
      <c r="B587" s="115" t="s">
        <v>1366</v>
      </c>
      <c r="D587" s="115" t="s">
        <v>8796</v>
      </c>
      <c r="E587" s="115" t="s">
        <v>1367</v>
      </c>
      <c r="F587" s="115">
        <v>0</v>
      </c>
      <c r="G587" s="115">
        <v>222</v>
      </c>
      <c r="H587" s="115">
        <v>0</v>
      </c>
      <c r="I587" s="115">
        <v>-369</v>
      </c>
      <c r="J587" s="115">
        <v>-96</v>
      </c>
      <c r="K587" s="115">
        <v>108</v>
      </c>
    </row>
    <row r="588" spans="1:11" x14ac:dyDescent="0.25">
      <c r="B588" s="115" t="s">
        <v>1368</v>
      </c>
      <c r="C588" s="115">
        <v>2</v>
      </c>
      <c r="D588" s="115" t="s">
        <v>8797</v>
      </c>
      <c r="E588" s="115" t="s">
        <v>1369</v>
      </c>
      <c r="F588" s="115">
        <v>969</v>
      </c>
      <c r="G588" s="115">
        <v>1538</v>
      </c>
      <c r="H588" s="115">
        <v>3204</v>
      </c>
      <c r="I588" s="115">
        <v>0</v>
      </c>
      <c r="J588" s="115">
        <v>64</v>
      </c>
      <c r="K588" s="115">
        <v>0</v>
      </c>
    </row>
    <row r="589" spans="1:11" x14ac:dyDescent="0.25">
      <c r="B589" s="115" t="s">
        <v>1241</v>
      </c>
      <c r="D589" s="115" t="s">
        <v>8798</v>
      </c>
      <c r="E589" s="115" t="s">
        <v>1370</v>
      </c>
      <c r="F589" s="115">
        <v>-1384</v>
      </c>
      <c r="G589" s="115">
        <v>0</v>
      </c>
      <c r="H589" s="115">
        <v>0</v>
      </c>
      <c r="I589" s="115">
        <v>0</v>
      </c>
      <c r="J589" s="115">
        <v>976</v>
      </c>
      <c r="K589" s="115">
        <v>0</v>
      </c>
    </row>
    <row r="590" spans="1:11" x14ac:dyDescent="0.25">
      <c r="B590" s="115" t="s">
        <v>1269</v>
      </c>
      <c r="D590" s="115" t="s">
        <v>8799</v>
      </c>
      <c r="E590" s="115" t="s">
        <v>1371</v>
      </c>
      <c r="F590" s="115">
        <v>0</v>
      </c>
      <c r="G590" s="115">
        <v>0</v>
      </c>
      <c r="H590" s="115">
        <v>-456</v>
      </c>
      <c r="I590" s="115">
        <v>0</v>
      </c>
      <c r="J590" s="115">
        <v>435</v>
      </c>
      <c r="K590" s="115">
        <v>-68</v>
      </c>
    </row>
    <row r="591" spans="1:11" x14ac:dyDescent="0.25">
      <c r="B591" s="115" t="s">
        <v>1241</v>
      </c>
      <c r="C591" s="115">
        <v>-1</v>
      </c>
      <c r="D591" s="115" t="s">
        <v>8800</v>
      </c>
      <c r="E591" s="115" t="s">
        <v>1242</v>
      </c>
      <c r="F591" s="115">
        <v>0</v>
      </c>
      <c r="G591" s="115">
        <v>0</v>
      </c>
      <c r="H591" s="115">
        <v>0</v>
      </c>
      <c r="I591" s="115">
        <v>0</v>
      </c>
      <c r="J591" s="115">
        <v>0</v>
      </c>
      <c r="K591" s="115">
        <v>0</v>
      </c>
    </row>
    <row r="592" spans="1:11" x14ac:dyDescent="0.25">
      <c r="B592" s="115" t="s">
        <v>1241</v>
      </c>
      <c r="D592" s="115" t="s">
        <v>8710</v>
      </c>
      <c r="E592" s="115" t="s">
        <v>1242</v>
      </c>
      <c r="F592" s="115">
        <v>0</v>
      </c>
      <c r="G592" s="115">
        <v>0</v>
      </c>
      <c r="H592" s="115">
        <v>0</v>
      </c>
      <c r="I592" s="115">
        <v>0</v>
      </c>
      <c r="J592" s="115">
        <v>0</v>
      </c>
      <c r="K592" s="115">
        <v>0</v>
      </c>
    </row>
    <row r="593" spans="1:11" x14ac:dyDescent="0.25">
      <c r="B593" s="115" t="s">
        <v>1241</v>
      </c>
      <c r="D593" s="115" t="s">
        <v>8710</v>
      </c>
      <c r="E593" s="115" t="s">
        <v>1242</v>
      </c>
      <c r="F593" s="115">
        <v>0</v>
      </c>
      <c r="G593" s="115">
        <v>0</v>
      </c>
      <c r="H593" s="115">
        <v>0</v>
      </c>
      <c r="I593" s="115">
        <v>0</v>
      </c>
      <c r="J593" s="115">
        <v>0</v>
      </c>
      <c r="K593" s="115">
        <v>0</v>
      </c>
    </row>
    <row r="594" spans="1:11" x14ac:dyDescent="0.25">
      <c r="B594" s="115" t="s">
        <v>1241</v>
      </c>
      <c r="D594" s="115" t="s">
        <v>8710</v>
      </c>
      <c r="E594" s="115" t="s">
        <v>1242</v>
      </c>
      <c r="F594" s="115">
        <v>0</v>
      </c>
      <c r="G594" s="115">
        <v>0</v>
      </c>
      <c r="H594" s="115">
        <v>0</v>
      </c>
      <c r="I594" s="115">
        <v>0</v>
      </c>
      <c r="J594" s="115">
        <v>0</v>
      </c>
      <c r="K594" s="115">
        <v>0</v>
      </c>
    </row>
    <row r="595" spans="1:11" x14ac:dyDescent="0.25">
      <c r="B595" s="115" t="s">
        <v>1241</v>
      </c>
      <c r="D595" s="115" t="s">
        <v>8710</v>
      </c>
      <c r="E595" s="115" t="s">
        <v>1242</v>
      </c>
      <c r="F595" s="115">
        <v>0</v>
      </c>
      <c r="G595" s="115">
        <v>0</v>
      </c>
      <c r="H595" s="115">
        <v>0</v>
      </c>
      <c r="I595" s="115">
        <v>0</v>
      </c>
      <c r="J595" s="115">
        <v>0</v>
      </c>
      <c r="K595" s="115">
        <v>0</v>
      </c>
    </row>
    <row r="596" spans="1:11" x14ac:dyDescent="0.25">
      <c r="B596" s="115" t="s">
        <v>1241</v>
      </c>
      <c r="D596" s="115" t="s">
        <v>8710</v>
      </c>
      <c r="E596" s="115" t="s">
        <v>1242</v>
      </c>
      <c r="F596" s="115">
        <v>0</v>
      </c>
      <c r="G596" s="115">
        <v>0</v>
      </c>
      <c r="H596" s="115">
        <v>0</v>
      </c>
      <c r="I596" s="115">
        <v>0</v>
      </c>
      <c r="J596" s="115">
        <v>0</v>
      </c>
      <c r="K596" s="115">
        <v>0</v>
      </c>
    </row>
    <row r="597" spans="1:11" x14ac:dyDescent="0.25">
      <c r="B597" s="115" t="s">
        <v>1241</v>
      </c>
      <c r="D597" s="115" t="s">
        <v>8801</v>
      </c>
      <c r="E597" s="115" t="s">
        <v>1372</v>
      </c>
      <c r="F597" s="115">
        <v>0</v>
      </c>
      <c r="G597" s="115">
        <v>0</v>
      </c>
      <c r="H597" s="115">
        <v>-2750</v>
      </c>
      <c r="I597" s="115">
        <v>-384</v>
      </c>
      <c r="J597" s="115">
        <v>-1036</v>
      </c>
      <c r="K597" s="115">
        <v>209</v>
      </c>
    </row>
    <row r="598" spans="1:11" x14ac:dyDescent="0.25">
      <c r="A598" s="115">
        <v>-1</v>
      </c>
      <c r="B598" s="115" t="s">
        <v>1373</v>
      </c>
      <c r="D598" s="115" t="s">
        <v>8802</v>
      </c>
      <c r="E598" s="115" t="s">
        <v>1374</v>
      </c>
      <c r="F598" s="115">
        <v>0</v>
      </c>
      <c r="G598" s="115">
        <v>0</v>
      </c>
      <c r="H598" s="115">
        <v>0</v>
      </c>
      <c r="I598" s="115">
        <v>2195</v>
      </c>
      <c r="J598" s="115">
        <v>-2760</v>
      </c>
      <c r="K598" s="115">
        <v>0</v>
      </c>
    </row>
    <row r="599" spans="1:11" x14ac:dyDescent="0.25">
      <c r="B599" s="115" t="s">
        <v>1241</v>
      </c>
      <c r="D599" s="115" t="s">
        <v>8803</v>
      </c>
      <c r="E599" s="115" t="s">
        <v>1375</v>
      </c>
      <c r="F599" s="115">
        <v>0</v>
      </c>
      <c r="G599" s="115">
        <v>-549</v>
      </c>
      <c r="H599" s="115">
        <v>0</v>
      </c>
      <c r="I599" s="115">
        <v>0</v>
      </c>
      <c r="J599" s="115">
        <v>-170</v>
      </c>
      <c r="K599" s="115">
        <v>0</v>
      </c>
    </row>
    <row r="600" spans="1:11" x14ac:dyDescent="0.25">
      <c r="B600" s="115" t="s">
        <v>1376</v>
      </c>
      <c r="D600" s="115" t="s">
        <v>8804</v>
      </c>
      <c r="E600" s="115" t="s">
        <v>1377</v>
      </c>
      <c r="F600" s="115">
        <v>733</v>
      </c>
      <c r="G600" s="115">
        <v>0</v>
      </c>
      <c r="H600" s="115">
        <v>-806</v>
      </c>
      <c r="I600" s="115">
        <v>-677</v>
      </c>
      <c r="J600" s="115">
        <v>-314</v>
      </c>
      <c r="K600" s="115">
        <v>-812</v>
      </c>
    </row>
    <row r="601" spans="1:11" x14ac:dyDescent="0.25">
      <c r="A601" s="115" t="s">
        <v>1239</v>
      </c>
      <c r="B601" s="115" t="s">
        <v>1378</v>
      </c>
      <c r="D601" s="115" t="s">
        <v>8805</v>
      </c>
      <c r="E601" s="115" t="s">
        <v>1379</v>
      </c>
      <c r="F601" s="115">
        <v>0</v>
      </c>
      <c r="G601" s="115">
        <v>0</v>
      </c>
      <c r="H601" s="115">
        <v>0</v>
      </c>
      <c r="I601" s="115">
        <v>0</v>
      </c>
      <c r="J601" s="115">
        <v>0</v>
      </c>
      <c r="K601" s="115">
        <v>-1113</v>
      </c>
    </row>
    <row r="602" spans="1:11" x14ac:dyDescent="0.25">
      <c r="B602" s="115" t="s">
        <v>1241</v>
      </c>
      <c r="D602" s="115" t="s">
        <v>8806</v>
      </c>
      <c r="E602" s="115" t="s">
        <v>1380</v>
      </c>
      <c r="F602" s="115">
        <v>0</v>
      </c>
      <c r="G602" s="115">
        <v>337</v>
      </c>
      <c r="H602" s="115">
        <v>0</v>
      </c>
      <c r="I602" s="115">
        <v>0</v>
      </c>
      <c r="J602" s="115">
        <v>0</v>
      </c>
      <c r="K602" s="115">
        <v>0</v>
      </c>
    </row>
    <row r="603" spans="1:11" x14ac:dyDescent="0.25">
      <c r="B603" s="115" t="s">
        <v>1381</v>
      </c>
      <c r="D603" s="115" t="s">
        <v>8807</v>
      </c>
      <c r="E603" s="115" t="s">
        <v>1382</v>
      </c>
      <c r="F603" s="115">
        <v>778</v>
      </c>
      <c r="G603" s="115">
        <v>0</v>
      </c>
      <c r="H603" s="115">
        <v>0</v>
      </c>
      <c r="I603" s="115">
        <v>-14766</v>
      </c>
      <c r="J603" s="115">
        <v>-7448</v>
      </c>
      <c r="K603" s="115">
        <v>0</v>
      </c>
    </row>
    <row r="604" spans="1:11" x14ac:dyDescent="0.25">
      <c r="B604" s="115" t="s">
        <v>1241</v>
      </c>
      <c r="D604" s="115" t="s">
        <v>8710</v>
      </c>
      <c r="E604" s="115" t="s">
        <v>1242</v>
      </c>
      <c r="F604" s="115">
        <v>0</v>
      </c>
      <c r="G604" s="115">
        <v>0</v>
      </c>
      <c r="H604" s="115">
        <v>0</v>
      </c>
      <c r="I604" s="115">
        <v>0</v>
      </c>
      <c r="J604" s="115">
        <v>0</v>
      </c>
      <c r="K604" s="115">
        <v>0</v>
      </c>
    </row>
    <row r="605" spans="1:11" x14ac:dyDescent="0.25">
      <c r="B605" s="115" t="s">
        <v>1241</v>
      </c>
      <c r="D605" s="115" t="s">
        <v>8710</v>
      </c>
      <c r="E605" s="115" t="s">
        <v>1242</v>
      </c>
      <c r="F605" s="115">
        <v>0</v>
      </c>
      <c r="G605" s="115">
        <v>0</v>
      </c>
      <c r="H605" s="115">
        <v>0</v>
      </c>
      <c r="I605" s="115">
        <v>0</v>
      </c>
      <c r="J605" s="115">
        <v>0</v>
      </c>
      <c r="K605" s="115">
        <v>0</v>
      </c>
    </row>
    <row r="606" spans="1:11" x14ac:dyDescent="0.25">
      <c r="B606" s="115" t="s">
        <v>1241</v>
      </c>
      <c r="D606" s="115" t="s">
        <v>8710</v>
      </c>
      <c r="E606" s="115" t="s">
        <v>1242</v>
      </c>
      <c r="F606" s="115">
        <v>0</v>
      </c>
      <c r="G606" s="115">
        <v>0</v>
      </c>
      <c r="H606" s="115">
        <v>0</v>
      </c>
      <c r="I606" s="115">
        <v>0</v>
      </c>
      <c r="J606" s="115">
        <v>0</v>
      </c>
      <c r="K606" s="115">
        <v>0</v>
      </c>
    </row>
    <row r="607" spans="1:11" x14ac:dyDescent="0.25">
      <c r="B607" s="115" t="s">
        <v>1241</v>
      </c>
      <c r="D607" s="115" t="s">
        <v>8710</v>
      </c>
      <c r="E607" s="115" t="s">
        <v>1242</v>
      </c>
      <c r="F607" s="115">
        <v>0</v>
      </c>
      <c r="G607" s="115">
        <v>0</v>
      </c>
      <c r="H607" s="115">
        <v>0</v>
      </c>
      <c r="I607" s="115">
        <v>0</v>
      </c>
      <c r="J607" s="115">
        <v>0</v>
      </c>
      <c r="K607" s="115">
        <v>0</v>
      </c>
    </row>
    <row r="608" spans="1:11" x14ac:dyDescent="0.25">
      <c r="B608" s="115" t="s">
        <v>1241</v>
      </c>
      <c r="D608" s="115" t="s">
        <v>8710</v>
      </c>
      <c r="E608" s="115" t="s">
        <v>1242</v>
      </c>
      <c r="F608" s="115">
        <v>0</v>
      </c>
      <c r="G608" s="115">
        <v>0</v>
      </c>
      <c r="H608" s="115">
        <v>0</v>
      </c>
      <c r="I608" s="115">
        <v>0</v>
      </c>
      <c r="J608" s="115">
        <v>0</v>
      </c>
      <c r="K608" s="115">
        <v>0</v>
      </c>
    </row>
    <row r="609" spans="2:11" x14ac:dyDescent="0.25">
      <c r="B609" s="115" t="s">
        <v>1241</v>
      </c>
      <c r="D609" s="115" t="s">
        <v>8710</v>
      </c>
      <c r="E609" s="115" t="s">
        <v>1242</v>
      </c>
      <c r="F609" s="115">
        <v>0</v>
      </c>
      <c r="G609" s="115">
        <v>0</v>
      </c>
      <c r="H609" s="115">
        <v>0</v>
      </c>
      <c r="I609" s="115">
        <v>0</v>
      </c>
      <c r="J609" s="115">
        <v>0</v>
      </c>
      <c r="K609" s="115">
        <v>0</v>
      </c>
    </row>
    <row r="610" spans="2:11" x14ac:dyDescent="0.25">
      <c r="B610" s="115" t="s">
        <v>1241</v>
      </c>
      <c r="D610" s="115" t="s">
        <v>8710</v>
      </c>
      <c r="E610" s="115" t="s">
        <v>1242</v>
      </c>
      <c r="F610" s="115">
        <v>0</v>
      </c>
      <c r="G610" s="115">
        <v>0</v>
      </c>
      <c r="H610" s="115">
        <v>0</v>
      </c>
      <c r="I610" s="115">
        <v>0</v>
      </c>
      <c r="J610" s="115">
        <v>0</v>
      </c>
      <c r="K610" s="115">
        <v>0</v>
      </c>
    </row>
    <row r="611" spans="2:11" x14ac:dyDescent="0.25">
      <c r="B611" s="115" t="s">
        <v>1241</v>
      </c>
      <c r="D611" s="115" t="s">
        <v>8710</v>
      </c>
      <c r="E611" s="115" t="s">
        <v>1242</v>
      </c>
      <c r="F611" s="115">
        <v>0</v>
      </c>
      <c r="G611" s="115">
        <v>0</v>
      </c>
      <c r="H611" s="115">
        <v>0</v>
      </c>
      <c r="I611" s="115">
        <v>0</v>
      </c>
      <c r="J611" s="115">
        <v>0</v>
      </c>
      <c r="K611" s="115">
        <v>0</v>
      </c>
    </row>
    <row r="612" spans="2:11" x14ac:dyDescent="0.25">
      <c r="B612" s="115" t="s">
        <v>1241</v>
      </c>
      <c r="D612" s="115" t="s">
        <v>8710</v>
      </c>
      <c r="E612" s="115" t="s">
        <v>1242</v>
      </c>
      <c r="F612" s="115">
        <v>0</v>
      </c>
      <c r="G612" s="115">
        <v>0</v>
      </c>
      <c r="H612" s="115">
        <v>0</v>
      </c>
      <c r="I612" s="115">
        <v>0</v>
      </c>
      <c r="J612" s="115">
        <v>0</v>
      </c>
      <c r="K612" s="115">
        <v>0</v>
      </c>
    </row>
    <row r="613" spans="2:11" x14ac:dyDescent="0.25">
      <c r="B613" s="115" t="s">
        <v>1241</v>
      </c>
      <c r="D613" s="115" t="s">
        <v>8710</v>
      </c>
      <c r="E613" s="115" t="s">
        <v>1242</v>
      </c>
      <c r="F613" s="115">
        <v>0</v>
      </c>
      <c r="G613" s="115">
        <v>0</v>
      </c>
      <c r="H613" s="115">
        <v>0</v>
      </c>
      <c r="I613" s="115">
        <v>0</v>
      </c>
      <c r="J613" s="115">
        <v>0</v>
      </c>
      <c r="K613" s="115">
        <v>0</v>
      </c>
    </row>
    <row r="614" spans="2:11" x14ac:dyDescent="0.25">
      <c r="B614" s="115" t="s">
        <v>1241</v>
      </c>
      <c r="D614" s="115" t="s">
        <v>8710</v>
      </c>
      <c r="E614" s="115" t="s">
        <v>1242</v>
      </c>
      <c r="F614" s="115">
        <v>0</v>
      </c>
      <c r="G614" s="115">
        <v>0</v>
      </c>
      <c r="H614" s="115">
        <v>0</v>
      </c>
      <c r="I614" s="115">
        <v>0</v>
      </c>
      <c r="J614" s="115">
        <v>0</v>
      </c>
      <c r="K614" s="115">
        <v>0</v>
      </c>
    </row>
    <row r="615" spans="2:11" x14ac:dyDescent="0.25">
      <c r="B615" s="115" t="s">
        <v>1241</v>
      </c>
      <c r="D615" s="115" t="s">
        <v>8710</v>
      </c>
      <c r="E615" s="115" t="s">
        <v>1242</v>
      </c>
      <c r="F615" s="115">
        <v>0</v>
      </c>
      <c r="G615" s="115">
        <v>0</v>
      </c>
      <c r="H615" s="115">
        <v>0</v>
      </c>
      <c r="I615" s="115">
        <v>0</v>
      </c>
      <c r="J615" s="115">
        <v>0</v>
      </c>
      <c r="K615" s="115">
        <v>0</v>
      </c>
    </row>
    <row r="616" spans="2:11" x14ac:dyDescent="0.25">
      <c r="B616" s="115" t="s">
        <v>1241</v>
      </c>
      <c r="D616" s="115" t="s">
        <v>8710</v>
      </c>
      <c r="E616" s="115" t="s">
        <v>1242</v>
      </c>
      <c r="F616" s="115">
        <v>0</v>
      </c>
      <c r="G616" s="115">
        <v>0</v>
      </c>
      <c r="H616" s="115">
        <v>0</v>
      </c>
      <c r="I616" s="115">
        <v>0</v>
      </c>
      <c r="J616" s="115">
        <v>0</v>
      </c>
      <c r="K616" s="115">
        <v>0</v>
      </c>
    </row>
    <row r="617" spans="2:11" x14ac:dyDescent="0.25">
      <c r="B617" s="115" t="s">
        <v>1241</v>
      </c>
      <c r="D617" s="115" t="s">
        <v>8710</v>
      </c>
      <c r="E617" s="115" t="s">
        <v>1242</v>
      </c>
      <c r="F617" s="115">
        <v>0</v>
      </c>
      <c r="G617" s="115">
        <v>0</v>
      </c>
      <c r="H617" s="115">
        <v>0</v>
      </c>
      <c r="I617" s="115">
        <v>0</v>
      </c>
      <c r="J617" s="115">
        <v>0</v>
      </c>
      <c r="K617" s="115">
        <v>0</v>
      </c>
    </row>
    <row r="618" spans="2:11" x14ac:dyDescent="0.25">
      <c r="B618" s="115" t="s">
        <v>1241</v>
      </c>
      <c r="D618" s="115" t="s">
        <v>8710</v>
      </c>
      <c r="E618" s="115" t="s">
        <v>1242</v>
      </c>
      <c r="F618" s="115">
        <v>0</v>
      </c>
      <c r="G618" s="115">
        <v>0</v>
      </c>
      <c r="H618" s="115">
        <v>0</v>
      </c>
      <c r="I618" s="115">
        <v>0</v>
      </c>
      <c r="J618" s="115">
        <v>0</v>
      </c>
      <c r="K618" s="115">
        <v>0</v>
      </c>
    </row>
    <row r="619" spans="2:11" x14ac:dyDescent="0.25">
      <c r="B619" s="115" t="s">
        <v>1241</v>
      </c>
      <c r="D619" s="115" t="s">
        <v>8710</v>
      </c>
      <c r="E619" s="115" t="s">
        <v>1242</v>
      </c>
      <c r="F619" s="115">
        <v>0</v>
      </c>
      <c r="G619" s="115">
        <v>0</v>
      </c>
      <c r="H619" s="115">
        <v>0</v>
      </c>
      <c r="I619" s="115">
        <v>0</v>
      </c>
      <c r="J619" s="115">
        <v>0</v>
      </c>
      <c r="K619" s="115">
        <v>0</v>
      </c>
    </row>
    <row r="620" spans="2:11" x14ac:dyDescent="0.25">
      <c r="B620" s="115" t="s">
        <v>1241</v>
      </c>
      <c r="D620" s="115" t="s">
        <v>8710</v>
      </c>
      <c r="E620" s="115" t="s">
        <v>1242</v>
      </c>
      <c r="F620" s="115">
        <v>0</v>
      </c>
      <c r="G620" s="115">
        <v>0</v>
      </c>
      <c r="H620" s="115">
        <v>0</v>
      </c>
      <c r="I620" s="115">
        <v>0</v>
      </c>
      <c r="J620" s="115">
        <v>0</v>
      </c>
      <c r="K620" s="115">
        <v>0</v>
      </c>
    </row>
    <row r="621" spans="2:11" x14ac:dyDescent="0.25">
      <c r="B621" s="115" t="s">
        <v>1241</v>
      </c>
      <c r="D621" s="115" t="s">
        <v>8710</v>
      </c>
      <c r="E621" s="115" t="s">
        <v>1242</v>
      </c>
      <c r="F621" s="115">
        <v>0</v>
      </c>
      <c r="G621" s="115">
        <v>0</v>
      </c>
      <c r="H621" s="115">
        <v>0</v>
      </c>
      <c r="I621" s="115">
        <v>0</v>
      </c>
      <c r="J621" s="115">
        <v>0</v>
      </c>
      <c r="K621" s="115">
        <v>0</v>
      </c>
    </row>
    <row r="622" spans="2:11" x14ac:dyDescent="0.25">
      <c r="B622" s="115" t="s">
        <v>1241</v>
      </c>
      <c r="D622" s="115" t="s">
        <v>8710</v>
      </c>
      <c r="E622" s="115" t="s">
        <v>1242</v>
      </c>
      <c r="F622" s="115">
        <v>0</v>
      </c>
      <c r="G622" s="115">
        <v>0</v>
      </c>
      <c r="H622" s="115">
        <v>0</v>
      </c>
      <c r="I622" s="115">
        <v>0</v>
      </c>
      <c r="J622" s="115">
        <v>0</v>
      </c>
      <c r="K622" s="115">
        <v>0</v>
      </c>
    </row>
    <row r="623" spans="2:11" x14ac:dyDescent="0.25">
      <c r="B623" s="115" t="s">
        <v>1241</v>
      </c>
      <c r="D623" s="115" t="s">
        <v>8710</v>
      </c>
      <c r="E623" s="115" t="s">
        <v>1242</v>
      </c>
      <c r="F623" s="115">
        <v>0</v>
      </c>
      <c r="G623" s="115">
        <v>0</v>
      </c>
      <c r="H623" s="115">
        <v>0</v>
      </c>
      <c r="I623" s="115">
        <v>0</v>
      </c>
      <c r="J623" s="115">
        <v>0</v>
      </c>
      <c r="K623" s="115">
        <v>0</v>
      </c>
    </row>
    <row r="624" spans="2:11" x14ac:dyDescent="0.25">
      <c r="B624" s="115" t="s">
        <v>1241</v>
      </c>
      <c r="D624" s="115" t="s">
        <v>8710</v>
      </c>
      <c r="E624" s="115" t="s">
        <v>1242</v>
      </c>
      <c r="F624" s="115">
        <v>0</v>
      </c>
      <c r="G624" s="115">
        <v>0</v>
      </c>
      <c r="H624" s="115">
        <v>0</v>
      </c>
      <c r="I624" s="115">
        <v>0</v>
      </c>
      <c r="J624" s="115">
        <v>0</v>
      </c>
      <c r="K624" s="115">
        <v>0</v>
      </c>
    </row>
    <row r="625" spans="1:11" x14ac:dyDescent="0.25">
      <c r="B625" s="115" t="s">
        <v>1241</v>
      </c>
      <c r="D625" s="115" t="s">
        <v>8710</v>
      </c>
      <c r="E625" s="115" t="s">
        <v>1242</v>
      </c>
      <c r="F625" s="115">
        <v>0</v>
      </c>
      <c r="G625" s="115">
        <v>0</v>
      </c>
      <c r="H625" s="115">
        <v>0</v>
      </c>
      <c r="I625" s="115">
        <v>0</v>
      </c>
      <c r="J625" s="115">
        <v>0</v>
      </c>
      <c r="K625" s="115">
        <v>0</v>
      </c>
    </row>
    <row r="626" spans="1:11" x14ac:dyDescent="0.25">
      <c r="B626" s="115" t="s">
        <v>1241</v>
      </c>
      <c r="D626" s="115" t="s">
        <v>8710</v>
      </c>
      <c r="E626" s="115" t="s">
        <v>1242</v>
      </c>
      <c r="F626" s="115">
        <v>0</v>
      </c>
      <c r="G626" s="115">
        <v>0</v>
      </c>
      <c r="H626" s="115">
        <v>0</v>
      </c>
      <c r="I626" s="115">
        <v>0</v>
      </c>
      <c r="J626" s="115">
        <v>0</v>
      </c>
      <c r="K626" s="115">
        <v>0</v>
      </c>
    </row>
    <row r="627" spans="1:11" x14ac:dyDescent="0.25">
      <c r="B627" s="115" t="s">
        <v>1241</v>
      </c>
      <c r="D627" s="115" t="s">
        <v>8710</v>
      </c>
      <c r="E627" s="115" t="s">
        <v>1242</v>
      </c>
      <c r="F627" s="115">
        <v>0</v>
      </c>
      <c r="G627" s="115">
        <v>0</v>
      </c>
      <c r="H627" s="115">
        <v>0</v>
      </c>
      <c r="I627" s="115">
        <v>0</v>
      </c>
      <c r="J627" s="115">
        <v>0</v>
      </c>
      <c r="K627" s="115">
        <v>0</v>
      </c>
    </row>
    <row r="628" spans="1:11" x14ac:dyDescent="0.25">
      <c r="B628" s="115" t="s">
        <v>1241</v>
      </c>
      <c r="D628" s="115" t="s">
        <v>8710</v>
      </c>
      <c r="E628" s="115" t="s">
        <v>1242</v>
      </c>
      <c r="F628" s="115">
        <v>0</v>
      </c>
      <c r="G628" s="115">
        <v>0</v>
      </c>
      <c r="H628" s="115">
        <v>0</v>
      </c>
      <c r="I628" s="115">
        <v>0</v>
      </c>
      <c r="J628" s="115">
        <v>0</v>
      </c>
      <c r="K628" s="115">
        <v>0</v>
      </c>
    </row>
    <row r="629" spans="1:11" x14ac:dyDescent="0.25">
      <c r="B629" s="115" t="s">
        <v>1241</v>
      </c>
      <c r="D629" s="115" t="s">
        <v>8710</v>
      </c>
      <c r="E629" s="115" t="s">
        <v>1242</v>
      </c>
      <c r="F629" s="115">
        <v>0</v>
      </c>
      <c r="G629" s="115">
        <v>0</v>
      </c>
      <c r="H629" s="115">
        <v>0</v>
      </c>
      <c r="I629" s="115">
        <v>0</v>
      </c>
      <c r="J629" s="115">
        <v>0</v>
      </c>
      <c r="K629" s="115">
        <v>0</v>
      </c>
    </row>
    <row r="630" spans="1:11" x14ac:dyDescent="0.25">
      <c r="B630" s="115" t="s">
        <v>1241</v>
      </c>
      <c r="D630" s="115" t="s">
        <v>8808</v>
      </c>
      <c r="E630" s="115" t="s">
        <v>1383</v>
      </c>
      <c r="F630" s="115">
        <v>0</v>
      </c>
      <c r="G630" s="115">
        <v>0</v>
      </c>
      <c r="H630" s="115">
        <v>-2194</v>
      </c>
      <c r="I630" s="115">
        <v>785</v>
      </c>
      <c r="J630" s="115">
        <v>-1218</v>
      </c>
      <c r="K630" s="115">
        <v>-606</v>
      </c>
    </row>
    <row r="631" spans="1:11" x14ac:dyDescent="0.25">
      <c r="A631" s="115">
        <v>-2</v>
      </c>
      <c r="B631" s="115" t="s">
        <v>1384</v>
      </c>
      <c r="D631" s="115" t="s">
        <v>8809</v>
      </c>
      <c r="E631" s="115" t="s">
        <v>1385</v>
      </c>
      <c r="F631" s="115">
        <v>0</v>
      </c>
      <c r="G631" s="115">
        <v>0</v>
      </c>
      <c r="H631" s="115">
        <v>0</v>
      </c>
      <c r="I631" s="115">
        <v>1094</v>
      </c>
      <c r="J631" s="115">
        <v>-1400</v>
      </c>
      <c r="K631" s="115">
        <v>0</v>
      </c>
    </row>
    <row r="632" spans="1:11" x14ac:dyDescent="0.25">
      <c r="B632" s="115" t="s">
        <v>1241</v>
      </c>
      <c r="D632" s="115" t="s">
        <v>8810</v>
      </c>
      <c r="E632" s="115" t="s">
        <v>1386</v>
      </c>
      <c r="F632" s="115">
        <v>0</v>
      </c>
      <c r="G632" s="115">
        <v>-903</v>
      </c>
      <c r="H632" s="115">
        <v>0</v>
      </c>
      <c r="I632" s="115">
        <v>0</v>
      </c>
      <c r="J632" s="115">
        <v>242</v>
      </c>
      <c r="K632" s="115">
        <v>0</v>
      </c>
    </row>
    <row r="633" spans="1:11" x14ac:dyDescent="0.25">
      <c r="A633" s="115" t="s">
        <v>1239</v>
      </c>
      <c r="B633" s="115" t="s">
        <v>1387</v>
      </c>
      <c r="D633" s="115" t="s">
        <v>8811</v>
      </c>
      <c r="E633" s="115" t="s">
        <v>1388</v>
      </c>
      <c r="F633" s="115">
        <v>598</v>
      </c>
      <c r="G633" s="115">
        <v>0</v>
      </c>
      <c r="H633" s="115">
        <v>476</v>
      </c>
      <c r="I633" s="115">
        <v>-426</v>
      </c>
      <c r="J633" s="115">
        <v>-735</v>
      </c>
      <c r="K633" s="115">
        <v>-1695</v>
      </c>
    </row>
    <row r="634" spans="1:11" x14ac:dyDescent="0.25">
      <c r="A634" s="115">
        <v>-3</v>
      </c>
      <c r="B634" s="115" t="s">
        <v>1389</v>
      </c>
      <c r="D634" s="115" t="s">
        <v>8812</v>
      </c>
      <c r="E634" s="115" t="s">
        <v>1390</v>
      </c>
      <c r="F634" s="115">
        <v>0</v>
      </c>
      <c r="G634" s="115">
        <v>0</v>
      </c>
      <c r="H634" s="115">
        <v>0</v>
      </c>
      <c r="I634" s="115">
        <v>0</v>
      </c>
      <c r="J634" s="115">
        <v>0</v>
      </c>
      <c r="K634" s="115">
        <v>28</v>
      </c>
    </row>
    <row r="635" spans="1:11" x14ac:dyDescent="0.25">
      <c r="B635" s="115" t="s">
        <v>1241</v>
      </c>
      <c r="D635" s="115" t="s">
        <v>8813</v>
      </c>
      <c r="E635" s="115" t="s">
        <v>1391</v>
      </c>
      <c r="F635" s="115">
        <v>0</v>
      </c>
      <c r="G635" s="115">
        <v>329</v>
      </c>
      <c r="H635" s="115">
        <v>0</v>
      </c>
      <c r="I635" s="115">
        <v>0</v>
      </c>
      <c r="J635" s="115">
        <v>0</v>
      </c>
      <c r="K635" s="115">
        <v>0</v>
      </c>
    </row>
    <row r="636" spans="1:11" x14ac:dyDescent="0.25">
      <c r="B636" s="115" t="s">
        <v>1392</v>
      </c>
      <c r="D636" s="115" t="s">
        <v>8814</v>
      </c>
      <c r="E636" s="115" t="s">
        <v>1393</v>
      </c>
      <c r="F636" s="115">
        <v>875</v>
      </c>
      <c r="G636" s="115">
        <v>0</v>
      </c>
      <c r="H636" s="115">
        <v>0</v>
      </c>
      <c r="I636" s="115">
        <v>18896</v>
      </c>
      <c r="J636" s="115">
        <v>5861</v>
      </c>
      <c r="K636" s="115">
        <v>0</v>
      </c>
    </row>
    <row r="637" spans="1:11" x14ac:dyDescent="0.25">
      <c r="A637" s="115">
        <v>18</v>
      </c>
      <c r="B637" s="115" t="s">
        <v>1394</v>
      </c>
      <c r="D637" s="115" t="s">
        <v>8815</v>
      </c>
      <c r="E637" s="115" t="s">
        <v>1395</v>
      </c>
      <c r="F637" s="115">
        <v>0</v>
      </c>
      <c r="G637" s="115">
        <v>-497</v>
      </c>
      <c r="H637" s="115">
        <v>-39</v>
      </c>
      <c r="I637" s="115">
        <v>101</v>
      </c>
      <c r="J637" s="115">
        <v>290</v>
      </c>
      <c r="K637" s="115">
        <v>336</v>
      </c>
    </row>
    <row r="638" spans="1:11" x14ac:dyDescent="0.25">
      <c r="B638" s="115" t="s">
        <v>1241</v>
      </c>
      <c r="D638" s="115" t="s">
        <v>8816</v>
      </c>
      <c r="E638" s="115" t="s">
        <v>1396</v>
      </c>
      <c r="F638" s="115">
        <v>0</v>
      </c>
      <c r="G638" s="115">
        <v>0</v>
      </c>
      <c r="H638" s="115">
        <v>546</v>
      </c>
      <c r="I638" s="115">
        <v>-562</v>
      </c>
      <c r="J638" s="115">
        <v>0</v>
      </c>
      <c r="K638" s="115">
        <v>0</v>
      </c>
    </row>
    <row r="639" spans="1:11" x14ac:dyDescent="0.25">
      <c r="B639" s="115" t="s">
        <v>1241</v>
      </c>
      <c r="D639" s="115" t="s">
        <v>8817</v>
      </c>
      <c r="E639" s="115" t="s">
        <v>1397</v>
      </c>
      <c r="F639" s="115">
        <v>103</v>
      </c>
      <c r="G639" s="115">
        <v>0</v>
      </c>
      <c r="H639" s="115">
        <v>0</v>
      </c>
      <c r="I639" s="115">
        <v>157</v>
      </c>
      <c r="J639" s="115">
        <v>0</v>
      </c>
      <c r="K639" s="115">
        <v>-320</v>
      </c>
    </row>
    <row r="640" spans="1:11" x14ac:dyDescent="0.25">
      <c r="B640" s="115" t="s">
        <v>1398</v>
      </c>
      <c r="D640" s="115" t="s">
        <v>8818</v>
      </c>
      <c r="E640" s="115" t="s">
        <v>1399</v>
      </c>
      <c r="F640" s="115">
        <v>0</v>
      </c>
      <c r="G640" s="115">
        <v>76</v>
      </c>
      <c r="H640" s="115">
        <v>61</v>
      </c>
      <c r="I640" s="115">
        <v>237</v>
      </c>
      <c r="J640" s="115">
        <v>155</v>
      </c>
      <c r="K640" s="115">
        <v>-227</v>
      </c>
    </row>
    <row r="641" spans="1:11" x14ac:dyDescent="0.25">
      <c r="A641" s="115" t="s">
        <v>1239</v>
      </c>
      <c r="B641" s="115" t="s">
        <v>1400</v>
      </c>
      <c r="D641" s="115" t="s">
        <v>8819</v>
      </c>
      <c r="E641" s="115" t="s">
        <v>1242</v>
      </c>
      <c r="F641" s="115">
        <v>0</v>
      </c>
      <c r="G641" s="115">
        <v>0</v>
      </c>
      <c r="H641" s="115">
        <v>0</v>
      </c>
      <c r="I641" s="115">
        <v>0</v>
      </c>
      <c r="J641" s="115">
        <v>0</v>
      </c>
      <c r="K641" s="115">
        <v>0</v>
      </c>
    </row>
    <row r="642" spans="1:11" x14ac:dyDescent="0.25">
      <c r="B642" s="115" t="s">
        <v>1241</v>
      </c>
      <c r="D642" s="115" t="s">
        <v>8820</v>
      </c>
      <c r="E642" s="115" t="s">
        <v>1242</v>
      </c>
      <c r="F642" s="115">
        <v>47</v>
      </c>
      <c r="G642" s="115">
        <v>0</v>
      </c>
      <c r="H642" s="115">
        <v>0</v>
      </c>
      <c r="I642" s="115">
        <v>0</v>
      </c>
      <c r="J642" s="115">
        <v>0</v>
      </c>
      <c r="K642" s="115">
        <v>0</v>
      </c>
    </row>
    <row r="643" spans="1:11" x14ac:dyDescent="0.25">
      <c r="A643" s="115">
        <v>-1</v>
      </c>
      <c r="B643" s="115" t="s">
        <v>1401</v>
      </c>
      <c r="D643" s="115" t="s">
        <v>8821</v>
      </c>
      <c r="E643" s="115" t="s">
        <v>1402</v>
      </c>
      <c r="F643" s="115">
        <v>0</v>
      </c>
      <c r="G643" s="115">
        <v>0</v>
      </c>
      <c r="H643" s="115">
        <v>1546</v>
      </c>
      <c r="I643" s="115">
        <v>217</v>
      </c>
      <c r="J643" s="115">
        <v>0</v>
      </c>
      <c r="K643" s="115">
        <v>-8119</v>
      </c>
    </row>
    <row r="644" spans="1:11" x14ac:dyDescent="0.25">
      <c r="B644" s="115" t="s">
        <v>1241</v>
      </c>
      <c r="D644" s="115" t="s">
        <v>8822</v>
      </c>
      <c r="E644" s="115" t="s">
        <v>1403</v>
      </c>
      <c r="F644" s="115">
        <v>-2153</v>
      </c>
      <c r="G644" s="115">
        <v>-446</v>
      </c>
      <c r="H644" s="115">
        <v>-38</v>
      </c>
      <c r="I644" s="115">
        <v>109</v>
      </c>
      <c r="J644" s="115">
        <v>110</v>
      </c>
      <c r="K644" s="115">
        <v>330</v>
      </c>
    </row>
    <row r="645" spans="1:11" x14ac:dyDescent="0.25">
      <c r="B645" s="115" t="s">
        <v>1241</v>
      </c>
      <c r="D645" s="115" t="s">
        <v>8823</v>
      </c>
      <c r="E645" s="115" t="s">
        <v>1404</v>
      </c>
      <c r="F645" s="115">
        <v>0</v>
      </c>
      <c r="G645" s="115">
        <v>0</v>
      </c>
      <c r="H645" s="115">
        <v>434</v>
      </c>
      <c r="I645" s="115">
        <v>-341</v>
      </c>
      <c r="J645" s="115">
        <v>0</v>
      </c>
      <c r="K645" s="115">
        <v>0</v>
      </c>
    </row>
    <row r="646" spans="1:11" x14ac:dyDescent="0.25">
      <c r="B646" s="115" t="s">
        <v>1241</v>
      </c>
      <c r="D646" s="115" t="s">
        <v>8824</v>
      </c>
      <c r="E646" s="115" t="s">
        <v>1405</v>
      </c>
      <c r="F646" s="115">
        <v>81</v>
      </c>
      <c r="G646" s="115">
        <v>0</v>
      </c>
      <c r="H646" s="115">
        <v>0</v>
      </c>
      <c r="I646" s="115">
        <v>6</v>
      </c>
      <c r="J646" s="115">
        <v>0</v>
      </c>
      <c r="K646" s="115">
        <v>-77</v>
      </c>
    </row>
    <row r="647" spans="1:11" x14ac:dyDescent="0.25">
      <c r="B647" s="115" t="s">
        <v>1406</v>
      </c>
      <c r="D647" s="115" t="s">
        <v>8825</v>
      </c>
      <c r="E647" s="115" t="s">
        <v>1407</v>
      </c>
      <c r="F647" s="115">
        <v>0</v>
      </c>
      <c r="G647" s="115">
        <v>93</v>
      </c>
      <c r="H647" s="115">
        <v>6</v>
      </c>
      <c r="I647" s="115">
        <v>210</v>
      </c>
      <c r="J647" s="115">
        <v>313</v>
      </c>
      <c r="K647" s="115">
        <v>65</v>
      </c>
    </row>
    <row r="648" spans="1:11" x14ac:dyDescent="0.25">
      <c r="B648" s="115" t="s">
        <v>1408</v>
      </c>
      <c r="D648" s="115" t="s">
        <v>8826</v>
      </c>
      <c r="E648" s="115" t="s">
        <v>1409</v>
      </c>
      <c r="F648" s="115">
        <v>0</v>
      </c>
      <c r="G648" s="115">
        <v>0</v>
      </c>
      <c r="H648" s="115">
        <v>0</v>
      </c>
      <c r="I648" s="115">
        <v>0</v>
      </c>
      <c r="J648" s="115">
        <v>58</v>
      </c>
      <c r="K648" s="115">
        <v>0</v>
      </c>
    </row>
    <row r="649" spans="1:11" x14ac:dyDescent="0.25">
      <c r="B649" s="115" t="s">
        <v>1241</v>
      </c>
      <c r="D649" s="115" t="s">
        <v>8827</v>
      </c>
      <c r="E649" s="115" t="s">
        <v>1242</v>
      </c>
      <c r="F649" s="115">
        <v>28</v>
      </c>
      <c r="G649" s="115">
        <v>0</v>
      </c>
      <c r="H649" s="115">
        <v>0</v>
      </c>
      <c r="I649" s="115">
        <v>0</v>
      </c>
      <c r="J649" s="115">
        <v>0</v>
      </c>
      <c r="K649" s="115">
        <v>0</v>
      </c>
    </row>
    <row r="650" spans="1:11" x14ac:dyDescent="0.25">
      <c r="A650" s="115">
        <v>-1</v>
      </c>
      <c r="B650" s="115" t="s">
        <v>1410</v>
      </c>
      <c r="D650" s="115" t="s">
        <v>8828</v>
      </c>
      <c r="E650" s="115" t="s">
        <v>1411</v>
      </c>
      <c r="F650" s="115">
        <v>0</v>
      </c>
      <c r="G650" s="115">
        <v>0</v>
      </c>
      <c r="H650" s="115">
        <v>-1900</v>
      </c>
      <c r="I650" s="115">
        <v>-1304</v>
      </c>
      <c r="J650" s="115">
        <v>0</v>
      </c>
      <c r="K650" s="115">
        <v>-7296</v>
      </c>
    </row>
    <row r="651" spans="1:11" x14ac:dyDescent="0.25">
      <c r="B651" s="115" t="s">
        <v>1241</v>
      </c>
      <c r="D651" s="115" t="s">
        <v>8829</v>
      </c>
      <c r="E651" s="115" t="s">
        <v>1412</v>
      </c>
      <c r="F651" s="115">
        <v>-3423</v>
      </c>
      <c r="G651" s="115">
        <v>23961</v>
      </c>
      <c r="H651" s="115">
        <v>0</v>
      </c>
      <c r="I651" s="115">
        <v>0</v>
      </c>
      <c r="J651" s="115">
        <v>0</v>
      </c>
      <c r="K651" s="115">
        <v>0</v>
      </c>
    </row>
    <row r="652" spans="1:11" x14ac:dyDescent="0.25">
      <c r="B652" s="115" t="s">
        <v>1241</v>
      </c>
      <c r="D652" s="115" t="s">
        <v>8710</v>
      </c>
      <c r="E652" s="115" t="s">
        <v>1242</v>
      </c>
      <c r="F652" s="115">
        <v>0</v>
      </c>
      <c r="G652" s="115">
        <v>0</v>
      </c>
      <c r="H652" s="115">
        <v>0</v>
      </c>
      <c r="I652" s="115">
        <v>0</v>
      </c>
      <c r="J652" s="115">
        <v>0</v>
      </c>
      <c r="K652" s="115">
        <v>0</v>
      </c>
    </row>
    <row r="653" spans="1:11" x14ac:dyDescent="0.25">
      <c r="B653" s="115" t="s">
        <v>1241</v>
      </c>
      <c r="D653" s="115" t="s">
        <v>8710</v>
      </c>
      <c r="E653" s="115" t="s">
        <v>1242</v>
      </c>
      <c r="F653" s="115">
        <v>0</v>
      </c>
      <c r="G653" s="115">
        <v>0</v>
      </c>
      <c r="H653" s="115">
        <v>0</v>
      </c>
      <c r="I653" s="115">
        <v>0</v>
      </c>
      <c r="J653" s="115">
        <v>0</v>
      </c>
      <c r="K653" s="115">
        <v>0</v>
      </c>
    </row>
    <row r="654" spans="1:11" x14ac:dyDescent="0.25">
      <c r="B654" s="115" t="s">
        <v>1241</v>
      </c>
      <c r="D654" s="115" t="s">
        <v>8710</v>
      </c>
      <c r="E654" s="115" t="s">
        <v>1242</v>
      </c>
      <c r="F654" s="115">
        <v>0</v>
      </c>
      <c r="G654" s="115">
        <v>0</v>
      </c>
      <c r="H654" s="115">
        <v>0</v>
      </c>
      <c r="I654" s="115">
        <v>0</v>
      </c>
      <c r="J654" s="115">
        <v>0</v>
      </c>
      <c r="K654" s="115">
        <v>0</v>
      </c>
    </row>
    <row r="655" spans="1:11" x14ac:dyDescent="0.25">
      <c r="B655" s="115" t="s">
        <v>1241</v>
      </c>
      <c r="D655" s="115" t="s">
        <v>8710</v>
      </c>
      <c r="E655" s="115" t="s">
        <v>1242</v>
      </c>
      <c r="F655" s="115">
        <v>0</v>
      </c>
      <c r="G655" s="115">
        <v>0</v>
      </c>
      <c r="H655" s="115">
        <v>0</v>
      </c>
      <c r="I655" s="115">
        <v>0</v>
      </c>
      <c r="J655" s="115">
        <v>0</v>
      </c>
      <c r="K655" s="115">
        <v>0</v>
      </c>
    </row>
    <row r="656" spans="1:11" x14ac:dyDescent="0.25">
      <c r="B656" s="115" t="s">
        <v>1241</v>
      </c>
      <c r="D656" s="115" t="s">
        <v>8710</v>
      </c>
      <c r="E656" s="115" t="s">
        <v>1242</v>
      </c>
      <c r="F656" s="115">
        <v>0</v>
      </c>
      <c r="G656" s="115">
        <v>0</v>
      </c>
      <c r="H656" s="115">
        <v>0</v>
      </c>
      <c r="I656" s="115">
        <v>0</v>
      </c>
      <c r="J656" s="115">
        <v>0</v>
      </c>
      <c r="K656" s="115">
        <v>0</v>
      </c>
    </row>
    <row r="657" spans="1:11" x14ac:dyDescent="0.25">
      <c r="B657" s="115" t="s">
        <v>1241</v>
      </c>
      <c r="D657" s="115" t="s">
        <v>8710</v>
      </c>
      <c r="E657" s="115" t="s">
        <v>1242</v>
      </c>
      <c r="F657" s="115">
        <v>0</v>
      </c>
      <c r="G657" s="115">
        <v>0</v>
      </c>
      <c r="H657" s="115">
        <v>0</v>
      </c>
      <c r="I657" s="115">
        <v>0</v>
      </c>
      <c r="J657" s="115">
        <v>0</v>
      </c>
      <c r="K657" s="115">
        <v>0</v>
      </c>
    </row>
    <row r="658" spans="1:11" x14ac:dyDescent="0.25">
      <c r="B658" s="115" t="s">
        <v>1241</v>
      </c>
      <c r="D658" s="115" t="s">
        <v>8710</v>
      </c>
      <c r="E658" s="115" t="s">
        <v>1242</v>
      </c>
      <c r="F658" s="115">
        <v>0</v>
      </c>
      <c r="G658" s="115">
        <v>0</v>
      </c>
      <c r="H658" s="115">
        <v>0</v>
      </c>
      <c r="I658" s="115">
        <v>0</v>
      </c>
      <c r="J658" s="115">
        <v>0</v>
      </c>
      <c r="K658" s="115">
        <v>0</v>
      </c>
    </row>
    <row r="659" spans="1:11" x14ac:dyDescent="0.25">
      <c r="B659" s="115" t="s">
        <v>1241</v>
      </c>
      <c r="D659" s="115" t="s">
        <v>8710</v>
      </c>
      <c r="E659" s="115" t="s">
        <v>1242</v>
      </c>
      <c r="F659" s="115">
        <v>0</v>
      </c>
      <c r="G659" s="115">
        <v>0</v>
      </c>
      <c r="H659" s="115">
        <v>0</v>
      </c>
      <c r="I659" s="115">
        <v>0</v>
      </c>
      <c r="J659" s="115">
        <v>0</v>
      </c>
      <c r="K659" s="115">
        <v>0</v>
      </c>
    </row>
    <row r="660" spans="1:11" x14ac:dyDescent="0.25">
      <c r="B660" s="115" t="s">
        <v>1241</v>
      </c>
      <c r="D660" s="115" t="s">
        <v>8710</v>
      </c>
      <c r="E660" s="115" t="s">
        <v>1242</v>
      </c>
      <c r="F660" s="115">
        <v>0</v>
      </c>
      <c r="G660" s="115">
        <v>0</v>
      </c>
      <c r="H660" s="115">
        <v>0</v>
      </c>
      <c r="I660" s="115">
        <v>0</v>
      </c>
      <c r="J660" s="115">
        <v>0</v>
      </c>
      <c r="K660" s="115">
        <v>0</v>
      </c>
    </row>
    <row r="661" spans="1:11" x14ac:dyDescent="0.25">
      <c r="B661" s="115" t="s">
        <v>1241</v>
      </c>
      <c r="D661" s="115" t="s">
        <v>8710</v>
      </c>
      <c r="E661" s="115" t="s">
        <v>1242</v>
      </c>
      <c r="F661" s="115">
        <v>0</v>
      </c>
      <c r="G661" s="115">
        <v>0</v>
      </c>
      <c r="H661" s="115">
        <v>0</v>
      </c>
      <c r="I661" s="115">
        <v>0</v>
      </c>
      <c r="J661" s="115">
        <v>0</v>
      </c>
      <c r="K661" s="115">
        <v>0</v>
      </c>
    </row>
    <row r="662" spans="1:11" x14ac:dyDescent="0.25">
      <c r="B662" s="115" t="s">
        <v>1241</v>
      </c>
      <c r="D662" s="115" t="s">
        <v>8710</v>
      </c>
      <c r="E662" s="115" t="s">
        <v>1242</v>
      </c>
      <c r="F662" s="115">
        <v>0</v>
      </c>
      <c r="G662" s="115">
        <v>0</v>
      </c>
      <c r="H662" s="115">
        <v>0</v>
      </c>
      <c r="I662" s="115">
        <v>0</v>
      </c>
      <c r="J662" s="115">
        <v>0</v>
      </c>
      <c r="K662" s="115">
        <v>0</v>
      </c>
    </row>
    <row r="663" spans="1:11" x14ac:dyDescent="0.25">
      <c r="B663" s="115" t="s">
        <v>1241</v>
      </c>
      <c r="D663" s="115" t="s">
        <v>8710</v>
      </c>
      <c r="E663" s="115" t="s">
        <v>1242</v>
      </c>
      <c r="F663" s="115">
        <v>0</v>
      </c>
      <c r="G663" s="115">
        <v>0</v>
      </c>
      <c r="H663" s="115">
        <v>0</v>
      </c>
      <c r="I663" s="115">
        <v>0</v>
      </c>
      <c r="J663" s="115">
        <v>0</v>
      </c>
      <c r="K663" s="115">
        <v>0</v>
      </c>
    </row>
    <row r="664" spans="1:11" x14ac:dyDescent="0.25">
      <c r="B664" s="115" t="s">
        <v>1241</v>
      </c>
      <c r="D664" s="115" t="s">
        <v>8710</v>
      </c>
      <c r="E664" s="115" t="s">
        <v>1242</v>
      </c>
      <c r="F664" s="115">
        <v>0</v>
      </c>
      <c r="G664" s="115">
        <v>0</v>
      </c>
      <c r="H664" s="115">
        <v>0</v>
      </c>
      <c r="I664" s="115">
        <v>0</v>
      </c>
      <c r="J664" s="115">
        <v>0</v>
      </c>
      <c r="K664" s="115">
        <v>0</v>
      </c>
    </row>
    <row r="665" spans="1:11" x14ac:dyDescent="0.25">
      <c r="B665" s="115" t="s">
        <v>1241</v>
      </c>
      <c r="D665" s="115" t="s">
        <v>8710</v>
      </c>
      <c r="E665" s="115" t="s">
        <v>1242</v>
      </c>
      <c r="F665" s="115">
        <v>0</v>
      </c>
      <c r="G665" s="115">
        <v>0</v>
      </c>
      <c r="H665" s="115">
        <v>0</v>
      </c>
      <c r="I665" s="115">
        <v>0</v>
      </c>
      <c r="J665" s="115">
        <v>0</v>
      </c>
      <c r="K665" s="115">
        <v>0</v>
      </c>
    </row>
    <row r="666" spans="1:11" x14ac:dyDescent="0.25">
      <c r="B666" s="115" t="s">
        <v>1413</v>
      </c>
      <c r="D666" s="115" t="s">
        <v>8830</v>
      </c>
      <c r="E666" s="115" t="s">
        <v>1414</v>
      </c>
      <c r="F666" s="115">
        <v>266</v>
      </c>
      <c r="G666" s="115">
        <v>-228</v>
      </c>
      <c r="H666" s="115">
        <v>0</v>
      </c>
      <c r="I666" s="115">
        <v>0</v>
      </c>
      <c r="J666" s="115">
        <v>-246</v>
      </c>
      <c r="K666" s="115">
        <v>0</v>
      </c>
    </row>
    <row r="667" spans="1:11" x14ac:dyDescent="0.25">
      <c r="B667" s="115" t="s">
        <v>1241</v>
      </c>
      <c r="D667" s="115" t="s">
        <v>8831</v>
      </c>
      <c r="E667" s="115" t="s">
        <v>1242</v>
      </c>
      <c r="F667" s="115">
        <v>0</v>
      </c>
      <c r="G667" s="115">
        <v>0</v>
      </c>
      <c r="H667" s="115">
        <v>0</v>
      </c>
      <c r="I667" s="115">
        <v>0</v>
      </c>
      <c r="J667" s="115">
        <v>0</v>
      </c>
      <c r="K667" s="115">
        <v>0</v>
      </c>
    </row>
    <row r="668" spans="1:11" x14ac:dyDescent="0.25">
      <c r="A668" s="115" t="s">
        <v>1239</v>
      </c>
      <c r="B668" s="115" t="s">
        <v>1415</v>
      </c>
      <c r="D668" s="115" t="s">
        <v>8832</v>
      </c>
      <c r="E668" s="115" t="s">
        <v>1416</v>
      </c>
      <c r="F668" s="115">
        <v>0</v>
      </c>
      <c r="G668" s="115">
        <v>-13</v>
      </c>
      <c r="H668" s="115">
        <v>0</v>
      </c>
      <c r="I668" s="115">
        <v>141</v>
      </c>
      <c r="J668" s="115">
        <v>182</v>
      </c>
      <c r="K668" s="115">
        <v>-83</v>
      </c>
    </row>
    <row r="669" spans="1:11" x14ac:dyDescent="0.25">
      <c r="B669" s="115" t="s">
        <v>1417</v>
      </c>
      <c r="D669" s="115" t="s">
        <v>8833</v>
      </c>
      <c r="E669" s="115" t="s">
        <v>1418</v>
      </c>
      <c r="F669" s="115">
        <v>-253</v>
      </c>
      <c r="G669" s="115">
        <v>-111</v>
      </c>
      <c r="H669" s="115">
        <v>28</v>
      </c>
      <c r="I669" s="115">
        <v>0</v>
      </c>
      <c r="J669" s="115">
        <v>-52</v>
      </c>
      <c r="K669" s="115">
        <v>0</v>
      </c>
    </row>
    <row r="670" spans="1:11" x14ac:dyDescent="0.25">
      <c r="B670" s="115" t="s">
        <v>1241</v>
      </c>
      <c r="D670" s="115" t="s">
        <v>8834</v>
      </c>
      <c r="E670" s="115" t="s">
        <v>1419</v>
      </c>
      <c r="F670" s="115">
        <v>-107</v>
      </c>
      <c r="G670" s="115">
        <v>0</v>
      </c>
      <c r="H670" s="115">
        <v>0</v>
      </c>
      <c r="I670" s="115">
        <v>0</v>
      </c>
      <c r="J670" s="115">
        <v>-268</v>
      </c>
      <c r="K670" s="115">
        <v>0</v>
      </c>
    </row>
    <row r="671" spans="1:11" x14ac:dyDescent="0.25">
      <c r="B671" s="115" t="s">
        <v>1420</v>
      </c>
      <c r="D671" s="115" t="s">
        <v>8835</v>
      </c>
      <c r="E671" s="115" t="s">
        <v>1421</v>
      </c>
      <c r="F671" s="115">
        <v>0</v>
      </c>
      <c r="G671" s="115">
        <v>0</v>
      </c>
      <c r="H671" s="115">
        <v>312</v>
      </c>
      <c r="I671" s="115">
        <v>0</v>
      </c>
      <c r="J671" s="115">
        <v>235</v>
      </c>
      <c r="K671" s="115">
        <v>20</v>
      </c>
    </row>
    <row r="672" spans="1:11" x14ac:dyDescent="0.25">
      <c r="B672" s="115" t="s">
        <v>1241</v>
      </c>
      <c r="C672" s="115" t="s">
        <v>1239</v>
      </c>
      <c r="D672" s="115" t="s">
        <v>8836</v>
      </c>
      <c r="E672" s="115" t="s">
        <v>1422</v>
      </c>
      <c r="F672" s="115">
        <v>0</v>
      </c>
      <c r="G672" s="115">
        <v>-10396</v>
      </c>
      <c r="H672" s="115">
        <v>0</v>
      </c>
      <c r="I672" s="115">
        <v>0</v>
      </c>
      <c r="J672" s="115">
        <v>0</v>
      </c>
      <c r="K672" s="115">
        <v>0</v>
      </c>
    </row>
    <row r="673" spans="2:11" x14ac:dyDescent="0.25">
      <c r="B673" s="115" t="s">
        <v>1423</v>
      </c>
      <c r="C673" s="115" t="s">
        <v>1239</v>
      </c>
      <c r="D673" s="115" t="s">
        <v>8837</v>
      </c>
      <c r="E673" s="115" t="s">
        <v>1424</v>
      </c>
      <c r="F673" s="115">
        <v>0</v>
      </c>
      <c r="G673" s="115">
        <v>2016</v>
      </c>
      <c r="H673" s="115">
        <v>176</v>
      </c>
      <c r="I673" s="115">
        <v>-823</v>
      </c>
      <c r="J673" s="115">
        <v>-561</v>
      </c>
      <c r="K673" s="115">
        <v>-536</v>
      </c>
    </row>
    <row r="674" spans="2:11" x14ac:dyDescent="0.25">
      <c r="B674" s="115" t="s">
        <v>1241</v>
      </c>
      <c r="D674" s="115" t="s">
        <v>8838</v>
      </c>
      <c r="E674" s="115" t="s">
        <v>1425</v>
      </c>
      <c r="F674" s="115">
        <v>0</v>
      </c>
      <c r="G674" s="115">
        <v>0</v>
      </c>
      <c r="H674" s="115">
        <v>-1168</v>
      </c>
      <c r="I674" s="115">
        <v>1158</v>
      </c>
      <c r="J674" s="115">
        <v>0</v>
      </c>
      <c r="K674" s="115">
        <v>0</v>
      </c>
    </row>
    <row r="675" spans="2:11" x14ac:dyDescent="0.25">
      <c r="B675" s="115" t="s">
        <v>1241</v>
      </c>
      <c r="D675" s="115" t="s">
        <v>8839</v>
      </c>
      <c r="E675" s="115" t="s">
        <v>1426</v>
      </c>
      <c r="F675" s="115">
        <v>65</v>
      </c>
      <c r="G675" s="115">
        <v>0</v>
      </c>
      <c r="H675" s="115">
        <v>0</v>
      </c>
      <c r="I675" s="115">
        <v>77</v>
      </c>
      <c r="J675" s="115">
        <v>0</v>
      </c>
      <c r="K675" s="115">
        <v>24</v>
      </c>
    </row>
    <row r="676" spans="2:11" x14ac:dyDescent="0.25">
      <c r="B676" s="115" t="s">
        <v>1427</v>
      </c>
      <c r="D676" s="115" t="s">
        <v>8840</v>
      </c>
      <c r="E676" s="115">
        <f>-98   -108   -594   -317   -217</f>
        <v>-1334</v>
      </c>
      <c r="F676" s="115">
        <v>0</v>
      </c>
      <c r="G676" s="115">
        <v>-98</v>
      </c>
      <c r="H676" s="115">
        <v>-108</v>
      </c>
      <c r="I676" s="115">
        <v>-594</v>
      </c>
      <c r="J676" s="115">
        <v>-317</v>
      </c>
      <c r="K676" s="115">
        <v>-217</v>
      </c>
    </row>
    <row r="677" spans="2:11" x14ac:dyDescent="0.25">
      <c r="B677" s="115" t="s">
        <v>1428</v>
      </c>
      <c r="D677" s="115" t="s">
        <v>8841</v>
      </c>
      <c r="E677" s="115" t="s">
        <v>1429</v>
      </c>
      <c r="F677" s="115">
        <v>0</v>
      </c>
      <c r="G677" s="115">
        <v>0</v>
      </c>
      <c r="H677" s="115">
        <v>0</v>
      </c>
      <c r="I677" s="115">
        <v>0</v>
      </c>
      <c r="J677" s="115">
        <v>-196</v>
      </c>
      <c r="K677" s="115">
        <v>0</v>
      </c>
    </row>
    <row r="678" spans="2:11" x14ac:dyDescent="0.25">
      <c r="B678" s="115" t="s">
        <v>1241</v>
      </c>
      <c r="D678" s="115" t="s">
        <v>8842</v>
      </c>
      <c r="E678" s="115" t="s">
        <v>1242</v>
      </c>
      <c r="F678" s="115">
        <v>173</v>
      </c>
      <c r="G678" s="115">
        <v>0</v>
      </c>
      <c r="H678" s="115">
        <v>0</v>
      </c>
      <c r="I678" s="115">
        <v>0</v>
      </c>
      <c r="J678" s="115">
        <v>0</v>
      </c>
      <c r="K678" s="115">
        <v>0</v>
      </c>
    </row>
    <row r="679" spans="2:11" x14ac:dyDescent="0.25">
      <c r="B679" s="115" t="s">
        <v>1430</v>
      </c>
      <c r="D679" s="115" t="s">
        <v>8843</v>
      </c>
      <c r="E679" s="115" t="s">
        <v>1431</v>
      </c>
      <c r="F679" s="115">
        <v>0</v>
      </c>
      <c r="G679" s="115">
        <v>0</v>
      </c>
      <c r="H679" s="115">
        <v>-1008</v>
      </c>
      <c r="I679" s="115">
        <v>-1269</v>
      </c>
      <c r="J679" s="115">
        <v>0</v>
      </c>
      <c r="K679" s="115">
        <v>12117</v>
      </c>
    </row>
    <row r="680" spans="2:11" x14ac:dyDescent="0.25">
      <c r="B680" s="115" t="s">
        <v>1241</v>
      </c>
      <c r="D680" s="115" t="s">
        <v>8844</v>
      </c>
      <c r="E680" s="115" t="s">
        <v>1432</v>
      </c>
      <c r="F680" s="115">
        <v>3292</v>
      </c>
      <c r="G680" s="115">
        <v>1689</v>
      </c>
      <c r="H680" s="115">
        <v>-4329</v>
      </c>
      <c r="I680" s="115">
        <v>0</v>
      </c>
      <c r="J680" s="115">
        <v>0</v>
      </c>
      <c r="K680" s="115">
        <v>-35258</v>
      </c>
    </row>
    <row r="681" spans="2:11" x14ac:dyDescent="0.25">
      <c r="B681" s="115" t="s">
        <v>1241</v>
      </c>
      <c r="D681" s="115" t="s">
        <v>8710</v>
      </c>
      <c r="E681" s="115" t="s">
        <v>1242</v>
      </c>
      <c r="F681" s="115">
        <v>0</v>
      </c>
      <c r="G681" s="115">
        <v>0</v>
      </c>
      <c r="H681" s="115">
        <v>0</v>
      </c>
      <c r="I681" s="115">
        <v>0</v>
      </c>
      <c r="J681" s="115">
        <v>0</v>
      </c>
      <c r="K681" s="115">
        <v>0</v>
      </c>
    </row>
    <row r="682" spans="2:11" x14ac:dyDescent="0.25">
      <c r="B682" s="115" t="s">
        <v>1241</v>
      </c>
      <c r="D682" s="115" t="s">
        <v>8710</v>
      </c>
      <c r="E682" s="115" t="s">
        <v>1242</v>
      </c>
      <c r="F682" s="115">
        <v>0</v>
      </c>
      <c r="G682" s="115">
        <v>0</v>
      </c>
      <c r="H682" s="115">
        <v>0</v>
      </c>
      <c r="I682" s="115">
        <v>0</v>
      </c>
      <c r="J682" s="115">
        <v>0</v>
      </c>
      <c r="K682" s="115">
        <v>0</v>
      </c>
    </row>
    <row r="683" spans="2:11" x14ac:dyDescent="0.25">
      <c r="B683" s="115" t="s">
        <v>1241</v>
      </c>
      <c r="D683" s="115" t="s">
        <v>8710</v>
      </c>
      <c r="E683" s="115" t="s">
        <v>1242</v>
      </c>
      <c r="F683" s="115">
        <v>0</v>
      </c>
      <c r="G683" s="115">
        <v>0</v>
      </c>
      <c r="H683" s="115">
        <v>0</v>
      </c>
      <c r="I683" s="115">
        <v>0</v>
      </c>
      <c r="J683" s="115">
        <v>0</v>
      </c>
      <c r="K683" s="115">
        <v>0</v>
      </c>
    </row>
    <row r="684" spans="2:11" x14ac:dyDescent="0.25">
      <c r="B684" s="115" t="s">
        <v>1241</v>
      </c>
      <c r="D684" s="115" t="s">
        <v>8710</v>
      </c>
      <c r="E684" s="115" t="s">
        <v>1242</v>
      </c>
      <c r="F684" s="115">
        <v>0</v>
      </c>
      <c r="G684" s="115">
        <v>0</v>
      </c>
      <c r="H684" s="115">
        <v>0</v>
      </c>
      <c r="I684" s="115">
        <v>0</v>
      </c>
      <c r="J684" s="115">
        <v>0</v>
      </c>
      <c r="K684" s="115">
        <v>0</v>
      </c>
    </row>
    <row r="685" spans="2:11" x14ac:dyDescent="0.25">
      <c r="B685" s="115" t="s">
        <v>1241</v>
      </c>
      <c r="D685" s="115" t="s">
        <v>8710</v>
      </c>
      <c r="E685" s="115" t="s">
        <v>1242</v>
      </c>
      <c r="F685" s="115">
        <v>0</v>
      </c>
      <c r="G685" s="115">
        <v>0</v>
      </c>
      <c r="H685" s="115">
        <v>0</v>
      </c>
      <c r="I685" s="115">
        <v>0</v>
      </c>
      <c r="J685" s="115">
        <v>0</v>
      </c>
      <c r="K685" s="115">
        <v>0</v>
      </c>
    </row>
    <row r="686" spans="2:11" x14ac:dyDescent="0.25">
      <c r="B686" s="115" t="s">
        <v>1241</v>
      </c>
      <c r="D686" s="115" t="s">
        <v>8710</v>
      </c>
      <c r="E686" s="115" t="s">
        <v>1242</v>
      </c>
      <c r="F686" s="115">
        <v>0</v>
      </c>
      <c r="G686" s="115">
        <v>0</v>
      </c>
      <c r="H686" s="115">
        <v>0</v>
      </c>
      <c r="I686" s="115">
        <v>0</v>
      </c>
      <c r="J686" s="115">
        <v>0</v>
      </c>
      <c r="K686" s="115">
        <v>0</v>
      </c>
    </row>
    <row r="687" spans="2:11" x14ac:dyDescent="0.25">
      <c r="B687" s="115" t="s">
        <v>1241</v>
      </c>
      <c r="D687" s="115" t="s">
        <v>8710</v>
      </c>
      <c r="E687" s="115" t="s">
        <v>1242</v>
      </c>
      <c r="F687" s="115">
        <v>0</v>
      </c>
      <c r="G687" s="115">
        <v>0</v>
      </c>
      <c r="H687" s="115">
        <v>0</v>
      </c>
      <c r="I687" s="115">
        <v>0</v>
      </c>
      <c r="J687" s="115">
        <v>0</v>
      </c>
      <c r="K687" s="115">
        <v>0</v>
      </c>
    </row>
    <row r="688" spans="2:11" x14ac:dyDescent="0.25">
      <c r="B688" s="115" t="s">
        <v>1241</v>
      </c>
      <c r="D688" s="115" t="s">
        <v>8845</v>
      </c>
      <c r="E688" s="115" t="s">
        <v>1433</v>
      </c>
      <c r="F688" s="115">
        <v>0</v>
      </c>
      <c r="G688" s="115">
        <v>0</v>
      </c>
      <c r="H688" s="115">
        <v>-1344</v>
      </c>
      <c r="I688" s="115">
        <v>14</v>
      </c>
      <c r="J688" s="115">
        <v>-93</v>
      </c>
      <c r="K688" s="115">
        <v>-84</v>
      </c>
    </row>
    <row r="689" spans="1:11" x14ac:dyDescent="0.25">
      <c r="A689" s="115" t="s">
        <v>1239</v>
      </c>
      <c r="B689" s="115" t="s">
        <v>1434</v>
      </c>
      <c r="D689" s="115" t="s">
        <v>8846</v>
      </c>
      <c r="E689" s="115" t="s">
        <v>1435</v>
      </c>
      <c r="F689" s="115">
        <v>0</v>
      </c>
      <c r="G689" s="115">
        <v>0</v>
      </c>
      <c r="H689" s="115">
        <v>0</v>
      </c>
      <c r="I689" s="115">
        <v>338</v>
      </c>
      <c r="J689" s="115">
        <v>-1307</v>
      </c>
      <c r="K689" s="115">
        <v>0</v>
      </c>
    </row>
    <row r="690" spans="1:11" x14ac:dyDescent="0.25">
      <c r="B690" s="115" t="s">
        <v>1241</v>
      </c>
      <c r="D690" s="115" t="s">
        <v>8847</v>
      </c>
      <c r="E690" s="115" t="s">
        <v>1436</v>
      </c>
      <c r="F690" s="115">
        <v>0</v>
      </c>
      <c r="G690" s="115">
        <v>331</v>
      </c>
      <c r="H690" s="115">
        <v>0</v>
      </c>
      <c r="I690" s="115">
        <v>0</v>
      </c>
      <c r="J690" s="115">
        <v>-408</v>
      </c>
      <c r="K690" s="115">
        <v>0</v>
      </c>
    </row>
    <row r="691" spans="1:11" x14ac:dyDescent="0.25">
      <c r="B691" s="115" t="s">
        <v>1437</v>
      </c>
      <c r="D691" s="115" t="s">
        <v>8848</v>
      </c>
      <c r="E691" s="115" t="s">
        <v>1438</v>
      </c>
      <c r="F691" s="115">
        <v>295</v>
      </c>
      <c r="G691" s="115">
        <v>0</v>
      </c>
      <c r="H691" s="115">
        <v>-725</v>
      </c>
      <c r="I691" s="115">
        <v>-140</v>
      </c>
      <c r="J691" s="115">
        <v>-269</v>
      </c>
      <c r="K691" s="115">
        <v>-16</v>
      </c>
    </row>
    <row r="692" spans="1:11" x14ac:dyDescent="0.25">
      <c r="B692" s="115" t="s">
        <v>1439</v>
      </c>
      <c r="D692" s="115" t="s">
        <v>8849</v>
      </c>
      <c r="E692" s="115" t="s">
        <v>1440</v>
      </c>
      <c r="F692" s="115">
        <v>0</v>
      </c>
      <c r="G692" s="115">
        <v>0</v>
      </c>
      <c r="H692" s="115">
        <v>0</v>
      </c>
      <c r="I692" s="115">
        <v>0</v>
      </c>
      <c r="J692" s="115">
        <v>0</v>
      </c>
      <c r="K692" s="115">
        <v>334</v>
      </c>
    </row>
    <row r="693" spans="1:11" x14ac:dyDescent="0.25">
      <c r="B693" s="115" t="s">
        <v>1241</v>
      </c>
      <c r="D693" s="115" t="s">
        <v>8850</v>
      </c>
      <c r="E693" s="115" t="s">
        <v>1441</v>
      </c>
      <c r="F693" s="115">
        <v>0</v>
      </c>
      <c r="G693" s="115">
        <v>212</v>
      </c>
      <c r="H693" s="115">
        <v>0</v>
      </c>
      <c r="I693" s="115">
        <v>0</v>
      </c>
      <c r="J693" s="115">
        <v>0</v>
      </c>
      <c r="K693" s="115">
        <v>0</v>
      </c>
    </row>
    <row r="694" spans="1:11" x14ac:dyDescent="0.25">
      <c r="B694" s="115" t="s">
        <v>1442</v>
      </c>
      <c r="D694" s="115" t="s">
        <v>8851</v>
      </c>
      <c r="E694" s="115" t="s">
        <v>1443</v>
      </c>
      <c r="F694" s="115">
        <v>358</v>
      </c>
      <c r="G694" s="115">
        <v>0</v>
      </c>
      <c r="H694" s="115">
        <v>0</v>
      </c>
      <c r="I694" s="115">
        <v>-4043</v>
      </c>
      <c r="J694" s="115">
        <v>-1871</v>
      </c>
      <c r="K694" s="115">
        <v>0</v>
      </c>
    </row>
    <row r="695" spans="1:11" x14ac:dyDescent="0.25">
      <c r="A695" s="115">
        <v>6</v>
      </c>
      <c r="B695" s="115" t="s">
        <v>1444</v>
      </c>
      <c r="D695" s="115" t="s">
        <v>8852</v>
      </c>
      <c r="E695" s="115" t="s">
        <v>1445</v>
      </c>
      <c r="F695" s="115">
        <v>0</v>
      </c>
      <c r="G695" s="115">
        <v>4570</v>
      </c>
      <c r="H695" s="115">
        <v>-5106</v>
      </c>
      <c r="I695" s="115">
        <v>-2792</v>
      </c>
      <c r="J695" s="115">
        <v>0</v>
      </c>
      <c r="K695" s="115">
        <v>0</v>
      </c>
    </row>
    <row r="696" spans="1:11" x14ac:dyDescent="0.25">
      <c r="A696" s="115">
        <v>5</v>
      </c>
      <c r="B696" s="115" t="s">
        <v>1446</v>
      </c>
      <c r="D696" s="115" t="s">
        <v>8853</v>
      </c>
      <c r="E696" s="115" t="s">
        <v>1447</v>
      </c>
      <c r="F696" s="115">
        <v>156</v>
      </c>
      <c r="G696" s="115">
        <v>259</v>
      </c>
      <c r="H696" s="115">
        <v>-22</v>
      </c>
      <c r="I696" s="115">
        <v>-1017</v>
      </c>
      <c r="J696" s="115">
        <v>0</v>
      </c>
      <c r="K696" s="115">
        <v>0</v>
      </c>
    </row>
    <row r="697" spans="1:11" x14ac:dyDescent="0.25">
      <c r="B697" s="115" t="s">
        <v>1448</v>
      </c>
      <c r="D697" s="115" t="s">
        <v>8854</v>
      </c>
      <c r="E697" s="115" t="s">
        <v>1449</v>
      </c>
      <c r="F697" s="115">
        <v>-834</v>
      </c>
      <c r="G697" s="115">
        <v>-243</v>
      </c>
      <c r="H697" s="115">
        <v>0</v>
      </c>
      <c r="I697" s="115">
        <v>0</v>
      </c>
      <c r="J697" s="115">
        <v>0</v>
      </c>
      <c r="K697" s="115">
        <v>0</v>
      </c>
    </row>
    <row r="698" spans="1:11" x14ac:dyDescent="0.25">
      <c r="B698" s="115" t="s">
        <v>1241</v>
      </c>
      <c r="D698" s="115" t="s">
        <v>8855</v>
      </c>
      <c r="E698" s="115" t="s">
        <v>1450</v>
      </c>
      <c r="F698" s="115">
        <v>0</v>
      </c>
      <c r="G698" s="115">
        <v>-458</v>
      </c>
      <c r="H698" s="115">
        <v>0</v>
      </c>
      <c r="I698" s="115">
        <v>722</v>
      </c>
      <c r="J698" s="115">
        <v>0</v>
      </c>
      <c r="K698" s="115">
        <v>1365</v>
      </c>
    </row>
    <row r="699" spans="1:11" x14ac:dyDescent="0.25">
      <c r="B699" s="115" t="s">
        <v>1451</v>
      </c>
      <c r="D699" s="115" t="s">
        <v>8856</v>
      </c>
      <c r="E699" s="115" t="s">
        <v>1452</v>
      </c>
      <c r="F699" s="115">
        <v>-257</v>
      </c>
      <c r="G699" s="115">
        <v>-13</v>
      </c>
      <c r="H699" s="115">
        <v>-894</v>
      </c>
      <c r="I699" s="115">
        <v>-799</v>
      </c>
      <c r="J699" s="115">
        <v>-472</v>
      </c>
      <c r="K699" s="115">
        <v>0</v>
      </c>
    </row>
    <row r="700" spans="1:11" x14ac:dyDescent="0.25">
      <c r="B700" s="115" t="s">
        <v>1453</v>
      </c>
      <c r="D700" s="115" t="s">
        <v>8857</v>
      </c>
      <c r="E700" s="115" t="s">
        <v>1454</v>
      </c>
      <c r="F700" s="115">
        <v>0</v>
      </c>
      <c r="G700" s="115">
        <v>0</v>
      </c>
      <c r="H700" s="115">
        <v>-898</v>
      </c>
      <c r="I700" s="115">
        <v>0</v>
      </c>
      <c r="J700" s="115">
        <v>0</v>
      </c>
      <c r="K700" s="115">
        <v>0</v>
      </c>
    </row>
    <row r="701" spans="1:11" x14ac:dyDescent="0.25">
      <c r="B701" s="115" t="s">
        <v>1455</v>
      </c>
      <c r="D701" s="115" t="s">
        <v>8858</v>
      </c>
      <c r="E701" s="115" t="s">
        <v>1456</v>
      </c>
      <c r="F701" s="115">
        <v>0</v>
      </c>
      <c r="G701" s="115">
        <v>0</v>
      </c>
      <c r="H701" s="115">
        <v>0</v>
      </c>
      <c r="I701" s="115">
        <v>0</v>
      </c>
      <c r="J701" s="115">
        <v>94</v>
      </c>
      <c r="K701" s="115">
        <v>0</v>
      </c>
    </row>
    <row r="702" spans="1:11" x14ac:dyDescent="0.25">
      <c r="B702" s="115" t="s">
        <v>1457</v>
      </c>
      <c r="D702" s="115" t="s">
        <v>8859</v>
      </c>
      <c r="E702" s="115" t="s">
        <v>1458</v>
      </c>
      <c r="F702" s="115">
        <v>-12455</v>
      </c>
      <c r="G702" s="115">
        <v>-8224</v>
      </c>
      <c r="H702" s="115">
        <v>0</v>
      </c>
      <c r="I702" s="115">
        <v>19580</v>
      </c>
      <c r="J702" s="115">
        <v>0</v>
      </c>
      <c r="K702" s="115">
        <v>0</v>
      </c>
    </row>
    <row r="703" spans="1:11" x14ac:dyDescent="0.25">
      <c r="B703" s="115" t="s">
        <v>1241</v>
      </c>
      <c r="C703" s="115">
        <v>1</v>
      </c>
      <c r="D703" s="115" t="s">
        <v>8860</v>
      </c>
      <c r="E703" s="115" t="s">
        <v>1459</v>
      </c>
      <c r="F703" s="115">
        <v>-2641</v>
      </c>
      <c r="G703" s="115">
        <v>0</v>
      </c>
      <c r="H703" s="115">
        <v>0</v>
      </c>
      <c r="I703" s="115">
        <v>1901</v>
      </c>
      <c r="J703" s="115">
        <v>1516</v>
      </c>
      <c r="K703" s="115">
        <v>0</v>
      </c>
    </row>
    <row r="704" spans="1:11" x14ac:dyDescent="0.25">
      <c r="A704" s="115">
        <v>-15</v>
      </c>
      <c r="B704" s="115" t="s">
        <v>1460</v>
      </c>
      <c r="D704" s="115" t="s">
        <v>8861</v>
      </c>
      <c r="E704" s="115" t="s">
        <v>1461</v>
      </c>
      <c r="F704" s="115">
        <v>-112</v>
      </c>
      <c r="G704" s="115">
        <v>-200</v>
      </c>
      <c r="H704" s="115">
        <v>0</v>
      </c>
      <c r="I704" s="115">
        <v>0</v>
      </c>
      <c r="J704" s="115">
        <v>-30</v>
      </c>
      <c r="K704" s="115">
        <v>0</v>
      </c>
    </row>
    <row r="705" spans="1:11" x14ac:dyDescent="0.25">
      <c r="B705" s="115" t="s">
        <v>1241</v>
      </c>
      <c r="D705" s="115" t="s">
        <v>8862</v>
      </c>
      <c r="E705" s="115" t="s">
        <v>1242</v>
      </c>
      <c r="F705" s="115">
        <v>0</v>
      </c>
      <c r="G705" s="115">
        <v>0</v>
      </c>
      <c r="H705" s="115">
        <v>0</v>
      </c>
      <c r="I705" s="115">
        <v>0</v>
      </c>
      <c r="J705" s="115">
        <v>0</v>
      </c>
      <c r="K705" s="115">
        <v>0</v>
      </c>
    </row>
    <row r="706" spans="1:11" x14ac:dyDescent="0.25">
      <c r="B706" s="115" t="s">
        <v>1462</v>
      </c>
      <c r="D706" s="115" t="s">
        <v>8863</v>
      </c>
      <c r="E706" s="115" t="s">
        <v>1463</v>
      </c>
      <c r="F706" s="115">
        <v>0</v>
      </c>
      <c r="G706" s="115">
        <v>342</v>
      </c>
      <c r="H706" s="115">
        <v>0</v>
      </c>
      <c r="I706" s="115">
        <v>684</v>
      </c>
      <c r="J706" s="115">
        <v>3</v>
      </c>
      <c r="K706" s="115">
        <v>23</v>
      </c>
    </row>
    <row r="707" spans="1:11" x14ac:dyDescent="0.25">
      <c r="B707" s="115" t="s">
        <v>1464</v>
      </c>
      <c r="D707" s="115" t="s">
        <v>8864</v>
      </c>
      <c r="E707" s="115" t="s">
        <v>1465</v>
      </c>
      <c r="F707" s="115">
        <v>-354</v>
      </c>
      <c r="G707" s="115">
        <v>-315</v>
      </c>
      <c r="H707" s="115">
        <v>-290</v>
      </c>
      <c r="I707" s="115">
        <v>0</v>
      </c>
      <c r="J707" s="115">
        <v>-4</v>
      </c>
      <c r="K707" s="115">
        <v>0</v>
      </c>
    </row>
    <row r="708" spans="1:11" x14ac:dyDescent="0.25">
      <c r="B708" s="115" t="s">
        <v>1241</v>
      </c>
      <c r="D708" s="115" t="s">
        <v>8865</v>
      </c>
      <c r="E708" s="115" t="s">
        <v>1466</v>
      </c>
      <c r="F708" s="115">
        <v>-243</v>
      </c>
      <c r="G708" s="115">
        <v>0</v>
      </c>
      <c r="H708" s="115">
        <v>0</v>
      </c>
      <c r="I708" s="115">
        <v>0</v>
      </c>
      <c r="J708" s="115">
        <v>-150</v>
      </c>
      <c r="K708" s="115">
        <v>0</v>
      </c>
    </row>
    <row r="709" spans="1:11" x14ac:dyDescent="0.25">
      <c r="A709" s="115" t="s">
        <v>1239</v>
      </c>
      <c r="B709" s="115" t="s">
        <v>1467</v>
      </c>
      <c r="D709" s="115" t="s">
        <v>8866</v>
      </c>
      <c r="E709" s="115" t="s">
        <v>1468</v>
      </c>
      <c r="F709" s="115">
        <v>0</v>
      </c>
      <c r="G709" s="115">
        <v>0</v>
      </c>
      <c r="H709" s="115">
        <v>-170</v>
      </c>
      <c r="I709" s="115">
        <v>0</v>
      </c>
      <c r="J709" s="115">
        <v>149</v>
      </c>
      <c r="K709" s="115">
        <v>259</v>
      </c>
    </row>
    <row r="710" spans="1:11" x14ac:dyDescent="0.25">
      <c r="B710" s="115" t="s">
        <v>1241</v>
      </c>
      <c r="C710" s="115" t="s">
        <v>1239</v>
      </c>
      <c r="D710" s="115" t="s">
        <v>8867</v>
      </c>
      <c r="E710" s="115" t="s">
        <v>1469</v>
      </c>
      <c r="F710" s="115">
        <v>0</v>
      </c>
      <c r="G710" s="115">
        <v>2025</v>
      </c>
      <c r="H710" s="115">
        <v>0</v>
      </c>
      <c r="I710" s="115">
        <v>0</v>
      </c>
      <c r="J710" s="115">
        <v>0</v>
      </c>
      <c r="K710" s="115">
        <v>0</v>
      </c>
    </row>
    <row r="711" spans="1:11" x14ac:dyDescent="0.25">
      <c r="A711" s="115">
        <v>2</v>
      </c>
      <c r="B711" s="115" t="s">
        <v>1470</v>
      </c>
      <c r="C711" s="115" t="s">
        <v>1239</v>
      </c>
      <c r="D711" s="115" t="s">
        <v>8868</v>
      </c>
      <c r="E711" s="115" t="s">
        <v>1471</v>
      </c>
      <c r="F711" s="115">
        <v>0</v>
      </c>
      <c r="G711" s="115">
        <v>7436</v>
      </c>
      <c r="H711" s="115">
        <v>-7559</v>
      </c>
      <c r="I711" s="115">
        <v>0</v>
      </c>
      <c r="J711" s="115">
        <v>7923</v>
      </c>
      <c r="K711" s="115">
        <v>7501</v>
      </c>
    </row>
    <row r="712" spans="1:11" x14ac:dyDescent="0.25">
      <c r="B712" s="115" t="s">
        <v>1472</v>
      </c>
      <c r="D712" s="115" t="s">
        <v>8869</v>
      </c>
      <c r="E712" s="115" t="s">
        <v>1473</v>
      </c>
      <c r="F712" s="115">
        <v>-1033</v>
      </c>
      <c r="G712" s="115">
        <v>0</v>
      </c>
      <c r="H712" s="115">
        <v>0</v>
      </c>
      <c r="I712" s="115">
        <v>183</v>
      </c>
      <c r="J712" s="115">
        <v>0</v>
      </c>
      <c r="K712" s="115">
        <v>0</v>
      </c>
    </row>
    <row r="713" spans="1:11" x14ac:dyDescent="0.25">
      <c r="B713" s="115" t="s">
        <v>1474</v>
      </c>
      <c r="D713" s="115" t="s">
        <v>8870</v>
      </c>
      <c r="E713" s="115" t="s">
        <v>1475</v>
      </c>
      <c r="F713" s="115">
        <v>0</v>
      </c>
      <c r="G713" s="115">
        <v>0</v>
      </c>
      <c r="H713" s="115">
        <v>0</v>
      </c>
      <c r="I713" s="115">
        <v>0</v>
      </c>
      <c r="J713" s="115">
        <v>0</v>
      </c>
      <c r="K713" s="115">
        <v>84</v>
      </c>
    </row>
    <row r="714" spans="1:11" x14ac:dyDescent="0.25">
      <c r="B714" s="115" t="s">
        <v>1241</v>
      </c>
      <c r="D714" s="115" t="s">
        <v>8871</v>
      </c>
      <c r="E714" s="115" t="s">
        <v>1476</v>
      </c>
      <c r="F714" s="115">
        <v>480</v>
      </c>
      <c r="G714" s="115">
        <v>0</v>
      </c>
      <c r="H714" s="115">
        <v>713</v>
      </c>
      <c r="I714" s="115">
        <v>-521</v>
      </c>
      <c r="J714" s="115">
        <v>23</v>
      </c>
      <c r="K714" s="115">
        <v>0</v>
      </c>
    </row>
    <row r="715" spans="1:11" x14ac:dyDescent="0.25">
      <c r="A715" s="115" t="s">
        <v>1239</v>
      </c>
      <c r="B715" s="115" t="s">
        <v>1477</v>
      </c>
      <c r="D715" s="115" t="s">
        <v>8872</v>
      </c>
      <c r="E715" s="115" t="s">
        <v>1478</v>
      </c>
      <c r="F715" s="115">
        <v>-532</v>
      </c>
      <c r="G715" s="115">
        <v>-284</v>
      </c>
      <c r="H715" s="115">
        <v>0</v>
      </c>
      <c r="I715" s="115">
        <v>144</v>
      </c>
      <c r="J715" s="115">
        <v>0</v>
      </c>
      <c r="K715" s="115">
        <v>0</v>
      </c>
    </row>
    <row r="716" spans="1:11" x14ac:dyDescent="0.25">
      <c r="B716" s="115" t="s">
        <v>1241</v>
      </c>
      <c r="D716" s="115" t="s">
        <v>8873</v>
      </c>
      <c r="E716" s="115" t="s">
        <v>1479</v>
      </c>
      <c r="F716" s="115">
        <v>0</v>
      </c>
      <c r="G716" s="115">
        <v>0</v>
      </c>
      <c r="H716" s="115">
        <v>0</v>
      </c>
      <c r="I716" s="115">
        <v>718</v>
      </c>
      <c r="J716" s="115">
        <v>0</v>
      </c>
      <c r="K716" s="115">
        <v>228</v>
      </c>
    </row>
    <row r="717" spans="1:11" x14ac:dyDescent="0.25">
      <c r="B717" s="115" t="s">
        <v>1241</v>
      </c>
      <c r="D717" s="115" t="s">
        <v>8874</v>
      </c>
      <c r="E717" s="115" t="s">
        <v>1480</v>
      </c>
      <c r="F717" s="115">
        <v>0</v>
      </c>
      <c r="G717" s="115">
        <v>170</v>
      </c>
      <c r="H717" s="115">
        <v>0</v>
      </c>
      <c r="I717" s="115">
        <v>476</v>
      </c>
      <c r="J717" s="115">
        <v>434</v>
      </c>
      <c r="K717" s="115">
        <v>0</v>
      </c>
    </row>
    <row r="718" spans="1:11" x14ac:dyDescent="0.25">
      <c r="B718" s="115" t="s">
        <v>1481</v>
      </c>
      <c r="C718" s="115" t="s">
        <v>1239</v>
      </c>
      <c r="D718" s="115" t="s">
        <v>8875</v>
      </c>
      <c r="E718" s="115" t="s">
        <v>1482</v>
      </c>
      <c r="F718" s="115">
        <v>12499</v>
      </c>
      <c r="G718" s="115">
        <v>0</v>
      </c>
      <c r="H718" s="115">
        <v>0</v>
      </c>
      <c r="I718" s="115">
        <v>0</v>
      </c>
      <c r="J718" s="115">
        <v>0</v>
      </c>
      <c r="K718" s="115">
        <v>9456</v>
      </c>
    </row>
    <row r="719" spans="1:11" x14ac:dyDescent="0.25">
      <c r="A719" s="115">
        <v>2</v>
      </c>
      <c r="B719" s="115" t="s">
        <v>1483</v>
      </c>
      <c r="D719" s="115" t="s">
        <v>8876</v>
      </c>
      <c r="E719" s="115" t="s">
        <v>1484</v>
      </c>
      <c r="F719" s="115">
        <v>8851</v>
      </c>
      <c r="G719" s="115">
        <v>-7750</v>
      </c>
      <c r="H719" s="115">
        <v>0</v>
      </c>
      <c r="I719" s="115">
        <v>7382</v>
      </c>
      <c r="J719" s="115">
        <v>20407</v>
      </c>
      <c r="K719" s="115">
        <v>-25964</v>
      </c>
    </row>
    <row r="720" spans="1:11" x14ac:dyDescent="0.25">
      <c r="B720" s="115" t="s">
        <v>1485</v>
      </c>
      <c r="D720" s="115" t="s">
        <v>8877</v>
      </c>
      <c r="E720" s="115" t="s">
        <v>1486</v>
      </c>
      <c r="F720" s="115">
        <v>-704</v>
      </c>
      <c r="G720" s="115">
        <v>0</v>
      </c>
      <c r="H720" s="115">
        <v>0</v>
      </c>
      <c r="I720" s="115">
        <v>-16</v>
      </c>
      <c r="J720" s="115">
        <v>0</v>
      </c>
      <c r="K720" s="115">
        <v>0</v>
      </c>
    </row>
    <row r="721" spans="1:11" x14ac:dyDescent="0.25">
      <c r="B721" s="115" t="s">
        <v>1487</v>
      </c>
      <c r="D721" s="115" t="s">
        <v>8878</v>
      </c>
      <c r="E721" s="115" t="s">
        <v>1488</v>
      </c>
      <c r="F721" s="115">
        <v>0</v>
      </c>
      <c r="G721" s="115">
        <v>0</v>
      </c>
      <c r="H721" s="115">
        <v>0</v>
      </c>
      <c r="I721" s="115">
        <v>0</v>
      </c>
      <c r="J721" s="115">
        <v>0</v>
      </c>
      <c r="K721" s="115">
        <v>-410</v>
      </c>
    </row>
    <row r="722" spans="1:11" x14ac:dyDescent="0.25">
      <c r="B722" s="115" t="s">
        <v>1241</v>
      </c>
      <c r="D722" s="115" t="s">
        <v>8879</v>
      </c>
      <c r="E722" s="115" t="s">
        <v>1489</v>
      </c>
      <c r="F722" s="115">
        <v>-267</v>
      </c>
      <c r="G722" s="115">
        <v>0</v>
      </c>
      <c r="H722" s="115">
        <v>131</v>
      </c>
      <c r="I722" s="115">
        <v>9</v>
      </c>
      <c r="J722" s="115">
        <v>196</v>
      </c>
      <c r="K722" s="115">
        <v>0</v>
      </c>
    </row>
    <row r="723" spans="1:11" x14ac:dyDescent="0.25">
      <c r="B723" s="115" t="s">
        <v>1490</v>
      </c>
      <c r="D723" s="115" t="s">
        <v>8880</v>
      </c>
      <c r="E723" s="115" t="s">
        <v>1491</v>
      </c>
      <c r="F723" s="115">
        <v>-1645</v>
      </c>
      <c r="G723" s="115">
        <v>140</v>
      </c>
      <c r="H723" s="115">
        <v>0</v>
      </c>
      <c r="I723" s="115">
        <v>-12</v>
      </c>
      <c r="J723" s="115">
        <v>0</v>
      </c>
      <c r="K723" s="115">
        <v>0</v>
      </c>
    </row>
    <row r="724" spans="1:11" x14ac:dyDescent="0.25">
      <c r="B724" s="115" t="s">
        <v>1241</v>
      </c>
      <c r="D724" s="115" t="s">
        <v>8881</v>
      </c>
      <c r="E724" s="115" t="s">
        <v>1492</v>
      </c>
      <c r="F724" s="115">
        <v>0</v>
      </c>
      <c r="G724" s="115">
        <v>0</v>
      </c>
      <c r="H724" s="115">
        <v>0</v>
      </c>
      <c r="I724" s="115">
        <v>2152</v>
      </c>
      <c r="J724" s="115">
        <v>0</v>
      </c>
      <c r="K724" s="115">
        <v>-47</v>
      </c>
    </row>
    <row r="725" spans="1:11" x14ac:dyDescent="0.25">
      <c r="B725" s="115" t="s">
        <v>1241</v>
      </c>
      <c r="D725" s="115" t="s">
        <v>8882</v>
      </c>
      <c r="E725" s="115" t="s">
        <v>1493</v>
      </c>
      <c r="F725" s="115">
        <v>0</v>
      </c>
      <c r="G725" s="115">
        <v>326</v>
      </c>
      <c r="H725" s="115">
        <v>0</v>
      </c>
      <c r="I725" s="115">
        <v>1135</v>
      </c>
      <c r="J725" s="115">
        <v>-132</v>
      </c>
      <c r="K725" s="115">
        <v>0</v>
      </c>
    </row>
    <row r="726" spans="1:11" x14ac:dyDescent="0.25">
      <c r="B726" s="115" t="s">
        <v>1494</v>
      </c>
      <c r="C726" s="115" t="s">
        <v>1239</v>
      </c>
      <c r="D726" s="115" t="s">
        <v>8883</v>
      </c>
      <c r="E726" s="115" t="s">
        <v>1495</v>
      </c>
      <c r="F726" s="115">
        <v>13508</v>
      </c>
      <c r="G726" s="115">
        <v>0</v>
      </c>
      <c r="H726" s="115">
        <v>0</v>
      </c>
      <c r="I726" s="115">
        <v>0</v>
      </c>
      <c r="J726" s="115">
        <v>0</v>
      </c>
      <c r="K726" s="115">
        <v>12303</v>
      </c>
    </row>
    <row r="727" spans="1:11" x14ac:dyDescent="0.25">
      <c r="A727" s="115">
        <v>-9</v>
      </c>
      <c r="B727" s="115" t="s">
        <v>1496</v>
      </c>
      <c r="D727" s="115" t="s">
        <v>8884</v>
      </c>
      <c r="E727" s="115" t="s">
        <v>1497</v>
      </c>
      <c r="F727" s="115">
        <v>1811</v>
      </c>
      <c r="G727" s="115">
        <v>3355</v>
      </c>
      <c r="H727" s="115">
        <v>0</v>
      </c>
      <c r="I727" s="115">
        <v>-13353</v>
      </c>
      <c r="J727" s="115">
        <v>5566</v>
      </c>
      <c r="K727" s="115">
        <v>-3157</v>
      </c>
    </row>
    <row r="728" spans="1:11" x14ac:dyDescent="0.25">
      <c r="A728" s="115">
        <v>5</v>
      </c>
      <c r="B728" s="115" t="s">
        <v>1498</v>
      </c>
      <c r="D728" s="115" t="s">
        <v>8885</v>
      </c>
      <c r="E728" s="115" t="s">
        <v>1499</v>
      </c>
      <c r="F728" s="115">
        <v>199</v>
      </c>
      <c r="G728" s="115">
        <v>-627</v>
      </c>
      <c r="H728" s="115">
        <v>0</v>
      </c>
      <c r="I728" s="115">
        <v>0</v>
      </c>
      <c r="J728" s="115">
        <v>189</v>
      </c>
      <c r="K728" s="115">
        <v>0</v>
      </c>
    </row>
    <row r="729" spans="1:11" x14ac:dyDescent="0.25">
      <c r="B729" s="115" t="s">
        <v>1241</v>
      </c>
      <c r="D729" s="115" t="s">
        <v>8886</v>
      </c>
      <c r="E729" s="115" t="s">
        <v>1242</v>
      </c>
      <c r="F729" s="115">
        <v>0</v>
      </c>
      <c r="G729" s="115">
        <v>0</v>
      </c>
      <c r="H729" s="115">
        <v>0</v>
      </c>
      <c r="I729" s="115">
        <v>0</v>
      </c>
      <c r="J729" s="115">
        <v>0</v>
      </c>
      <c r="K729" s="115">
        <v>0</v>
      </c>
    </row>
    <row r="730" spans="1:11" x14ac:dyDescent="0.25">
      <c r="B730" s="115" t="s">
        <v>1500</v>
      </c>
      <c r="D730" s="115" t="s">
        <v>8887</v>
      </c>
      <c r="E730" s="115" t="s">
        <v>1501</v>
      </c>
      <c r="F730" s="115">
        <v>0</v>
      </c>
      <c r="G730" s="115">
        <v>31</v>
      </c>
      <c r="H730" s="115">
        <v>0</v>
      </c>
      <c r="I730" s="115">
        <v>218</v>
      </c>
      <c r="J730" s="115">
        <v>-236</v>
      </c>
      <c r="K730" s="115">
        <v>-125</v>
      </c>
    </row>
    <row r="731" spans="1:11" x14ac:dyDescent="0.25">
      <c r="B731" s="115" t="s">
        <v>1502</v>
      </c>
      <c r="D731" s="115" t="s">
        <v>8888</v>
      </c>
      <c r="E731" s="115" t="s">
        <v>1503</v>
      </c>
      <c r="F731" s="115">
        <v>-534</v>
      </c>
      <c r="G731" s="115">
        <v>-751</v>
      </c>
      <c r="H731" s="115">
        <v>-99</v>
      </c>
      <c r="I731" s="115">
        <v>0</v>
      </c>
      <c r="J731" s="115">
        <v>35</v>
      </c>
      <c r="K731" s="115">
        <v>0</v>
      </c>
    </row>
    <row r="732" spans="1:11" x14ac:dyDescent="0.25">
      <c r="B732" s="115" t="s">
        <v>1241</v>
      </c>
      <c r="D732" s="115" t="s">
        <v>8889</v>
      </c>
      <c r="E732" s="115" t="s">
        <v>1504</v>
      </c>
      <c r="F732" s="115">
        <v>-301</v>
      </c>
      <c r="G732" s="115">
        <v>0</v>
      </c>
      <c r="H732" s="115">
        <v>0</v>
      </c>
      <c r="I732" s="115">
        <v>0</v>
      </c>
      <c r="J732" s="115">
        <v>121</v>
      </c>
      <c r="K732" s="115">
        <v>0</v>
      </c>
    </row>
    <row r="733" spans="1:11" x14ac:dyDescent="0.25">
      <c r="B733" s="115" t="s">
        <v>1505</v>
      </c>
      <c r="D733" s="115" t="s">
        <v>8890</v>
      </c>
      <c r="E733" s="115" t="s">
        <v>1506</v>
      </c>
      <c r="F733" s="115">
        <v>0</v>
      </c>
      <c r="G733" s="115">
        <v>0</v>
      </c>
      <c r="H733" s="115">
        <v>61</v>
      </c>
      <c r="I733" s="115">
        <v>0</v>
      </c>
      <c r="J733" s="115">
        <v>630</v>
      </c>
      <c r="K733" s="115">
        <v>261</v>
      </c>
    </row>
    <row r="734" spans="1:11" x14ac:dyDescent="0.25">
      <c r="B734" s="115" t="s">
        <v>1241</v>
      </c>
      <c r="C734" s="115" t="s">
        <v>1239</v>
      </c>
      <c r="D734" s="115" t="s">
        <v>8891</v>
      </c>
      <c r="E734" s="115" t="s">
        <v>1507</v>
      </c>
      <c r="F734" s="115">
        <v>0</v>
      </c>
      <c r="G734" s="115">
        <v>13680</v>
      </c>
      <c r="H734" s="115">
        <v>0</v>
      </c>
      <c r="I734" s="115">
        <v>0</v>
      </c>
      <c r="J734" s="115">
        <v>0</v>
      </c>
      <c r="K734" s="115">
        <v>0</v>
      </c>
    </row>
    <row r="735" spans="1:11" x14ac:dyDescent="0.25">
      <c r="A735" s="115">
        <v>9</v>
      </c>
      <c r="B735" s="115" t="s">
        <v>1508</v>
      </c>
      <c r="C735" s="115" t="s">
        <v>1239</v>
      </c>
      <c r="D735" s="115" t="s">
        <v>8892</v>
      </c>
      <c r="E735" s="115" t="s">
        <v>1509</v>
      </c>
      <c r="F735" s="115">
        <v>0</v>
      </c>
      <c r="G735" s="115">
        <v>491</v>
      </c>
      <c r="H735" s="115">
        <v>-965</v>
      </c>
      <c r="I735" s="115">
        <v>0</v>
      </c>
      <c r="J735" s="115">
        <v>-22093</v>
      </c>
      <c r="K735" s="115">
        <v>-1652</v>
      </c>
    </row>
    <row r="736" spans="1:11" x14ac:dyDescent="0.25">
      <c r="A736" s="115">
        <v>-15</v>
      </c>
      <c r="B736" s="115" t="s">
        <v>1510</v>
      </c>
      <c r="C736" s="115">
        <v>1</v>
      </c>
      <c r="D736" s="115" t="s">
        <v>8893</v>
      </c>
      <c r="E736" s="115" t="s">
        <v>1511</v>
      </c>
      <c r="F736" s="115">
        <v>-180</v>
      </c>
      <c r="G736" s="115">
        <v>39</v>
      </c>
      <c r="H736" s="115">
        <v>-86</v>
      </c>
      <c r="I736" s="115">
        <v>-1141</v>
      </c>
      <c r="J736" s="115">
        <v>0</v>
      </c>
      <c r="K736" s="115">
        <v>0</v>
      </c>
    </row>
    <row r="737" spans="1:11" x14ac:dyDescent="0.25">
      <c r="B737" s="115" t="s">
        <v>1512</v>
      </c>
      <c r="D737" s="115" t="s">
        <v>8894</v>
      </c>
      <c r="E737" s="115" t="s">
        <v>1513</v>
      </c>
      <c r="F737" s="115">
        <v>491</v>
      </c>
      <c r="G737" s="115">
        <v>-690</v>
      </c>
      <c r="H737" s="115">
        <v>0</v>
      </c>
      <c r="I737" s="115">
        <v>0</v>
      </c>
      <c r="J737" s="115">
        <v>0</v>
      </c>
      <c r="K737" s="115">
        <v>0</v>
      </c>
    </row>
    <row r="738" spans="1:11" x14ac:dyDescent="0.25">
      <c r="B738" s="115" t="s">
        <v>1241</v>
      </c>
      <c r="D738" s="115" t="s">
        <v>8895</v>
      </c>
      <c r="E738" s="115" t="s">
        <v>1514</v>
      </c>
      <c r="F738" s="115">
        <v>0</v>
      </c>
      <c r="G738" s="115">
        <v>58</v>
      </c>
      <c r="H738" s="115">
        <v>0</v>
      </c>
      <c r="I738" s="115">
        <v>-90</v>
      </c>
      <c r="J738" s="115">
        <v>0</v>
      </c>
      <c r="K738" s="115">
        <v>-75</v>
      </c>
    </row>
    <row r="739" spans="1:11" x14ac:dyDescent="0.25">
      <c r="B739" s="115" t="s">
        <v>1515</v>
      </c>
      <c r="D739" s="115" t="s">
        <v>8896</v>
      </c>
      <c r="E739" s="115" t="s">
        <v>1516</v>
      </c>
      <c r="F739" s="115">
        <v>-511</v>
      </c>
      <c r="G739" s="115">
        <v>-185</v>
      </c>
      <c r="H739" s="115">
        <v>-932</v>
      </c>
      <c r="I739" s="115">
        <v>-756</v>
      </c>
      <c r="J739" s="115">
        <v>-400</v>
      </c>
      <c r="K739" s="115">
        <v>0</v>
      </c>
    </row>
    <row r="740" spans="1:11" x14ac:dyDescent="0.25">
      <c r="B740" s="115" t="s">
        <v>1517</v>
      </c>
      <c r="D740" s="115" t="s">
        <v>8897</v>
      </c>
      <c r="E740" s="115" t="s">
        <v>1518</v>
      </c>
      <c r="F740" s="115">
        <v>0</v>
      </c>
      <c r="G740" s="115">
        <v>0</v>
      </c>
      <c r="H740" s="115">
        <v>-1066</v>
      </c>
      <c r="I740" s="115">
        <v>0</v>
      </c>
      <c r="J740" s="115">
        <v>0</v>
      </c>
      <c r="K740" s="115">
        <v>0</v>
      </c>
    </row>
    <row r="741" spans="1:11" x14ac:dyDescent="0.25">
      <c r="B741" s="115" t="s">
        <v>1519</v>
      </c>
      <c r="D741" s="115" t="s">
        <v>8898</v>
      </c>
      <c r="E741" s="115" t="s">
        <v>1520</v>
      </c>
      <c r="F741" s="115">
        <v>0</v>
      </c>
      <c r="G741" s="115">
        <v>0</v>
      </c>
      <c r="H741" s="115">
        <v>0</v>
      </c>
      <c r="I741" s="115">
        <v>0</v>
      </c>
      <c r="J741" s="115">
        <v>433</v>
      </c>
      <c r="K741" s="115">
        <v>0</v>
      </c>
    </row>
    <row r="742" spans="1:11" x14ac:dyDescent="0.25">
      <c r="B742" s="115" t="s">
        <v>1521</v>
      </c>
      <c r="D742" s="115" t="s">
        <v>8899</v>
      </c>
      <c r="E742" s="115" t="s">
        <v>1522</v>
      </c>
      <c r="F742" s="115">
        <v>-17352</v>
      </c>
      <c r="G742" s="115">
        <v>-8872</v>
      </c>
      <c r="H742" s="115">
        <v>0</v>
      </c>
      <c r="I742" s="115">
        <v>27910</v>
      </c>
      <c r="J742" s="115">
        <v>0</v>
      </c>
      <c r="K742" s="115">
        <v>0</v>
      </c>
    </row>
    <row r="743" spans="1:11" x14ac:dyDescent="0.25">
      <c r="B743" s="115" t="s">
        <v>1241</v>
      </c>
      <c r="C743" s="115">
        <v>1</v>
      </c>
      <c r="D743" s="115" t="s">
        <v>8900</v>
      </c>
      <c r="E743" s="115" t="s">
        <v>1523</v>
      </c>
      <c r="F743" s="115">
        <v>495</v>
      </c>
      <c r="G743" s="115">
        <v>0</v>
      </c>
      <c r="H743" s="115">
        <v>0</v>
      </c>
      <c r="I743" s="115">
        <v>1969</v>
      </c>
      <c r="J743" s="115">
        <v>-541</v>
      </c>
      <c r="K743" s="115">
        <v>0</v>
      </c>
    </row>
    <row r="744" spans="1:11" x14ac:dyDescent="0.25">
      <c r="A744" s="115">
        <v>5</v>
      </c>
      <c r="B744" s="115" t="s">
        <v>1524</v>
      </c>
      <c r="D744" s="115" t="s">
        <v>8901</v>
      </c>
      <c r="E744" s="115" t="s">
        <v>1525</v>
      </c>
      <c r="F744" s="115">
        <v>16085</v>
      </c>
      <c r="G744" s="115">
        <v>20403</v>
      </c>
      <c r="H744" s="115">
        <v>0</v>
      </c>
      <c r="I744" s="115">
        <v>0</v>
      </c>
      <c r="J744" s="115">
        <v>0</v>
      </c>
      <c r="K744" s="115">
        <v>0</v>
      </c>
    </row>
    <row r="745" spans="1:11" x14ac:dyDescent="0.25">
      <c r="B745" s="115" t="s">
        <v>1241</v>
      </c>
      <c r="D745" s="115" t="s">
        <v>8710</v>
      </c>
      <c r="E745" s="115" t="s">
        <v>1242</v>
      </c>
      <c r="F745" s="115">
        <v>0</v>
      </c>
      <c r="G745" s="115">
        <v>0</v>
      </c>
      <c r="H745" s="115">
        <v>0</v>
      </c>
      <c r="I745" s="115">
        <v>0</v>
      </c>
      <c r="J745" s="115">
        <v>0</v>
      </c>
      <c r="K745" s="115">
        <v>0</v>
      </c>
    </row>
    <row r="746" spans="1:11" x14ac:dyDescent="0.25">
      <c r="B746" s="115" t="s">
        <v>1241</v>
      </c>
      <c r="D746" s="115" t="s">
        <v>8710</v>
      </c>
      <c r="E746" s="115" t="s">
        <v>1242</v>
      </c>
      <c r="F746" s="115">
        <v>0</v>
      </c>
      <c r="G746" s="115">
        <v>0</v>
      </c>
      <c r="H746" s="115">
        <v>0</v>
      </c>
      <c r="I746" s="115">
        <v>0</v>
      </c>
      <c r="J746" s="115">
        <v>0</v>
      </c>
      <c r="K746" s="115">
        <v>0</v>
      </c>
    </row>
    <row r="747" spans="1:11" x14ac:dyDescent="0.25">
      <c r="B747" s="115" t="s">
        <v>1241</v>
      </c>
      <c r="D747" s="115" t="s">
        <v>8710</v>
      </c>
      <c r="E747" s="115" t="s">
        <v>1242</v>
      </c>
      <c r="F747" s="115">
        <v>0</v>
      </c>
      <c r="G747" s="115">
        <v>0</v>
      </c>
      <c r="H747" s="115">
        <v>0</v>
      </c>
      <c r="I747" s="115">
        <v>0</v>
      </c>
      <c r="J747" s="115">
        <v>0</v>
      </c>
      <c r="K747" s="115">
        <v>0</v>
      </c>
    </row>
    <row r="748" spans="1:11" x14ac:dyDescent="0.25">
      <c r="B748" s="115" t="s">
        <v>1241</v>
      </c>
      <c r="D748" s="115" t="s">
        <v>8710</v>
      </c>
      <c r="E748" s="115" t="s">
        <v>1242</v>
      </c>
      <c r="F748" s="115">
        <v>0</v>
      </c>
      <c r="G748" s="115">
        <v>0</v>
      </c>
      <c r="H748" s="115">
        <v>0</v>
      </c>
      <c r="I748" s="115">
        <v>0</v>
      </c>
      <c r="J748" s="115">
        <v>0</v>
      </c>
      <c r="K748" s="115">
        <v>0</v>
      </c>
    </row>
    <row r="749" spans="1:11" x14ac:dyDescent="0.25">
      <c r="B749" s="115" t="s">
        <v>1241</v>
      </c>
      <c r="D749" s="115" t="s">
        <v>8710</v>
      </c>
      <c r="E749" s="115" t="s">
        <v>1242</v>
      </c>
      <c r="F749" s="115">
        <v>0</v>
      </c>
      <c r="G749" s="115">
        <v>0</v>
      </c>
      <c r="H749" s="115">
        <v>0</v>
      </c>
      <c r="I749" s="115">
        <v>0</v>
      </c>
      <c r="J749" s="115">
        <v>0</v>
      </c>
      <c r="K749" s="115">
        <v>0</v>
      </c>
    </row>
    <row r="750" spans="1:11" x14ac:dyDescent="0.25">
      <c r="B750" s="115" t="s">
        <v>1241</v>
      </c>
      <c r="D750" s="115" t="s">
        <v>8710</v>
      </c>
      <c r="E750" s="115" t="s">
        <v>1242</v>
      </c>
      <c r="F750" s="115">
        <v>0</v>
      </c>
      <c r="G750" s="115">
        <v>0</v>
      </c>
      <c r="H750" s="115">
        <v>0</v>
      </c>
      <c r="I750" s="115">
        <v>0</v>
      </c>
      <c r="J750" s="115">
        <v>0</v>
      </c>
      <c r="K750" s="115">
        <v>0</v>
      </c>
    </row>
    <row r="751" spans="1:11" x14ac:dyDescent="0.25">
      <c r="B751" s="115" t="s">
        <v>1241</v>
      </c>
      <c r="D751" s="115" t="s">
        <v>8710</v>
      </c>
      <c r="E751" s="115" t="s">
        <v>1242</v>
      </c>
      <c r="F751" s="115">
        <v>0</v>
      </c>
      <c r="G751" s="115">
        <v>0</v>
      </c>
      <c r="H751" s="115">
        <v>0</v>
      </c>
      <c r="I751" s="115">
        <v>0</v>
      </c>
      <c r="J751" s="115">
        <v>0</v>
      </c>
      <c r="K751" s="115">
        <v>0</v>
      </c>
    </row>
    <row r="752" spans="1:11" x14ac:dyDescent="0.25">
      <c r="B752" s="115" t="s">
        <v>1241</v>
      </c>
      <c r="D752" s="115" t="s">
        <v>8710</v>
      </c>
      <c r="E752" s="115" t="s">
        <v>1242</v>
      </c>
      <c r="F752" s="115">
        <v>0</v>
      </c>
      <c r="G752" s="115">
        <v>0</v>
      </c>
      <c r="H752" s="115">
        <v>0</v>
      </c>
      <c r="I752" s="115">
        <v>0</v>
      </c>
      <c r="J752" s="115">
        <v>0</v>
      </c>
      <c r="K752" s="115">
        <v>0</v>
      </c>
    </row>
    <row r="753" spans="2:11" x14ac:dyDescent="0.25">
      <c r="B753" s="115" t="s">
        <v>1241</v>
      </c>
      <c r="D753" s="115" t="s">
        <v>8710</v>
      </c>
      <c r="E753" s="115" t="s">
        <v>1242</v>
      </c>
      <c r="F753" s="115">
        <v>0</v>
      </c>
      <c r="G753" s="115">
        <v>0</v>
      </c>
      <c r="H753" s="115">
        <v>0</v>
      </c>
      <c r="I753" s="115">
        <v>0</v>
      </c>
      <c r="J753" s="115">
        <v>0</v>
      </c>
      <c r="K753" s="115">
        <v>0</v>
      </c>
    </row>
    <row r="754" spans="2:11" x14ac:dyDescent="0.25">
      <c r="B754" s="115" t="s">
        <v>1241</v>
      </c>
      <c r="D754" s="115" t="s">
        <v>8710</v>
      </c>
      <c r="E754" s="115" t="s">
        <v>1242</v>
      </c>
      <c r="F754" s="115">
        <v>0</v>
      </c>
      <c r="G754" s="115">
        <v>0</v>
      </c>
      <c r="H754" s="115">
        <v>0</v>
      </c>
      <c r="I754" s="115">
        <v>0</v>
      </c>
      <c r="J754" s="115">
        <v>0</v>
      </c>
      <c r="K754" s="115">
        <v>0</v>
      </c>
    </row>
    <row r="755" spans="2:11" x14ac:dyDescent="0.25">
      <c r="B755" s="115" t="s">
        <v>1241</v>
      </c>
      <c r="D755" s="115" t="s">
        <v>8710</v>
      </c>
      <c r="E755" s="115" t="s">
        <v>1242</v>
      </c>
      <c r="F755" s="115">
        <v>0</v>
      </c>
      <c r="G755" s="115">
        <v>0</v>
      </c>
      <c r="H755" s="115">
        <v>0</v>
      </c>
      <c r="I755" s="115">
        <v>0</v>
      </c>
      <c r="J755" s="115">
        <v>0</v>
      </c>
      <c r="K755" s="115">
        <v>0</v>
      </c>
    </row>
    <row r="756" spans="2:11" x14ac:dyDescent="0.25">
      <c r="B756" s="115" t="s">
        <v>1241</v>
      </c>
      <c r="D756" s="115" t="s">
        <v>8710</v>
      </c>
      <c r="E756" s="115" t="s">
        <v>1242</v>
      </c>
      <c r="F756" s="115">
        <v>0</v>
      </c>
      <c r="G756" s="115">
        <v>0</v>
      </c>
      <c r="H756" s="115">
        <v>0</v>
      </c>
      <c r="I756" s="115">
        <v>0</v>
      </c>
      <c r="J756" s="115">
        <v>0</v>
      </c>
      <c r="K756" s="115">
        <v>0</v>
      </c>
    </row>
    <row r="757" spans="2:11" x14ac:dyDescent="0.25">
      <c r="B757" s="115" t="s">
        <v>1241</v>
      </c>
      <c r="D757" s="115" t="s">
        <v>8710</v>
      </c>
      <c r="E757" s="115" t="s">
        <v>1242</v>
      </c>
      <c r="F757" s="115">
        <v>0</v>
      </c>
      <c r="G757" s="115">
        <v>0</v>
      </c>
      <c r="H757" s="115">
        <v>0</v>
      </c>
      <c r="I757" s="115">
        <v>0</v>
      </c>
      <c r="J757" s="115">
        <v>0</v>
      </c>
      <c r="K757" s="115">
        <v>0</v>
      </c>
    </row>
    <row r="758" spans="2:11" x14ac:dyDescent="0.25">
      <c r="B758" s="115" t="s">
        <v>1241</v>
      </c>
      <c r="D758" s="115" t="s">
        <v>8710</v>
      </c>
      <c r="E758" s="115" t="s">
        <v>1242</v>
      </c>
      <c r="F758" s="115">
        <v>0</v>
      </c>
      <c r="G758" s="115">
        <v>0</v>
      </c>
      <c r="H758" s="115">
        <v>0</v>
      </c>
      <c r="I758" s="115">
        <v>0</v>
      </c>
      <c r="J758" s="115">
        <v>0</v>
      </c>
      <c r="K758" s="115">
        <v>0</v>
      </c>
    </row>
    <row r="759" spans="2:11" x14ac:dyDescent="0.25">
      <c r="B759" s="115" t="s">
        <v>1241</v>
      </c>
      <c r="D759" s="115" t="s">
        <v>8710</v>
      </c>
      <c r="E759" s="115" t="s">
        <v>1242</v>
      </c>
      <c r="F759" s="115">
        <v>0</v>
      </c>
      <c r="G759" s="115">
        <v>0</v>
      </c>
      <c r="H759" s="115">
        <v>0</v>
      </c>
      <c r="I759" s="115">
        <v>0</v>
      </c>
      <c r="J759" s="115">
        <v>0</v>
      </c>
      <c r="K759" s="115">
        <v>0</v>
      </c>
    </row>
    <row r="760" spans="2:11" x14ac:dyDescent="0.25">
      <c r="B760" s="115" t="s">
        <v>1241</v>
      </c>
      <c r="D760" s="115" t="s">
        <v>8710</v>
      </c>
      <c r="E760" s="115" t="s">
        <v>1242</v>
      </c>
      <c r="F760" s="115">
        <v>0</v>
      </c>
      <c r="G760" s="115">
        <v>0</v>
      </c>
      <c r="H760" s="115">
        <v>0</v>
      </c>
      <c r="I760" s="115">
        <v>0</v>
      </c>
      <c r="J760" s="115">
        <v>0</v>
      </c>
      <c r="K760" s="115">
        <v>0</v>
      </c>
    </row>
    <row r="761" spans="2:11" x14ac:dyDescent="0.25">
      <c r="B761" s="115" t="s">
        <v>1241</v>
      </c>
      <c r="D761" s="115" t="s">
        <v>8710</v>
      </c>
      <c r="E761" s="115" t="s">
        <v>1242</v>
      </c>
      <c r="F761" s="115">
        <v>0</v>
      </c>
      <c r="G761" s="115">
        <v>0</v>
      </c>
      <c r="H761" s="115">
        <v>0</v>
      </c>
      <c r="I761" s="115">
        <v>0</v>
      </c>
      <c r="J761" s="115">
        <v>0</v>
      </c>
      <c r="K761" s="115">
        <v>0</v>
      </c>
    </row>
    <row r="762" spans="2:11" x14ac:dyDescent="0.25">
      <c r="B762" s="115" t="s">
        <v>1241</v>
      </c>
      <c r="D762" s="115" t="s">
        <v>8710</v>
      </c>
      <c r="E762" s="115" t="s">
        <v>1242</v>
      </c>
      <c r="F762" s="115">
        <v>0</v>
      </c>
      <c r="G762" s="115">
        <v>0</v>
      </c>
      <c r="H762" s="115">
        <v>0</v>
      </c>
      <c r="I762" s="115">
        <v>0</v>
      </c>
      <c r="J762" s="115">
        <v>0</v>
      </c>
      <c r="K762" s="115">
        <v>0</v>
      </c>
    </row>
    <row r="763" spans="2:11" x14ac:dyDescent="0.25">
      <c r="B763" s="115" t="s">
        <v>1241</v>
      </c>
      <c r="D763" s="115" t="s">
        <v>8710</v>
      </c>
      <c r="E763" s="115" t="s">
        <v>1242</v>
      </c>
      <c r="F763" s="115">
        <v>0</v>
      </c>
      <c r="G763" s="115">
        <v>0</v>
      </c>
      <c r="H763" s="115">
        <v>0</v>
      </c>
      <c r="I763" s="115">
        <v>0</v>
      </c>
      <c r="J763" s="115">
        <v>0</v>
      </c>
      <c r="K763" s="115">
        <v>0</v>
      </c>
    </row>
    <row r="764" spans="2:11" x14ac:dyDescent="0.25">
      <c r="B764" s="115" t="s">
        <v>1241</v>
      </c>
      <c r="D764" s="115" t="s">
        <v>8710</v>
      </c>
      <c r="E764" s="115" t="s">
        <v>1242</v>
      </c>
      <c r="F764" s="115">
        <v>0</v>
      </c>
      <c r="G764" s="115">
        <v>0</v>
      </c>
      <c r="H764" s="115">
        <v>0</v>
      </c>
      <c r="I764" s="115">
        <v>0</v>
      </c>
      <c r="J764" s="115">
        <v>0</v>
      </c>
      <c r="K764" s="115">
        <v>0</v>
      </c>
    </row>
    <row r="765" spans="2:11" x14ac:dyDescent="0.25">
      <c r="B765" s="115" t="s">
        <v>1241</v>
      </c>
      <c r="D765" s="115" t="s">
        <v>8710</v>
      </c>
      <c r="E765" s="115" t="s">
        <v>1242</v>
      </c>
      <c r="F765" s="115">
        <v>0</v>
      </c>
      <c r="G765" s="115">
        <v>0</v>
      </c>
      <c r="H765" s="115">
        <v>0</v>
      </c>
      <c r="I765" s="115">
        <v>0</v>
      </c>
      <c r="J765" s="115">
        <v>0</v>
      </c>
      <c r="K765" s="115">
        <v>0</v>
      </c>
    </row>
    <row r="766" spans="2:11" x14ac:dyDescent="0.25">
      <c r="B766" s="115" t="s">
        <v>1241</v>
      </c>
      <c r="D766" s="115" t="s">
        <v>8710</v>
      </c>
      <c r="E766" s="115" t="s">
        <v>1242</v>
      </c>
      <c r="F766" s="115">
        <v>0</v>
      </c>
      <c r="G766" s="115">
        <v>0</v>
      </c>
      <c r="H766" s="115">
        <v>0</v>
      </c>
      <c r="I766" s="115">
        <v>0</v>
      </c>
      <c r="J766" s="115">
        <v>0</v>
      </c>
      <c r="K766" s="115">
        <v>0</v>
      </c>
    </row>
    <row r="767" spans="2:11" x14ac:dyDescent="0.25">
      <c r="B767" s="115" t="s">
        <v>1241</v>
      </c>
      <c r="D767" s="115" t="s">
        <v>8710</v>
      </c>
      <c r="E767" s="115" t="s">
        <v>1242</v>
      </c>
      <c r="F767" s="115">
        <v>0</v>
      </c>
      <c r="G767" s="115">
        <v>0</v>
      </c>
      <c r="H767" s="115">
        <v>0</v>
      </c>
      <c r="I767" s="115">
        <v>0</v>
      </c>
      <c r="J767" s="115">
        <v>0</v>
      </c>
      <c r="K767" s="115">
        <v>0</v>
      </c>
    </row>
    <row r="768" spans="2:11" x14ac:dyDescent="0.25">
      <c r="B768" s="115" t="s">
        <v>1241</v>
      </c>
      <c r="D768" s="115" t="s">
        <v>8710</v>
      </c>
      <c r="E768" s="115" t="s">
        <v>1242</v>
      </c>
      <c r="F768" s="115">
        <v>0</v>
      </c>
      <c r="G768" s="115">
        <v>0</v>
      </c>
      <c r="H768" s="115">
        <v>0</v>
      </c>
      <c r="I768" s="115">
        <v>0</v>
      </c>
      <c r="J768" s="115">
        <v>0</v>
      </c>
      <c r="K768" s="115">
        <v>0</v>
      </c>
    </row>
    <row r="769" spans="2:11" x14ac:dyDescent="0.25">
      <c r="B769" s="115" t="s">
        <v>1241</v>
      </c>
      <c r="D769" s="115" t="s">
        <v>8710</v>
      </c>
      <c r="E769" s="115" t="s">
        <v>1242</v>
      </c>
      <c r="F769" s="115">
        <v>0</v>
      </c>
      <c r="G769" s="115">
        <v>0</v>
      </c>
      <c r="H769" s="115">
        <v>0</v>
      </c>
      <c r="I769" s="115">
        <v>0</v>
      </c>
      <c r="J769" s="115">
        <v>0</v>
      </c>
      <c r="K769" s="115">
        <v>0</v>
      </c>
    </row>
    <row r="770" spans="2:11" x14ac:dyDescent="0.25">
      <c r="B770" s="115" t="s">
        <v>1241</v>
      </c>
      <c r="D770" s="115" t="s">
        <v>8710</v>
      </c>
      <c r="E770" s="115" t="s">
        <v>1242</v>
      </c>
      <c r="F770" s="115">
        <v>0</v>
      </c>
      <c r="G770" s="115">
        <v>0</v>
      </c>
      <c r="H770" s="115">
        <v>0</v>
      </c>
      <c r="I770" s="115">
        <v>0</v>
      </c>
      <c r="J770" s="115">
        <v>0</v>
      </c>
      <c r="K770" s="115">
        <v>0</v>
      </c>
    </row>
    <row r="771" spans="2:11" x14ac:dyDescent="0.25">
      <c r="B771" s="115" t="s">
        <v>1241</v>
      </c>
      <c r="D771" s="115" t="s">
        <v>8710</v>
      </c>
      <c r="E771" s="115" t="s">
        <v>1242</v>
      </c>
      <c r="F771" s="115">
        <v>0</v>
      </c>
      <c r="G771" s="115">
        <v>0</v>
      </c>
      <c r="H771" s="115">
        <v>0</v>
      </c>
      <c r="I771" s="115">
        <v>0</v>
      </c>
      <c r="J771" s="115">
        <v>0</v>
      </c>
      <c r="K771" s="115">
        <v>0</v>
      </c>
    </row>
    <row r="772" spans="2:11" x14ac:dyDescent="0.25">
      <c r="B772" s="115" t="s">
        <v>1241</v>
      </c>
      <c r="D772" s="115" t="s">
        <v>8710</v>
      </c>
      <c r="E772" s="115" t="s">
        <v>1242</v>
      </c>
      <c r="F772" s="115">
        <v>0</v>
      </c>
      <c r="G772" s="115">
        <v>0</v>
      </c>
      <c r="H772" s="115">
        <v>0</v>
      </c>
      <c r="I772" s="115">
        <v>0</v>
      </c>
      <c r="J772" s="115">
        <v>0</v>
      </c>
      <c r="K772" s="115">
        <v>0</v>
      </c>
    </row>
    <row r="773" spans="2:11" x14ac:dyDescent="0.25">
      <c r="B773" s="115" t="s">
        <v>1241</v>
      </c>
      <c r="D773" s="115" t="s">
        <v>8710</v>
      </c>
      <c r="E773" s="115" t="s">
        <v>1242</v>
      </c>
      <c r="F773" s="115">
        <v>0</v>
      </c>
      <c r="G773" s="115">
        <v>0</v>
      </c>
      <c r="H773" s="115">
        <v>0</v>
      </c>
      <c r="I773" s="115">
        <v>0</v>
      </c>
      <c r="J773" s="115">
        <v>0</v>
      </c>
      <c r="K773" s="115">
        <v>0</v>
      </c>
    </row>
    <row r="774" spans="2:11" x14ac:dyDescent="0.25">
      <c r="B774" s="115" t="s">
        <v>1241</v>
      </c>
      <c r="D774" s="115" t="s">
        <v>8710</v>
      </c>
      <c r="E774" s="115" t="s">
        <v>1242</v>
      </c>
      <c r="F774" s="115">
        <v>0</v>
      </c>
      <c r="G774" s="115">
        <v>0</v>
      </c>
      <c r="H774" s="115">
        <v>0</v>
      </c>
      <c r="I774" s="115">
        <v>0</v>
      </c>
      <c r="J774" s="115">
        <v>0</v>
      </c>
      <c r="K774" s="115">
        <v>0</v>
      </c>
    </row>
    <row r="775" spans="2:11" x14ac:dyDescent="0.25">
      <c r="B775" s="115" t="s">
        <v>1241</v>
      </c>
      <c r="D775" s="115" t="s">
        <v>8710</v>
      </c>
      <c r="E775" s="115" t="s">
        <v>1242</v>
      </c>
      <c r="F775" s="115">
        <v>0</v>
      </c>
      <c r="G775" s="115">
        <v>0</v>
      </c>
      <c r="H775" s="115">
        <v>0</v>
      </c>
      <c r="I775" s="115">
        <v>0</v>
      </c>
      <c r="J775" s="115">
        <v>0</v>
      </c>
      <c r="K775" s="115">
        <v>0</v>
      </c>
    </row>
    <row r="776" spans="2:11" x14ac:dyDescent="0.25">
      <c r="B776" s="115" t="s">
        <v>1241</v>
      </c>
      <c r="D776" s="115" t="s">
        <v>8710</v>
      </c>
      <c r="E776" s="115" t="s">
        <v>1242</v>
      </c>
      <c r="F776" s="115">
        <v>0</v>
      </c>
      <c r="G776" s="115">
        <v>0</v>
      </c>
      <c r="H776" s="115">
        <v>0</v>
      </c>
      <c r="I776" s="115">
        <v>0</v>
      </c>
      <c r="J776" s="115">
        <v>0</v>
      </c>
      <c r="K776" s="115">
        <v>0</v>
      </c>
    </row>
    <row r="777" spans="2:11" x14ac:dyDescent="0.25">
      <c r="B777" s="115" t="s">
        <v>1241</v>
      </c>
      <c r="D777" s="115" t="s">
        <v>8710</v>
      </c>
      <c r="E777" s="115" t="s">
        <v>1242</v>
      </c>
      <c r="F777" s="115">
        <v>0</v>
      </c>
      <c r="G777" s="115">
        <v>0</v>
      </c>
      <c r="H777" s="115">
        <v>0</v>
      </c>
      <c r="I777" s="115">
        <v>0</v>
      </c>
      <c r="J777" s="115">
        <v>0</v>
      </c>
      <c r="K777" s="115">
        <v>0</v>
      </c>
    </row>
    <row r="778" spans="2:11" x14ac:dyDescent="0.25">
      <c r="B778" s="115" t="s">
        <v>1241</v>
      </c>
      <c r="D778" s="115" t="s">
        <v>8710</v>
      </c>
      <c r="E778" s="115" t="s">
        <v>1242</v>
      </c>
      <c r="F778" s="115">
        <v>0</v>
      </c>
      <c r="G778" s="115">
        <v>0</v>
      </c>
      <c r="H778" s="115">
        <v>0</v>
      </c>
      <c r="I778" s="115">
        <v>0</v>
      </c>
      <c r="J778" s="115">
        <v>0</v>
      </c>
      <c r="K778" s="115">
        <v>0</v>
      </c>
    </row>
    <row r="779" spans="2:11" x14ac:dyDescent="0.25">
      <c r="B779" s="115" t="s">
        <v>1241</v>
      </c>
      <c r="D779" s="115" t="s">
        <v>8710</v>
      </c>
      <c r="E779" s="115" t="s">
        <v>1242</v>
      </c>
      <c r="F779" s="115">
        <v>0</v>
      </c>
      <c r="G779" s="115">
        <v>0</v>
      </c>
      <c r="H779" s="115">
        <v>0</v>
      </c>
      <c r="I779" s="115">
        <v>0</v>
      </c>
      <c r="J779" s="115">
        <v>0</v>
      </c>
      <c r="K779" s="115">
        <v>0</v>
      </c>
    </row>
    <row r="780" spans="2:11" x14ac:dyDescent="0.25">
      <c r="B780" s="115" t="s">
        <v>1241</v>
      </c>
      <c r="D780" s="115" t="s">
        <v>8710</v>
      </c>
      <c r="E780" s="115" t="s">
        <v>1242</v>
      </c>
      <c r="F780" s="115">
        <v>0</v>
      </c>
      <c r="G780" s="115">
        <v>0</v>
      </c>
      <c r="H780" s="115">
        <v>0</v>
      </c>
      <c r="I780" s="115">
        <v>0</v>
      </c>
      <c r="J780" s="115">
        <v>0</v>
      </c>
      <c r="K780" s="115">
        <v>0</v>
      </c>
    </row>
    <row r="781" spans="2:11" x14ac:dyDescent="0.25">
      <c r="B781" s="115" t="s">
        <v>1241</v>
      </c>
      <c r="D781" s="115" t="s">
        <v>8710</v>
      </c>
      <c r="E781" s="115" t="s">
        <v>1242</v>
      </c>
      <c r="F781" s="115">
        <v>0</v>
      </c>
      <c r="G781" s="115">
        <v>0</v>
      </c>
      <c r="H781" s="115">
        <v>0</v>
      </c>
      <c r="I781" s="115">
        <v>0</v>
      </c>
      <c r="J781" s="115">
        <v>0</v>
      </c>
      <c r="K781" s="115">
        <v>0</v>
      </c>
    </row>
    <row r="782" spans="2:11" x14ac:dyDescent="0.25">
      <c r="B782" s="115" t="s">
        <v>1241</v>
      </c>
      <c r="D782" s="115" t="s">
        <v>8710</v>
      </c>
      <c r="E782" s="115" t="s">
        <v>1242</v>
      </c>
      <c r="F782" s="115">
        <v>0</v>
      </c>
      <c r="G782" s="115">
        <v>0</v>
      </c>
      <c r="H782" s="115">
        <v>0</v>
      </c>
      <c r="I782" s="115">
        <v>0</v>
      </c>
      <c r="J782" s="115">
        <v>0</v>
      </c>
      <c r="K782" s="115">
        <v>0</v>
      </c>
    </row>
    <row r="783" spans="2:11" x14ac:dyDescent="0.25">
      <c r="B783" s="115" t="s">
        <v>1241</v>
      </c>
      <c r="D783" s="115" t="s">
        <v>8710</v>
      </c>
      <c r="E783" s="115" t="s">
        <v>1242</v>
      </c>
      <c r="F783" s="115">
        <v>0</v>
      </c>
      <c r="G783" s="115">
        <v>0</v>
      </c>
      <c r="H783" s="115">
        <v>0</v>
      </c>
      <c r="I783" s="115">
        <v>0</v>
      </c>
      <c r="J783" s="115">
        <v>0</v>
      </c>
      <c r="K783" s="115">
        <v>0</v>
      </c>
    </row>
    <row r="784" spans="2:11" x14ac:dyDescent="0.25">
      <c r="B784" s="115" t="s">
        <v>1241</v>
      </c>
      <c r="D784" s="115" t="s">
        <v>8710</v>
      </c>
      <c r="E784" s="115" t="s">
        <v>1242</v>
      </c>
      <c r="F784" s="115">
        <v>0</v>
      </c>
      <c r="G784" s="115">
        <v>0</v>
      </c>
      <c r="H784" s="115">
        <v>0</v>
      </c>
      <c r="I784" s="115">
        <v>0</v>
      </c>
      <c r="J784" s="115">
        <v>0</v>
      </c>
      <c r="K784" s="115">
        <v>0</v>
      </c>
    </row>
    <row r="785" spans="1:11" x14ac:dyDescent="0.25">
      <c r="B785" s="115" t="s">
        <v>1241</v>
      </c>
      <c r="D785" s="115" t="s">
        <v>8710</v>
      </c>
      <c r="E785" s="115" t="s">
        <v>1242</v>
      </c>
      <c r="F785" s="115">
        <v>0</v>
      </c>
      <c r="G785" s="115">
        <v>0</v>
      </c>
      <c r="H785" s="115">
        <v>0</v>
      </c>
      <c r="I785" s="115">
        <v>0</v>
      </c>
      <c r="J785" s="115">
        <v>0</v>
      </c>
      <c r="K785" s="115">
        <v>0</v>
      </c>
    </row>
    <row r="786" spans="1:11" x14ac:dyDescent="0.25">
      <c r="B786" s="115" t="s">
        <v>1241</v>
      </c>
      <c r="D786" s="115" t="s">
        <v>8710</v>
      </c>
      <c r="E786" s="115" t="s">
        <v>1242</v>
      </c>
      <c r="F786" s="115">
        <v>0</v>
      </c>
      <c r="G786" s="115">
        <v>0</v>
      </c>
      <c r="H786" s="115">
        <v>0</v>
      </c>
      <c r="I786" s="115">
        <v>0</v>
      </c>
      <c r="J786" s="115">
        <v>0</v>
      </c>
      <c r="K786" s="115">
        <v>0</v>
      </c>
    </row>
    <row r="787" spans="1:11" x14ac:dyDescent="0.25">
      <c r="B787" s="115" t="s">
        <v>1241</v>
      </c>
      <c r="D787" s="115" t="s">
        <v>8902</v>
      </c>
      <c r="E787" s="115" t="s">
        <v>1526</v>
      </c>
      <c r="F787" s="115">
        <v>0</v>
      </c>
      <c r="G787" s="115">
        <v>0</v>
      </c>
      <c r="H787" s="115">
        <v>-1598</v>
      </c>
      <c r="I787" s="115">
        <v>-661</v>
      </c>
      <c r="J787" s="115">
        <v>-774</v>
      </c>
      <c r="K787" s="115">
        <v>270</v>
      </c>
    </row>
    <row r="788" spans="1:11" x14ac:dyDescent="0.25">
      <c r="B788" s="115" t="s">
        <v>1527</v>
      </c>
      <c r="D788" s="115" t="s">
        <v>8903</v>
      </c>
      <c r="E788" s="115" t="s">
        <v>1528</v>
      </c>
      <c r="F788" s="115">
        <v>0</v>
      </c>
      <c r="G788" s="115">
        <v>0</v>
      </c>
      <c r="H788" s="115">
        <v>0</v>
      </c>
      <c r="I788" s="115">
        <v>1073</v>
      </c>
      <c r="J788" s="115">
        <v>-558</v>
      </c>
      <c r="K788" s="115">
        <v>0</v>
      </c>
    </row>
    <row r="789" spans="1:11" x14ac:dyDescent="0.25">
      <c r="B789" s="115" t="s">
        <v>1241</v>
      </c>
      <c r="D789" s="115" t="s">
        <v>8904</v>
      </c>
      <c r="E789" s="115" t="s">
        <v>1529</v>
      </c>
      <c r="F789" s="115">
        <v>0</v>
      </c>
      <c r="G789" s="115">
        <v>-523</v>
      </c>
      <c r="H789" s="115">
        <v>0</v>
      </c>
      <c r="I789" s="115">
        <v>0</v>
      </c>
      <c r="J789" s="115">
        <v>-63</v>
      </c>
      <c r="K789" s="115">
        <v>0</v>
      </c>
    </row>
    <row r="790" spans="1:11" x14ac:dyDescent="0.25">
      <c r="B790" s="115" t="s">
        <v>1530</v>
      </c>
      <c r="D790" s="115" t="s">
        <v>8905</v>
      </c>
      <c r="E790" s="115" t="s">
        <v>1531</v>
      </c>
      <c r="F790" s="115">
        <v>461</v>
      </c>
      <c r="G790" s="115">
        <v>0</v>
      </c>
      <c r="H790" s="115">
        <v>-1353</v>
      </c>
      <c r="I790" s="115">
        <v>112</v>
      </c>
      <c r="J790" s="115">
        <v>-228</v>
      </c>
      <c r="K790" s="115">
        <v>119</v>
      </c>
    </row>
    <row r="791" spans="1:11" x14ac:dyDescent="0.25">
      <c r="A791" s="115">
        <v>4</v>
      </c>
      <c r="B791" s="115" t="s">
        <v>1532</v>
      </c>
      <c r="D791" s="115" t="s">
        <v>8906</v>
      </c>
      <c r="E791" s="115" t="s">
        <v>1533</v>
      </c>
      <c r="F791" s="115">
        <v>0</v>
      </c>
      <c r="G791" s="115">
        <v>0</v>
      </c>
      <c r="H791" s="115">
        <v>0</v>
      </c>
      <c r="I791" s="115">
        <v>0</v>
      </c>
      <c r="J791" s="115">
        <v>0</v>
      </c>
      <c r="K791" s="115">
        <v>-1284</v>
      </c>
    </row>
    <row r="792" spans="1:11" x14ac:dyDescent="0.25">
      <c r="B792" s="115" t="s">
        <v>1241</v>
      </c>
      <c r="D792" s="115" t="s">
        <v>8907</v>
      </c>
      <c r="E792" s="115" t="s">
        <v>1534</v>
      </c>
      <c r="F792" s="115">
        <v>0</v>
      </c>
      <c r="G792" s="115">
        <v>-59</v>
      </c>
      <c r="H792" s="115">
        <v>0</v>
      </c>
      <c r="I792" s="115">
        <v>0</v>
      </c>
      <c r="J792" s="115">
        <v>0</v>
      </c>
      <c r="K792" s="115">
        <v>0</v>
      </c>
    </row>
    <row r="793" spans="1:11" x14ac:dyDescent="0.25">
      <c r="B793" s="115" t="s">
        <v>1535</v>
      </c>
      <c r="D793" s="115" t="s">
        <v>8908</v>
      </c>
      <c r="E793" s="115" t="s">
        <v>1536</v>
      </c>
      <c r="F793" s="115">
        <v>-912</v>
      </c>
      <c r="G793" s="115">
        <v>0</v>
      </c>
      <c r="H793" s="115">
        <v>0</v>
      </c>
      <c r="I793" s="115">
        <v>-90958</v>
      </c>
      <c r="J793" s="115">
        <v>13287</v>
      </c>
      <c r="K793" s="115">
        <v>0</v>
      </c>
    </row>
    <row r="794" spans="1:11" x14ac:dyDescent="0.25">
      <c r="A794" s="115">
        <v>7</v>
      </c>
      <c r="B794" s="115" t="s">
        <v>1537</v>
      </c>
      <c r="D794" s="115" t="s">
        <v>8909</v>
      </c>
      <c r="E794" s="115" t="s">
        <v>1538</v>
      </c>
      <c r="F794" s="115">
        <v>0</v>
      </c>
      <c r="G794" s="115">
        <v>-28345</v>
      </c>
      <c r="H794" s="115">
        <v>-6544</v>
      </c>
      <c r="I794" s="115">
        <v>-2432</v>
      </c>
      <c r="J794" s="115">
        <v>0</v>
      </c>
      <c r="K794" s="115">
        <v>0</v>
      </c>
    </row>
    <row r="795" spans="1:11" x14ac:dyDescent="0.25">
      <c r="A795" s="115">
        <v>5</v>
      </c>
      <c r="B795" s="115" t="s">
        <v>1539</v>
      </c>
      <c r="D795" s="115" t="s">
        <v>8910</v>
      </c>
      <c r="E795" s="115" t="s">
        <v>1540</v>
      </c>
      <c r="F795" s="115">
        <v>5307</v>
      </c>
      <c r="G795" s="115">
        <v>1642</v>
      </c>
      <c r="H795" s="115">
        <v>4704</v>
      </c>
      <c r="I795" s="115">
        <v>-326</v>
      </c>
      <c r="J795" s="115">
        <v>1450</v>
      </c>
      <c r="K795" s="115">
        <v>8955</v>
      </c>
    </row>
    <row r="796" spans="1:11" x14ac:dyDescent="0.25">
      <c r="B796" s="115" t="s">
        <v>1241</v>
      </c>
      <c r="D796" s="115" t="s">
        <v>8710</v>
      </c>
      <c r="E796" s="115" t="s">
        <v>1242</v>
      </c>
      <c r="F796" s="115">
        <v>0</v>
      </c>
      <c r="G796" s="115">
        <v>0</v>
      </c>
      <c r="H796" s="115">
        <v>0</v>
      </c>
      <c r="I796" s="115">
        <v>0</v>
      </c>
      <c r="J796" s="115">
        <v>0</v>
      </c>
      <c r="K796" s="115">
        <v>0</v>
      </c>
    </row>
    <row r="797" spans="1:11" x14ac:dyDescent="0.25">
      <c r="B797" s="115" t="s">
        <v>1241</v>
      </c>
      <c r="D797" s="115" t="s">
        <v>8710</v>
      </c>
      <c r="E797" s="115" t="s">
        <v>1242</v>
      </c>
      <c r="F797" s="115">
        <v>0</v>
      </c>
      <c r="G797" s="115">
        <v>0</v>
      </c>
      <c r="H797" s="115">
        <v>0</v>
      </c>
      <c r="I797" s="115">
        <v>0</v>
      </c>
      <c r="J797" s="115">
        <v>0</v>
      </c>
      <c r="K797" s="115">
        <v>0</v>
      </c>
    </row>
    <row r="798" spans="1:11" x14ac:dyDescent="0.25">
      <c r="B798" s="115" t="s">
        <v>1241</v>
      </c>
      <c r="D798" s="115" t="s">
        <v>8710</v>
      </c>
      <c r="E798" s="115" t="s">
        <v>1242</v>
      </c>
      <c r="F798" s="115">
        <v>0</v>
      </c>
      <c r="G798" s="115">
        <v>0</v>
      </c>
      <c r="H798" s="115">
        <v>0</v>
      </c>
      <c r="I798" s="115">
        <v>0</v>
      </c>
      <c r="J798" s="115">
        <v>0</v>
      </c>
      <c r="K798" s="115">
        <v>0</v>
      </c>
    </row>
    <row r="799" spans="1:11" x14ac:dyDescent="0.25">
      <c r="B799" s="115" t="s">
        <v>1241</v>
      </c>
      <c r="D799" s="115" t="s">
        <v>8710</v>
      </c>
      <c r="E799" s="115" t="s">
        <v>1242</v>
      </c>
      <c r="F799" s="115">
        <v>0</v>
      </c>
      <c r="G799" s="115">
        <v>0</v>
      </c>
      <c r="H799" s="115">
        <v>0</v>
      </c>
      <c r="I799" s="115">
        <v>0</v>
      </c>
      <c r="J799" s="115">
        <v>0</v>
      </c>
      <c r="K799" s="115">
        <v>0</v>
      </c>
    </row>
    <row r="800" spans="1:11" x14ac:dyDescent="0.25">
      <c r="B800" s="115" t="s">
        <v>1241</v>
      </c>
      <c r="D800" s="115" t="s">
        <v>8710</v>
      </c>
      <c r="E800" s="115" t="s">
        <v>1242</v>
      </c>
      <c r="F800" s="115">
        <v>0</v>
      </c>
      <c r="G800" s="115">
        <v>0</v>
      </c>
      <c r="H800" s="115">
        <v>0</v>
      </c>
      <c r="I800" s="115">
        <v>0</v>
      </c>
      <c r="J800" s="115">
        <v>0</v>
      </c>
      <c r="K800" s="115">
        <v>0</v>
      </c>
    </row>
    <row r="801" spans="1:11" x14ac:dyDescent="0.25">
      <c r="B801" s="115" t="s">
        <v>1241</v>
      </c>
      <c r="D801" s="115" t="s">
        <v>8710</v>
      </c>
      <c r="E801" s="115" t="s">
        <v>1242</v>
      </c>
      <c r="F801" s="115">
        <v>0</v>
      </c>
      <c r="G801" s="115">
        <v>0</v>
      </c>
      <c r="H801" s="115">
        <v>0</v>
      </c>
      <c r="I801" s="115">
        <v>0</v>
      </c>
      <c r="J801" s="115">
        <v>0</v>
      </c>
      <c r="K801" s="115">
        <v>0</v>
      </c>
    </row>
    <row r="802" spans="1:11" x14ac:dyDescent="0.25">
      <c r="B802" s="115" t="s">
        <v>1241</v>
      </c>
      <c r="D802" s="115" t="s">
        <v>8710</v>
      </c>
      <c r="E802" s="115" t="s">
        <v>1242</v>
      </c>
      <c r="F802" s="115">
        <v>0</v>
      </c>
      <c r="G802" s="115">
        <v>0</v>
      </c>
      <c r="H802" s="115">
        <v>0</v>
      </c>
      <c r="I802" s="115">
        <v>0</v>
      </c>
      <c r="J802" s="115">
        <v>0</v>
      </c>
      <c r="K802" s="115">
        <v>0</v>
      </c>
    </row>
    <row r="803" spans="1:11" x14ac:dyDescent="0.25">
      <c r="B803" s="115" t="s">
        <v>1241</v>
      </c>
      <c r="D803" s="115" t="s">
        <v>8710</v>
      </c>
      <c r="E803" s="115" t="s">
        <v>1242</v>
      </c>
      <c r="F803" s="115">
        <v>0</v>
      </c>
      <c r="G803" s="115">
        <v>0</v>
      </c>
      <c r="H803" s="115">
        <v>0</v>
      </c>
      <c r="I803" s="115">
        <v>0</v>
      </c>
      <c r="J803" s="115">
        <v>0</v>
      </c>
      <c r="K803" s="115">
        <v>0</v>
      </c>
    </row>
    <row r="804" spans="1:11" x14ac:dyDescent="0.25">
      <c r="B804" s="115" t="s">
        <v>1241</v>
      </c>
      <c r="D804" s="115" t="s">
        <v>8710</v>
      </c>
      <c r="E804" s="115" t="s">
        <v>1242</v>
      </c>
      <c r="F804" s="115">
        <v>0</v>
      </c>
      <c r="G804" s="115">
        <v>0</v>
      </c>
      <c r="H804" s="115">
        <v>0</v>
      </c>
      <c r="I804" s="115">
        <v>0</v>
      </c>
      <c r="J804" s="115">
        <v>0</v>
      </c>
      <c r="K804" s="115">
        <v>0</v>
      </c>
    </row>
    <row r="805" spans="1:11" x14ac:dyDescent="0.25">
      <c r="B805" s="115" t="s">
        <v>1241</v>
      </c>
      <c r="D805" s="115" t="s">
        <v>8911</v>
      </c>
      <c r="E805" s="115" t="s">
        <v>1541</v>
      </c>
      <c r="F805" s="115">
        <v>0</v>
      </c>
      <c r="G805" s="115">
        <v>393</v>
      </c>
      <c r="H805" s="115">
        <v>-746</v>
      </c>
      <c r="I805" s="115">
        <v>56</v>
      </c>
      <c r="J805" s="115">
        <v>39</v>
      </c>
      <c r="K805" s="115">
        <v>-1052</v>
      </c>
    </row>
    <row r="806" spans="1:11" x14ac:dyDescent="0.25">
      <c r="B806" s="115" t="s">
        <v>1241</v>
      </c>
      <c r="D806" s="115" t="s">
        <v>8912</v>
      </c>
      <c r="E806" s="115" t="s">
        <v>1542</v>
      </c>
      <c r="F806" s="115">
        <v>0</v>
      </c>
      <c r="G806" s="115">
        <v>0</v>
      </c>
      <c r="H806" s="115">
        <v>-62</v>
      </c>
      <c r="I806" s="115">
        <v>-518</v>
      </c>
      <c r="J806" s="115">
        <v>0</v>
      </c>
      <c r="K806" s="115">
        <v>0</v>
      </c>
    </row>
    <row r="807" spans="1:11" x14ac:dyDescent="0.25">
      <c r="B807" s="115" t="s">
        <v>1241</v>
      </c>
      <c r="D807" s="115" t="s">
        <v>8913</v>
      </c>
      <c r="E807" s="115" t="s">
        <v>1543</v>
      </c>
      <c r="F807" s="115">
        <v>561</v>
      </c>
      <c r="G807" s="115">
        <v>0</v>
      </c>
      <c r="H807" s="115">
        <v>0</v>
      </c>
      <c r="I807" s="115">
        <v>94</v>
      </c>
      <c r="J807" s="115">
        <v>0</v>
      </c>
      <c r="K807" s="115">
        <v>-122</v>
      </c>
    </row>
    <row r="808" spans="1:11" x14ac:dyDescent="0.25">
      <c r="B808" s="115" t="s">
        <v>1544</v>
      </c>
      <c r="D808" s="115" t="s">
        <v>8914</v>
      </c>
      <c r="E808" s="115" t="s">
        <v>1545</v>
      </c>
      <c r="F808" s="115">
        <v>0</v>
      </c>
      <c r="G808" s="115">
        <v>2041</v>
      </c>
      <c r="H808" s="115">
        <v>554</v>
      </c>
      <c r="I808" s="115">
        <v>-183</v>
      </c>
      <c r="J808" s="115">
        <v>-1076</v>
      </c>
      <c r="K808" s="115">
        <v>-1545</v>
      </c>
    </row>
    <row r="809" spans="1:11" x14ac:dyDescent="0.25">
      <c r="A809" s="115">
        <v>-4</v>
      </c>
      <c r="B809" s="115" t="s">
        <v>1546</v>
      </c>
      <c r="D809" s="115" t="s">
        <v>8915</v>
      </c>
      <c r="E809" s="115" t="s">
        <v>1547</v>
      </c>
      <c r="F809" s="115">
        <v>0</v>
      </c>
      <c r="G809" s="115">
        <v>0</v>
      </c>
      <c r="H809" s="115">
        <v>0</v>
      </c>
      <c r="I809" s="115">
        <v>0</v>
      </c>
      <c r="J809" s="115">
        <v>2176</v>
      </c>
      <c r="K809" s="115">
        <v>0</v>
      </c>
    </row>
    <row r="810" spans="1:11" x14ac:dyDescent="0.25">
      <c r="B810" s="115" t="s">
        <v>1241</v>
      </c>
      <c r="C810" s="115" t="s">
        <v>1239</v>
      </c>
      <c r="D810" s="115" t="s">
        <v>8916</v>
      </c>
      <c r="E810" s="115" t="s">
        <v>1242</v>
      </c>
      <c r="F810" s="115">
        <v>-500</v>
      </c>
      <c r="G810" s="115">
        <v>0</v>
      </c>
      <c r="H810" s="115">
        <v>0</v>
      </c>
      <c r="I810" s="115">
        <v>0</v>
      </c>
      <c r="J810" s="115">
        <v>0</v>
      </c>
      <c r="K810" s="115">
        <v>0</v>
      </c>
    </row>
    <row r="811" spans="1:11" x14ac:dyDescent="0.25">
      <c r="B811" s="115" t="s">
        <v>1548</v>
      </c>
      <c r="C811" s="115" t="s">
        <v>1239</v>
      </c>
      <c r="D811" s="115" t="s">
        <v>8917</v>
      </c>
      <c r="E811" s="115" t="s">
        <v>1549</v>
      </c>
      <c r="F811" s="115">
        <v>0</v>
      </c>
      <c r="G811" s="115">
        <v>0</v>
      </c>
      <c r="H811" s="115">
        <v>16869</v>
      </c>
      <c r="I811" s="115">
        <v>-73264</v>
      </c>
      <c r="J811" s="115">
        <v>0</v>
      </c>
      <c r="K811" s="115">
        <v>2481</v>
      </c>
    </row>
    <row r="812" spans="1:11" x14ac:dyDescent="0.25">
      <c r="B812" s="115" t="s">
        <v>1241</v>
      </c>
      <c r="D812" s="115" t="s">
        <v>8918</v>
      </c>
      <c r="E812" s="115" t="s">
        <v>1550</v>
      </c>
      <c r="F812" s="115">
        <v>-12982</v>
      </c>
      <c r="G812" s="115">
        <v>-3421</v>
      </c>
      <c r="H812" s="115">
        <v>-1943</v>
      </c>
      <c r="I812" s="115">
        <v>0</v>
      </c>
      <c r="J812" s="115">
        <v>0</v>
      </c>
      <c r="K812" s="115">
        <v>3135</v>
      </c>
    </row>
    <row r="813" spans="1:11" x14ac:dyDescent="0.25">
      <c r="A813" s="115" t="s">
        <v>1239</v>
      </c>
      <c r="B813" s="115" t="s">
        <v>1551</v>
      </c>
      <c r="D813" s="115" t="s">
        <v>8919</v>
      </c>
      <c r="E813" s="115" t="s">
        <v>1552</v>
      </c>
      <c r="F813" s="115">
        <v>41</v>
      </c>
      <c r="G813" s="115">
        <v>2568</v>
      </c>
      <c r="H813" s="115">
        <v>4609</v>
      </c>
      <c r="I813" s="115">
        <v>1289</v>
      </c>
      <c r="J813" s="115">
        <v>3379</v>
      </c>
      <c r="K813" s="115">
        <v>0</v>
      </c>
    </row>
    <row r="814" spans="1:11" x14ac:dyDescent="0.25">
      <c r="B814" s="115" t="s">
        <v>1241</v>
      </c>
      <c r="D814" s="115" t="s">
        <v>8920</v>
      </c>
      <c r="E814" s="115" t="s">
        <v>1553</v>
      </c>
      <c r="F814" s="115">
        <v>-17437</v>
      </c>
      <c r="G814" s="115">
        <v>0</v>
      </c>
      <c r="H814" s="115">
        <v>-944</v>
      </c>
      <c r="I814" s="115">
        <v>-377</v>
      </c>
      <c r="J814" s="115">
        <v>-401</v>
      </c>
      <c r="K814" s="115">
        <v>-32</v>
      </c>
    </row>
    <row r="815" spans="1:11" x14ac:dyDescent="0.25">
      <c r="B815" s="115" t="s">
        <v>1554</v>
      </c>
      <c r="D815" s="115" t="s">
        <v>8921</v>
      </c>
      <c r="E815" s="115" t="s">
        <v>1555</v>
      </c>
      <c r="F815" s="115">
        <v>0</v>
      </c>
      <c r="G815" s="115">
        <v>0</v>
      </c>
      <c r="H815" s="115">
        <v>0</v>
      </c>
      <c r="I815" s="115">
        <v>968</v>
      </c>
      <c r="J815" s="115">
        <v>-1028</v>
      </c>
      <c r="K815" s="115">
        <v>0</v>
      </c>
    </row>
    <row r="816" spans="1:11" x14ac:dyDescent="0.25">
      <c r="B816" s="115" t="s">
        <v>1241</v>
      </c>
      <c r="D816" s="115" t="s">
        <v>8922</v>
      </c>
      <c r="E816" s="115" t="s">
        <v>1556</v>
      </c>
      <c r="F816" s="115">
        <v>0</v>
      </c>
      <c r="G816" s="115">
        <v>-115</v>
      </c>
      <c r="H816" s="115">
        <v>0</v>
      </c>
      <c r="I816" s="115">
        <v>0</v>
      </c>
      <c r="J816" s="115">
        <v>-248</v>
      </c>
      <c r="K816" s="115">
        <v>0</v>
      </c>
    </row>
    <row r="817" spans="1:11" x14ac:dyDescent="0.25">
      <c r="B817" s="115" t="s">
        <v>1557</v>
      </c>
      <c r="D817" s="115" t="s">
        <v>8923</v>
      </c>
      <c r="E817" s="115" t="s">
        <v>1558</v>
      </c>
      <c r="F817" s="115">
        <v>379</v>
      </c>
      <c r="G817" s="115">
        <v>0</v>
      </c>
      <c r="H817" s="115">
        <v>-335</v>
      </c>
      <c r="I817" s="115">
        <v>-417</v>
      </c>
      <c r="J817" s="115">
        <v>-107</v>
      </c>
      <c r="K817" s="115">
        <v>11</v>
      </c>
    </row>
    <row r="818" spans="1:11" x14ac:dyDescent="0.25">
      <c r="B818" s="115">
        <f>-43   -400</f>
        <v>-443</v>
      </c>
      <c r="D818" s="115" t="s">
        <v>8924</v>
      </c>
      <c r="E818" s="115" t="s">
        <v>1559</v>
      </c>
      <c r="F818" s="115">
        <v>0</v>
      </c>
      <c r="G818" s="115">
        <v>0</v>
      </c>
      <c r="H818" s="115">
        <v>0</v>
      </c>
      <c r="I818" s="115">
        <v>0</v>
      </c>
      <c r="J818" s="115">
        <v>0</v>
      </c>
      <c r="K818" s="115">
        <v>-422</v>
      </c>
    </row>
    <row r="819" spans="1:11" x14ac:dyDescent="0.25">
      <c r="B819" s="115" t="s">
        <v>1241</v>
      </c>
      <c r="D819" s="115" t="s">
        <v>8925</v>
      </c>
      <c r="E819" s="115" t="s">
        <v>1560</v>
      </c>
      <c r="F819" s="115">
        <v>0</v>
      </c>
      <c r="G819" s="115">
        <v>175</v>
      </c>
      <c r="H819" s="115">
        <v>0</v>
      </c>
      <c r="I819" s="115">
        <v>0</v>
      </c>
      <c r="J819" s="115">
        <v>0</v>
      </c>
      <c r="K819" s="115">
        <v>0</v>
      </c>
    </row>
    <row r="820" spans="1:11" x14ac:dyDescent="0.25">
      <c r="B820" s="115" t="s">
        <v>1561</v>
      </c>
      <c r="D820" s="115" t="s">
        <v>8926</v>
      </c>
      <c r="E820" s="115" t="s">
        <v>1562</v>
      </c>
      <c r="F820" s="115">
        <v>-1083</v>
      </c>
      <c r="G820" s="115">
        <v>0</v>
      </c>
      <c r="H820" s="115">
        <v>0</v>
      </c>
      <c r="I820" s="115">
        <v>-4774</v>
      </c>
      <c r="J820" s="115">
        <v>-2984</v>
      </c>
      <c r="K820" s="115">
        <v>0</v>
      </c>
    </row>
    <row r="821" spans="1:11" x14ac:dyDescent="0.25">
      <c r="B821" s="115" t="s">
        <v>1563</v>
      </c>
      <c r="D821" s="115" t="s">
        <v>8927</v>
      </c>
      <c r="E821" s="115" t="s">
        <v>1564</v>
      </c>
      <c r="F821" s="115">
        <v>0</v>
      </c>
      <c r="G821" s="115">
        <v>-1444</v>
      </c>
      <c r="H821" s="115">
        <v>-10064</v>
      </c>
      <c r="I821" s="115">
        <v>-4730</v>
      </c>
      <c r="J821" s="115">
        <v>0</v>
      </c>
      <c r="K821" s="115">
        <v>0</v>
      </c>
    </row>
    <row r="822" spans="1:11" x14ac:dyDescent="0.25">
      <c r="A822" s="115">
        <v>-3</v>
      </c>
      <c r="B822" s="115" t="s">
        <v>1565</v>
      </c>
      <c r="D822" s="115" t="s">
        <v>8928</v>
      </c>
      <c r="E822" s="115" t="s">
        <v>1566</v>
      </c>
      <c r="F822" s="115">
        <v>-2578</v>
      </c>
      <c r="G822" s="115">
        <v>-2849</v>
      </c>
      <c r="H822" s="115">
        <v>-611</v>
      </c>
      <c r="I822" s="115">
        <v>-1202</v>
      </c>
      <c r="J822" s="115">
        <v>132</v>
      </c>
      <c r="K822" s="115">
        <v>1492</v>
      </c>
    </row>
    <row r="823" spans="1:11" x14ac:dyDescent="0.25">
      <c r="B823" s="115" t="s">
        <v>1241</v>
      </c>
      <c r="D823" s="115" t="s">
        <v>8929</v>
      </c>
      <c r="E823" s="115" t="s">
        <v>1567</v>
      </c>
      <c r="F823" s="115">
        <v>0</v>
      </c>
      <c r="G823" s="115">
        <v>-305</v>
      </c>
      <c r="H823" s="115">
        <v>0</v>
      </c>
      <c r="I823" s="115">
        <v>135</v>
      </c>
      <c r="J823" s="115">
        <v>-224</v>
      </c>
      <c r="K823" s="115">
        <v>-14</v>
      </c>
    </row>
    <row r="824" spans="1:11" x14ac:dyDescent="0.25">
      <c r="A824" s="115" t="s">
        <v>1239</v>
      </c>
      <c r="B824" s="115" t="s">
        <v>1568</v>
      </c>
      <c r="D824" s="115" t="s">
        <v>8930</v>
      </c>
      <c r="E824" s="115" t="s">
        <v>1569</v>
      </c>
      <c r="F824" s="115">
        <v>0</v>
      </c>
      <c r="G824" s="115">
        <v>-47</v>
      </c>
      <c r="H824" s="115">
        <v>0</v>
      </c>
      <c r="I824" s="115">
        <v>0</v>
      </c>
      <c r="J824" s="115">
        <v>0</v>
      </c>
      <c r="K824" s="115">
        <v>143</v>
      </c>
    </row>
    <row r="825" spans="1:11" x14ac:dyDescent="0.25">
      <c r="A825" s="115" t="s">
        <v>1239</v>
      </c>
      <c r="B825" s="115" t="s">
        <v>1570</v>
      </c>
      <c r="D825" s="115" t="s">
        <v>8931</v>
      </c>
      <c r="E825" s="115" t="s">
        <v>1571</v>
      </c>
      <c r="F825" s="115">
        <v>0</v>
      </c>
      <c r="G825" s="115">
        <v>0</v>
      </c>
      <c r="H825" s="115">
        <v>0</v>
      </c>
      <c r="I825" s="115">
        <v>-353</v>
      </c>
      <c r="J825" s="115">
        <v>0</v>
      </c>
      <c r="K825" s="115">
        <v>0</v>
      </c>
    </row>
    <row r="826" spans="1:11" x14ac:dyDescent="0.25">
      <c r="B826" s="115" t="s">
        <v>1572</v>
      </c>
      <c r="D826" s="115" t="s">
        <v>8932</v>
      </c>
      <c r="E826" s="115" t="s">
        <v>1573</v>
      </c>
      <c r="F826" s="115">
        <v>-181</v>
      </c>
      <c r="G826" s="115">
        <v>365</v>
      </c>
      <c r="H826" s="115">
        <v>-283</v>
      </c>
      <c r="I826" s="115">
        <v>0</v>
      </c>
      <c r="J826" s="115">
        <v>78</v>
      </c>
      <c r="K826" s="115">
        <v>368</v>
      </c>
    </row>
    <row r="827" spans="1:11" x14ac:dyDescent="0.25">
      <c r="B827" s="115" t="s">
        <v>1574</v>
      </c>
      <c r="D827" s="115" t="s">
        <v>8933</v>
      </c>
      <c r="E827" s="115" t="s">
        <v>1575</v>
      </c>
      <c r="F827" s="115">
        <v>0</v>
      </c>
      <c r="G827" s="115">
        <v>-191</v>
      </c>
      <c r="H827" s="115">
        <v>0</v>
      </c>
      <c r="I827" s="115">
        <v>0</v>
      </c>
      <c r="J827" s="115">
        <v>0</v>
      </c>
      <c r="K827" s="115">
        <v>0</v>
      </c>
    </row>
    <row r="828" spans="1:11" x14ac:dyDescent="0.25">
      <c r="B828" s="115" t="s">
        <v>1576</v>
      </c>
      <c r="D828" s="115" t="s">
        <v>8934</v>
      </c>
      <c r="E828" s="115" t="s">
        <v>1577</v>
      </c>
      <c r="F828" s="115">
        <v>0</v>
      </c>
      <c r="G828" s="115">
        <v>-426</v>
      </c>
      <c r="H828" s="115">
        <v>0</v>
      </c>
      <c r="I828" s="115">
        <v>-299</v>
      </c>
      <c r="J828" s="115">
        <v>0</v>
      </c>
      <c r="K828" s="115">
        <v>0</v>
      </c>
    </row>
    <row r="829" spans="1:11" x14ac:dyDescent="0.25">
      <c r="B829" s="115" t="s">
        <v>1241</v>
      </c>
      <c r="D829" s="115" t="s">
        <v>8935</v>
      </c>
      <c r="E829" s="115" t="s">
        <v>1578</v>
      </c>
      <c r="F829" s="115">
        <v>0</v>
      </c>
      <c r="G829" s="115">
        <v>-571</v>
      </c>
      <c r="H829" s="115">
        <v>-294</v>
      </c>
      <c r="I829" s="115">
        <v>0</v>
      </c>
      <c r="J829" s="115">
        <v>0</v>
      </c>
      <c r="K829" s="115">
        <v>-3682</v>
      </c>
    </row>
    <row r="830" spans="1:11" x14ac:dyDescent="0.25">
      <c r="A830" s="115">
        <v>-5</v>
      </c>
      <c r="B830" s="115" t="s">
        <v>1579</v>
      </c>
      <c r="D830" s="115" t="s">
        <v>8936</v>
      </c>
      <c r="E830" s="115" t="s">
        <v>1580</v>
      </c>
      <c r="F830" s="115">
        <v>0</v>
      </c>
      <c r="G830" s="115">
        <v>0</v>
      </c>
      <c r="H830" s="115">
        <v>0</v>
      </c>
      <c r="I830" s="115">
        <v>-12975</v>
      </c>
      <c r="J830" s="115">
        <v>1638</v>
      </c>
      <c r="K830" s="115">
        <v>1016</v>
      </c>
    </row>
    <row r="831" spans="1:11" x14ac:dyDescent="0.25">
      <c r="B831" s="115" t="s">
        <v>1241</v>
      </c>
      <c r="C831" s="115">
        <v>2</v>
      </c>
      <c r="D831" s="115" t="s">
        <v>8937</v>
      </c>
      <c r="E831" s="115" t="s">
        <v>1581</v>
      </c>
      <c r="F831" s="115">
        <v>0</v>
      </c>
      <c r="G831" s="115">
        <v>2490</v>
      </c>
      <c r="H831" s="115">
        <v>5943</v>
      </c>
      <c r="I831" s="115">
        <v>-3171</v>
      </c>
      <c r="J831" s="115">
        <v>-1794</v>
      </c>
      <c r="K831" s="115">
        <v>-3956</v>
      </c>
    </row>
    <row r="832" spans="1:11" x14ac:dyDescent="0.25">
      <c r="A832" s="115" t="s">
        <v>1239</v>
      </c>
      <c r="B832" s="115" t="s">
        <v>1582</v>
      </c>
      <c r="D832" s="115" t="s">
        <v>8938</v>
      </c>
      <c r="E832" s="115" t="s">
        <v>1583</v>
      </c>
      <c r="F832" s="115">
        <v>0</v>
      </c>
      <c r="G832" s="115">
        <v>0</v>
      </c>
      <c r="H832" s="115">
        <v>0</v>
      </c>
      <c r="I832" s="115">
        <v>-5508</v>
      </c>
      <c r="J832" s="115">
        <v>0</v>
      </c>
      <c r="K832" s="115">
        <v>-1980</v>
      </c>
    </row>
    <row r="833" spans="1:11" x14ac:dyDescent="0.25">
      <c r="A833" s="115">
        <v>-11</v>
      </c>
      <c r="B833" s="115" t="s">
        <v>1584</v>
      </c>
      <c r="D833" s="115" t="s">
        <v>8710</v>
      </c>
      <c r="E833" s="115" t="s">
        <v>1242</v>
      </c>
      <c r="F833" s="115">
        <v>0</v>
      </c>
      <c r="G833" s="115">
        <v>0</v>
      </c>
      <c r="H833" s="115">
        <v>0</v>
      </c>
      <c r="I833" s="115">
        <v>0</v>
      </c>
      <c r="J833" s="115">
        <v>0</v>
      </c>
      <c r="K833" s="115">
        <v>0</v>
      </c>
    </row>
    <row r="834" spans="1:11" x14ac:dyDescent="0.25">
      <c r="B834" s="115" t="s">
        <v>1241</v>
      </c>
      <c r="D834" s="115" t="s">
        <v>8710</v>
      </c>
      <c r="E834" s="115" t="s">
        <v>1242</v>
      </c>
      <c r="F834" s="115">
        <v>0</v>
      </c>
      <c r="G834" s="115">
        <v>0</v>
      </c>
      <c r="H834" s="115">
        <v>0</v>
      </c>
      <c r="I834" s="115">
        <v>0</v>
      </c>
      <c r="J834" s="115">
        <v>0</v>
      </c>
      <c r="K834" s="115">
        <v>0</v>
      </c>
    </row>
    <row r="835" spans="1:11" x14ac:dyDescent="0.25">
      <c r="B835" s="115" t="s">
        <v>1241</v>
      </c>
      <c r="D835" s="115" t="s">
        <v>8710</v>
      </c>
      <c r="E835" s="115" t="s">
        <v>1242</v>
      </c>
      <c r="F835" s="115">
        <v>0</v>
      </c>
      <c r="G835" s="115">
        <v>0</v>
      </c>
      <c r="H835" s="115">
        <v>0</v>
      </c>
      <c r="I835" s="115">
        <v>0</v>
      </c>
      <c r="J835" s="115">
        <v>0</v>
      </c>
      <c r="K835" s="115">
        <v>0</v>
      </c>
    </row>
    <row r="836" spans="1:11" x14ac:dyDescent="0.25">
      <c r="B836" s="115" t="s">
        <v>1241</v>
      </c>
      <c r="D836" s="115" t="s">
        <v>8710</v>
      </c>
      <c r="E836" s="115" t="s">
        <v>1242</v>
      </c>
      <c r="F836" s="115">
        <v>0</v>
      </c>
      <c r="G836" s="115">
        <v>0</v>
      </c>
      <c r="H836" s="115">
        <v>0</v>
      </c>
      <c r="I836" s="115">
        <v>0</v>
      </c>
      <c r="J836" s="115">
        <v>0</v>
      </c>
      <c r="K836" s="115">
        <v>0</v>
      </c>
    </row>
    <row r="837" spans="1:11" x14ac:dyDescent="0.25">
      <c r="B837" s="115" t="s">
        <v>1241</v>
      </c>
      <c r="D837" s="115" t="s">
        <v>8710</v>
      </c>
      <c r="E837" s="115" t="s">
        <v>1242</v>
      </c>
      <c r="F837" s="115">
        <v>0</v>
      </c>
      <c r="G837" s="115">
        <v>0</v>
      </c>
      <c r="H837" s="115">
        <v>0</v>
      </c>
      <c r="I837" s="115">
        <v>0</v>
      </c>
      <c r="J837" s="115">
        <v>0</v>
      </c>
      <c r="K837" s="115">
        <v>0</v>
      </c>
    </row>
    <row r="838" spans="1:11" x14ac:dyDescent="0.25">
      <c r="B838" s="115" t="s">
        <v>1241</v>
      </c>
      <c r="D838" s="115" t="s">
        <v>8710</v>
      </c>
      <c r="E838" s="115" t="s">
        <v>1242</v>
      </c>
      <c r="F838" s="115">
        <v>0</v>
      </c>
      <c r="G838" s="115">
        <v>0</v>
      </c>
      <c r="H838" s="115">
        <v>0</v>
      </c>
      <c r="I838" s="115">
        <v>0</v>
      </c>
      <c r="J838" s="115">
        <v>0</v>
      </c>
      <c r="K838" s="115">
        <v>0</v>
      </c>
    </row>
    <row r="839" spans="1:11" x14ac:dyDescent="0.25">
      <c r="B839" s="115" t="s">
        <v>1241</v>
      </c>
      <c r="D839" s="115" t="s">
        <v>8710</v>
      </c>
      <c r="E839" s="115" t="s">
        <v>1242</v>
      </c>
      <c r="F839" s="115">
        <v>0</v>
      </c>
      <c r="G839" s="115">
        <v>0</v>
      </c>
      <c r="H839" s="115">
        <v>0</v>
      </c>
      <c r="I839" s="115">
        <v>0</v>
      </c>
      <c r="J839" s="115">
        <v>0</v>
      </c>
      <c r="K839" s="115">
        <v>0</v>
      </c>
    </row>
    <row r="840" spans="1:11" x14ac:dyDescent="0.25">
      <c r="B840" s="115" t="s">
        <v>1241</v>
      </c>
      <c r="D840" s="115" t="s">
        <v>8710</v>
      </c>
      <c r="E840" s="115" t="s">
        <v>1242</v>
      </c>
      <c r="F840" s="115">
        <v>0</v>
      </c>
      <c r="G840" s="115">
        <v>0</v>
      </c>
      <c r="H840" s="115">
        <v>0</v>
      </c>
      <c r="I840" s="115">
        <v>0</v>
      </c>
      <c r="J840" s="115">
        <v>0</v>
      </c>
      <c r="K840" s="115">
        <v>0</v>
      </c>
    </row>
    <row r="841" spans="1:11" x14ac:dyDescent="0.25">
      <c r="B841" s="115" t="s">
        <v>1241</v>
      </c>
      <c r="D841" s="115" t="s">
        <v>8710</v>
      </c>
      <c r="E841" s="115" t="s">
        <v>1242</v>
      </c>
      <c r="F841" s="115">
        <v>0</v>
      </c>
      <c r="G841" s="115">
        <v>0</v>
      </c>
      <c r="H841" s="115">
        <v>0</v>
      </c>
      <c r="I841" s="115">
        <v>0</v>
      </c>
      <c r="J841" s="115">
        <v>0</v>
      </c>
      <c r="K841" s="115">
        <v>0</v>
      </c>
    </row>
    <row r="842" spans="1:11" x14ac:dyDescent="0.25">
      <c r="B842" s="115" t="s">
        <v>1241</v>
      </c>
      <c r="D842" s="115" t="s">
        <v>8939</v>
      </c>
      <c r="E842" s="115" t="s">
        <v>1585</v>
      </c>
      <c r="F842" s="115">
        <v>0</v>
      </c>
      <c r="G842" s="115">
        <v>4947</v>
      </c>
      <c r="H842" s="115">
        <v>873</v>
      </c>
      <c r="I842" s="115">
        <v>1560</v>
      </c>
      <c r="J842" s="115">
        <v>1072</v>
      </c>
      <c r="K842" s="115">
        <v>1003</v>
      </c>
    </row>
    <row r="843" spans="1:11" x14ac:dyDescent="0.25">
      <c r="B843" s="115" t="s">
        <v>1241</v>
      </c>
      <c r="D843" s="115" t="s">
        <v>8940</v>
      </c>
      <c r="E843" s="115" t="s">
        <v>1586</v>
      </c>
      <c r="F843" s="115">
        <v>0</v>
      </c>
      <c r="G843" s="115">
        <v>0</v>
      </c>
      <c r="H843" s="115">
        <v>80</v>
      </c>
      <c r="I843" s="115">
        <v>-315</v>
      </c>
      <c r="J843" s="115">
        <v>0</v>
      </c>
      <c r="K843" s="115">
        <v>0</v>
      </c>
    </row>
    <row r="844" spans="1:11" x14ac:dyDescent="0.25">
      <c r="B844" s="115" t="s">
        <v>1241</v>
      </c>
      <c r="D844" s="115" t="s">
        <v>8941</v>
      </c>
      <c r="E844" s="115" t="s">
        <v>1587</v>
      </c>
      <c r="F844" s="115">
        <v>-141</v>
      </c>
      <c r="G844" s="115">
        <v>0</v>
      </c>
      <c r="H844" s="115">
        <v>0</v>
      </c>
      <c r="I844" s="115">
        <v>-357</v>
      </c>
      <c r="J844" s="115">
        <v>0</v>
      </c>
      <c r="K844" s="115">
        <v>-441</v>
      </c>
    </row>
    <row r="845" spans="1:11" x14ac:dyDescent="0.25">
      <c r="B845" s="115" t="s">
        <v>1588</v>
      </c>
      <c r="C845" s="115" t="s">
        <v>1239</v>
      </c>
      <c r="D845" s="115" t="s">
        <v>8942</v>
      </c>
      <c r="E845" s="115" t="s">
        <v>1589</v>
      </c>
      <c r="F845" s="115">
        <v>0</v>
      </c>
      <c r="G845" s="115">
        <v>675</v>
      </c>
      <c r="H845" s="115">
        <v>405</v>
      </c>
      <c r="I845" s="115">
        <v>392</v>
      </c>
      <c r="J845" s="115">
        <v>234</v>
      </c>
      <c r="K845" s="115">
        <v>384</v>
      </c>
    </row>
    <row r="846" spans="1:11" x14ac:dyDescent="0.25">
      <c r="B846" s="115" t="s">
        <v>1590</v>
      </c>
      <c r="D846" s="115" t="s">
        <v>8943</v>
      </c>
      <c r="E846" s="115" t="s">
        <v>1591</v>
      </c>
      <c r="F846" s="115">
        <v>0</v>
      </c>
      <c r="G846" s="115">
        <v>0</v>
      </c>
      <c r="H846" s="115">
        <v>0</v>
      </c>
      <c r="I846" s="115">
        <v>0</v>
      </c>
      <c r="J846" s="115">
        <v>-158</v>
      </c>
      <c r="K846" s="115">
        <v>0</v>
      </c>
    </row>
    <row r="847" spans="1:11" x14ac:dyDescent="0.25">
      <c r="B847" s="115" t="s">
        <v>1241</v>
      </c>
      <c r="D847" s="115" t="s">
        <v>8944</v>
      </c>
      <c r="E847" s="115" t="s">
        <v>1242</v>
      </c>
      <c r="F847" s="115">
        <v>-44</v>
      </c>
      <c r="G847" s="115">
        <v>0</v>
      </c>
      <c r="H847" s="115">
        <v>0</v>
      </c>
      <c r="I847" s="115">
        <v>0</v>
      </c>
      <c r="J847" s="115">
        <v>0</v>
      </c>
      <c r="K847" s="115">
        <v>0</v>
      </c>
    </row>
    <row r="848" spans="1:11" x14ac:dyDescent="0.25">
      <c r="A848" s="115">
        <v>-1</v>
      </c>
      <c r="B848" s="115" t="s">
        <v>1592</v>
      </c>
      <c r="D848" s="115" t="s">
        <v>8945</v>
      </c>
      <c r="E848" s="115" t="s">
        <v>1593</v>
      </c>
      <c r="F848" s="115">
        <v>0</v>
      </c>
      <c r="G848" s="115">
        <v>0</v>
      </c>
      <c r="H848" s="115">
        <v>2855</v>
      </c>
      <c r="I848" s="115">
        <v>924</v>
      </c>
      <c r="J848" s="115">
        <v>0</v>
      </c>
      <c r="K848" s="115">
        <v>2253</v>
      </c>
    </row>
    <row r="849" spans="1:11" x14ac:dyDescent="0.25">
      <c r="B849" s="115" t="s">
        <v>1241</v>
      </c>
      <c r="D849" s="115" t="s">
        <v>8946</v>
      </c>
      <c r="E849" s="115" t="s">
        <v>1594</v>
      </c>
      <c r="F849" s="115">
        <v>272</v>
      </c>
      <c r="G849" s="115">
        <v>962</v>
      </c>
      <c r="H849" s="115">
        <v>201</v>
      </c>
      <c r="I849" s="115">
        <v>0</v>
      </c>
      <c r="J849" s="115">
        <v>0</v>
      </c>
      <c r="K849" s="115">
        <v>-648</v>
      </c>
    </row>
    <row r="850" spans="1:11" x14ac:dyDescent="0.25">
      <c r="A850" s="115" t="s">
        <v>1239</v>
      </c>
      <c r="B850" s="115" t="s">
        <v>1595</v>
      </c>
      <c r="D850" s="115" t="s">
        <v>8947</v>
      </c>
      <c r="E850" s="115" t="s">
        <v>1596</v>
      </c>
      <c r="F850" s="115">
        <v>-35</v>
      </c>
      <c r="G850" s="115">
        <v>861</v>
      </c>
      <c r="H850" s="115">
        <v>568</v>
      </c>
      <c r="I850" s="115">
        <v>67</v>
      </c>
      <c r="J850" s="115">
        <v>1191</v>
      </c>
      <c r="K850" s="115">
        <v>0</v>
      </c>
    </row>
    <row r="851" spans="1:11" x14ac:dyDescent="0.25">
      <c r="B851" s="115" t="s">
        <v>1241</v>
      </c>
      <c r="D851" s="115" t="s">
        <v>8948</v>
      </c>
      <c r="E851" s="115" t="s">
        <v>1597</v>
      </c>
      <c r="F851" s="115">
        <v>569</v>
      </c>
      <c r="G851" s="115">
        <v>0</v>
      </c>
      <c r="H851" s="115">
        <v>-1444</v>
      </c>
      <c r="I851" s="115">
        <v>-25</v>
      </c>
      <c r="J851" s="115">
        <v>347</v>
      </c>
      <c r="K851" s="115">
        <v>0</v>
      </c>
    </row>
    <row r="852" spans="1:11" x14ac:dyDescent="0.25">
      <c r="A852" s="115">
        <v>2</v>
      </c>
      <c r="B852" s="115" t="s">
        <v>1598</v>
      </c>
      <c r="D852" s="115" t="s">
        <v>8949</v>
      </c>
      <c r="E852" s="115" t="s">
        <v>1599</v>
      </c>
      <c r="F852" s="115">
        <v>-388</v>
      </c>
      <c r="G852" s="115">
        <v>0</v>
      </c>
      <c r="H852" s="115">
        <v>0</v>
      </c>
      <c r="I852" s="115">
        <v>40</v>
      </c>
      <c r="J852" s="115">
        <v>0</v>
      </c>
      <c r="K852" s="115">
        <v>0</v>
      </c>
    </row>
    <row r="853" spans="1:11" x14ac:dyDescent="0.25">
      <c r="B853" s="115" t="s">
        <v>1600</v>
      </c>
      <c r="D853" s="115" t="s">
        <v>8950</v>
      </c>
      <c r="E853" s="115" t="s">
        <v>1601</v>
      </c>
      <c r="F853" s="115">
        <v>0</v>
      </c>
      <c r="G853" s="115">
        <v>0</v>
      </c>
      <c r="H853" s="115">
        <v>0</v>
      </c>
      <c r="I853" s="115">
        <v>0</v>
      </c>
      <c r="J853" s="115">
        <v>0</v>
      </c>
      <c r="K853" s="115">
        <v>-442</v>
      </c>
    </row>
    <row r="854" spans="1:11" x14ac:dyDescent="0.25">
      <c r="B854" s="115" t="s">
        <v>1241</v>
      </c>
      <c r="D854" s="115" t="s">
        <v>8951</v>
      </c>
      <c r="E854" s="115" t="s">
        <v>1602</v>
      </c>
      <c r="F854" s="115">
        <v>-277</v>
      </c>
      <c r="G854" s="115">
        <v>0</v>
      </c>
      <c r="H854" s="115">
        <v>76</v>
      </c>
      <c r="I854" s="115">
        <v>-1110</v>
      </c>
      <c r="J854" s="115">
        <v>-665</v>
      </c>
      <c r="K854" s="115">
        <v>0</v>
      </c>
    </row>
    <row r="855" spans="1:11" x14ac:dyDescent="0.25">
      <c r="B855" s="115" t="s">
        <v>1603</v>
      </c>
      <c r="D855" s="115" t="s">
        <v>8952</v>
      </c>
      <c r="E855" s="115" t="s">
        <v>1604</v>
      </c>
      <c r="F855" s="115">
        <v>-535</v>
      </c>
      <c r="G855" s="115">
        <v>49</v>
      </c>
      <c r="H855" s="115">
        <v>0</v>
      </c>
      <c r="I855" s="115">
        <v>-19</v>
      </c>
      <c r="J855" s="115">
        <v>0</v>
      </c>
      <c r="K855" s="115">
        <v>0</v>
      </c>
    </row>
    <row r="856" spans="1:11" x14ac:dyDescent="0.25">
      <c r="B856" s="115" t="s">
        <v>1241</v>
      </c>
      <c r="D856" s="115" t="s">
        <v>8953</v>
      </c>
      <c r="E856" s="115" t="s">
        <v>1605</v>
      </c>
      <c r="F856" s="115">
        <v>0</v>
      </c>
      <c r="G856" s="115">
        <v>0</v>
      </c>
      <c r="H856" s="115">
        <v>0</v>
      </c>
      <c r="I856" s="115">
        <v>-223</v>
      </c>
      <c r="J856" s="115">
        <v>0</v>
      </c>
      <c r="K856" s="115">
        <v>-157</v>
      </c>
    </row>
    <row r="857" spans="1:11" x14ac:dyDescent="0.25">
      <c r="B857" s="115" t="s">
        <v>1241</v>
      </c>
      <c r="D857" s="115" t="s">
        <v>8954</v>
      </c>
      <c r="E857" s="115" t="s">
        <v>1606</v>
      </c>
      <c r="F857" s="115">
        <v>0</v>
      </c>
      <c r="G857" s="115">
        <v>-699</v>
      </c>
      <c r="H857" s="115">
        <v>0</v>
      </c>
      <c r="I857" s="115">
        <v>2</v>
      </c>
      <c r="J857" s="115">
        <v>-255</v>
      </c>
      <c r="K857" s="115">
        <v>0</v>
      </c>
    </row>
    <row r="858" spans="1:11" x14ac:dyDescent="0.25">
      <c r="B858" s="115" t="s">
        <v>1607</v>
      </c>
      <c r="C858" s="115">
        <v>4</v>
      </c>
      <c r="D858" s="115" t="s">
        <v>8955</v>
      </c>
      <c r="E858" s="115" t="s">
        <v>1608</v>
      </c>
      <c r="F858" s="115">
        <v>-374</v>
      </c>
      <c r="G858" s="115">
        <v>0</v>
      </c>
      <c r="H858" s="115">
        <v>0</v>
      </c>
      <c r="I858" s="115">
        <v>0</v>
      </c>
      <c r="J858" s="115">
        <v>0</v>
      </c>
      <c r="K858" s="115">
        <v>675</v>
      </c>
    </row>
    <row r="859" spans="1:11" x14ac:dyDescent="0.25">
      <c r="B859" s="115">
        <f>-50     -7</f>
        <v>-57</v>
      </c>
      <c r="D859" s="115" t="s">
        <v>8956</v>
      </c>
      <c r="E859" s="115" t="s">
        <v>1609</v>
      </c>
      <c r="F859" s="115">
        <v>124</v>
      </c>
      <c r="G859" s="115">
        <v>18</v>
      </c>
      <c r="H859" s="115">
        <v>0</v>
      </c>
      <c r="I859" s="115">
        <v>164</v>
      </c>
      <c r="J859" s="115">
        <v>113</v>
      </c>
      <c r="K859" s="115">
        <v>-26</v>
      </c>
    </row>
    <row r="860" spans="1:11" x14ac:dyDescent="0.25">
      <c r="B860" s="115" t="s">
        <v>1610</v>
      </c>
      <c r="D860" s="115" t="s">
        <v>8957</v>
      </c>
      <c r="E860" s="115" t="s">
        <v>1611</v>
      </c>
      <c r="F860" s="115">
        <v>0</v>
      </c>
      <c r="G860" s="115">
        <v>0</v>
      </c>
      <c r="H860" s="115">
        <v>0</v>
      </c>
      <c r="I860" s="115">
        <v>0</v>
      </c>
      <c r="J860" s="115">
        <v>0</v>
      </c>
      <c r="K860" s="115">
        <v>1851</v>
      </c>
    </row>
    <row r="861" spans="1:11" x14ac:dyDescent="0.25">
      <c r="B861" s="115" t="s">
        <v>1612</v>
      </c>
      <c r="D861" s="115" t="s">
        <v>8958</v>
      </c>
      <c r="E861" s="115" t="s">
        <v>1613</v>
      </c>
      <c r="F861" s="115">
        <v>0</v>
      </c>
      <c r="G861" s="115">
        <v>-1619</v>
      </c>
      <c r="H861" s="115">
        <v>-3664</v>
      </c>
      <c r="I861" s="115">
        <v>47</v>
      </c>
      <c r="J861" s="115">
        <v>8675</v>
      </c>
      <c r="K861" s="115">
        <v>-43</v>
      </c>
    </row>
    <row r="862" spans="1:11" x14ac:dyDescent="0.25">
      <c r="B862" s="115" t="s">
        <v>1614</v>
      </c>
      <c r="D862" s="115" t="s">
        <v>8959</v>
      </c>
      <c r="E862" s="115" t="s">
        <v>1615</v>
      </c>
      <c r="F862" s="115">
        <v>0</v>
      </c>
      <c r="G862" s="115">
        <v>0</v>
      </c>
      <c r="H862" s="115">
        <v>0</v>
      </c>
      <c r="I862" s="115">
        <v>-504</v>
      </c>
      <c r="J862" s="115">
        <v>-77</v>
      </c>
      <c r="K862" s="115">
        <v>0</v>
      </c>
    </row>
    <row r="863" spans="1:11" x14ac:dyDescent="0.25">
      <c r="B863" s="115" t="s">
        <v>1241</v>
      </c>
      <c r="D863" s="115" t="s">
        <v>8960</v>
      </c>
      <c r="E863" s="115" t="s">
        <v>1616</v>
      </c>
      <c r="F863" s="115">
        <v>0</v>
      </c>
      <c r="G863" s="115">
        <v>-141</v>
      </c>
      <c r="H863" s="115">
        <v>0</v>
      </c>
      <c r="I863" s="115">
        <v>0</v>
      </c>
      <c r="J863" s="115">
        <v>-241</v>
      </c>
      <c r="K863" s="115">
        <v>0</v>
      </c>
    </row>
    <row r="864" spans="1:11" x14ac:dyDescent="0.25">
      <c r="B864" s="115" t="s">
        <v>1617</v>
      </c>
      <c r="D864" s="115" t="s">
        <v>8961</v>
      </c>
      <c r="E864" s="115" t="s">
        <v>1618</v>
      </c>
      <c r="F864" s="115">
        <v>500</v>
      </c>
      <c r="G864" s="115">
        <v>0</v>
      </c>
      <c r="H864" s="115">
        <v>-1452</v>
      </c>
      <c r="I864" s="115">
        <v>-99</v>
      </c>
      <c r="J864" s="115">
        <v>-231</v>
      </c>
      <c r="K864" s="115">
        <v>614</v>
      </c>
    </row>
    <row r="865" spans="1:11" x14ac:dyDescent="0.25">
      <c r="A865" s="115">
        <v>1</v>
      </c>
      <c r="B865" s="115" t="s">
        <v>1619</v>
      </c>
      <c r="D865" s="115" t="s">
        <v>8962</v>
      </c>
      <c r="E865" s="115" t="s">
        <v>1620</v>
      </c>
      <c r="F865" s="115">
        <v>0</v>
      </c>
      <c r="G865" s="115">
        <v>0</v>
      </c>
      <c r="H865" s="115">
        <v>0</v>
      </c>
      <c r="I865" s="115">
        <v>0</v>
      </c>
      <c r="J865" s="115">
        <v>0</v>
      </c>
      <c r="K865" s="115">
        <v>-159</v>
      </c>
    </row>
    <row r="866" spans="1:11" x14ac:dyDescent="0.25">
      <c r="B866" s="115" t="s">
        <v>1241</v>
      </c>
      <c r="D866" s="115" t="s">
        <v>8963</v>
      </c>
      <c r="E866" s="115" t="s">
        <v>1621</v>
      </c>
      <c r="F866" s="115">
        <v>0</v>
      </c>
      <c r="G866" s="115">
        <v>-118</v>
      </c>
      <c r="H866" s="115">
        <v>0</v>
      </c>
      <c r="I866" s="115">
        <v>0</v>
      </c>
      <c r="J866" s="115">
        <v>0</v>
      </c>
      <c r="K866" s="115">
        <v>0</v>
      </c>
    </row>
    <row r="867" spans="1:11" x14ac:dyDescent="0.25">
      <c r="B867" s="115" t="s">
        <v>1622</v>
      </c>
      <c r="D867" s="115" t="s">
        <v>8964</v>
      </c>
      <c r="E867" s="115" t="s">
        <v>1623</v>
      </c>
      <c r="F867" s="115">
        <v>892</v>
      </c>
      <c r="G867" s="115">
        <v>0</v>
      </c>
      <c r="H867" s="115">
        <v>0</v>
      </c>
      <c r="I867" s="115">
        <v>707</v>
      </c>
      <c r="J867" s="115">
        <v>140</v>
      </c>
      <c r="K867" s="115">
        <v>0</v>
      </c>
    </row>
    <row r="868" spans="1:11" x14ac:dyDescent="0.25">
      <c r="A868" s="115" t="s">
        <v>1239</v>
      </c>
      <c r="B868" s="115" t="s">
        <v>1624</v>
      </c>
      <c r="D868" s="115" t="s">
        <v>8965</v>
      </c>
      <c r="E868" s="115" t="s">
        <v>1625</v>
      </c>
      <c r="F868" s="115">
        <v>0</v>
      </c>
      <c r="G868" s="115">
        <v>-733</v>
      </c>
      <c r="H868" s="115">
        <v>202</v>
      </c>
      <c r="I868" s="115">
        <v>10</v>
      </c>
      <c r="J868" s="115">
        <v>0</v>
      </c>
      <c r="K868" s="115">
        <v>0</v>
      </c>
    </row>
    <row r="869" spans="1:11" x14ac:dyDescent="0.25">
      <c r="A869" s="115" t="s">
        <v>1239</v>
      </c>
      <c r="B869" s="115" t="s">
        <v>1626</v>
      </c>
      <c r="D869" s="115" t="s">
        <v>8966</v>
      </c>
      <c r="E869" s="115" t="s">
        <v>1627</v>
      </c>
      <c r="F869" s="115">
        <v>54</v>
      </c>
      <c r="G869" s="115">
        <v>74</v>
      </c>
      <c r="H869" s="115">
        <v>-92</v>
      </c>
      <c r="I869" s="115">
        <v>-332</v>
      </c>
      <c r="J869" s="115">
        <v>-588</v>
      </c>
      <c r="K869" s="115">
        <v>84</v>
      </c>
    </row>
    <row r="870" spans="1:11" x14ac:dyDescent="0.25">
      <c r="B870" s="115" t="s">
        <v>1241</v>
      </c>
      <c r="D870" s="115" t="s">
        <v>8967</v>
      </c>
      <c r="E870" s="115" t="s">
        <v>1628</v>
      </c>
      <c r="F870" s="115">
        <v>0</v>
      </c>
      <c r="G870" s="115">
        <v>-323</v>
      </c>
      <c r="H870" s="115">
        <v>0</v>
      </c>
      <c r="I870" s="115">
        <v>80</v>
      </c>
      <c r="J870" s="115">
        <v>-88</v>
      </c>
      <c r="K870" s="115">
        <v>-205</v>
      </c>
    </row>
    <row r="871" spans="1:11" x14ac:dyDescent="0.25">
      <c r="B871" s="115" t="s">
        <v>1629</v>
      </c>
      <c r="C871" s="115" t="s">
        <v>1239</v>
      </c>
      <c r="D871" s="115" t="s">
        <v>8968</v>
      </c>
      <c r="E871" s="115" t="s">
        <v>1630</v>
      </c>
      <c r="F871" s="115">
        <v>-160</v>
      </c>
      <c r="G871" s="115">
        <v>428</v>
      </c>
      <c r="H871" s="115">
        <v>637</v>
      </c>
      <c r="I871" s="115">
        <v>364</v>
      </c>
      <c r="J871" s="115">
        <v>0</v>
      </c>
      <c r="K871" s="115">
        <v>0</v>
      </c>
    </row>
    <row r="872" spans="1:11" x14ac:dyDescent="0.25">
      <c r="A872" s="115">
        <v>-1</v>
      </c>
      <c r="B872" s="115" t="s">
        <v>1631</v>
      </c>
      <c r="D872" s="115" t="s">
        <v>8969</v>
      </c>
      <c r="E872" s="115" t="s">
        <v>1632</v>
      </c>
      <c r="F872" s="115">
        <v>-1283</v>
      </c>
      <c r="G872" s="115">
        <v>1539</v>
      </c>
      <c r="H872" s="115">
        <v>0</v>
      </c>
      <c r="I872" s="115">
        <v>0</v>
      </c>
      <c r="J872" s="115">
        <v>0</v>
      </c>
      <c r="K872" s="115">
        <v>0</v>
      </c>
    </row>
    <row r="873" spans="1:11" x14ac:dyDescent="0.25">
      <c r="B873" s="115" t="s">
        <v>1241</v>
      </c>
      <c r="D873" s="115" t="s">
        <v>8970</v>
      </c>
      <c r="E873" s="115" t="s">
        <v>1633</v>
      </c>
      <c r="F873" s="115">
        <v>0</v>
      </c>
      <c r="G873" s="115">
        <v>-184</v>
      </c>
      <c r="H873" s="115">
        <v>0</v>
      </c>
      <c r="I873" s="115">
        <v>200</v>
      </c>
      <c r="J873" s="115">
        <v>0</v>
      </c>
      <c r="K873" s="115">
        <v>303</v>
      </c>
    </row>
    <row r="874" spans="1:11" x14ac:dyDescent="0.25">
      <c r="A874" s="115">
        <v>7</v>
      </c>
      <c r="B874" s="115" t="s">
        <v>1634</v>
      </c>
      <c r="D874" s="115" t="s">
        <v>8971</v>
      </c>
      <c r="E874" s="115" t="s">
        <v>1635</v>
      </c>
      <c r="F874" s="115">
        <v>94</v>
      </c>
      <c r="G874" s="115">
        <v>-292</v>
      </c>
      <c r="H874" s="115">
        <v>1289</v>
      </c>
      <c r="I874" s="115">
        <v>2489</v>
      </c>
      <c r="J874" s="115">
        <v>1538</v>
      </c>
      <c r="K874" s="115">
        <v>0</v>
      </c>
    </row>
    <row r="875" spans="1:11" x14ac:dyDescent="0.25">
      <c r="B875" s="115" t="s">
        <v>1636</v>
      </c>
      <c r="D875" s="115" t="s">
        <v>8972</v>
      </c>
      <c r="E875" s="115" t="s">
        <v>1637</v>
      </c>
      <c r="F875" s="115">
        <v>0</v>
      </c>
      <c r="G875" s="115">
        <v>0</v>
      </c>
      <c r="H875" s="115">
        <v>237</v>
      </c>
      <c r="I875" s="115">
        <v>0</v>
      </c>
      <c r="J875" s="115">
        <v>0</v>
      </c>
      <c r="K875" s="115">
        <v>0</v>
      </c>
    </row>
    <row r="876" spans="1:11" x14ac:dyDescent="0.25">
      <c r="A876" s="115">
        <v>1</v>
      </c>
      <c r="B876" s="115" t="s">
        <v>1638</v>
      </c>
      <c r="D876" s="115" t="s">
        <v>8973</v>
      </c>
      <c r="E876" s="115" t="s">
        <v>1639</v>
      </c>
      <c r="F876" s="115">
        <v>0</v>
      </c>
      <c r="G876" s="115">
        <v>0</v>
      </c>
      <c r="H876" s="115">
        <v>0</v>
      </c>
      <c r="I876" s="115">
        <v>0</v>
      </c>
      <c r="J876" s="115">
        <v>-169</v>
      </c>
      <c r="K876" s="115">
        <v>0</v>
      </c>
    </row>
    <row r="877" spans="1:11" x14ac:dyDescent="0.25">
      <c r="B877" s="115" t="s">
        <v>1640</v>
      </c>
      <c r="D877" s="115" t="s">
        <v>8974</v>
      </c>
      <c r="E877" s="115" t="s">
        <v>1641</v>
      </c>
      <c r="F877" s="115">
        <v>1837</v>
      </c>
      <c r="G877" s="115">
        <v>89</v>
      </c>
      <c r="H877" s="115">
        <v>0</v>
      </c>
      <c r="I877" s="115">
        <v>-2992</v>
      </c>
      <c r="J877" s="115">
        <v>0</v>
      </c>
      <c r="K877" s="115">
        <v>0</v>
      </c>
    </row>
    <row r="878" spans="1:11" x14ac:dyDescent="0.25">
      <c r="B878" s="115" t="s">
        <v>1241</v>
      </c>
      <c r="C878" s="115" t="s">
        <v>1239</v>
      </c>
      <c r="D878" s="115" t="s">
        <v>8975</v>
      </c>
      <c r="E878" s="115" t="s">
        <v>1642</v>
      </c>
      <c r="F878" s="115">
        <v>-119</v>
      </c>
      <c r="G878" s="115">
        <v>0</v>
      </c>
      <c r="H878" s="115">
        <v>0</v>
      </c>
      <c r="I878" s="115">
        <v>49</v>
      </c>
      <c r="J878" s="115">
        <v>384</v>
      </c>
      <c r="K878" s="115">
        <v>0</v>
      </c>
    </row>
    <row r="879" spans="1:11" x14ac:dyDescent="0.25">
      <c r="B879" s="115" t="s">
        <v>1643</v>
      </c>
      <c r="D879" s="115" t="s">
        <v>8976</v>
      </c>
      <c r="E879" s="115" t="s">
        <v>1644</v>
      </c>
      <c r="F879" s="115">
        <v>-957</v>
      </c>
      <c r="G879" s="115">
        <v>-1570</v>
      </c>
      <c r="H879" s="115">
        <v>-2457</v>
      </c>
      <c r="I879" s="115">
        <v>0</v>
      </c>
      <c r="J879" s="115">
        <v>0</v>
      </c>
      <c r="K879" s="115">
        <v>0</v>
      </c>
    </row>
    <row r="880" spans="1:11" x14ac:dyDescent="0.25">
      <c r="B880" s="115" t="s">
        <v>1241</v>
      </c>
      <c r="D880" s="115" t="s">
        <v>8977</v>
      </c>
      <c r="E880" s="115" t="s">
        <v>1645</v>
      </c>
      <c r="F880" s="115">
        <v>385</v>
      </c>
      <c r="G880" s="115">
        <v>569</v>
      </c>
      <c r="H880" s="115">
        <v>189</v>
      </c>
      <c r="I880" s="115">
        <v>0</v>
      </c>
      <c r="J880" s="115">
        <v>-16566</v>
      </c>
      <c r="K880" s="115">
        <v>-13769</v>
      </c>
    </row>
    <row r="881" spans="1:11" x14ac:dyDescent="0.25">
      <c r="A881" s="115">
        <v>24</v>
      </c>
      <c r="B881" s="115" t="s">
        <v>1646</v>
      </c>
      <c r="D881" s="115" t="s">
        <v>8978</v>
      </c>
      <c r="E881" s="115" t="s">
        <v>1647</v>
      </c>
      <c r="F881" s="115">
        <v>483</v>
      </c>
      <c r="G881" s="115">
        <v>850</v>
      </c>
      <c r="H881" s="115">
        <v>0</v>
      </c>
      <c r="I881" s="115">
        <v>0</v>
      </c>
      <c r="J881" s="115">
        <v>-975</v>
      </c>
      <c r="K881" s="115">
        <v>0</v>
      </c>
    </row>
    <row r="882" spans="1:11" x14ac:dyDescent="0.25">
      <c r="B882" s="115" t="s">
        <v>1241</v>
      </c>
      <c r="C882" s="115" t="s">
        <v>1239</v>
      </c>
      <c r="D882" s="115" t="s">
        <v>8979</v>
      </c>
      <c r="E882" s="115" t="s">
        <v>1242</v>
      </c>
      <c r="F882" s="115">
        <v>0</v>
      </c>
      <c r="G882" s="115">
        <v>0</v>
      </c>
      <c r="H882" s="115">
        <v>0</v>
      </c>
      <c r="I882" s="115">
        <v>0</v>
      </c>
      <c r="J882" s="115">
        <v>0</v>
      </c>
      <c r="K882" s="115">
        <v>0</v>
      </c>
    </row>
    <row r="883" spans="1:11" x14ac:dyDescent="0.25">
      <c r="A883" s="115">
        <v>1</v>
      </c>
      <c r="B883" s="115" t="s">
        <v>1648</v>
      </c>
      <c r="D883" s="115" t="s">
        <v>8980</v>
      </c>
      <c r="E883" s="115" t="s">
        <v>1649</v>
      </c>
      <c r="F883" s="115">
        <v>0</v>
      </c>
      <c r="G883" s="115">
        <v>40</v>
      </c>
      <c r="H883" s="115">
        <v>0</v>
      </c>
      <c r="I883" s="115">
        <v>-109</v>
      </c>
      <c r="J883" s="115">
        <v>6451</v>
      </c>
      <c r="K883" s="115">
        <v>2412</v>
      </c>
    </row>
    <row r="884" spans="1:11" x14ac:dyDescent="0.25">
      <c r="B884" s="115" t="s">
        <v>1650</v>
      </c>
      <c r="D884" s="115" t="s">
        <v>8981</v>
      </c>
      <c r="E884" s="115" t="s">
        <v>1651</v>
      </c>
      <c r="F884" s="115">
        <v>1242</v>
      </c>
      <c r="G884" s="115">
        <v>2139</v>
      </c>
      <c r="H884" s="115">
        <v>1307</v>
      </c>
      <c r="I884" s="115">
        <v>0</v>
      </c>
      <c r="J884" s="115">
        <v>-40</v>
      </c>
      <c r="K884" s="115">
        <v>0</v>
      </c>
    </row>
    <row r="885" spans="1:11" x14ac:dyDescent="0.25">
      <c r="B885" s="115" t="s">
        <v>1241</v>
      </c>
      <c r="D885" s="115" t="s">
        <v>8982</v>
      </c>
      <c r="E885" s="115" t="s">
        <v>1652</v>
      </c>
      <c r="F885" s="115">
        <v>-296</v>
      </c>
      <c r="G885" s="115">
        <v>0</v>
      </c>
      <c r="H885" s="115">
        <v>0</v>
      </c>
      <c r="I885" s="115">
        <v>0</v>
      </c>
      <c r="J885" s="115">
        <v>667</v>
      </c>
      <c r="K885" s="115">
        <v>0</v>
      </c>
    </row>
    <row r="886" spans="1:11" x14ac:dyDescent="0.25">
      <c r="A886" s="115" t="s">
        <v>1239</v>
      </c>
      <c r="B886" s="115" t="s">
        <v>1332</v>
      </c>
      <c r="D886" s="115" t="s">
        <v>8983</v>
      </c>
      <c r="E886" s="115" t="s">
        <v>1653</v>
      </c>
      <c r="F886" s="115">
        <v>0</v>
      </c>
      <c r="G886" s="115">
        <v>0</v>
      </c>
      <c r="H886" s="115">
        <v>-157</v>
      </c>
      <c r="I886" s="115">
        <v>0</v>
      </c>
      <c r="J886" s="115">
        <v>-264</v>
      </c>
      <c r="K886" s="115">
        <v>1231</v>
      </c>
    </row>
    <row r="887" spans="1:11" x14ac:dyDescent="0.25">
      <c r="B887" s="115" t="s">
        <v>1241</v>
      </c>
      <c r="D887" s="115" t="s">
        <v>8984</v>
      </c>
      <c r="E887" s="115" t="s">
        <v>1654</v>
      </c>
      <c r="F887" s="115">
        <v>0</v>
      </c>
      <c r="G887" s="115">
        <v>-2856</v>
      </c>
      <c r="H887" s="115">
        <v>0</v>
      </c>
      <c r="I887" s="115">
        <v>0</v>
      </c>
      <c r="J887" s="115">
        <v>0</v>
      </c>
      <c r="K887" s="115">
        <v>0</v>
      </c>
    </row>
    <row r="888" spans="1:11" x14ac:dyDescent="0.25">
      <c r="A888" s="115">
        <v>-2</v>
      </c>
      <c r="B888" s="115" t="s">
        <v>1655</v>
      </c>
      <c r="D888" s="115" t="s">
        <v>8985</v>
      </c>
      <c r="E888" s="115" t="s">
        <v>1656</v>
      </c>
      <c r="F888" s="115">
        <v>0</v>
      </c>
      <c r="G888" s="115">
        <v>-76</v>
      </c>
      <c r="H888" s="115">
        <v>-361</v>
      </c>
      <c r="I888" s="115">
        <v>0</v>
      </c>
      <c r="J888" s="115">
        <v>937</v>
      </c>
      <c r="K888" s="115">
        <v>598</v>
      </c>
    </row>
    <row r="889" spans="1:11" x14ac:dyDescent="0.25">
      <c r="B889" s="115" t="s">
        <v>1657</v>
      </c>
      <c r="D889" s="115" t="s">
        <v>8986</v>
      </c>
      <c r="E889" s="115" t="s">
        <v>1242</v>
      </c>
      <c r="F889" s="115">
        <v>2399</v>
      </c>
      <c r="G889" s="115">
        <v>0</v>
      </c>
      <c r="H889" s="115">
        <v>0</v>
      </c>
      <c r="I889" s="115">
        <v>0</v>
      </c>
      <c r="J889" s="115">
        <v>0</v>
      </c>
      <c r="K889" s="115">
        <v>0</v>
      </c>
    </row>
    <row r="890" spans="1:11" x14ac:dyDescent="0.25">
      <c r="A890" s="115" t="s">
        <v>1239</v>
      </c>
      <c r="B890" s="115" t="s">
        <v>1658</v>
      </c>
      <c r="D890" s="115" t="s">
        <v>8987</v>
      </c>
      <c r="E890" s="115" t="s">
        <v>1659</v>
      </c>
      <c r="F890" s="115">
        <v>127</v>
      </c>
      <c r="G890" s="115">
        <v>0</v>
      </c>
      <c r="H890" s="115">
        <v>-10150</v>
      </c>
      <c r="I890" s="115">
        <v>-8077</v>
      </c>
      <c r="J890" s="115">
        <v>23996</v>
      </c>
      <c r="K890" s="115">
        <v>42001</v>
      </c>
    </row>
    <row r="891" spans="1:11" x14ac:dyDescent="0.25">
      <c r="B891" s="115" t="s">
        <v>1241</v>
      </c>
      <c r="D891" s="115" t="s">
        <v>8710</v>
      </c>
      <c r="E891" s="115" t="s">
        <v>1242</v>
      </c>
      <c r="F891" s="115">
        <v>0</v>
      </c>
      <c r="G891" s="115">
        <v>0</v>
      </c>
      <c r="H891" s="115">
        <v>0</v>
      </c>
      <c r="I891" s="115">
        <v>0</v>
      </c>
      <c r="J891" s="115">
        <v>0</v>
      </c>
      <c r="K891" s="115">
        <v>0</v>
      </c>
    </row>
    <row r="892" spans="1:11" x14ac:dyDescent="0.25">
      <c r="B892" s="115" t="s">
        <v>1241</v>
      </c>
      <c r="D892" s="115" t="s">
        <v>8710</v>
      </c>
      <c r="E892" s="115" t="s">
        <v>1242</v>
      </c>
      <c r="F892" s="115">
        <v>0</v>
      </c>
      <c r="G892" s="115">
        <v>0</v>
      </c>
      <c r="H892" s="115">
        <v>0</v>
      </c>
      <c r="I892" s="115">
        <v>0</v>
      </c>
      <c r="J892" s="115">
        <v>0</v>
      </c>
      <c r="K892" s="115">
        <v>0</v>
      </c>
    </row>
    <row r="893" spans="1:11" x14ac:dyDescent="0.25">
      <c r="B893" s="115" t="s">
        <v>1241</v>
      </c>
      <c r="D893" s="115" t="s">
        <v>8710</v>
      </c>
      <c r="E893" s="115" t="s">
        <v>1242</v>
      </c>
      <c r="F893" s="115">
        <v>0</v>
      </c>
      <c r="G893" s="115">
        <v>0</v>
      </c>
      <c r="H893" s="115">
        <v>0</v>
      </c>
      <c r="I893" s="115">
        <v>0</v>
      </c>
      <c r="J893" s="115">
        <v>0</v>
      </c>
      <c r="K893" s="115">
        <v>0</v>
      </c>
    </row>
    <row r="894" spans="1:11" x14ac:dyDescent="0.25">
      <c r="B894" s="115" t="s">
        <v>1241</v>
      </c>
      <c r="D894" s="115" t="s">
        <v>8710</v>
      </c>
      <c r="E894" s="115" t="s">
        <v>1242</v>
      </c>
      <c r="F894" s="115">
        <v>0</v>
      </c>
      <c r="G894" s="115">
        <v>0</v>
      </c>
      <c r="H894" s="115">
        <v>0</v>
      </c>
      <c r="I894" s="115">
        <v>0</v>
      </c>
      <c r="J894" s="115">
        <v>0</v>
      </c>
      <c r="K894" s="115">
        <v>0</v>
      </c>
    </row>
    <row r="895" spans="1:11" x14ac:dyDescent="0.25">
      <c r="B895" s="115" t="s">
        <v>1241</v>
      </c>
      <c r="D895" s="115" t="s">
        <v>8710</v>
      </c>
      <c r="E895" s="115" t="s">
        <v>1242</v>
      </c>
      <c r="F895" s="115">
        <v>0</v>
      </c>
      <c r="G895" s="115">
        <v>0</v>
      </c>
      <c r="H895" s="115">
        <v>0</v>
      </c>
      <c r="I895" s="115">
        <v>0</v>
      </c>
      <c r="J895" s="115">
        <v>0</v>
      </c>
      <c r="K895" s="115">
        <v>0</v>
      </c>
    </row>
    <row r="896" spans="1:11" x14ac:dyDescent="0.25">
      <c r="B896" s="115" t="s">
        <v>1241</v>
      </c>
      <c r="D896" s="115" t="s">
        <v>8710</v>
      </c>
      <c r="E896" s="115" t="s">
        <v>1242</v>
      </c>
      <c r="F896" s="115">
        <v>0</v>
      </c>
      <c r="G896" s="115">
        <v>0</v>
      </c>
      <c r="H896" s="115">
        <v>0</v>
      </c>
      <c r="I896" s="115">
        <v>0</v>
      </c>
      <c r="J896" s="115">
        <v>0</v>
      </c>
      <c r="K896" s="115">
        <v>0</v>
      </c>
    </row>
    <row r="897" spans="1:11" x14ac:dyDescent="0.25">
      <c r="B897" s="115" t="s">
        <v>1241</v>
      </c>
      <c r="D897" s="115" t="s">
        <v>8710</v>
      </c>
      <c r="E897" s="115" t="s">
        <v>1242</v>
      </c>
      <c r="F897" s="115">
        <v>0</v>
      </c>
      <c r="G897" s="115">
        <v>0</v>
      </c>
      <c r="H897" s="115">
        <v>0</v>
      </c>
      <c r="I897" s="115">
        <v>0</v>
      </c>
      <c r="J897" s="115">
        <v>0</v>
      </c>
      <c r="K897" s="115">
        <v>0</v>
      </c>
    </row>
    <row r="898" spans="1:11" x14ac:dyDescent="0.25">
      <c r="B898" s="115" t="s">
        <v>1241</v>
      </c>
      <c r="D898" s="115" t="s">
        <v>8710</v>
      </c>
      <c r="E898" s="115" t="s">
        <v>1242</v>
      </c>
      <c r="F898" s="115">
        <v>0</v>
      </c>
      <c r="G898" s="115">
        <v>0</v>
      </c>
      <c r="H898" s="115">
        <v>0</v>
      </c>
      <c r="I898" s="115">
        <v>0</v>
      </c>
      <c r="J898" s="115">
        <v>0</v>
      </c>
      <c r="K898" s="115">
        <v>0</v>
      </c>
    </row>
    <row r="899" spans="1:11" x14ac:dyDescent="0.25">
      <c r="B899" s="115" t="s">
        <v>1241</v>
      </c>
      <c r="D899" s="115" t="s">
        <v>8710</v>
      </c>
      <c r="E899" s="115" t="s">
        <v>1242</v>
      </c>
      <c r="F899" s="115">
        <v>0</v>
      </c>
      <c r="G899" s="115">
        <v>0</v>
      </c>
      <c r="H899" s="115">
        <v>0</v>
      </c>
      <c r="I899" s="115">
        <v>0</v>
      </c>
      <c r="J899" s="115">
        <v>0</v>
      </c>
      <c r="K899" s="115">
        <v>0</v>
      </c>
    </row>
    <row r="900" spans="1:11" x14ac:dyDescent="0.25">
      <c r="B900" s="115" t="s">
        <v>1241</v>
      </c>
      <c r="D900" s="115" t="s">
        <v>8710</v>
      </c>
      <c r="E900" s="115" t="s">
        <v>1242</v>
      </c>
      <c r="F900" s="115">
        <v>0</v>
      </c>
      <c r="G900" s="115">
        <v>0</v>
      </c>
      <c r="H900" s="115">
        <v>0</v>
      </c>
      <c r="I900" s="115">
        <v>0</v>
      </c>
      <c r="J900" s="115">
        <v>0</v>
      </c>
      <c r="K900" s="115">
        <v>0</v>
      </c>
    </row>
    <row r="901" spans="1:11" x14ac:dyDescent="0.25">
      <c r="A901" s="115">
        <v>-3</v>
      </c>
      <c r="B901" s="115" t="s">
        <v>1660</v>
      </c>
      <c r="D901" s="115" t="s">
        <v>8988</v>
      </c>
      <c r="E901" s="115" t="s">
        <v>1661</v>
      </c>
      <c r="F901" s="115">
        <v>10917</v>
      </c>
      <c r="G901" s="115">
        <v>0</v>
      </c>
      <c r="H901" s="115">
        <v>0</v>
      </c>
      <c r="I901" s="115">
        <v>-566</v>
      </c>
      <c r="J901" s="115">
        <v>0</v>
      </c>
      <c r="K901" s="115">
        <v>0</v>
      </c>
    </row>
    <row r="902" spans="1:11" x14ac:dyDescent="0.25">
      <c r="B902" s="115" t="s">
        <v>1662</v>
      </c>
      <c r="D902" s="115" t="s">
        <v>8989</v>
      </c>
      <c r="E902" s="115" t="s">
        <v>1663</v>
      </c>
      <c r="F902" s="115">
        <v>0</v>
      </c>
      <c r="G902" s="115">
        <v>0</v>
      </c>
      <c r="H902" s="115">
        <v>0</v>
      </c>
      <c r="I902" s="115">
        <v>0</v>
      </c>
      <c r="J902" s="115">
        <v>0</v>
      </c>
      <c r="K902" s="115">
        <v>53</v>
      </c>
    </row>
    <row r="903" spans="1:11" x14ac:dyDescent="0.25">
      <c r="B903" s="115" t="s">
        <v>1241</v>
      </c>
      <c r="D903" s="115" t="s">
        <v>8990</v>
      </c>
      <c r="E903" s="115" t="s">
        <v>1664</v>
      </c>
      <c r="F903" s="115">
        <v>1063</v>
      </c>
      <c r="G903" s="115">
        <v>0</v>
      </c>
      <c r="H903" s="115">
        <v>218</v>
      </c>
      <c r="I903" s="115">
        <v>2421</v>
      </c>
      <c r="J903" s="115">
        <v>726</v>
      </c>
      <c r="K903" s="115">
        <v>0</v>
      </c>
    </row>
    <row r="904" spans="1:11" x14ac:dyDescent="0.25">
      <c r="B904" s="115" t="s">
        <v>1665</v>
      </c>
      <c r="D904" s="115" t="s">
        <v>8991</v>
      </c>
      <c r="E904" s="115" t="s">
        <v>1666</v>
      </c>
      <c r="F904" s="115">
        <v>1791</v>
      </c>
      <c r="G904" s="115">
        <v>525</v>
      </c>
      <c r="H904" s="115">
        <v>0</v>
      </c>
      <c r="I904" s="115">
        <v>-147</v>
      </c>
      <c r="J904" s="115">
        <v>0</v>
      </c>
      <c r="K904" s="115">
        <v>0</v>
      </c>
    </row>
    <row r="905" spans="1:11" x14ac:dyDescent="0.25">
      <c r="B905" s="115" t="s">
        <v>1241</v>
      </c>
      <c r="D905" s="115" t="s">
        <v>8992</v>
      </c>
      <c r="E905" s="115" t="s">
        <v>1667</v>
      </c>
      <c r="F905" s="115">
        <v>0</v>
      </c>
      <c r="G905" s="115">
        <v>0</v>
      </c>
      <c r="H905" s="115">
        <v>0</v>
      </c>
      <c r="I905" s="115">
        <v>-43</v>
      </c>
      <c r="J905" s="115">
        <v>0</v>
      </c>
      <c r="K905" s="115">
        <v>610</v>
      </c>
    </row>
    <row r="906" spans="1:11" x14ac:dyDescent="0.25">
      <c r="B906" s="115" t="s">
        <v>1241</v>
      </c>
      <c r="D906" s="115" t="s">
        <v>8993</v>
      </c>
      <c r="E906" s="115" t="s">
        <v>1668</v>
      </c>
      <c r="F906" s="115">
        <v>0</v>
      </c>
      <c r="G906" s="115">
        <v>-90</v>
      </c>
      <c r="H906" s="115">
        <v>0</v>
      </c>
      <c r="I906" s="115">
        <v>-841</v>
      </c>
      <c r="J906" s="115">
        <v>-3731</v>
      </c>
      <c r="K906" s="115">
        <v>0</v>
      </c>
    </row>
    <row r="907" spans="1:11" x14ac:dyDescent="0.25">
      <c r="B907" s="115" t="s">
        <v>1669</v>
      </c>
      <c r="D907" s="115" t="s">
        <v>8994</v>
      </c>
      <c r="E907" s="115" t="s">
        <v>1670</v>
      </c>
      <c r="F907" s="115">
        <v>-1918</v>
      </c>
      <c r="G907" s="115">
        <v>0</v>
      </c>
      <c r="H907" s="115">
        <v>0</v>
      </c>
      <c r="I907" s="115">
        <v>0</v>
      </c>
      <c r="J907" s="115">
        <v>0</v>
      </c>
      <c r="K907" s="115">
        <v>-3405</v>
      </c>
    </row>
    <row r="908" spans="1:11" x14ac:dyDescent="0.25">
      <c r="B908" s="115" t="s">
        <v>1671</v>
      </c>
      <c r="D908" s="115" t="s">
        <v>8995</v>
      </c>
      <c r="E908" s="115" t="s">
        <v>1672</v>
      </c>
      <c r="F908" s="115">
        <v>-641</v>
      </c>
      <c r="G908" s="115">
        <v>-92</v>
      </c>
      <c r="H908" s="115">
        <v>0</v>
      </c>
      <c r="I908" s="115">
        <v>-215</v>
      </c>
      <c r="J908" s="115">
        <v>-1645</v>
      </c>
      <c r="K908" s="115">
        <v>-206</v>
      </c>
    </row>
    <row r="909" spans="1:11" x14ac:dyDescent="0.25">
      <c r="A909" s="115">
        <v>-1</v>
      </c>
      <c r="B909" s="115" t="s">
        <v>1673</v>
      </c>
      <c r="C909" s="115" t="s">
        <v>1239</v>
      </c>
      <c r="D909" s="115" t="s">
        <v>8996</v>
      </c>
      <c r="E909" s="115" t="s">
        <v>1674</v>
      </c>
      <c r="F909" s="115">
        <v>0</v>
      </c>
      <c r="G909" s="115">
        <v>0</v>
      </c>
      <c r="H909" s="115">
        <v>0</v>
      </c>
      <c r="I909" s="115">
        <v>0</v>
      </c>
      <c r="J909" s="115">
        <v>0</v>
      </c>
      <c r="K909" s="115">
        <v>-1280</v>
      </c>
    </row>
    <row r="910" spans="1:11" x14ac:dyDescent="0.25">
      <c r="B910" s="115" t="s">
        <v>1675</v>
      </c>
      <c r="D910" s="115" t="s">
        <v>8997</v>
      </c>
      <c r="E910" s="115" t="s">
        <v>1676</v>
      </c>
      <c r="F910" s="115">
        <v>0</v>
      </c>
      <c r="G910" s="115">
        <v>-7644</v>
      </c>
      <c r="H910" s="115">
        <v>-6203</v>
      </c>
      <c r="I910" s="115">
        <v>8198</v>
      </c>
      <c r="J910" s="115">
        <v>21654</v>
      </c>
      <c r="K910" s="115">
        <v>11901</v>
      </c>
    </row>
    <row r="911" spans="1:11" x14ac:dyDescent="0.25">
      <c r="B911" s="115" t="s">
        <v>1677</v>
      </c>
      <c r="D911" s="115" t="s">
        <v>8998</v>
      </c>
      <c r="E911" s="115" t="s">
        <v>1678</v>
      </c>
      <c r="F911" s="115">
        <v>532</v>
      </c>
      <c r="G911" s="115">
        <v>2821</v>
      </c>
      <c r="H911" s="115">
        <v>0</v>
      </c>
      <c r="I911" s="115">
        <v>0</v>
      </c>
      <c r="J911" s="115">
        <v>-836</v>
      </c>
      <c r="K911" s="115">
        <v>0</v>
      </c>
    </row>
    <row r="912" spans="1:11" x14ac:dyDescent="0.25">
      <c r="B912" s="115" t="s">
        <v>1241</v>
      </c>
      <c r="D912" s="115" t="s">
        <v>8999</v>
      </c>
      <c r="E912" s="115" t="s">
        <v>1242</v>
      </c>
      <c r="F912" s="115">
        <v>0</v>
      </c>
      <c r="G912" s="115">
        <v>0</v>
      </c>
      <c r="H912" s="115">
        <v>0</v>
      </c>
      <c r="I912" s="115">
        <v>0</v>
      </c>
      <c r="J912" s="115">
        <v>0</v>
      </c>
      <c r="K912" s="115">
        <v>0</v>
      </c>
    </row>
    <row r="913" spans="1:11" x14ac:dyDescent="0.25">
      <c r="B913" s="115" t="s">
        <v>1679</v>
      </c>
      <c r="D913" s="115" t="s">
        <v>9000</v>
      </c>
      <c r="E913" s="115" t="s">
        <v>1680</v>
      </c>
      <c r="F913" s="115">
        <v>0</v>
      </c>
      <c r="G913" s="115">
        <v>537</v>
      </c>
      <c r="H913" s="115">
        <v>0</v>
      </c>
      <c r="I913" s="115">
        <v>159</v>
      </c>
      <c r="J913" s="115">
        <v>3768</v>
      </c>
      <c r="K913" s="115">
        <v>987</v>
      </c>
    </row>
    <row r="914" spans="1:11" x14ac:dyDescent="0.25">
      <c r="B914" s="115" t="s">
        <v>1681</v>
      </c>
      <c r="D914" s="115" t="s">
        <v>9001</v>
      </c>
      <c r="E914" s="115" t="s">
        <v>1682</v>
      </c>
      <c r="F914" s="115">
        <v>3010</v>
      </c>
      <c r="G914" s="115">
        <v>6692</v>
      </c>
      <c r="H914" s="115">
        <v>6</v>
      </c>
      <c r="I914" s="115">
        <v>0</v>
      </c>
      <c r="J914" s="115">
        <v>-296</v>
      </c>
      <c r="K914" s="115">
        <v>0</v>
      </c>
    </row>
    <row r="915" spans="1:11" x14ac:dyDescent="0.25">
      <c r="B915" s="115" t="s">
        <v>1241</v>
      </c>
      <c r="D915" s="115" t="s">
        <v>9002</v>
      </c>
      <c r="E915" s="115" t="s">
        <v>1683</v>
      </c>
      <c r="F915" s="115">
        <v>-959</v>
      </c>
      <c r="G915" s="115">
        <v>0</v>
      </c>
      <c r="H915" s="115">
        <v>0</v>
      </c>
      <c r="I915" s="115">
        <v>0</v>
      </c>
      <c r="J915" s="115">
        <v>1279</v>
      </c>
      <c r="K915" s="115">
        <v>0</v>
      </c>
    </row>
    <row r="916" spans="1:11" x14ac:dyDescent="0.25">
      <c r="B916" s="115" t="s">
        <v>1684</v>
      </c>
      <c r="D916" s="115" t="s">
        <v>9003</v>
      </c>
      <c r="E916" s="115" t="s">
        <v>1685</v>
      </c>
      <c r="F916" s="115">
        <v>0</v>
      </c>
      <c r="G916" s="115">
        <v>0</v>
      </c>
      <c r="H916" s="115">
        <v>-960</v>
      </c>
      <c r="I916" s="115">
        <v>0</v>
      </c>
      <c r="J916" s="115">
        <v>-2502</v>
      </c>
      <c r="K916" s="115">
        <v>-5088</v>
      </c>
    </row>
    <row r="917" spans="1:11" x14ac:dyDescent="0.25">
      <c r="B917" s="115" t="s">
        <v>1241</v>
      </c>
      <c r="C917" s="115" t="s">
        <v>1239</v>
      </c>
      <c r="D917" s="115" t="s">
        <v>9004</v>
      </c>
      <c r="E917" s="115" t="s">
        <v>1686</v>
      </c>
      <c r="F917" s="115">
        <v>0</v>
      </c>
      <c r="G917" s="115">
        <v>-5263</v>
      </c>
      <c r="H917" s="115">
        <v>0</v>
      </c>
      <c r="I917" s="115">
        <v>0</v>
      </c>
      <c r="J917" s="115">
        <v>0</v>
      </c>
      <c r="K917" s="115">
        <v>0</v>
      </c>
    </row>
    <row r="918" spans="1:11" x14ac:dyDescent="0.25">
      <c r="A918" s="115">
        <v>-14</v>
      </c>
      <c r="B918" s="115" t="s">
        <v>1687</v>
      </c>
      <c r="D918" s="115" t="s">
        <v>9005</v>
      </c>
      <c r="E918" s="115" t="s">
        <v>1688</v>
      </c>
      <c r="F918" s="115">
        <v>0</v>
      </c>
      <c r="G918" s="115">
        <v>-604</v>
      </c>
      <c r="H918" s="115">
        <v>-222</v>
      </c>
      <c r="I918" s="115">
        <v>0</v>
      </c>
      <c r="J918" s="115">
        <v>-284</v>
      </c>
      <c r="K918" s="115">
        <v>-3520</v>
      </c>
    </row>
    <row r="919" spans="1:11" x14ac:dyDescent="0.25">
      <c r="A919" s="115" t="s">
        <v>1239</v>
      </c>
      <c r="B919" s="115" t="s">
        <v>1689</v>
      </c>
      <c r="C919" s="115" t="s">
        <v>1239</v>
      </c>
      <c r="D919" s="115" t="s">
        <v>9006</v>
      </c>
      <c r="E919" s="115" t="s">
        <v>1242</v>
      </c>
      <c r="F919" s="115">
        <v>-4906</v>
      </c>
      <c r="G919" s="115">
        <v>0</v>
      </c>
      <c r="H919" s="115">
        <v>0</v>
      </c>
      <c r="I919" s="115">
        <v>0</v>
      </c>
      <c r="J919" s="115">
        <v>0</v>
      </c>
      <c r="K919" s="115">
        <v>0</v>
      </c>
    </row>
    <row r="920" spans="1:11" x14ac:dyDescent="0.25">
      <c r="A920" s="115">
        <v>5</v>
      </c>
      <c r="B920" s="115" t="s">
        <v>1690</v>
      </c>
      <c r="D920" s="115" t="s">
        <v>9007</v>
      </c>
      <c r="E920" s="115" t="s">
        <v>1691</v>
      </c>
      <c r="F920" s="115">
        <v>3859</v>
      </c>
      <c r="G920" s="115">
        <v>0</v>
      </c>
      <c r="H920" s="115">
        <v>-9743</v>
      </c>
      <c r="I920" s="115">
        <v>-7146</v>
      </c>
      <c r="J920" s="115">
        <v>10675</v>
      </c>
      <c r="K920" s="115">
        <v>32007</v>
      </c>
    </row>
    <row r="921" spans="1:11" x14ac:dyDescent="0.25">
      <c r="A921" s="115">
        <v>17</v>
      </c>
      <c r="B921" s="115" t="s">
        <v>1692</v>
      </c>
      <c r="C921" s="115">
        <v>3</v>
      </c>
      <c r="D921" s="115" t="s">
        <v>9008</v>
      </c>
      <c r="E921" s="115" t="s">
        <v>1693</v>
      </c>
      <c r="F921" s="115">
        <v>661</v>
      </c>
      <c r="G921" s="115">
        <v>-795</v>
      </c>
      <c r="H921" s="115">
        <v>-270</v>
      </c>
      <c r="I921" s="115">
        <v>-84</v>
      </c>
      <c r="J921" s="115">
        <v>0</v>
      </c>
      <c r="K921" s="115">
        <v>0</v>
      </c>
    </row>
    <row r="922" spans="1:11" x14ac:dyDescent="0.25">
      <c r="A922" s="115" t="s">
        <v>1239</v>
      </c>
      <c r="B922" s="115" t="s">
        <v>1694</v>
      </c>
      <c r="D922" s="115" t="s">
        <v>9009</v>
      </c>
      <c r="E922" s="115" t="s">
        <v>1695</v>
      </c>
      <c r="F922" s="115">
        <v>-508</v>
      </c>
      <c r="G922" s="115">
        <v>1108</v>
      </c>
      <c r="H922" s="115">
        <v>0</v>
      </c>
      <c r="I922" s="115">
        <v>0</v>
      </c>
      <c r="J922" s="115">
        <v>0</v>
      </c>
      <c r="K922" s="115">
        <v>0</v>
      </c>
    </row>
    <row r="923" spans="1:11" x14ac:dyDescent="0.25">
      <c r="B923" s="115" t="s">
        <v>1241</v>
      </c>
      <c r="D923" s="115" t="s">
        <v>9010</v>
      </c>
      <c r="E923" s="115" t="s">
        <v>1696</v>
      </c>
      <c r="F923" s="115">
        <v>0</v>
      </c>
      <c r="G923" s="115">
        <v>-46</v>
      </c>
      <c r="H923" s="115">
        <v>0</v>
      </c>
      <c r="I923" s="115">
        <v>58</v>
      </c>
      <c r="J923" s="115">
        <v>0</v>
      </c>
      <c r="K923" s="115">
        <v>216</v>
      </c>
    </row>
    <row r="924" spans="1:11" x14ac:dyDescent="0.25">
      <c r="A924" s="115">
        <v>5</v>
      </c>
      <c r="B924" s="115" t="s">
        <v>1697</v>
      </c>
      <c r="D924" s="115" t="s">
        <v>9011</v>
      </c>
      <c r="E924" s="115" t="s">
        <v>1698</v>
      </c>
      <c r="F924" s="115">
        <v>635</v>
      </c>
      <c r="G924" s="115">
        <v>-747</v>
      </c>
      <c r="H924" s="115">
        <v>771</v>
      </c>
      <c r="I924" s="115">
        <v>817</v>
      </c>
      <c r="J924" s="115">
        <v>3507</v>
      </c>
      <c r="K924" s="115">
        <v>0</v>
      </c>
    </row>
    <row r="925" spans="1:11" x14ac:dyDescent="0.25">
      <c r="B925" s="115" t="s">
        <v>1699</v>
      </c>
      <c r="D925" s="115" t="s">
        <v>9012</v>
      </c>
      <c r="E925" s="115" t="s">
        <v>1700</v>
      </c>
      <c r="F925" s="115">
        <v>0</v>
      </c>
      <c r="G925" s="115">
        <v>0</v>
      </c>
      <c r="H925" s="115">
        <v>-97</v>
      </c>
      <c r="I925" s="115">
        <v>0</v>
      </c>
      <c r="J925" s="115">
        <v>0</v>
      </c>
      <c r="K925" s="115">
        <v>0</v>
      </c>
    </row>
    <row r="926" spans="1:11" x14ac:dyDescent="0.25">
      <c r="B926" s="115" t="s">
        <v>1701</v>
      </c>
      <c r="D926" s="115" t="s">
        <v>9013</v>
      </c>
      <c r="E926" s="115" t="s">
        <v>1702</v>
      </c>
      <c r="F926" s="115">
        <v>0</v>
      </c>
      <c r="G926" s="115">
        <v>0</v>
      </c>
      <c r="H926" s="115">
        <v>0</v>
      </c>
      <c r="I926" s="115">
        <v>0</v>
      </c>
      <c r="J926" s="115">
        <v>780</v>
      </c>
      <c r="K926" s="115">
        <v>0</v>
      </c>
    </row>
    <row r="927" spans="1:11" x14ac:dyDescent="0.25">
      <c r="B927" s="115" t="s">
        <v>1703</v>
      </c>
      <c r="D927" s="115" t="s">
        <v>9014</v>
      </c>
      <c r="E927" s="115" t="s">
        <v>1704</v>
      </c>
      <c r="F927" s="115">
        <v>1712</v>
      </c>
      <c r="G927" s="115">
        <v>1102</v>
      </c>
      <c r="H927" s="115">
        <v>0</v>
      </c>
      <c r="I927" s="115">
        <v>-490</v>
      </c>
      <c r="J927" s="115">
        <v>0</v>
      </c>
      <c r="K927" s="115">
        <v>0</v>
      </c>
    </row>
    <row r="928" spans="1:11" x14ac:dyDescent="0.25">
      <c r="B928" s="115" t="s">
        <v>1241</v>
      </c>
      <c r="C928" s="115" t="s">
        <v>1239</v>
      </c>
      <c r="D928" s="115" t="s">
        <v>9015</v>
      </c>
      <c r="E928" s="115" t="s">
        <v>1705</v>
      </c>
      <c r="F928" s="115">
        <v>-613</v>
      </c>
      <c r="G928" s="115">
        <v>0</v>
      </c>
      <c r="H928" s="115">
        <v>0</v>
      </c>
      <c r="I928" s="115">
        <v>-45</v>
      </c>
      <c r="J928" s="115">
        <v>826</v>
      </c>
      <c r="K928" s="115">
        <v>0</v>
      </c>
    </row>
    <row r="929" spans="1:11" x14ac:dyDescent="0.25">
      <c r="A929" s="115" t="s">
        <v>1239</v>
      </c>
      <c r="B929" s="115" t="s">
        <v>1706</v>
      </c>
      <c r="D929" s="115" t="s">
        <v>9016</v>
      </c>
      <c r="E929" s="115" t="s">
        <v>1707</v>
      </c>
      <c r="F929" s="115">
        <v>-1040</v>
      </c>
      <c r="G929" s="115">
        <v>-1028</v>
      </c>
      <c r="H929" s="115">
        <v>-1052</v>
      </c>
      <c r="I929" s="115">
        <v>0</v>
      </c>
      <c r="J929" s="115">
        <v>0</v>
      </c>
      <c r="K929" s="115">
        <v>0</v>
      </c>
    </row>
    <row r="930" spans="1:11" x14ac:dyDescent="0.25">
      <c r="B930" s="115" t="s">
        <v>1241</v>
      </c>
      <c r="C930" s="115" t="s">
        <v>1239</v>
      </c>
      <c r="D930" s="115" t="s">
        <v>9017</v>
      </c>
      <c r="E930" s="115" t="s">
        <v>1708</v>
      </c>
      <c r="F930" s="115">
        <v>-941</v>
      </c>
      <c r="G930" s="115">
        <v>-315</v>
      </c>
      <c r="H930" s="115">
        <v>825</v>
      </c>
      <c r="I930" s="115">
        <v>0</v>
      </c>
      <c r="J930" s="115">
        <v>-8284</v>
      </c>
      <c r="K930" s="115">
        <v>-5348</v>
      </c>
    </row>
    <row r="931" spans="1:11" x14ac:dyDescent="0.25">
      <c r="A931" s="115">
        <v>12</v>
      </c>
      <c r="B931" s="115" t="s">
        <v>1709</v>
      </c>
      <c r="C931" s="115">
        <v>1</v>
      </c>
      <c r="D931" s="115" t="s">
        <v>9018</v>
      </c>
      <c r="E931" s="115" t="s">
        <v>1710</v>
      </c>
      <c r="F931" s="115">
        <v>20796</v>
      </c>
      <c r="G931" s="115">
        <v>30491</v>
      </c>
      <c r="H931" s="115">
        <v>-42</v>
      </c>
      <c r="I931" s="115">
        <v>-109</v>
      </c>
      <c r="J931" s="115">
        <v>-9</v>
      </c>
      <c r="K931" s="115">
        <v>381</v>
      </c>
    </row>
    <row r="932" spans="1:11" x14ac:dyDescent="0.25">
      <c r="B932" s="115" t="s">
        <v>1711</v>
      </c>
      <c r="D932" s="115" t="s">
        <v>9019</v>
      </c>
      <c r="E932" s="115" t="s">
        <v>1712</v>
      </c>
      <c r="F932" s="115">
        <v>0</v>
      </c>
      <c r="G932" s="115">
        <v>0</v>
      </c>
      <c r="H932" s="115">
        <v>0</v>
      </c>
      <c r="I932" s="115">
        <v>67</v>
      </c>
      <c r="J932" s="115">
        <v>125</v>
      </c>
      <c r="K932" s="115">
        <v>0</v>
      </c>
    </row>
    <row r="933" spans="1:11" x14ac:dyDescent="0.25">
      <c r="B933" s="115" t="s">
        <v>1241</v>
      </c>
      <c r="D933" s="115" t="s">
        <v>9020</v>
      </c>
      <c r="E933" s="115" t="s">
        <v>1713</v>
      </c>
      <c r="F933" s="115">
        <v>0</v>
      </c>
      <c r="G933" s="115">
        <v>-134</v>
      </c>
      <c r="H933" s="115">
        <v>0</v>
      </c>
      <c r="I933" s="115">
        <v>0</v>
      </c>
      <c r="J933" s="115">
        <v>-104</v>
      </c>
      <c r="K933" s="115">
        <v>0</v>
      </c>
    </row>
    <row r="934" spans="1:11" x14ac:dyDescent="0.25">
      <c r="B934" s="115" t="s">
        <v>1714</v>
      </c>
      <c r="D934" s="115" t="s">
        <v>9021</v>
      </c>
      <c r="E934" s="115" t="s">
        <v>1715</v>
      </c>
      <c r="F934" s="115">
        <v>99</v>
      </c>
      <c r="G934" s="115">
        <v>0</v>
      </c>
      <c r="H934" s="115">
        <v>294</v>
      </c>
      <c r="I934" s="115">
        <v>-33</v>
      </c>
      <c r="J934" s="115">
        <v>457</v>
      </c>
      <c r="K934" s="115">
        <v>-21</v>
      </c>
    </row>
    <row r="935" spans="1:11" x14ac:dyDescent="0.25">
      <c r="B935" s="115">
        <f>-95   -144</f>
        <v>-239</v>
      </c>
      <c r="D935" s="115" t="s">
        <v>9022</v>
      </c>
      <c r="E935" s="115" t="s">
        <v>1716</v>
      </c>
      <c r="F935" s="115">
        <v>0</v>
      </c>
      <c r="G935" s="115">
        <v>0</v>
      </c>
      <c r="H935" s="115">
        <v>0</v>
      </c>
      <c r="I935" s="115">
        <v>0</v>
      </c>
      <c r="J935" s="115">
        <v>0</v>
      </c>
      <c r="K935" s="115">
        <v>-7</v>
      </c>
    </row>
    <row r="936" spans="1:11" x14ac:dyDescent="0.25">
      <c r="B936" s="115" t="s">
        <v>1241</v>
      </c>
      <c r="D936" s="115" t="s">
        <v>9023</v>
      </c>
      <c r="E936" s="115" t="s">
        <v>1717</v>
      </c>
      <c r="F936" s="115">
        <v>0</v>
      </c>
      <c r="G936" s="115">
        <v>47</v>
      </c>
      <c r="H936" s="115">
        <v>0</v>
      </c>
      <c r="I936" s="115">
        <v>0</v>
      </c>
      <c r="J936" s="115">
        <v>0</v>
      </c>
      <c r="K936" s="115">
        <v>0</v>
      </c>
    </row>
    <row r="937" spans="1:11" x14ac:dyDescent="0.25">
      <c r="B937" s="115" t="s">
        <v>1718</v>
      </c>
      <c r="D937" s="115" t="s">
        <v>9024</v>
      </c>
      <c r="E937" s="115" t="s">
        <v>1719</v>
      </c>
      <c r="F937" s="115">
        <v>-78</v>
      </c>
      <c r="G937" s="115">
        <v>0</v>
      </c>
      <c r="H937" s="115">
        <v>0</v>
      </c>
      <c r="I937" s="115">
        <v>-318</v>
      </c>
      <c r="J937" s="115">
        <v>-125</v>
      </c>
      <c r="K937" s="115">
        <v>0</v>
      </c>
    </row>
    <row r="938" spans="1:11" x14ac:dyDescent="0.25">
      <c r="B938" s="115" t="s">
        <v>1720</v>
      </c>
      <c r="D938" s="115" t="s">
        <v>9025</v>
      </c>
      <c r="E938" s="115" t="s">
        <v>1721</v>
      </c>
      <c r="F938" s="115">
        <v>0</v>
      </c>
      <c r="G938" s="115">
        <v>-101</v>
      </c>
      <c r="H938" s="115">
        <v>-7792</v>
      </c>
      <c r="I938" s="115">
        <v>833</v>
      </c>
      <c r="J938" s="115">
        <v>0</v>
      </c>
      <c r="K938" s="115">
        <v>0</v>
      </c>
    </row>
    <row r="939" spans="1:11" x14ac:dyDescent="0.25">
      <c r="A939" s="115" t="s">
        <v>1239</v>
      </c>
      <c r="B939" s="115" t="s">
        <v>1722</v>
      </c>
      <c r="D939" s="115" t="s">
        <v>9026</v>
      </c>
      <c r="E939" s="115" t="s">
        <v>1723</v>
      </c>
      <c r="F939" s="115">
        <v>-323</v>
      </c>
      <c r="G939" s="115">
        <v>57</v>
      </c>
      <c r="H939" s="115">
        <v>-353</v>
      </c>
      <c r="I939" s="115">
        <v>687</v>
      </c>
      <c r="J939" s="115">
        <v>50</v>
      </c>
      <c r="K939" s="115">
        <v>-152</v>
      </c>
    </row>
    <row r="940" spans="1:11" x14ac:dyDescent="0.25">
      <c r="B940" s="115" t="s">
        <v>1241</v>
      </c>
      <c r="D940" s="115" t="s">
        <v>9027</v>
      </c>
      <c r="E940" s="115" t="s">
        <v>1724</v>
      </c>
      <c r="F940" s="115">
        <v>0</v>
      </c>
      <c r="G940" s="115">
        <v>563</v>
      </c>
      <c r="H940" s="115">
        <v>0</v>
      </c>
      <c r="I940" s="115">
        <v>265</v>
      </c>
      <c r="J940" s="115">
        <v>943</v>
      </c>
      <c r="K940" s="115">
        <v>-469</v>
      </c>
    </row>
    <row r="941" spans="1:11" x14ac:dyDescent="0.25">
      <c r="B941" s="115" t="s">
        <v>1725</v>
      </c>
      <c r="C941" s="115" t="s">
        <v>1239</v>
      </c>
      <c r="D941" s="115" t="s">
        <v>9028</v>
      </c>
      <c r="E941" s="115" t="s">
        <v>1726</v>
      </c>
      <c r="F941" s="115">
        <v>-7642</v>
      </c>
      <c r="G941" s="115">
        <v>-4700</v>
      </c>
      <c r="H941" s="115">
        <v>0</v>
      </c>
      <c r="I941" s="115">
        <v>1540</v>
      </c>
      <c r="J941" s="115">
        <v>674</v>
      </c>
      <c r="K941" s="115">
        <v>-2459</v>
      </c>
    </row>
    <row r="942" spans="1:11" x14ac:dyDescent="0.25">
      <c r="B942" s="115" t="s">
        <v>1241</v>
      </c>
      <c r="D942" s="115" t="s">
        <v>8710</v>
      </c>
      <c r="E942" s="115" t="s">
        <v>1242</v>
      </c>
      <c r="F942" s="115">
        <v>0</v>
      </c>
      <c r="G942" s="115">
        <v>0</v>
      </c>
      <c r="H942" s="115">
        <v>0</v>
      </c>
      <c r="I942" s="115">
        <v>0</v>
      </c>
      <c r="J942" s="115">
        <v>0</v>
      </c>
      <c r="K942" s="115">
        <v>0</v>
      </c>
    </row>
    <row r="943" spans="1:11" x14ac:dyDescent="0.25">
      <c r="B943" s="115" t="s">
        <v>1241</v>
      </c>
      <c r="D943" s="115" t="s">
        <v>8710</v>
      </c>
      <c r="E943" s="115" t="s">
        <v>1242</v>
      </c>
      <c r="F943" s="115">
        <v>0</v>
      </c>
      <c r="G943" s="115">
        <v>0</v>
      </c>
      <c r="H943" s="115">
        <v>0</v>
      </c>
      <c r="I943" s="115">
        <v>0</v>
      </c>
      <c r="J943" s="115">
        <v>0</v>
      </c>
      <c r="K943" s="115">
        <v>0</v>
      </c>
    </row>
    <row r="944" spans="1:11" x14ac:dyDescent="0.25">
      <c r="B944" s="115" t="s">
        <v>1241</v>
      </c>
      <c r="D944" s="115" t="s">
        <v>8710</v>
      </c>
      <c r="E944" s="115" t="s">
        <v>1242</v>
      </c>
      <c r="F944" s="115">
        <v>0</v>
      </c>
      <c r="G944" s="115">
        <v>0</v>
      </c>
      <c r="H944" s="115">
        <v>0</v>
      </c>
      <c r="I944" s="115">
        <v>0</v>
      </c>
      <c r="J944" s="115">
        <v>0</v>
      </c>
      <c r="K944" s="115">
        <v>0</v>
      </c>
    </row>
    <row r="945" spans="2:11" x14ac:dyDescent="0.25">
      <c r="B945" s="115" t="s">
        <v>1241</v>
      </c>
      <c r="D945" s="115" t="s">
        <v>8710</v>
      </c>
      <c r="E945" s="115" t="s">
        <v>1242</v>
      </c>
      <c r="F945" s="115">
        <v>0</v>
      </c>
      <c r="G945" s="115">
        <v>0</v>
      </c>
      <c r="H945" s="115">
        <v>0</v>
      </c>
      <c r="I945" s="115">
        <v>0</v>
      </c>
      <c r="J945" s="115">
        <v>0</v>
      </c>
      <c r="K945" s="115">
        <v>0</v>
      </c>
    </row>
    <row r="946" spans="2:11" x14ac:dyDescent="0.25">
      <c r="B946" s="115" t="s">
        <v>1241</v>
      </c>
      <c r="D946" s="115" t="s">
        <v>8710</v>
      </c>
      <c r="E946" s="115" t="s">
        <v>1242</v>
      </c>
      <c r="F946" s="115">
        <v>0</v>
      </c>
      <c r="G946" s="115">
        <v>0</v>
      </c>
      <c r="H946" s="115">
        <v>0</v>
      </c>
      <c r="I946" s="115">
        <v>0</v>
      </c>
      <c r="J946" s="115">
        <v>0</v>
      </c>
      <c r="K946" s="115">
        <v>0</v>
      </c>
    </row>
    <row r="947" spans="2:11" x14ac:dyDescent="0.25">
      <c r="B947" s="115" t="s">
        <v>1241</v>
      </c>
      <c r="D947" s="115" t="s">
        <v>8710</v>
      </c>
      <c r="E947" s="115" t="s">
        <v>1242</v>
      </c>
      <c r="F947" s="115">
        <v>0</v>
      </c>
      <c r="G947" s="115">
        <v>0</v>
      </c>
      <c r="H947" s="115">
        <v>0</v>
      </c>
      <c r="I947" s="115">
        <v>0</v>
      </c>
      <c r="J947" s="115">
        <v>0</v>
      </c>
      <c r="K947" s="115">
        <v>0</v>
      </c>
    </row>
    <row r="948" spans="2:11" x14ac:dyDescent="0.25">
      <c r="B948" s="115" t="s">
        <v>1241</v>
      </c>
      <c r="D948" s="115" t="s">
        <v>8710</v>
      </c>
      <c r="E948" s="115" t="s">
        <v>1242</v>
      </c>
      <c r="F948" s="115">
        <v>0</v>
      </c>
      <c r="G948" s="115">
        <v>0</v>
      </c>
      <c r="H948" s="115">
        <v>0</v>
      </c>
      <c r="I948" s="115">
        <v>0</v>
      </c>
      <c r="J948" s="115">
        <v>0</v>
      </c>
      <c r="K948" s="115">
        <v>0</v>
      </c>
    </row>
    <row r="949" spans="2:11" x14ac:dyDescent="0.25">
      <c r="B949" s="115" t="s">
        <v>1241</v>
      </c>
      <c r="D949" s="115" t="s">
        <v>8710</v>
      </c>
      <c r="E949" s="115" t="s">
        <v>1242</v>
      </c>
      <c r="F949" s="115">
        <v>0</v>
      </c>
      <c r="G949" s="115">
        <v>0</v>
      </c>
      <c r="H949" s="115">
        <v>0</v>
      </c>
      <c r="I949" s="115">
        <v>0</v>
      </c>
      <c r="J949" s="115">
        <v>0</v>
      </c>
      <c r="K949" s="115">
        <v>0</v>
      </c>
    </row>
    <row r="950" spans="2:11" x14ac:dyDescent="0.25">
      <c r="B950" s="115" t="s">
        <v>1241</v>
      </c>
      <c r="D950" s="115" t="s">
        <v>8710</v>
      </c>
      <c r="E950" s="115" t="s">
        <v>1242</v>
      </c>
      <c r="F950" s="115">
        <v>0</v>
      </c>
      <c r="G950" s="115">
        <v>0</v>
      </c>
      <c r="H950" s="115">
        <v>0</v>
      </c>
      <c r="I950" s="115">
        <v>0</v>
      </c>
      <c r="J950" s="115">
        <v>0</v>
      </c>
      <c r="K950" s="115">
        <v>0</v>
      </c>
    </row>
    <row r="951" spans="2:11" x14ac:dyDescent="0.25">
      <c r="B951" s="115" t="s">
        <v>1241</v>
      </c>
      <c r="D951" s="115" t="s">
        <v>8710</v>
      </c>
      <c r="E951" s="115" t="s">
        <v>1242</v>
      </c>
      <c r="F951" s="115">
        <v>0</v>
      </c>
      <c r="G951" s="115">
        <v>0</v>
      </c>
      <c r="H951" s="115">
        <v>0</v>
      </c>
      <c r="I951" s="115">
        <v>0</v>
      </c>
      <c r="J951" s="115">
        <v>0</v>
      </c>
      <c r="K951" s="115">
        <v>0</v>
      </c>
    </row>
    <row r="952" spans="2:11" x14ac:dyDescent="0.25">
      <c r="B952" s="115" t="s">
        <v>1241</v>
      </c>
      <c r="D952" s="115" t="s">
        <v>9029</v>
      </c>
      <c r="E952" s="115" t="s">
        <v>1727</v>
      </c>
      <c r="F952" s="115">
        <v>0</v>
      </c>
      <c r="G952" s="115">
        <v>-504</v>
      </c>
      <c r="H952" s="115">
        <v>-198</v>
      </c>
      <c r="I952" s="115">
        <v>286</v>
      </c>
      <c r="J952" s="115">
        <v>58</v>
      </c>
      <c r="K952" s="115">
        <v>12</v>
      </c>
    </row>
    <row r="953" spans="2:11" x14ac:dyDescent="0.25">
      <c r="B953" s="115" t="s">
        <v>1241</v>
      </c>
      <c r="D953" s="115" t="s">
        <v>9030</v>
      </c>
      <c r="E953" s="115" t="s">
        <v>1728</v>
      </c>
      <c r="F953" s="115">
        <v>0</v>
      </c>
      <c r="G953" s="115">
        <v>0</v>
      </c>
      <c r="H953" s="115">
        <v>90</v>
      </c>
      <c r="I953" s="115">
        <v>6</v>
      </c>
      <c r="J953" s="115">
        <v>0</v>
      </c>
      <c r="K953" s="115">
        <v>0</v>
      </c>
    </row>
    <row r="954" spans="2:11" x14ac:dyDescent="0.25">
      <c r="B954" s="115" t="s">
        <v>1241</v>
      </c>
      <c r="D954" s="115" t="s">
        <v>9031</v>
      </c>
      <c r="E954" s="115" t="s">
        <v>1729</v>
      </c>
      <c r="F954" s="115">
        <v>-337</v>
      </c>
      <c r="G954" s="115">
        <v>0</v>
      </c>
      <c r="H954" s="115">
        <v>0</v>
      </c>
      <c r="I954" s="115">
        <v>-15</v>
      </c>
      <c r="J954" s="115">
        <v>0</v>
      </c>
      <c r="K954" s="115">
        <v>89</v>
      </c>
    </row>
    <row r="955" spans="2:11" x14ac:dyDescent="0.25">
      <c r="B955" s="115" t="s">
        <v>1730</v>
      </c>
      <c r="D955" s="115" t="s">
        <v>9032</v>
      </c>
      <c r="E955" s="115" t="s">
        <v>1731</v>
      </c>
      <c r="F955" s="115">
        <v>0</v>
      </c>
      <c r="G955" s="115">
        <v>-31</v>
      </c>
      <c r="H955" s="115">
        <v>-3</v>
      </c>
      <c r="I955" s="115">
        <v>-206</v>
      </c>
      <c r="J955" s="115">
        <v>-86</v>
      </c>
      <c r="K955" s="115">
        <v>53</v>
      </c>
    </row>
    <row r="956" spans="2:11" x14ac:dyDescent="0.25">
      <c r="B956" s="115" t="s">
        <v>1711</v>
      </c>
      <c r="D956" s="115" t="s">
        <v>9033</v>
      </c>
      <c r="E956" s="115" t="s">
        <v>1732</v>
      </c>
      <c r="F956" s="115">
        <v>0</v>
      </c>
      <c r="G956" s="115">
        <v>0</v>
      </c>
      <c r="H956" s="115">
        <v>0</v>
      </c>
      <c r="I956" s="115">
        <v>0</v>
      </c>
      <c r="J956" s="115">
        <v>-110</v>
      </c>
      <c r="K956" s="115">
        <v>0</v>
      </c>
    </row>
    <row r="957" spans="2:11" x14ac:dyDescent="0.25">
      <c r="B957" s="115" t="s">
        <v>1241</v>
      </c>
      <c r="D957" s="115" t="s">
        <v>9034</v>
      </c>
      <c r="E957" s="115" t="s">
        <v>1242</v>
      </c>
      <c r="F957" s="115">
        <v>86</v>
      </c>
      <c r="G957" s="115">
        <v>0</v>
      </c>
      <c r="H957" s="115">
        <v>0</v>
      </c>
      <c r="I957" s="115">
        <v>0</v>
      </c>
      <c r="J957" s="115">
        <v>0</v>
      </c>
      <c r="K957" s="115">
        <v>0</v>
      </c>
    </row>
    <row r="958" spans="2:11" x14ac:dyDescent="0.25">
      <c r="B958" s="115" t="s">
        <v>1733</v>
      </c>
      <c r="D958" s="115" t="s">
        <v>9035</v>
      </c>
      <c r="E958" s="115" t="s">
        <v>1734</v>
      </c>
      <c r="F958" s="115">
        <v>0</v>
      </c>
      <c r="G958" s="115">
        <v>0</v>
      </c>
      <c r="H958" s="115">
        <v>-61</v>
      </c>
      <c r="I958" s="115">
        <v>-98</v>
      </c>
      <c r="J958" s="115">
        <v>0</v>
      </c>
      <c r="K958" s="115">
        <v>-132</v>
      </c>
    </row>
    <row r="959" spans="2:11" x14ac:dyDescent="0.25">
      <c r="B959" s="115" t="s">
        <v>1241</v>
      </c>
      <c r="D959" s="115" t="s">
        <v>9036</v>
      </c>
      <c r="E959" s="115" t="s">
        <v>1735</v>
      </c>
      <c r="F959" s="115">
        <v>108</v>
      </c>
      <c r="G959" s="115">
        <v>439</v>
      </c>
      <c r="H959" s="115">
        <v>2543</v>
      </c>
      <c r="I959" s="115">
        <v>0</v>
      </c>
      <c r="J959" s="115">
        <v>0</v>
      </c>
      <c r="K959" s="115">
        <v>16</v>
      </c>
    </row>
    <row r="960" spans="2:11" x14ac:dyDescent="0.25">
      <c r="B960" s="115" t="s">
        <v>1736</v>
      </c>
      <c r="D960" s="115" t="s">
        <v>9037</v>
      </c>
      <c r="E960" s="115" t="s">
        <v>1737</v>
      </c>
      <c r="F960" s="115">
        <v>1</v>
      </c>
      <c r="G960" s="115">
        <v>43</v>
      </c>
      <c r="H960" s="115">
        <v>-153</v>
      </c>
      <c r="I960" s="115">
        <v>-144</v>
      </c>
      <c r="J960" s="115">
        <v>240</v>
      </c>
      <c r="K960" s="115">
        <v>0</v>
      </c>
    </row>
    <row r="961" spans="1:11" x14ac:dyDescent="0.25">
      <c r="B961" s="115" t="s">
        <v>1241</v>
      </c>
      <c r="D961" s="115" t="s">
        <v>9038</v>
      </c>
      <c r="E961" s="115" t="s">
        <v>1738</v>
      </c>
      <c r="F961" s="115">
        <v>-38</v>
      </c>
      <c r="G961" s="115">
        <v>0</v>
      </c>
      <c r="H961" s="115">
        <v>-27</v>
      </c>
      <c r="I961" s="115">
        <v>-201</v>
      </c>
      <c r="J961" s="115">
        <v>287</v>
      </c>
      <c r="K961" s="115">
        <v>0</v>
      </c>
    </row>
    <row r="962" spans="1:11" x14ac:dyDescent="0.25">
      <c r="A962" s="115">
        <v>-3</v>
      </c>
      <c r="B962" s="115" t="s">
        <v>1739</v>
      </c>
      <c r="D962" s="115" t="s">
        <v>9039</v>
      </c>
      <c r="E962" s="115" t="s">
        <v>1740</v>
      </c>
      <c r="F962" s="115">
        <v>4536</v>
      </c>
      <c r="G962" s="115">
        <v>0</v>
      </c>
      <c r="H962" s="115">
        <v>-1264</v>
      </c>
      <c r="I962" s="115">
        <v>-551</v>
      </c>
      <c r="J962" s="115">
        <v>2437</v>
      </c>
      <c r="K962" s="115">
        <v>18510</v>
      </c>
    </row>
    <row r="963" spans="1:11" x14ac:dyDescent="0.25">
      <c r="B963" s="115" t="s">
        <v>1741</v>
      </c>
      <c r="D963" s="115" t="s">
        <v>9040</v>
      </c>
      <c r="E963" s="115" t="s">
        <v>1742</v>
      </c>
      <c r="F963" s="115">
        <v>-57</v>
      </c>
      <c r="G963" s="115">
        <v>499</v>
      </c>
      <c r="H963" s="115">
        <v>0</v>
      </c>
      <c r="I963" s="115">
        <v>0</v>
      </c>
      <c r="J963" s="115">
        <v>63</v>
      </c>
      <c r="K963" s="115">
        <v>0</v>
      </c>
    </row>
    <row r="964" spans="1:11" x14ac:dyDescent="0.25">
      <c r="B964" s="115" t="s">
        <v>1241</v>
      </c>
      <c r="D964" s="115" t="s">
        <v>9041</v>
      </c>
      <c r="E964" s="115" t="s">
        <v>1242</v>
      </c>
      <c r="F964" s="115">
        <v>0</v>
      </c>
      <c r="G964" s="115">
        <v>0</v>
      </c>
      <c r="H964" s="115">
        <v>0</v>
      </c>
      <c r="I964" s="115">
        <v>0</v>
      </c>
      <c r="J964" s="115">
        <v>0</v>
      </c>
      <c r="K964" s="115">
        <v>0</v>
      </c>
    </row>
    <row r="965" spans="1:11" x14ac:dyDescent="0.25">
      <c r="B965" s="115" t="s">
        <v>1743</v>
      </c>
      <c r="D965" s="115" t="s">
        <v>9042</v>
      </c>
      <c r="E965" s="115" t="s">
        <v>1744</v>
      </c>
      <c r="F965" s="115">
        <v>0</v>
      </c>
      <c r="G965" s="115">
        <v>70</v>
      </c>
      <c r="H965" s="115">
        <v>0</v>
      </c>
      <c r="I965" s="115">
        <v>-142</v>
      </c>
      <c r="J965" s="115">
        <v>154</v>
      </c>
      <c r="K965" s="115">
        <v>97</v>
      </c>
    </row>
    <row r="966" spans="1:11" x14ac:dyDescent="0.25">
      <c r="B966" s="115" t="s">
        <v>1745</v>
      </c>
      <c r="D966" s="115" t="s">
        <v>9043</v>
      </c>
      <c r="E966" s="115" t="s">
        <v>1746</v>
      </c>
      <c r="F966" s="115">
        <v>636</v>
      </c>
      <c r="G966" s="115">
        <v>-255</v>
      </c>
      <c r="H966" s="115">
        <v>170</v>
      </c>
      <c r="I966" s="115">
        <v>0</v>
      </c>
      <c r="J966" s="115">
        <v>-281</v>
      </c>
      <c r="K966" s="115">
        <v>0</v>
      </c>
    </row>
    <row r="967" spans="1:11" x14ac:dyDescent="0.25">
      <c r="B967" s="115" t="s">
        <v>1241</v>
      </c>
      <c r="D967" s="115" t="s">
        <v>9044</v>
      </c>
      <c r="E967" s="115" t="s">
        <v>1747</v>
      </c>
      <c r="F967" s="115">
        <v>-68</v>
      </c>
      <c r="G967" s="115">
        <v>0</v>
      </c>
      <c r="H967" s="115">
        <v>0</v>
      </c>
      <c r="I967" s="115">
        <v>0</v>
      </c>
      <c r="J967" s="115">
        <v>194</v>
      </c>
      <c r="K967" s="115">
        <v>0</v>
      </c>
    </row>
    <row r="968" spans="1:11" x14ac:dyDescent="0.25">
      <c r="B968" s="115" t="s">
        <v>1748</v>
      </c>
      <c r="D968" s="115" t="s">
        <v>9045</v>
      </c>
      <c r="E968" s="115" t="s">
        <v>1749</v>
      </c>
      <c r="F968" s="115">
        <v>0</v>
      </c>
      <c r="G968" s="115">
        <v>0</v>
      </c>
      <c r="H968" s="115">
        <v>136</v>
      </c>
      <c r="I968" s="115">
        <v>0</v>
      </c>
      <c r="J968" s="115">
        <v>107</v>
      </c>
      <c r="K968" s="115">
        <v>85</v>
      </c>
    </row>
    <row r="969" spans="1:11" x14ac:dyDescent="0.25">
      <c r="B969" s="115" t="s">
        <v>1241</v>
      </c>
      <c r="D969" s="115" t="s">
        <v>9046</v>
      </c>
      <c r="E969" s="115" t="s">
        <v>1750</v>
      </c>
      <c r="F969" s="115">
        <v>0</v>
      </c>
      <c r="G969" s="115">
        <v>-1013</v>
      </c>
      <c r="H969" s="115">
        <v>0</v>
      </c>
      <c r="I969" s="115">
        <v>0</v>
      </c>
      <c r="J969" s="115">
        <v>0</v>
      </c>
      <c r="K969" s="115">
        <v>0</v>
      </c>
    </row>
    <row r="970" spans="1:11" x14ac:dyDescent="0.25">
      <c r="A970" s="115">
        <v>5</v>
      </c>
      <c r="B970" s="115" t="s">
        <v>1751</v>
      </c>
      <c r="C970" s="115" t="s">
        <v>1239</v>
      </c>
      <c r="D970" s="115" t="s">
        <v>9047</v>
      </c>
      <c r="E970" s="115" t="s">
        <v>1752</v>
      </c>
      <c r="F970" s="115">
        <v>0</v>
      </c>
      <c r="G970" s="115">
        <v>871</v>
      </c>
      <c r="H970" s="115">
        <v>-138</v>
      </c>
      <c r="I970" s="115">
        <v>0</v>
      </c>
      <c r="J970" s="115">
        <v>-493</v>
      </c>
      <c r="K970" s="115">
        <v>-1030</v>
      </c>
    </row>
    <row r="971" spans="1:11" x14ac:dyDescent="0.25">
      <c r="B971" s="115">
        <f>-99   -483</f>
        <v>-582</v>
      </c>
      <c r="C971" s="115" t="s">
        <v>1239</v>
      </c>
      <c r="D971" s="115" t="s">
        <v>9048</v>
      </c>
      <c r="E971" s="115" t="s">
        <v>1242</v>
      </c>
      <c r="F971" s="115">
        <v>-510</v>
      </c>
      <c r="G971" s="115">
        <v>0</v>
      </c>
      <c r="H971" s="115">
        <v>0</v>
      </c>
      <c r="I971" s="115">
        <v>0</v>
      </c>
      <c r="J971" s="115">
        <v>0</v>
      </c>
      <c r="K971" s="115">
        <v>0</v>
      </c>
    </row>
    <row r="972" spans="1:11" x14ac:dyDescent="0.25">
      <c r="A972" s="115">
        <v>-7</v>
      </c>
      <c r="B972" s="115" t="s">
        <v>1753</v>
      </c>
      <c r="C972" s="115" t="s">
        <v>1239</v>
      </c>
      <c r="D972" s="115" t="s">
        <v>9049</v>
      </c>
      <c r="E972" s="115" t="s">
        <v>1754</v>
      </c>
      <c r="F972" s="115">
        <v>-596</v>
      </c>
      <c r="G972" s="115">
        <v>0</v>
      </c>
      <c r="H972" s="115">
        <v>276</v>
      </c>
      <c r="I972" s="115">
        <v>-2929</v>
      </c>
      <c r="J972" s="115">
        <v>1779</v>
      </c>
      <c r="K972" s="115">
        <v>2779</v>
      </c>
    </row>
    <row r="973" spans="1:11" x14ac:dyDescent="0.25">
      <c r="A973" s="115">
        <v>4</v>
      </c>
      <c r="B973" s="115" t="s">
        <v>1444</v>
      </c>
      <c r="D973" s="115" t="s">
        <v>9050</v>
      </c>
      <c r="E973" s="115" t="s">
        <v>1755</v>
      </c>
      <c r="F973" s="115">
        <v>517</v>
      </c>
      <c r="G973" s="115">
        <v>11072</v>
      </c>
      <c r="H973" s="115">
        <v>0</v>
      </c>
      <c r="I973" s="115">
        <v>-2890</v>
      </c>
      <c r="J973" s="115">
        <v>0</v>
      </c>
      <c r="K973" s="115">
        <v>0</v>
      </c>
    </row>
    <row r="974" spans="1:11" x14ac:dyDescent="0.25">
      <c r="B974" s="115" t="s">
        <v>1241</v>
      </c>
      <c r="D974" s="115" t="s">
        <v>8710</v>
      </c>
      <c r="E974" s="115" t="s">
        <v>1242</v>
      </c>
      <c r="F974" s="115">
        <v>0</v>
      </c>
      <c r="G974" s="115">
        <v>0</v>
      </c>
      <c r="H974" s="115">
        <v>0</v>
      </c>
      <c r="I974" s="115">
        <v>0</v>
      </c>
      <c r="J974" s="115">
        <v>0</v>
      </c>
      <c r="K974" s="115">
        <v>0</v>
      </c>
    </row>
    <row r="975" spans="1:11" x14ac:dyDescent="0.25">
      <c r="B975" s="115" t="s">
        <v>1241</v>
      </c>
      <c r="D975" s="115" t="s">
        <v>8710</v>
      </c>
      <c r="E975" s="115" t="s">
        <v>1242</v>
      </c>
      <c r="F975" s="115">
        <v>0</v>
      </c>
      <c r="G975" s="115">
        <v>0</v>
      </c>
      <c r="H975" s="115">
        <v>0</v>
      </c>
      <c r="I975" s="115">
        <v>0</v>
      </c>
      <c r="J975" s="115">
        <v>0</v>
      </c>
      <c r="K975" s="115">
        <v>0</v>
      </c>
    </row>
    <row r="976" spans="1:11" x14ac:dyDescent="0.25">
      <c r="B976" s="115" t="s">
        <v>1241</v>
      </c>
      <c r="D976" s="115" t="s">
        <v>8710</v>
      </c>
      <c r="E976" s="115" t="s">
        <v>1242</v>
      </c>
      <c r="F976" s="115">
        <v>0</v>
      </c>
      <c r="G976" s="115">
        <v>0</v>
      </c>
      <c r="H976" s="115">
        <v>0</v>
      </c>
      <c r="I976" s="115">
        <v>0</v>
      </c>
      <c r="J976" s="115">
        <v>0</v>
      </c>
      <c r="K976" s="115">
        <v>0</v>
      </c>
    </row>
    <row r="977" spans="2:11" x14ac:dyDescent="0.25">
      <c r="B977" s="115" t="s">
        <v>1241</v>
      </c>
      <c r="D977" s="115" t="s">
        <v>8710</v>
      </c>
      <c r="E977" s="115" t="s">
        <v>1242</v>
      </c>
      <c r="F977" s="115">
        <v>0</v>
      </c>
      <c r="G977" s="115">
        <v>0</v>
      </c>
      <c r="H977" s="115">
        <v>0</v>
      </c>
      <c r="I977" s="115">
        <v>0</v>
      </c>
      <c r="J977" s="115">
        <v>0</v>
      </c>
      <c r="K977" s="115">
        <v>0</v>
      </c>
    </row>
    <row r="978" spans="2:11" x14ac:dyDescent="0.25">
      <c r="B978" s="115" t="s">
        <v>1241</v>
      </c>
      <c r="D978" s="115" t="s">
        <v>8710</v>
      </c>
      <c r="E978" s="115" t="s">
        <v>1242</v>
      </c>
      <c r="F978" s="115">
        <v>0</v>
      </c>
      <c r="G978" s="115">
        <v>0</v>
      </c>
      <c r="H978" s="115">
        <v>0</v>
      </c>
      <c r="I978" s="115">
        <v>0</v>
      </c>
      <c r="J978" s="115">
        <v>0</v>
      </c>
      <c r="K978" s="115">
        <v>0</v>
      </c>
    </row>
    <row r="979" spans="2:11" x14ac:dyDescent="0.25">
      <c r="B979" s="115" t="s">
        <v>1241</v>
      </c>
      <c r="D979" s="115" t="s">
        <v>8710</v>
      </c>
      <c r="E979" s="115" t="s">
        <v>1242</v>
      </c>
      <c r="F979" s="115">
        <v>0</v>
      </c>
      <c r="G979" s="115">
        <v>0</v>
      </c>
      <c r="H979" s="115">
        <v>0</v>
      </c>
      <c r="I979" s="115">
        <v>0</v>
      </c>
      <c r="J979" s="115">
        <v>0</v>
      </c>
      <c r="K979" s="115">
        <v>0</v>
      </c>
    </row>
    <row r="980" spans="2:11" x14ac:dyDescent="0.25">
      <c r="B980" s="115" t="s">
        <v>1241</v>
      </c>
      <c r="D980" s="115" t="s">
        <v>8710</v>
      </c>
      <c r="E980" s="115" t="s">
        <v>1242</v>
      </c>
      <c r="F980" s="115">
        <v>0</v>
      </c>
      <c r="G980" s="115">
        <v>0</v>
      </c>
      <c r="H980" s="115">
        <v>0</v>
      </c>
      <c r="I980" s="115">
        <v>0</v>
      </c>
      <c r="J980" s="115">
        <v>0</v>
      </c>
      <c r="K980" s="115">
        <v>0</v>
      </c>
    </row>
    <row r="981" spans="2:11" x14ac:dyDescent="0.25">
      <c r="B981" s="115" t="s">
        <v>1241</v>
      </c>
      <c r="D981" s="115" t="s">
        <v>8710</v>
      </c>
      <c r="E981" s="115" t="s">
        <v>1242</v>
      </c>
      <c r="F981" s="115">
        <v>0</v>
      </c>
      <c r="G981" s="115">
        <v>0</v>
      </c>
      <c r="H981" s="115">
        <v>0</v>
      </c>
      <c r="I981" s="115">
        <v>0</v>
      </c>
      <c r="J981" s="115">
        <v>0</v>
      </c>
      <c r="K981" s="115">
        <v>0</v>
      </c>
    </row>
    <row r="982" spans="2:11" x14ac:dyDescent="0.25">
      <c r="B982" s="115" t="s">
        <v>1241</v>
      </c>
      <c r="D982" s="115" t="s">
        <v>8710</v>
      </c>
      <c r="E982" s="115" t="s">
        <v>1242</v>
      </c>
      <c r="F982" s="115">
        <v>0</v>
      </c>
      <c r="G982" s="115">
        <v>0</v>
      </c>
      <c r="H982" s="115">
        <v>0</v>
      </c>
      <c r="I982" s="115">
        <v>0</v>
      </c>
      <c r="J982" s="115">
        <v>0</v>
      </c>
      <c r="K982" s="115">
        <v>0</v>
      </c>
    </row>
    <row r="983" spans="2:11" x14ac:dyDescent="0.25">
      <c r="B983" s="115" t="s">
        <v>1241</v>
      </c>
      <c r="D983" s="115" t="s">
        <v>8710</v>
      </c>
      <c r="E983" s="115" t="s">
        <v>1242</v>
      </c>
      <c r="F983" s="115">
        <v>0</v>
      </c>
      <c r="G983" s="115">
        <v>0</v>
      </c>
      <c r="H983" s="115">
        <v>0</v>
      </c>
      <c r="I983" s="115">
        <v>0</v>
      </c>
      <c r="J983" s="115">
        <v>0</v>
      </c>
      <c r="K983" s="115">
        <v>0</v>
      </c>
    </row>
    <row r="984" spans="2:11" x14ac:dyDescent="0.25">
      <c r="B984" s="115" t="s">
        <v>1241</v>
      </c>
      <c r="D984" s="115" t="s">
        <v>8710</v>
      </c>
      <c r="E984" s="115" t="s">
        <v>1242</v>
      </c>
      <c r="F984" s="115">
        <v>0</v>
      </c>
      <c r="G984" s="115">
        <v>0</v>
      </c>
      <c r="H984" s="115">
        <v>0</v>
      </c>
      <c r="I984" s="115">
        <v>0</v>
      </c>
      <c r="J984" s="115">
        <v>0</v>
      </c>
      <c r="K984" s="115">
        <v>0</v>
      </c>
    </row>
    <row r="985" spans="2:11" x14ac:dyDescent="0.25">
      <c r="B985" s="115" t="s">
        <v>1241</v>
      </c>
      <c r="D985" s="115" t="s">
        <v>8710</v>
      </c>
      <c r="E985" s="115" t="s">
        <v>1242</v>
      </c>
      <c r="F985" s="115">
        <v>0</v>
      </c>
      <c r="G985" s="115">
        <v>0</v>
      </c>
      <c r="H985" s="115">
        <v>0</v>
      </c>
      <c r="I985" s="115">
        <v>0</v>
      </c>
      <c r="J985" s="115">
        <v>0</v>
      </c>
      <c r="K985" s="115">
        <v>0</v>
      </c>
    </row>
    <row r="986" spans="2:11" x14ac:dyDescent="0.25">
      <c r="B986" s="115" t="s">
        <v>1241</v>
      </c>
      <c r="D986" s="115" t="s">
        <v>8710</v>
      </c>
      <c r="E986" s="115" t="s">
        <v>1242</v>
      </c>
      <c r="F986" s="115">
        <v>0</v>
      </c>
      <c r="G986" s="115">
        <v>0</v>
      </c>
      <c r="H986" s="115">
        <v>0</v>
      </c>
      <c r="I986" s="115">
        <v>0</v>
      </c>
      <c r="J986" s="115">
        <v>0</v>
      </c>
      <c r="K986" s="115">
        <v>0</v>
      </c>
    </row>
    <row r="987" spans="2:11" x14ac:dyDescent="0.25">
      <c r="B987" s="115" t="s">
        <v>1241</v>
      </c>
      <c r="D987" s="115" t="s">
        <v>8710</v>
      </c>
      <c r="E987" s="115" t="s">
        <v>1242</v>
      </c>
      <c r="F987" s="115">
        <v>0</v>
      </c>
      <c r="G987" s="115">
        <v>0</v>
      </c>
      <c r="H987" s="115">
        <v>0</v>
      </c>
      <c r="I987" s="115">
        <v>0</v>
      </c>
      <c r="J987" s="115">
        <v>0</v>
      </c>
      <c r="K987" s="115">
        <v>0</v>
      </c>
    </row>
    <row r="988" spans="2:11" x14ac:dyDescent="0.25">
      <c r="B988" s="115" t="s">
        <v>1241</v>
      </c>
      <c r="D988" s="115" t="s">
        <v>8710</v>
      </c>
      <c r="E988" s="115" t="s">
        <v>1242</v>
      </c>
      <c r="F988" s="115">
        <v>0</v>
      </c>
      <c r="G988" s="115">
        <v>0</v>
      </c>
      <c r="H988" s="115">
        <v>0</v>
      </c>
      <c r="I988" s="115">
        <v>0</v>
      </c>
      <c r="J988" s="115">
        <v>0</v>
      </c>
      <c r="K988" s="115">
        <v>0</v>
      </c>
    </row>
    <row r="989" spans="2:11" x14ac:dyDescent="0.25">
      <c r="B989" s="115" t="s">
        <v>1241</v>
      </c>
      <c r="D989" s="115" t="s">
        <v>8710</v>
      </c>
      <c r="E989" s="115" t="s">
        <v>1242</v>
      </c>
      <c r="F989" s="115">
        <v>0</v>
      </c>
      <c r="G989" s="115">
        <v>0</v>
      </c>
      <c r="H989" s="115">
        <v>0</v>
      </c>
      <c r="I989" s="115">
        <v>0</v>
      </c>
      <c r="J989" s="115">
        <v>0</v>
      </c>
      <c r="K989" s="115">
        <v>0</v>
      </c>
    </row>
    <row r="990" spans="2:11" x14ac:dyDescent="0.25">
      <c r="B990" s="115" t="s">
        <v>1241</v>
      </c>
      <c r="D990" s="115" t="s">
        <v>8710</v>
      </c>
      <c r="E990" s="115" t="s">
        <v>1242</v>
      </c>
      <c r="F990" s="115">
        <v>0</v>
      </c>
      <c r="G990" s="115">
        <v>0</v>
      </c>
      <c r="H990" s="115">
        <v>0</v>
      </c>
      <c r="I990" s="115">
        <v>0</v>
      </c>
      <c r="J990" s="115">
        <v>0</v>
      </c>
      <c r="K990" s="115">
        <v>0</v>
      </c>
    </row>
    <row r="991" spans="2:11" x14ac:dyDescent="0.25">
      <c r="B991" s="115" t="s">
        <v>1241</v>
      </c>
      <c r="D991" s="115" t="s">
        <v>8710</v>
      </c>
      <c r="E991" s="115" t="s">
        <v>1242</v>
      </c>
      <c r="F991" s="115">
        <v>0</v>
      </c>
      <c r="G991" s="115">
        <v>0</v>
      </c>
      <c r="H991" s="115">
        <v>0</v>
      </c>
      <c r="I991" s="115">
        <v>0</v>
      </c>
      <c r="J991" s="115">
        <v>0</v>
      </c>
      <c r="K991" s="115">
        <v>0</v>
      </c>
    </row>
    <row r="992" spans="2:11" x14ac:dyDescent="0.25">
      <c r="B992" s="115" t="s">
        <v>1241</v>
      </c>
      <c r="D992" s="115" t="s">
        <v>8710</v>
      </c>
      <c r="E992" s="115" t="s">
        <v>1242</v>
      </c>
      <c r="F992" s="115">
        <v>0</v>
      </c>
      <c r="G992" s="115">
        <v>0</v>
      </c>
      <c r="H992" s="115">
        <v>0</v>
      </c>
      <c r="I992" s="115">
        <v>0</v>
      </c>
      <c r="J992" s="115">
        <v>0</v>
      </c>
      <c r="K992" s="115">
        <v>0</v>
      </c>
    </row>
    <row r="993" spans="2:11" x14ac:dyDescent="0.25">
      <c r="B993" s="115" t="s">
        <v>1241</v>
      </c>
      <c r="D993" s="115" t="s">
        <v>8710</v>
      </c>
      <c r="E993" s="115" t="s">
        <v>1242</v>
      </c>
      <c r="F993" s="115">
        <v>0</v>
      </c>
      <c r="G993" s="115">
        <v>0</v>
      </c>
      <c r="H993" s="115">
        <v>0</v>
      </c>
      <c r="I993" s="115">
        <v>0</v>
      </c>
      <c r="J993" s="115">
        <v>0</v>
      </c>
      <c r="K993" s="115">
        <v>0</v>
      </c>
    </row>
    <row r="994" spans="2:11" x14ac:dyDescent="0.25">
      <c r="B994" s="115" t="s">
        <v>1241</v>
      </c>
      <c r="D994" s="115" t="s">
        <v>8710</v>
      </c>
      <c r="E994" s="115" t="s">
        <v>1242</v>
      </c>
      <c r="F994" s="115">
        <v>0</v>
      </c>
      <c r="G994" s="115">
        <v>0</v>
      </c>
      <c r="H994" s="115">
        <v>0</v>
      </c>
      <c r="I994" s="115">
        <v>0</v>
      </c>
      <c r="J994" s="115">
        <v>0</v>
      </c>
      <c r="K994" s="115">
        <v>0</v>
      </c>
    </row>
    <row r="995" spans="2:11" x14ac:dyDescent="0.25">
      <c r="B995" s="115" t="s">
        <v>1241</v>
      </c>
      <c r="D995" s="115" t="s">
        <v>8710</v>
      </c>
      <c r="E995" s="115" t="s">
        <v>1242</v>
      </c>
      <c r="F995" s="115">
        <v>0</v>
      </c>
      <c r="G995" s="115">
        <v>0</v>
      </c>
      <c r="H995" s="115">
        <v>0</v>
      </c>
      <c r="I995" s="115">
        <v>0</v>
      </c>
      <c r="J995" s="115">
        <v>0</v>
      </c>
      <c r="K995" s="115">
        <v>0</v>
      </c>
    </row>
    <row r="996" spans="2:11" x14ac:dyDescent="0.25">
      <c r="B996" s="115" t="s">
        <v>1241</v>
      </c>
      <c r="D996" s="115" t="s">
        <v>8710</v>
      </c>
      <c r="E996" s="115" t="s">
        <v>1242</v>
      </c>
      <c r="F996" s="115">
        <v>0</v>
      </c>
      <c r="G996" s="115">
        <v>0</v>
      </c>
      <c r="H996" s="115">
        <v>0</v>
      </c>
      <c r="I996" s="115">
        <v>0</v>
      </c>
      <c r="J996" s="115">
        <v>0</v>
      </c>
      <c r="K996" s="115">
        <v>0</v>
      </c>
    </row>
    <row r="997" spans="2:11" x14ac:dyDescent="0.25">
      <c r="B997" s="115" t="s">
        <v>1241</v>
      </c>
      <c r="D997" s="115" t="s">
        <v>8710</v>
      </c>
      <c r="E997" s="115" t="s">
        <v>1242</v>
      </c>
      <c r="F997" s="115">
        <v>0</v>
      </c>
      <c r="G997" s="115">
        <v>0</v>
      </c>
      <c r="H997" s="115">
        <v>0</v>
      </c>
      <c r="I997" s="115">
        <v>0</v>
      </c>
      <c r="J997" s="115">
        <v>0</v>
      </c>
      <c r="K997" s="115">
        <v>0</v>
      </c>
    </row>
    <row r="998" spans="2:11" x14ac:dyDescent="0.25">
      <c r="B998" s="115" t="s">
        <v>1241</v>
      </c>
      <c r="D998" s="115" t="s">
        <v>8710</v>
      </c>
      <c r="E998" s="115" t="s">
        <v>1242</v>
      </c>
      <c r="F998" s="115">
        <v>0</v>
      </c>
      <c r="G998" s="115">
        <v>0</v>
      </c>
      <c r="H998" s="115">
        <v>0</v>
      </c>
      <c r="I998" s="115">
        <v>0</v>
      </c>
      <c r="J998" s="115">
        <v>0</v>
      </c>
      <c r="K998" s="115">
        <v>0</v>
      </c>
    </row>
    <row r="999" spans="2:11" x14ac:dyDescent="0.25">
      <c r="B999" s="115" t="s">
        <v>1241</v>
      </c>
      <c r="D999" s="115" t="s">
        <v>8710</v>
      </c>
      <c r="E999" s="115" t="s">
        <v>1242</v>
      </c>
      <c r="F999" s="115">
        <v>0</v>
      </c>
      <c r="G999" s="115">
        <v>0</v>
      </c>
      <c r="H999" s="115">
        <v>0</v>
      </c>
      <c r="I999" s="115">
        <v>0</v>
      </c>
      <c r="J999" s="115">
        <v>0</v>
      </c>
      <c r="K999" s="115">
        <v>0</v>
      </c>
    </row>
    <row r="1000" spans="2:11" x14ac:dyDescent="0.25">
      <c r="B1000" s="115" t="s">
        <v>1241</v>
      </c>
      <c r="D1000" s="115" t="s">
        <v>8710</v>
      </c>
      <c r="E1000" s="115" t="s">
        <v>1242</v>
      </c>
      <c r="F1000" s="115">
        <v>0</v>
      </c>
      <c r="G1000" s="115">
        <v>0</v>
      </c>
      <c r="H1000" s="115">
        <v>0</v>
      </c>
      <c r="I1000" s="115">
        <v>0</v>
      </c>
      <c r="J1000" s="115">
        <v>0</v>
      </c>
      <c r="K1000" s="115">
        <v>0</v>
      </c>
    </row>
    <row r="1001" spans="2:11" x14ac:dyDescent="0.25">
      <c r="B1001" s="115" t="s">
        <v>1241</v>
      </c>
      <c r="D1001" s="115" t="s">
        <v>8710</v>
      </c>
      <c r="E1001" s="115" t="s">
        <v>1242</v>
      </c>
      <c r="F1001" s="115">
        <v>0</v>
      </c>
      <c r="G1001" s="115">
        <v>0</v>
      </c>
      <c r="H1001" s="115">
        <v>0</v>
      </c>
      <c r="I1001" s="115">
        <v>0</v>
      </c>
      <c r="J1001" s="115">
        <v>0</v>
      </c>
      <c r="K1001" s="115">
        <v>0</v>
      </c>
    </row>
    <row r="1002" spans="2:11" x14ac:dyDescent="0.25">
      <c r="B1002" s="115" t="s">
        <v>1241</v>
      </c>
      <c r="D1002" s="115" t="s">
        <v>8710</v>
      </c>
      <c r="E1002" s="115" t="s">
        <v>1242</v>
      </c>
      <c r="F1002" s="115">
        <v>0</v>
      </c>
      <c r="G1002" s="115">
        <v>0</v>
      </c>
      <c r="H1002" s="115">
        <v>0</v>
      </c>
      <c r="I1002" s="115">
        <v>0</v>
      </c>
      <c r="J1002" s="115">
        <v>0</v>
      </c>
      <c r="K1002" s="115">
        <v>0</v>
      </c>
    </row>
    <row r="1003" spans="2:11" x14ac:dyDescent="0.25">
      <c r="B1003" s="115" t="s">
        <v>1241</v>
      </c>
      <c r="D1003" s="115" t="s">
        <v>8710</v>
      </c>
      <c r="E1003" s="115" t="s">
        <v>1242</v>
      </c>
      <c r="F1003" s="115">
        <v>0</v>
      </c>
      <c r="G1003" s="115">
        <v>0</v>
      </c>
      <c r="H1003" s="115">
        <v>0</v>
      </c>
      <c r="I1003" s="115">
        <v>0</v>
      </c>
      <c r="J1003" s="115">
        <v>0</v>
      </c>
      <c r="K1003" s="115">
        <v>0</v>
      </c>
    </row>
    <row r="1004" spans="2:11" x14ac:dyDescent="0.25">
      <c r="B1004" s="115" t="s">
        <v>1241</v>
      </c>
      <c r="D1004" s="115" t="s">
        <v>8710</v>
      </c>
      <c r="E1004" s="115" t="s">
        <v>1242</v>
      </c>
      <c r="F1004" s="115">
        <v>0</v>
      </c>
      <c r="G1004" s="115">
        <v>0</v>
      </c>
      <c r="H1004" s="115">
        <v>0</v>
      </c>
      <c r="I1004" s="115">
        <v>0</v>
      </c>
      <c r="J1004" s="115">
        <v>0</v>
      </c>
      <c r="K1004" s="115">
        <v>0</v>
      </c>
    </row>
    <row r="1005" spans="2:11" x14ac:dyDescent="0.25">
      <c r="B1005" s="115" t="s">
        <v>1241</v>
      </c>
      <c r="D1005" s="115" t="s">
        <v>8710</v>
      </c>
      <c r="E1005" s="115" t="s">
        <v>1242</v>
      </c>
      <c r="F1005" s="115">
        <v>0</v>
      </c>
      <c r="G1005" s="115">
        <v>0</v>
      </c>
      <c r="H1005" s="115">
        <v>0</v>
      </c>
      <c r="I1005" s="115">
        <v>0</v>
      </c>
      <c r="J1005" s="115">
        <v>0</v>
      </c>
      <c r="K1005" s="115">
        <v>0</v>
      </c>
    </row>
    <row r="1006" spans="2:11" x14ac:dyDescent="0.25">
      <c r="B1006" s="115" t="s">
        <v>1241</v>
      </c>
      <c r="D1006" s="115" t="s">
        <v>9051</v>
      </c>
      <c r="E1006" s="115" t="s">
        <v>1756</v>
      </c>
      <c r="F1006" s="115">
        <v>0</v>
      </c>
      <c r="G1006" s="115">
        <v>-699</v>
      </c>
      <c r="H1006" s="115">
        <v>109</v>
      </c>
      <c r="I1006" s="115">
        <v>-456</v>
      </c>
      <c r="J1006" s="115">
        <v>-331</v>
      </c>
      <c r="K1006" s="115">
        <v>211</v>
      </c>
    </row>
    <row r="1007" spans="2:11" x14ac:dyDescent="0.25">
      <c r="B1007" s="115" t="s">
        <v>1241</v>
      </c>
      <c r="D1007" s="115" t="s">
        <v>9052</v>
      </c>
      <c r="E1007" s="115" t="s">
        <v>1757</v>
      </c>
      <c r="F1007" s="115">
        <v>0</v>
      </c>
      <c r="G1007" s="115">
        <v>0</v>
      </c>
      <c r="H1007" s="115">
        <v>455</v>
      </c>
      <c r="I1007" s="115">
        <v>6771</v>
      </c>
      <c r="J1007" s="115">
        <v>0</v>
      </c>
      <c r="K1007" s="115">
        <v>0</v>
      </c>
    </row>
    <row r="1008" spans="2:11" x14ac:dyDescent="0.25">
      <c r="B1008" s="115" t="s">
        <v>1241</v>
      </c>
      <c r="D1008" s="115" t="s">
        <v>9053</v>
      </c>
      <c r="E1008" s="115" t="s">
        <v>1758</v>
      </c>
      <c r="F1008" s="115">
        <v>-3</v>
      </c>
      <c r="G1008" s="115">
        <v>0</v>
      </c>
      <c r="H1008" s="115">
        <v>0</v>
      </c>
      <c r="I1008" s="115">
        <v>-303</v>
      </c>
      <c r="J1008" s="115">
        <v>0</v>
      </c>
      <c r="K1008" s="115">
        <v>359</v>
      </c>
    </row>
    <row r="1009" spans="1:11" x14ac:dyDescent="0.25">
      <c r="B1009" s="115" t="s">
        <v>1759</v>
      </c>
      <c r="D1009" s="115" t="s">
        <v>9054</v>
      </c>
      <c r="E1009" s="115" t="s">
        <v>1760</v>
      </c>
      <c r="F1009" s="115">
        <v>0</v>
      </c>
      <c r="G1009" s="115">
        <v>-387</v>
      </c>
      <c r="H1009" s="115">
        <v>-32</v>
      </c>
      <c r="I1009" s="115">
        <v>-199</v>
      </c>
      <c r="J1009" s="115">
        <v>241</v>
      </c>
      <c r="K1009" s="115">
        <v>296</v>
      </c>
    </row>
    <row r="1010" spans="1:11" x14ac:dyDescent="0.25">
      <c r="B1010" s="115" t="s">
        <v>1761</v>
      </c>
      <c r="D1010" s="115" t="s">
        <v>9055</v>
      </c>
      <c r="E1010" s="115" t="s">
        <v>1762</v>
      </c>
      <c r="F1010" s="115">
        <v>0</v>
      </c>
      <c r="G1010" s="115">
        <v>0</v>
      </c>
      <c r="H1010" s="115">
        <v>0</v>
      </c>
      <c r="I1010" s="115">
        <v>0</v>
      </c>
      <c r="J1010" s="115">
        <v>4138</v>
      </c>
      <c r="K1010" s="115">
        <v>0</v>
      </c>
    </row>
    <row r="1011" spans="1:11" x14ac:dyDescent="0.25">
      <c r="B1011" s="115" t="s">
        <v>1241</v>
      </c>
      <c r="D1011" s="115" t="s">
        <v>9056</v>
      </c>
      <c r="E1011" s="115" t="s">
        <v>1242</v>
      </c>
      <c r="F1011" s="115">
        <v>180</v>
      </c>
      <c r="G1011" s="115">
        <v>0</v>
      </c>
      <c r="H1011" s="115">
        <v>0</v>
      </c>
      <c r="I1011" s="115">
        <v>0</v>
      </c>
      <c r="J1011" s="115">
        <v>0</v>
      </c>
      <c r="K1011" s="115">
        <v>0</v>
      </c>
    </row>
    <row r="1012" spans="1:11" x14ac:dyDescent="0.25">
      <c r="B1012" s="115" t="s">
        <v>1763</v>
      </c>
      <c r="D1012" s="115" t="s">
        <v>9057</v>
      </c>
      <c r="E1012" s="115" t="s">
        <v>1764</v>
      </c>
      <c r="F1012" s="115">
        <v>0</v>
      </c>
      <c r="G1012" s="115">
        <v>0</v>
      </c>
      <c r="H1012" s="115">
        <v>962</v>
      </c>
      <c r="I1012" s="115">
        <v>235</v>
      </c>
      <c r="J1012" s="115">
        <v>0</v>
      </c>
      <c r="K1012" s="115">
        <v>79</v>
      </c>
    </row>
    <row r="1013" spans="1:11" x14ac:dyDescent="0.25">
      <c r="B1013" s="115" t="s">
        <v>1241</v>
      </c>
      <c r="D1013" s="115" t="s">
        <v>9058</v>
      </c>
      <c r="E1013" s="115" t="s">
        <v>1765</v>
      </c>
      <c r="F1013" s="115">
        <v>-533</v>
      </c>
      <c r="G1013" s="115">
        <v>14</v>
      </c>
      <c r="H1013" s="115">
        <v>-87</v>
      </c>
      <c r="I1013" s="115">
        <v>0</v>
      </c>
      <c r="J1013" s="115">
        <v>0</v>
      </c>
      <c r="K1013" s="115">
        <v>269</v>
      </c>
    </row>
    <row r="1014" spans="1:11" x14ac:dyDescent="0.25">
      <c r="A1014" s="115" t="s">
        <v>1239</v>
      </c>
      <c r="B1014" s="115" t="s">
        <v>1766</v>
      </c>
      <c r="C1014" s="115" t="s">
        <v>1239</v>
      </c>
      <c r="D1014" s="115" t="s">
        <v>9059</v>
      </c>
      <c r="E1014" s="115" t="s">
        <v>1767</v>
      </c>
      <c r="F1014" s="115">
        <v>-245</v>
      </c>
      <c r="G1014" s="115">
        <v>-690</v>
      </c>
      <c r="H1014" s="115">
        <v>48</v>
      </c>
      <c r="I1014" s="115">
        <v>1324</v>
      </c>
      <c r="J1014" s="115">
        <v>-120</v>
      </c>
      <c r="K1014" s="115">
        <v>0</v>
      </c>
    </row>
    <row r="1015" spans="1:11" x14ac:dyDescent="0.25">
      <c r="B1015" s="115" t="s">
        <v>1241</v>
      </c>
      <c r="D1015" s="115" t="s">
        <v>9060</v>
      </c>
      <c r="E1015" s="115" t="s">
        <v>1768</v>
      </c>
      <c r="F1015" s="115">
        <v>-229</v>
      </c>
      <c r="G1015" s="115">
        <v>0</v>
      </c>
      <c r="H1015" s="115">
        <v>-88</v>
      </c>
      <c r="I1015" s="115">
        <v>-742</v>
      </c>
      <c r="J1015" s="115">
        <v>-353</v>
      </c>
      <c r="K1015" s="115">
        <v>0</v>
      </c>
    </row>
    <row r="1016" spans="1:11" x14ac:dyDescent="0.25">
      <c r="B1016" s="115" t="s">
        <v>1769</v>
      </c>
      <c r="C1016" s="115" t="s">
        <v>1239</v>
      </c>
      <c r="D1016" s="115" t="s">
        <v>9061</v>
      </c>
      <c r="E1016" s="115" t="s">
        <v>1770</v>
      </c>
      <c r="F1016" s="115">
        <v>-9360</v>
      </c>
      <c r="G1016" s="115">
        <v>0</v>
      </c>
      <c r="H1016" s="115">
        <v>553</v>
      </c>
      <c r="I1016" s="115">
        <v>-42</v>
      </c>
      <c r="J1016" s="115">
        <v>1014</v>
      </c>
      <c r="K1016" s="115">
        <v>-803</v>
      </c>
    </row>
    <row r="1017" spans="1:11" x14ac:dyDescent="0.25">
      <c r="B1017" s="115" t="s">
        <v>1771</v>
      </c>
      <c r="D1017" s="115" t="s">
        <v>9062</v>
      </c>
      <c r="E1017" s="115" t="s">
        <v>1772</v>
      </c>
      <c r="F1017" s="115">
        <v>0</v>
      </c>
      <c r="G1017" s="115">
        <v>0</v>
      </c>
      <c r="H1017" s="115">
        <v>-201</v>
      </c>
      <c r="I1017" s="115">
        <v>331</v>
      </c>
      <c r="J1017" s="115">
        <v>371</v>
      </c>
      <c r="K1017" s="115">
        <v>121</v>
      </c>
    </row>
    <row r="1018" spans="1:11" x14ac:dyDescent="0.25">
      <c r="A1018" s="115" t="s">
        <v>1239</v>
      </c>
      <c r="B1018" s="115" t="s">
        <v>1773</v>
      </c>
      <c r="D1018" s="115" t="s">
        <v>9063</v>
      </c>
      <c r="E1018" s="115" t="s">
        <v>1774</v>
      </c>
      <c r="F1018" s="115">
        <v>0</v>
      </c>
      <c r="G1018" s="115">
        <v>0</v>
      </c>
      <c r="H1018" s="115">
        <v>0</v>
      </c>
      <c r="I1018" s="115">
        <v>-2110</v>
      </c>
      <c r="J1018" s="115">
        <v>24</v>
      </c>
      <c r="K1018" s="115">
        <v>0</v>
      </c>
    </row>
    <row r="1019" spans="1:11" x14ac:dyDescent="0.25">
      <c r="B1019" s="115" t="s">
        <v>1241</v>
      </c>
      <c r="D1019" s="115" t="s">
        <v>9064</v>
      </c>
      <c r="E1019" s="115" t="s">
        <v>1775</v>
      </c>
      <c r="F1019" s="115">
        <v>0</v>
      </c>
      <c r="G1019" s="115">
        <v>-169</v>
      </c>
      <c r="H1019" s="115">
        <v>0</v>
      </c>
      <c r="I1019" s="115">
        <v>0</v>
      </c>
      <c r="J1019" s="115">
        <v>-81</v>
      </c>
      <c r="K1019" s="115">
        <v>0</v>
      </c>
    </row>
    <row r="1020" spans="1:11" x14ac:dyDescent="0.25">
      <c r="B1020" s="115" t="s">
        <v>1776</v>
      </c>
      <c r="D1020" s="115" t="s">
        <v>9065</v>
      </c>
      <c r="E1020" s="115" t="s">
        <v>1777</v>
      </c>
      <c r="F1020" s="115">
        <v>-339</v>
      </c>
      <c r="G1020" s="115">
        <v>0</v>
      </c>
      <c r="H1020" s="115">
        <v>581</v>
      </c>
      <c r="I1020" s="115">
        <v>324</v>
      </c>
      <c r="J1020" s="115">
        <v>84</v>
      </c>
      <c r="K1020" s="115">
        <v>-344</v>
      </c>
    </row>
    <row r="1021" spans="1:11" x14ac:dyDescent="0.25">
      <c r="A1021" s="115" t="s">
        <v>1239</v>
      </c>
      <c r="B1021" s="115" t="s">
        <v>1778</v>
      </c>
      <c r="D1021" s="115" t="s">
        <v>9066</v>
      </c>
      <c r="E1021" s="115" t="s">
        <v>1779</v>
      </c>
      <c r="F1021" s="115">
        <v>0</v>
      </c>
      <c r="G1021" s="115">
        <v>0</v>
      </c>
      <c r="H1021" s="115">
        <v>0</v>
      </c>
      <c r="I1021" s="115">
        <v>0</v>
      </c>
      <c r="J1021" s="115">
        <v>0</v>
      </c>
      <c r="K1021" s="115">
        <v>-81</v>
      </c>
    </row>
    <row r="1022" spans="1:11" x14ac:dyDescent="0.25">
      <c r="B1022" s="115" t="s">
        <v>1241</v>
      </c>
      <c r="D1022" s="115" t="s">
        <v>9067</v>
      </c>
      <c r="E1022" s="115" t="s">
        <v>1780</v>
      </c>
      <c r="F1022" s="115">
        <v>0</v>
      </c>
      <c r="G1022" s="115">
        <v>-94</v>
      </c>
      <c r="H1022" s="115">
        <v>0</v>
      </c>
      <c r="I1022" s="115">
        <v>0</v>
      </c>
      <c r="J1022" s="115">
        <v>0</v>
      </c>
      <c r="K1022" s="115">
        <v>0</v>
      </c>
    </row>
    <row r="1023" spans="1:11" x14ac:dyDescent="0.25">
      <c r="B1023" s="115" t="s">
        <v>1781</v>
      </c>
      <c r="D1023" s="115" t="s">
        <v>9068</v>
      </c>
      <c r="E1023" s="115" t="s">
        <v>1782</v>
      </c>
      <c r="F1023" s="115">
        <v>-158</v>
      </c>
      <c r="G1023" s="115">
        <v>0</v>
      </c>
      <c r="H1023" s="115">
        <v>0</v>
      </c>
      <c r="I1023" s="115">
        <v>2323</v>
      </c>
      <c r="J1023" s="115">
        <v>1262</v>
      </c>
      <c r="K1023" s="115">
        <v>0</v>
      </c>
    </row>
    <row r="1024" spans="1:11" x14ac:dyDescent="0.25">
      <c r="B1024" s="115" t="s">
        <v>1783</v>
      </c>
      <c r="D1024" s="115" t="s">
        <v>9069</v>
      </c>
      <c r="E1024" s="115" t="s">
        <v>1784</v>
      </c>
      <c r="F1024" s="115">
        <v>0</v>
      </c>
      <c r="G1024" s="115">
        <v>-675</v>
      </c>
      <c r="H1024" s="115">
        <v>-433</v>
      </c>
      <c r="I1024" s="115">
        <v>-74</v>
      </c>
      <c r="J1024" s="115">
        <v>0</v>
      </c>
      <c r="K1024" s="115">
        <v>0</v>
      </c>
    </row>
    <row r="1025" spans="1:11" x14ac:dyDescent="0.25">
      <c r="B1025" s="115" t="s">
        <v>1785</v>
      </c>
      <c r="D1025" s="115" t="s">
        <v>9070</v>
      </c>
      <c r="E1025" s="115">
        <f>-53  -2039   -678   -777   -873</f>
        <v>-4420</v>
      </c>
      <c r="F1025" s="115">
        <v>-4404</v>
      </c>
      <c r="G1025" s="115">
        <v>-53</v>
      </c>
      <c r="H1025" s="115">
        <v>-2039</v>
      </c>
      <c r="I1025" s="115">
        <v>-678</v>
      </c>
      <c r="J1025" s="115">
        <v>-777</v>
      </c>
      <c r="K1025" s="115">
        <v>-873</v>
      </c>
    </row>
    <row r="1026" spans="1:11" x14ac:dyDescent="0.25">
      <c r="B1026" s="115" t="s">
        <v>1241</v>
      </c>
      <c r="D1026" s="115" t="s">
        <v>9071</v>
      </c>
      <c r="E1026" s="115" t="s">
        <v>1786</v>
      </c>
      <c r="F1026" s="115">
        <v>0</v>
      </c>
      <c r="G1026" s="115">
        <v>-1026</v>
      </c>
      <c r="H1026" s="115">
        <v>0</v>
      </c>
      <c r="I1026" s="115">
        <v>-575</v>
      </c>
      <c r="J1026" s="115">
        <v>-2350</v>
      </c>
      <c r="K1026" s="115">
        <v>-1338</v>
      </c>
    </row>
    <row r="1027" spans="1:11" x14ac:dyDescent="0.25">
      <c r="B1027" s="115" t="s">
        <v>1787</v>
      </c>
      <c r="C1027" s="115" t="s">
        <v>1239</v>
      </c>
      <c r="D1027" s="115" t="s">
        <v>9072</v>
      </c>
      <c r="E1027" s="115" t="s">
        <v>1788</v>
      </c>
      <c r="F1027" s="115">
        <v>13464</v>
      </c>
      <c r="G1027" s="115">
        <v>-8086</v>
      </c>
      <c r="H1027" s="115">
        <v>0</v>
      </c>
      <c r="I1027" s="115">
        <v>8667</v>
      </c>
      <c r="J1027" s="115">
        <v>12056</v>
      </c>
      <c r="K1027" s="115">
        <v>10968</v>
      </c>
    </row>
    <row r="1028" spans="1:11" x14ac:dyDescent="0.25">
      <c r="A1028" s="115">
        <v>4</v>
      </c>
      <c r="B1028" s="115" t="s">
        <v>1789</v>
      </c>
      <c r="C1028" s="115" t="s">
        <v>1239</v>
      </c>
      <c r="D1028" s="115" t="s">
        <v>9073</v>
      </c>
      <c r="E1028" s="115" t="s">
        <v>1790</v>
      </c>
      <c r="F1028" s="115">
        <v>0</v>
      </c>
      <c r="G1028" s="115">
        <v>0</v>
      </c>
      <c r="H1028" s="115">
        <v>0</v>
      </c>
      <c r="I1028" s="115">
        <v>-17388</v>
      </c>
      <c r="J1028" s="115">
        <v>0</v>
      </c>
      <c r="K1028" s="115">
        <v>0</v>
      </c>
    </row>
    <row r="1029" spans="1:11" x14ac:dyDescent="0.25">
      <c r="B1029" s="115" t="s">
        <v>1241</v>
      </c>
      <c r="D1029" s="115" t="s">
        <v>8710</v>
      </c>
      <c r="E1029" s="115" t="s">
        <v>1242</v>
      </c>
      <c r="F1029" s="115">
        <v>0</v>
      </c>
      <c r="G1029" s="115">
        <v>0</v>
      </c>
      <c r="H1029" s="115">
        <v>0</v>
      </c>
      <c r="I1029" s="115">
        <v>0</v>
      </c>
      <c r="J1029" s="115">
        <v>0</v>
      </c>
      <c r="K1029" s="115">
        <v>0</v>
      </c>
    </row>
    <row r="1030" spans="1:11" x14ac:dyDescent="0.25">
      <c r="B1030" s="115" t="s">
        <v>1241</v>
      </c>
      <c r="D1030" s="115" t="s">
        <v>8710</v>
      </c>
      <c r="E1030" s="115" t="s">
        <v>1242</v>
      </c>
      <c r="F1030" s="115">
        <v>0</v>
      </c>
      <c r="G1030" s="115">
        <v>0</v>
      </c>
      <c r="H1030" s="115">
        <v>0</v>
      </c>
      <c r="I1030" s="115">
        <v>0</v>
      </c>
      <c r="J1030" s="115">
        <v>0</v>
      </c>
      <c r="K1030" s="115">
        <v>0</v>
      </c>
    </row>
    <row r="1031" spans="1:11" x14ac:dyDescent="0.25">
      <c r="B1031" s="115" t="s">
        <v>1241</v>
      </c>
      <c r="D1031" s="115" t="s">
        <v>8710</v>
      </c>
      <c r="E1031" s="115" t="s">
        <v>1242</v>
      </c>
      <c r="F1031" s="115">
        <v>0</v>
      </c>
      <c r="G1031" s="115">
        <v>0</v>
      </c>
      <c r="H1031" s="115">
        <v>0</v>
      </c>
      <c r="I1031" s="115">
        <v>0</v>
      </c>
      <c r="J1031" s="115">
        <v>0</v>
      </c>
      <c r="K1031" s="115">
        <v>0</v>
      </c>
    </row>
    <row r="1032" spans="1:11" x14ac:dyDescent="0.25">
      <c r="B1032" s="115" t="s">
        <v>1241</v>
      </c>
      <c r="D1032" s="115" t="s">
        <v>8710</v>
      </c>
      <c r="E1032" s="115" t="s">
        <v>1242</v>
      </c>
      <c r="F1032" s="115">
        <v>0</v>
      </c>
      <c r="G1032" s="115">
        <v>0</v>
      </c>
      <c r="H1032" s="115">
        <v>0</v>
      </c>
      <c r="I1032" s="115">
        <v>0</v>
      </c>
      <c r="J1032" s="115">
        <v>0</v>
      </c>
      <c r="K1032" s="115">
        <v>0</v>
      </c>
    </row>
    <row r="1033" spans="1:11" x14ac:dyDescent="0.25">
      <c r="B1033" s="115" t="s">
        <v>1241</v>
      </c>
      <c r="D1033" s="115" t="s">
        <v>8710</v>
      </c>
      <c r="E1033" s="115" t="s">
        <v>1242</v>
      </c>
      <c r="F1033" s="115">
        <v>0</v>
      </c>
      <c r="G1033" s="115">
        <v>0</v>
      </c>
      <c r="H1033" s="115">
        <v>0</v>
      </c>
      <c r="I1033" s="115">
        <v>0</v>
      </c>
      <c r="J1033" s="115">
        <v>0</v>
      </c>
      <c r="K1033" s="115">
        <v>0</v>
      </c>
    </row>
    <row r="1034" spans="1:11" x14ac:dyDescent="0.25">
      <c r="B1034" s="115" t="s">
        <v>1241</v>
      </c>
      <c r="D1034" s="115" t="s">
        <v>8710</v>
      </c>
      <c r="E1034" s="115" t="s">
        <v>1242</v>
      </c>
      <c r="F1034" s="115">
        <v>0</v>
      </c>
      <c r="G1034" s="115">
        <v>0</v>
      </c>
      <c r="H1034" s="115">
        <v>0</v>
      </c>
      <c r="I1034" s="115">
        <v>0</v>
      </c>
      <c r="J1034" s="115">
        <v>0</v>
      </c>
      <c r="K1034" s="115">
        <v>0</v>
      </c>
    </row>
    <row r="1035" spans="1:11" x14ac:dyDescent="0.25">
      <c r="B1035" s="115" t="s">
        <v>1241</v>
      </c>
      <c r="D1035" s="115" t="s">
        <v>8710</v>
      </c>
      <c r="E1035" s="115" t="s">
        <v>1242</v>
      </c>
      <c r="F1035" s="115">
        <v>0</v>
      </c>
      <c r="G1035" s="115">
        <v>0</v>
      </c>
      <c r="H1035" s="115">
        <v>0</v>
      </c>
      <c r="I1035" s="115">
        <v>0</v>
      </c>
      <c r="J1035" s="115">
        <v>0</v>
      </c>
      <c r="K1035" s="115">
        <v>0</v>
      </c>
    </row>
    <row r="1036" spans="1:11" x14ac:dyDescent="0.25">
      <c r="B1036" s="115" t="s">
        <v>1241</v>
      </c>
      <c r="D1036" s="115" t="s">
        <v>8710</v>
      </c>
      <c r="E1036" s="115" t="s">
        <v>1242</v>
      </c>
      <c r="F1036" s="115">
        <v>0</v>
      </c>
      <c r="G1036" s="115">
        <v>0</v>
      </c>
      <c r="H1036" s="115">
        <v>0</v>
      </c>
      <c r="I1036" s="115">
        <v>0</v>
      </c>
      <c r="J1036" s="115">
        <v>0</v>
      </c>
      <c r="K1036" s="115">
        <v>0</v>
      </c>
    </row>
    <row r="1037" spans="1:11" x14ac:dyDescent="0.25">
      <c r="B1037" s="115" t="s">
        <v>1241</v>
      </c>
      <c r="D1037" s="115" t="s">
        <v>8710</v>
      </c>
      <c r="E1037" s="115" t="s">
        <v>1242</v>
      </c>
      <c r="F1037" s="115">
        <v>0</v>
      </c>
      <c r="G1037" s="115">
        <v>0</v>
      </c>
      <c r="H1037" s="115">
        <v>0</v>
      </c>
      <c r="I1037" s="115">
        <v>0</v>
      </c>
      <c r="J1037" s="115">
        <v>0</v>
      </c>
      <c r="K1037" s="115">
        <v>0</v>
      </c>
    </row>
    <row r="1038" spans="1:11" x14ac:dyDescent="0.25">
      <c r="B1038" s="115" t="s">
        <v>1241</v>
      </c>
      <c r="D1038" s="115" t="s">
        <v>8710</v>
      </c>
      <c r="E1038" s="115" t="s">
        <v>1242</v>
      </c>
      <c r="F1038" s="115">
        <v>0</v>
      </c>
      <c r="G1038" s="115">
        <v>0</v>
      </c>
      <c r="H1038" s="115">
        <v>0</v>
      </c>
      <c r="I1038" s="115">
        <v>0</v>
      </c>
      <c r="J1038" s="115">
        <v>0</v>
      </c>
      <c r="K1038" s="115">
        <v>0</v>
      </c>
    </row>
    <row r="1039" spans="1:11" x14ac:dyDescent="0.25">
      <c r="B1039" s="115" t="s">
        <v>1241</v>
      </c>
      <c r="D1039" s="115" t="s">
        <v>8710</v>
      </c>
      <c r="E1039" s="115" t="s">
        <v>1242</v>
      </c>
      <c r="F1039" s="115">
        <v>0</v>
      </c>
      <c r="G1039" s="115">
        <v>0</v>
      </c>
      <c r="H1039" s="115">
        <v>0</v>
      </c>
      <c r="I1039" s="115">
        <v>0</v>
      </c>
      <c r="J1039" s="115">
        <v>0</v>
      </c>
      <c r="K1039" s="115">
        <v>0</v>
      </c>
    </row>
    <row r="1040" spans="1:11" x14ac:dyDescent="0.25">
      <c r="B1040" s="115" t="s">
        <v>1791</v>
      </c>
      <c r="D1040" s="115" t="s">
        <v>9074</v>
      </c>
      <c r="E1040" s="115" t="s">
        <v>1792</v>
      </c>
      <c r="F1040" s="115">
        <v>-384</v>
      </c>
      <c r="G1040" s="115">
        <v>-675</v>
      </c>
      <c r="H1040" s="115">
        <v>0</v>
      </c>
      <c r="I1040" s="115">
        <v>0</v>
      </c>
      <c r="J1040" s="115">
        <v>-10</v>
      </c>
      <c r="K1040" s="115">
        <v>0</v>
      </c>
    </row>
    <row r="1041" spans="1:11" x14ac:dyDescent="0.25">
      <c r="B1041" s="115" t="s">
        <v>1241</v>
      </c>
      <c r="C1041" s="115" t="s">
        <v>1239</v>
      </c>
      <c r="D1041" s="115" t="s">
        <v>9075</v>
      </c>
      <c r="E1041" s="115" t="s">
        <v>1242</v>
      </c>
      <c r="F1041" s="115">
        <v>0</v>
      </c>
      <c r="G1041" s="115">
        <v>0</v>
      </c>
      <c r="H1041" s="115">
        <v>0</v>
      </c>
      <c r="I1041" s="115">
        <v>0</v>
      </c>
      <c r="J1041" s="115">
        <v>0</v>
      </c>
      <c r="K1041" s="115">
        <v>0</v>
      </c>
    </row>
    <row r="1042" spans="1:11" x14ac:dyDescent="0.25">
      <c r="B1042" s="115" t="s">
        <v>1793</v>
      </c>
      <c r="D1042" s="115" t="s">
        <v>9076</v>
      </c>
      <c r="E1042" s="115" t="s">
        <v>1794</v>
      </c>
      <c r="F1042" s="115">
        <v>0</v>
      </c>
      <c r="G1042" s="115">
        <v>325</v>
      </c>
      <c r="H1042" s="115">
        <v>0</v>
      </c>
      <c r="I1042" s="115">
        <v>442</v>
      </c>
      <c r="J1042" s="115">
        <v>-225</v>
      </c>
      <c r="K1042" s="115">
        <v>451</v>
      </c>
    </row>
    <row r="1043" spans="1:11" x14ac:dyDescent="0.25">
      <c r="B1043" s="115" t="s">
        <v>1795</v>
      </c>
      <c r="D1043" s="115" t="s">
        <v>9077</v>
      </c>
      <c r="E1043" s="115" t="s">
        <v>1796</v>
      </c>
      <c r="F1043" s="115">
        <v>-262</v>
      </c>
      <c r="G1043" s="115">
        <v>-172</v>
      </c>
      <c r="H1043" s="115">
        <v>-146</v>
      </c>
      <c r="I1043" s="115">
        <v>0</v>
      </c>
      <c r="J1043" s="115">
        <v>-100</v>
      </c>
      <c r="K1043" s="115">
        <v>0</v>
      </c>
    </row>
    <row r="1044" spans="1:11" x14ac:dyDescent="0.25">
      <c r="B1044" s="115" t="s">
        <v>1241</v>
      </c>
      <c r="D1044" s="115" t="s">
        <v>9078</v>
      </c>
      <c r="E1044" s="115" t="s">
        <v>1797</v>
      </c>
      <c r="F1044" s="115">
        <v>156</v>
      </c>
      <c r="G1044" s="115">
        <v>0</v>
      </c>
      <c r="H1044" s="115">
        <v>0</v>
      </c>
      <c r="I1044" s="115">
        <v>0</v>
      </c>
      <c r="J1044" s="115">
        <v>474</v>
      </c>
      <c r="K1044" s="115">
        <v>0</v>
      </c>
    </row>
    <row r="1045" spans="1:11" x14ac:dyDescent="0.25">
      <c r="B1045" s="115" t="s">
        <v>1798</v>
      </c>
      <c r="D1045" s="115" t="s">
        <v>9079</v>
      </c>
      <c r="E1045" s="115" t="s">
        <v>1799</v>
      </c>
      <c r="F1045" s="115">
        <v>0</v>
      </c>
      <c r="G1045" s="115">
        <v>0</v>
      </c>
      <c r="H1045" s="115">
        <v>-215</v>
      </c>
      <c r="I1045" s="115">
        <v>0</v>
      </c>
      <c r="J1045" s="115">
        <v>81</v>
      </c>
      <c r="K1045" s="115">
        <v>320</v>
      </c>
    </row>
    <row r="1046" spans="1:11" x14ac:dyDescent="0.25">
      <c r="B1046" s="115" t="s">
        <v>1241</v>
      </c>
      <c r="D1046" s="115" t="s">
        <v>9080</v>
      </c>
      <c r="E1046" s="115" t="s">
        <v>1380</v>
      </c>
      <c r="F1046" s="115">
        <v>0</v>
      </c>
      <c r="G1046" s="115">
        <v>337</v>
      </c>
      <c r="H1046" s="115">
        <v>0</v>
      </c>
      <c r="I1046" s="115">
        <v>0</v>
      </c>
      <c r="J1046" s="115">
        <v>0</v>
      </c>
      <c r="K1046" s="115">
        <v>0</v>
      </c>
    </row>
    <row r="1047" spans="1:11" x14ac:dyDescent="0.25">
      <c r="A1047" s="115" t="s">
        <v>1239</v>
      </c>
      <c r="B1047" s="115" t="s">
        <v>1800</v>
      </c>
      <c r="D1047" s="115" t="s">
        <v>9081</v>
      </c>
      <c r="E1047" s="115" t="s">
        <v>1801</v>
      </c>
      <c r="F1047" s="115">
        <v>0</v>
      </c>
      <c r="G1047" s="115">
        <v>20</v>
      </c>
      <c r="H1047" s="115">
        <v>-89</v>
      </c>
      <c r="I1047" s="115">
        <v>0</v>
      </c>
      <c r="J1047" s="115">
        <v>-399</v>
      </c>
      <c r="K1047" s="115">
        <v>-1265</v>
      </c>
    </row>
    <row r="1048" spans="1:11" x14ac:dyDescent="0.25">
      <c r="B1048" s="115" t="s">
        <v>1802</v>
      </c>
      <c r="D1048" s="115" t="s">
        <v>9082</v>
      </c>
      <c r="E1048" s="115" t="s">
        <v>1242</v>
      </c>
      <c r="F1048" s="115">
        <v>-953</v>
      </c>
      <c r="G1048" s="115">
        <v>0</v>
      </c>
      <c r="H1048" s="115">
        <v>0</v>
      </c>
      <c r="I1048" s="115">
        <v>0</v>
      </c>
      <c r="J1048" s="115">
        <v>0</v>
      </c>
      <c r="K1048" s="115">
        <v>0</v>
      </c>
    </row>
    <row r="1049" spans="1:11" x14ac:dyDescent="0.25">
      <c r="A1049" s="115" t="s">
        <v>1239</v>
      </c>
      <c r="B1049" s="115" t="s">
        <v>1803</v>
      </c>
      <c r="D1049" s="115" t="s">
        <v>9083</v>
      </c>
      <c r="E1049" s="115" t="s">
        <v>1804</v>
      </c>
      <c r="F1049" s="115">
        <v>-194</v>
      </c>
      <c r="G1049" s="115">
        <v>0</v>
      </c>
      <c r="H1049" s="115">
        <v>-6621</v>
      </c>
      <c r="I1049" s="115">
        <v>-5738</v>
      </c>
      <c r="J1049" s="115">
        <v>8201</v>
      </c>
      <c r="K1049" s="115">
        <v>17004</v>
      </c>
    </row>
    <row r="1050" spans="1:11" x14ac:dyDescent="0.25">
      <c r="A1050" s="115">
        <v>4</v>
      </c>
      <c r="B1050" s="115" t="s">
        <v>1805</v>
      </c>
      <c r="D1050" s="115" t="s">
        <v>9084</v>
      </c>
      <c r="E1050" s="115" t="s">
        <v>1806</v>
      </c>
      <c r="F1050" s="115">
        <v>13032</v>
      </c>
      <c r="G1050" s="115">
        <v>2896</v>
      </c>
      <c r="H1050" s="115">
        <v>0</v>
      </c>
      <c r="I1050" s="115">
        <v>-2086</v>
      </c>
      <c r="J1050" s="115">
        <v>364</v>
      </c>
      <c r="K1050" s="115">
        <v>0</v>
      </c>
    </row>
    <row r="1051" spans="1:11" x14ac:dyDescent="0.25">
      <c r="B1051" s="115" t="s">
        <v>1241</v>
      </c>
      <c r="D1051" s="115" t="s">
        <v>9085</v>
      </c>
      <c r="E1051" s="115" t="s">
        <v>1807</v>
      </c>
      <c r="F1051" s="115">
        <v>0</v>
      </c>
      <c r="G1051" s="115">
        <v>-2042</v>
      </c>
      <c r="H1051" s="115">
        <v>-451</v>
      </c>
      <c r="I1051" s="115">
        <v>40</v>
      </c>
      <c r="J1051" s="115">
        <v>2089</v>
      </c>
      <c r="K1051" s="115">
        <v>-100</v>
      </c>
    </row>
    <row r="1052" spans="1:11" x14ac:dyDescent="0.25">
      <c r="B1052" s="115" t="s">
        <v>1241</v>
      </c>
      <c r="D1052" s="115" t="s">
        <v>9086</v>
      </c>
      <c r="E1052" s="115" t="s">
        <v>1808</v>
      </c>
      <c r="F1052" s="115">
        <v>0</v>
      </c>
      <c r="G1052" s="115">
        <v>0</v>
      </c>
      <c r="H1052" s="115">
        <v>-199</v>
      </c>
      <c r="I1052" s="115">
        <v>88</v>
      </c>
      <c r="J1052" s="115">
        <v>0</v>
      </c>
      <c r="K1052" s="115">
        <v>0</v>
      </c>
    </row>
    <row r="1053" spans="1:11" x14ac:dyDescent="0.25">
      <c r="B1053" s="115" t="s">
        <v>1241</v>
      </c>
      <c r="D1053" s="115" t="s">
        <v>9087</v>
      </c>
      <c r="E1053" s="115" t="s">
        <v>1809</v>
      </c>
      <c r="F1053" s="115">
        <v>-287</v>
      </c>
      <c r="G1053" s="115">
        <v>0</v>
      </c>
      <c r="H1053" s="115">
        <v>0</v>
      </c>
      <c r="I1053" s="115">
        <v>78</v>
      </c>
      <c r="J1053" s="115">
        <v>0</v>
      </c>
      <c r="K1053" s="115">
        <v>-84</v>
      </c>
    </row>
    <row r="1054" spans="1:11" x14ac:dyDescent="0.25">
      <c r="B1054" s="115" t="s">
        <v>1810</v>
      </c>
      <c r="D1054" s="115" t="s">
        <v>9088</v>
      </c>
      <c r="E1054" s="115" t="s">
        <v>1811</v>
      </c>
      <c r="F1054" s="115">
        <v>0</v>
      </c>
      <c r="G1054" s="115">
        <v>62</v>
      </c>
      <c r="H1054" s="115">
        <v>-306</v>
      </c>
      <c r="I1054" s="115">
        <v>277</v>
      </c>
      <c r="J1054" s="115">
        <v>799</v>
      </c>
      <c r="K1054" s="115">
        <v>963</v>
      </c>
    </row>
    <row r="1055" spans="1:11" x14ac:dyDescent="0.25">
      <c r="B1055" s="115" t="s">
        <v>1812</v>
      </c>
      <c r="D1055" s="115" t="s">
        <v>9089</v>
      </c>
      <c r="E1055" s="115" t="s">
        <v>1813</v>
      </c>
      <c r="F1055" s="115">
        <v>0</v>
      </c>
      <c r="G1055" s="115">
        <v>0</v>
      </c>
      <c r="H1055" s="115">
        <v>0</v>
      </c>
      <c r="I1055" s="115">
        <v>0</v>
      </c>
      <c r="J1055" s="115">
        <v>-604</v>
      </c>
      <c r="K1055" s="115">
        <v>0</v>
      </c>
    </row>
    <row r="1056" spans="1:11" x14ac:dyDescent="0.25">
      <c r="B1056" s="115" t="s">
        <v>1241</v>
      </c>
      <c r="D1056" s="115" t="s">
        <v>9090</v>
      </c>
      <c r="E1056" s="115" t="s">
        <v>1242</v>
      </c>
      <c r="F1056" s="115">
        <v>518</v>
      </c>
      <c r="G1056" s="115">
        <v>0</v>
      </c>
      <c r="H1056" s="115">
        <v>0</v>
      </c>
      <c r="I1056" s="115">
        <v>0</v>
      </c>
      <c r="J1056" s="115">
        <v>0</v>
      </c>
      <c r="K1056" s="115">
        <v>0</v>
      </c>
    </row>
    <row r="1057" spans="1:11" x14ac:dyDescent="0.25">
      <c r="B1057" s="115" t="s">
        <v>1814</v>
      </c>
      <c r="D1057" s="115" t="s">
        <v>9091</v>
      </c>
      <c r="E1057" s="115" t="s">
        <v>1815</v>
      </c>
      <c r="F1057" s="115">
        <v>0</v>
      </c>
      <c r="G1057" s="115">
        <v>0</v>
      </c>
      <c r="H1057" s="115">
        <v>724</v>
      </c>
      <c r="I1057" s="115">
        <v>219</v>
      </c>
      <c r="J1057" s="115">
        <v>0</v>
      </c>
      <c r="K1057" s="115">
        <v>-828</v>
      </c>
    </row>
    <row r="1058" spans="1:11" x14ac:dyDescent="0.25">
      <c r="B1058" s="115" t="s">
        <v>1241</v>
      </c>
      <c r="D1058" s="115" t="s">
        <v>9092</v>
      </c>
      <c r="E1058" s="115" t="s">
        <v>1816</v>
      </c>
      <c r="F1058" s="115">
        <v>-437</v>
      </c>
      <c r="G1058" s="115">
        <v>657</v>
      </c>
      <c r="H1058" s="115">
        <v>-83</v>
      </c>
      <c r="I1058" s="115">
        <v>0</v>
      </c>
      <c r="J1058" s="115">
        <v>0</v>
      </c>
      <c r="K1058" s="115">
        <v>27</v>
      </c>
    </row>
    <row r="1059" spans="1:11" x14ac:dyDescent="0.25">
      <c r="B1059" s="115" t="s">
        <v>1817</v>
      </c>
      <c r="D1059" s="115" t="s">
        <v>9093</v>
      </c>
      <c r="E1059" s="115" t="s">
        <v>1818</v>
      </c>
      <c r="F1059" s="115">
        <v>71</v>
      </c>
      <c r="G1059" s="115">
        <v>-118</v>
      </c>
      <c r="H1059" s="115">
        <v>-1249</v>
      </c>
      <c r="I1059" s="115">
        <v>-1256</v>
      </c>
      <c r="J1059" s="115">
        <v>-1553</v>
      </c>
      <c r="K1059" s="115">
        <v>0</v>
      </c>
    </row>
    <row r="1060" spans="1:11" x14ac:dyDescent="0.25">
      <c r="B1060" s="115" t="s">
        <v>1241</v>
      </c>
      <c r="D1060" s="115" t="s">
        <v>9094</v>
      </c>
      <c r="E1060" s="115" t="s">
        <v>1819</v>
      </c>
      <c r="F1060" s="115">
        <v>-1014</v>
      </c>
      <c r="G1060" s="115">
        <v>0</v>
      </c>
      <c r="H1060" s="115">
        <v>-287</v>
      </c>
      <c r="I1060" s="115">
        <v>418</v>
      </c>
      <c r="J1060" s="115">
        <v>516</v>
      </c>
      <c r="K1060" s="115">
        <v>0</v>
      </c>
    </row>
    <row r="1061" spans="1:11" x14ac:dyDescent="0.25">
      <c r="A1061" s="115">
        <v>-7</v>
      </c>
      <c r="B1061" s="115" t="s">
        <v>1820</v>
      </c>
      <c r="D1061" s="115" t="s">
        <v>9095</v>
      </c>
      <c r="E1061" s="115" t="s">
        <v>1821</v>
      </c>
      <c r="F1061" s="115">
        <v>5059</v>
      </c>
      <c r="G1061" s="115">
        <v>0</v>
      </c>
      <c r="H1061" s="115">
        <v>12640</v>
      </c>
      <c r="I1061" s="115">
        <v>25602</v>
      </c>
      <c r="J1061" s="115">
        <v>19410</v>
      </c>
      <c r="K1061" s="115">
        <v>-7354</v>
      </c>
    </row>
    <row r="1062" spans="1:11" x14ac:dyDescent="0.25">
      <c r="B1062" s="115" t="s">
        <v>1822</v>
      </c>
      <c r="D1062" s="115" t="s">
        <v>9096</v>
      </c>
      <c r="E1062" s="115" t="s">
        <v>1823</v>
      </c>
      <c r="F1062" s="115">
        <v>0</v>
      </c>
      <c r="G1062" s="115">
        <v>0</v>
      </c>
      <c r="H1062" s="115">
        <v>-8599</v>
      </c>
      <c r="I1062" s="115">
        <v>10126</v>
      </c>
      <c r="J1062" s="115">
        <v>0</v>
      </c>
      <c r="K1062" s="115">
        <v>9336</v>
      </c>
    </row>
    <row r="1063" spans="1:11" x14ac:dyDescent="0.25">
      <c r="A1063" s="115" t="s">
        <v>1239</v>
      </c>
      <c r="B1063" s="115" t="s">
        <v>1824</v>
      </c>
      <c r="D1063" s="115" t="s">
        <v>9097</v>
      </c>
      <c r="E1063" s="115" t="s">
        <v>1825</v>
      </c>
      <c r="F1063" s="115">
        <v>112</v>
      </c>
      <c r="G1063" s="115">
        <v>0</v>
      </c>
      <c r="H1063" s="115">
        <v>0</v>
      </c>
      <c r="I1063" s="115">
        <v>-168</v>
      </c>
      <c r="J1063" s="115">
        <v>0</v>
      </c>
      <c r="K1063" s="115">
        <v>0</v>
      </c>
    </row>
    <row r="1064" spans="1:11" x14ac:dyDescent="0.25">
      <c r="B1064" s="115" t="s">
        <v>1826</v>
      </c>
      <c r="D1064" s="115" t="s">
        <v>9098</v>
      </c>
      <c r="E1064" s="115" t="s">
        <v>1827</v>
      </c>
      <c r="F1064" s="115">
        <v>0</v>
      </c>
      <c r="G1064" s="115">
        <v>0</v>
      </c>
      <c r="H1064" s="115">
        <v>0</v>
      </c>
      <c r="I1064" s="115">
        <v>0</v>
      </c>
      <c r="J1064" s="115">
        <v>0</v>
      </c>
      <c r="K1064" s="115">
        <v>-104</v>
      </c>
    </row>
    <row r="1065" spans="1:11" x14ac:dyDescent="0.25">
      <c r="B1065" s="115" t="s">
        <v>1241</v>
      </c>
      <c r="D1065" s="115" t="s">
        <v>9099</v>
      </c>
      <c r="E1065" s="115" t="s">
        <v>1828</v>
      </c>
      <c r="F1065" s="115">
        <v>-60</v>
      </c>
      <c r="G1065" s="115">
        <v>0</v>
      </c>
      <c r="H1065" s="115">
        <v>41</v>
      </c>
      <c r="I1065" s="115">
        <v>234</v>
      </c>
      <c r="J1065" s="115">
        <v>169</v>
      </c>
      <c r="K1065" s="115">
        <v>0</v>
      </c>
    </row>
    <row r="1066" spans="1:11" x14ac:dyDescent="0.25">
      <c r="B1066" s="115" t="s">
        <v>1829</v>
      </c>
      <c r="D1066" s="115" t="s">
        <v>9100</v>
      </c>
      <c r="E1066" s="115" t="s">
        <v>1830</v>
      </c>
      <c r="F1066" s="115">
        <v>-121</v>
      </c>
      <c r="G1066" s="115">
        <v>-66</v>
      </c>
      <c r="H1066" s="115">
        <v>0</v>
      </c>
      <c r="I1066" s="115">
        <v>-86</v>
      </c>
      <c r="J1066" s="115">
        <v>0</v>
      </c>
      <c r="K1066" s="115">
        <v>0</v>
      </c>
    </row>
    <row r="1067" spans="1:11" x14ac:dyDescent="0.25">
      <c r="B1067" s="115" t="s">
        <v>1241</v>
      </c>
      <c r="D1067" s="115" t="s">
        <v>9101</v>
      </c>
      <c r="E1067" s="115" t="s">
        <v>1831</v>
      </c>
      <c r="F1067" s="115">
        <v>0</v>
      </c>
      <c r="G1067" s="115">
        <v>0</v>
      </c>
      <c r="H1067" s="115">
        <v>0</v>
      </c>
      <c r="I1067" s="115">
        <v>-410</v>
      </c>
      <c r="J1067" s="115">
        <v>0</v>
      </c>
      <c r="K1067" s="115">
        <v>-210</v>
      </c>
    </row>
    <row r="1068" spans="1:11" x14ac:dyDescent="0.25">
      <c r="B1068" s="115" t="s">
        <v>1241</v>
      </c>
      <c r="D1068" s="115" t="s">
        <v>9102</v>
      </c>
      <c r="E1068" s="115" t="s">
        <v>1832</v>
      </c>
      <c r="F1068" s="115">
        <v>0</v>
      </c>
      <c r="G1068" s="115">
        <v>-225</v>
      </c>
      <c r="H1068" s="115">
        <v>0</v>
      </c>
      <c r="I1068" s="115">
        <v>-29</v>
      </c>
      <c r="J1068" s="115">
        <v>-316</v>
      </c>
      <c r="K1068" s="115">
        <v>0</v>
      </c>
    </row>
    <row r="1069" spans="1:11" x14ac:dyDescent="0.25">
      <c r="B1069" s="115" t="s">
        <v>1833</v>
      </c>
      <c r="D1069" s="115" t="s">
        <v>9103</v>
      </c>
      <c r="E1069" s="115" t="s">
        <v>1834</v>
      </c>
      <c r="F1069" s="115">
        <v>-1098</v>
      </c>
      <c r="G1069" s="115">
        <v>0</v>
      </c>
      <c r="H1069" s="115">
        <v>0</v>
      </c>
      <c r="I1069" s="115">
        <v>0</v>
      </c>
      <c r="J1069" s="115">
        <v>0</v>
      </c>
      <c r="K1069" s="115">
        <v>-733</v>
      </c>
    </row>
    <row r="1070" spans="1:11" x14ac:dyDescent="0.25">
      <c r="B1070" s="115" t="s">
        <v>1835</v>
      </c>
      <c r="D1070" s="115" t="s">
        <v>9104</v>
      </c>
      <c r="E1070" s="115" t="s">
        <v>1836</v>
      </c>
      <c r="F1070" s="115">
        <v>43</v>
      </c>
      <c r="G1070" s="115">
        <v>152</v>
      </c>
      <c r="H1070" s="115">
        <v>0</v>
      </c>
      <c r="I1070" s="115">
        <v>1861</v>
      </c>
      <c r="J1070" s="115">
        <v>-66</v>
      </c>
      <c r="K1070" s="115">
        <v>949</v>
      </c>
    </row>
    <row r="1071" spans="1:11" x14ac:dyDescent="0.25">
      <c r="A1071" s="115" t="s">
        <v>1239</v>
      </c>
      <c r="B1071" s="115" t="s">
        <v>1837</v>
      </c>
      <c r="C1071" s="115" t="s">
        <v>1239</v>
      </c>
      <c r="D1071" s="115" t="s">
        <v>9105</v>
      </c>
      <c r="E1071" s="115" t="s">
        <v>1838</v>
      </c>
      <c r="F1071" s="115">
        <v>0</v>
      </c>
      <c r="G1071" s="115">
        <v>0</v>
      </c>
      <c r="H1071" s="115">
        <v>0</v>
      </c>
      <c r="I1071" s="115">
        <v>0</v>
      </c>
      <c r="J1071" s="115">
        <v>0</v>
      </c>
      <c r="K1071" s="115">
        <v>-355</v>
      </c>
    </row>
    <row r="1072" spans="1:11" x14ac:dyDescent="0.25">
      <c r="B1072" s="115" t="s">
        <v>1839</v>
      </c>
      <c r="D1072" s="115" t="s">
        <v>9106</v>
      </c>
      <c r="E1072" s="115" t="s">
        <v>1840</v>
      </c>
      <c r="F1072" s="115">
        <v>0</v>
      </c>
      <c r="G1072" s="115">
        <v>-5446</v>
      </c>
      <c r="H1072" s="115">
        <v>-3777</v>
      </c>
      <c r="I1072" s="115">
        <v>5941</v>
      </c>
      <c r="J1072" s="115">
        <v>22469</v>
      </c>
      <c r="K1072" s="115">
        <v>1381</v>
      </c>
    </row>
    <row r="1073" spans="1:11" x14ac:dyDescent="0.25">
      <c r="B1073" s="115" t="s">
        <v>1841</v>
      </c>
      <c r="C1073" s="115">
        <v>1</v>
      </c>
      <c r="D1073" s="115" t="s">
        <v>9107</v>
      </c>
      <c r="E1073" s="115" t="s">
        <v>1842</v>
      </c>
      <c r="F1073" s="115">
        <v>251</v>
      </c>
      <c r="G1073" s="115">
        <v>0</v>
      </c>
      <c r="H1073" s="115">
        <v>5168</v>
      </c>
      <c r="I1073" s="115">
        <v>756</v>
      </c>
      <c r="J1073" s="115">
        <v>0</v>
      </c>
      <c r="K1073" s="115">
        <v>0</v>
      </c>
    </row>
    <row r="1074" spans="1:11" x14ac:dyDescent="0.25">
      <c r="B1074" s="115" t="s">
        <v>1843</v>
      </c>
      <c r="D1074" s="115" t="s">
        <v>9108</v>
      </c>
      <c r="E1074" s="115" t="s">
        <v>1844</v>
      </c>
      <c r="F1074" s="115">
        <v>3790</v>
      </c>
      <c r="G1074" s="115">
        <v>19853</v>
      </c>
      <c r="H1074" s="115">
        <v>-249</v>
      </c>
      <c r="I1074" s="115">
        <v>119</v>
      </c>
      <c r="J1074" s="115">
        <v>-139</v>
      </c>
      <c r="K1074" s="115">
        <v>-23</v>
      </c>
    </row>
    <row r="1075" spans="1:11" x14ac:dyDescent="0.25">
      <c r="B1075" s="115" t="s">
        <v>1845</v>
      </c>
      <c r="D1075" s="115" t="s">
        <v>9109</v>
      </c>
      <c r="E1075" s="115" t="s">
        <v>1846</v>
      </c>
      <c r="F1075" s="115">
        <v>0</v>
      </c>
      <c r="G1075" s="115">
        <v>0</v>
      </c>
      <c r="H1075" s="115">
        <v>0</v>
      </c>
      <c r="I1075" s="115">
        <v>53</v>
      </c>
      <c r="J1075" s="115">
        <v>402</v>
      </c>
      <c r="K1075" s="115">
        <v>0</v>
      </c>
    </row>
    <row r="1076" spans="1:11" x14ac:dyDescent="0.25">
      <c r="B1076" s="115" t="s">
        <v>1241</v>
      </c>
      <c r="D1076" s="115" t="s">
        <v>9110</v>
      </c>
      <c r="E1076" s="115" t="s">
        <v>1847</v>
      </c>
      <c r="F1076" s="115">
        <v>0</v>
      </c>
      <c r="G1076" s="115">
        <v>-187</v>
      </c>
      <c r="H1076" s="115">
        <v>0</v>
      </c>
      <c r="I1076" s="115">
        <v>0</v>
      </c>
      <c r="J1076" s="115">
        <v>-99</v>
      </c>
      <c r="K1076" s="115">
        <v>0</v>
      </c>
    </row>
    <row r="1077" spans="1:11" x14ac:dyDescent="0.25">
      <c r="B1077" s="115" t="s">
        <v>1848</v>
      </c>
      <c r="D1077" s="115" t="s">
        <v>9111</v>
      </c>
      <c r="E1077" s="115" t="s">
        <v>1849</v>
      </c>
      <c r="F1077" s="115">
        <v>67</v>
      </c>
      <c r="G1077" s="115">
        <v>0</v>
      </c>
      <c r="H1077" s="115">
        <v>-515</v>
      </c>
      <c r="I1077" s="115">
        <v>4</v>
      </c>
      <c r="J1077" s="115">
        <v>-84</v>
      </c>
      <c r="K1077" s="115">
        <v>358</v>
      </c>
    </row>
    <row r="1078" spans="1:11" x14ac:dyDescent="0.25">
      <c r="B1078" s="115" t="s">
        <v>1850</v>
      </c>
      <c r="D1078" s="115" t="s">
        <v>9112</v>
      </c>
      <c r="E1078" s="115" t="s">
        <v>1851</v>
      </c>
      <c r="F1078" s="115">
        <v>0</v>
      </c>
      <c r="G1078" s="115">
        <v>0</v>
      </c>
      <c r="H1078" s="115">
        <v>0</v>
      </c>
      <c r="I1078" s="115">
        <v>0</v>
      </c>
      <c r="J1078" s="115">
        <v>0</v>
      </c>
      <c r="K1078" s="115">
        <v>355</v>
      </c>
    </row>
    <row r="1079" spans="1:11" x14ac:dyDescent="0.25">
      <c r="B1079" s="115" t="s">
        <v>1241</v>
      </c>
      <c r="D1079" s="115" t="s">
        <v>9113</v>
      </c>
      <c r="E1079" s="115" t="s">
        <v>1852</v>
      </c>
      <c r="F1079" s="115">
        <v>0</v>
      </c>
      <c r="G1079" s="115">
        <v>982</v>
      </c>
      <c r="H1079" s="115">
        <v>0</v>
      </c>
      <c r="I1079" s="115">
        <v>0</v>
      </c>
      <c r="J1079" s="115">
        <v>0</v>
      </c>
      <c r="K1079" s="115">
        <v>0</v>
      </c>
    </row>
    <row r="1080" spans="1:11" x14ac:dyDescent="0.25">
      <c r="B1080" s="115" t="s">
        <v>1853</v>
      </c>
      <c r="D1080" s="115" t="s">
        <v>9114</v>
      </c>
      <c r="E1080" s="115" t="s">
        <v>1854</v>
      </c>
      <c r="F1080" s="115">
        <v>177</v>
      </c>
      <c r="G1080" s="115">
        <v>0</v>
      </c>
      <c r="H1080" s="115">
        <v>0</v>
      </c>
      <c r="I1080" s="115">
        <v>1544</v>
      </c>
      <c r="J1080" s="115">
        <v>720</v>
      </c>
      <c r="K1080" s="115">
        <v>0</v>
      </c>
    </row>
    <row r="1081" spans="1:11" x14ac:dyDescent="0.25">
      <c r="A1081" s="115">
        <v>-2</v>
      </c>
      <c r="B1081" s="115" t="s">
        <v>1855</v>
      </c>
      <c r="D1081" s="115" t="s">
        <v>9115</v>
      </c>
      <c r="E1081" s="115" t="s">
        <v>1856</v>
      </c>
      <c r="F1081" s="115">
        <v>0</v>
      </c>
      <c r="G1081" s="115">
        <v>-1391</v>
      </c>
      <c r="H1081" s="115">
        <v>-205</v>
      </c>
      <c r="I1081" s="115">
        <v>-224</v>
      </c>
      <c r="J1081" s="115">
        <v>0</v>
      </c>
      <c r="K1081" s="115">
        <v>0</v>
      </c>
    </row>
    <row r="1082" spans="1:11" x14ac:dyDescent="0.25">
      <c r="B1082" s="115" t="s">
        <v>1857</v>
      </c>
      <c r="D1082" s="115" t="s">
        <v>9116</v>
      </c>
      <c r="E1082" s="115">
        <f>-287  -1125  -1518  -2112  -8124</f>
        <v>-13166</v>
      </c>
      <c r="F1082" s="115">
        <v>-1679</v>
      </c>
      <c r="G1082" s="115">
        <v>-287</v>
      </c>
      <c r="H1082" s="115">
        <v>-1125</v>
      </c>
      <c r="I1082" s="115">
        <v>-1518</v>
      </c>
      <c r="J1082" s="115">
        <v>-2112</v>
      </c>
      <c r="K1082" s="115">
        <v>-8124</v>
      </c>
    </row>
    <row r="1083" spans="1:11" x14ac:dyDescent="0.25">
      <c r="B1083" s="115" t="s">
        <v>1241</v>
      </c>
      <c r="D1083" s="115" t="s">
        <v>9117</v>
      </c>
      <c r="E1083" s="115" t="s">
        <v>1858</v>
      </c>
      <c r="F1083" s="115">
        <v>0</v>
      </c>
      <c r="G1083" s="115">
        <v>-932</v>
      </c>
      <c r="H1083" s="115">
        <v>0</v>
      </c>
      <c r="I1083" s="115">
        <v>-245</v>
      </c>
      <c r="J1083" s="115">
        <v>164</v>
      </c>
      <c r="K1083" s="115">
        <v>-171</v>
      </c>
    </row>
    <row r="1084" spans="1:11" x14ac:dyDescent="0.25">
      <c r="B1084" s="115" t="s">
        <v>1859</v>
      </c>
      <c r="C1084" s="115" t="s">
        <v>1239</v>
      </c>
      <c r="D1084" s="115" t="s">
        <v>9118</v>
      </c>
      <c r="E1084" s="115" t="s">
        <v>1860</v>
      </c>
      <c r="F1084" s="115">
        <v>29043</v>
      </c>
      <c r="G1084" s="115">
        <v>-17219</v>
      </c>
      <c r="H1084" s="115">
        <v>0</v>
      </c>
      <c r="I1084" s="115">
        <v>14455</v>
      </c>
      <c r="J1084" s="115">
        <v>21656</v>
      </c>
      <c r="K1084" s="115">
        <v>20038</v>
      </c>
    </row>
    <row r="1085" spans="1:11" x14ac:dyDescent="0.25">
      <c r="A1085" s="115">
        <v>1</v>
      </c>
      <c r="B1085" s="115" t="s">
        <v>1861</v>
      </c>
      <c r="C1085" s="115" t="s">
        <v>1239</v>
      </c>
      <c r="D1085" s="115" t="s">
        <v>9119</v>
      </c>
      <c r="E1085" s="115" t="s">
        <v>1862</v>
      </c>
      <c r="F1085" s="115">
        <v>0</v>
      </c>
      <c r="G1085" s="115">
        <v>0</v>
      </c>
      <c r="H1085" s="115">
        <v>0</v>
      </c>
      <c r="I1085" s="115">
        <v>6226</v>
      </c>
      <c r="J1085" s="115">
        <v>21480</v>
      </c>
      <c r="K1085" s="115">
        <v>0</v>
      </c>
    </row>
    <row r="1086" spans="1:11" x14ac:dyDescent="0.25">
      <c r="A1086" s="115">
        <v>16</v>
      </c>
      <c r="B1086" s="115" t="s">
        <v>1863</v>
      </c>
      <c r="C1086" s="115">
        <v>2</v>
      </c>
      <c r="D1086" s="115" t="s">
        <v>9120</v>
      </c>
      <c r="E1086" s="115" t="s">
        <v>1242</v>
      </c>
      <c r="F1086" s="115">
        <v>0</v>
      </c>
      <c r="G1086" s="115">
        <v>0</v>
      </c>
      <c r="H1086" s="115">
        <v>0</v>
      </c>
      <c r="I1086" s="115">
        <v>0</v>
      </c>
      <c r="J1086" s="115">
        <v>0</v>
      </c>
      <c r="K1086" s="115">
        <v>0</v>
      </c>
    </row>
    <row r="1087" spans="1:11" x14ac:dyDescent="0.25">
      <c r="B1087" s="115" t="s">
        <v>1241</v>
      </c>
      <c r="D1087" s="115" t="s">
        <v>8710</v>
      </c>
      <c r="E1087" s="115" t="s">
        <v>1242</v>
      </c>
      <c r="F1087" s="115">
        <v>0</v>
      </c>
      <c r="G1087" s="115">
        <v>0</v>
      </c>
      <c r="H1087" s="115">
        <v>0</v>
      </c>
      <c r="I1087" s="115">
        <v>0</v>
      </c>
      <c r="J1087" s="115">
        <v>0</v>
      </c>
      <c r="K1087" s="115">
        <v>0</v>
      </c>
    </row>
    <row r="1088" spans="1:11" x14ac:dyDescent="0.25">
      <c r="B1088" s="115" t="s">
        <v>1241</v>
      </c>
      <c r="D1088" s="115" t="s">
        <v>8710</v>
      </c>
      <c r="E1088" s="115" t="s">
        <v>1242</v>
      </c>
      <c r="F1088" s="115">
        <v>0</v>
      </c>
      <c r="G1088" s="115">
        <v>0</v>
      </c>
      <c r="H1088" s="115">
        <v>0</v>
      </c>
      <c r="I1088" s="115">
        <v>0</v>
      </c>
      <c r="J1088" s="115">
        <v>0</v>
      </c>
      <c r="K1088" s="115">
        <v>0</v>
      </c>
    </row>
    <row r="1089" spans="2:11" x14ac:dyDescent="0.25">
      <c r="B1089" s="115" t="s">
        <v>1241</v>
      </c>
      <c r="D1089" s="115" t="s">
        <v>8710</v>
      </c>
      <c r="E1089" s="115" t="s">
        <v>1242</v>
      </c>
      <c r="F1089" s="115">
        <v>0</v>
      </c>
      <c r="G1089" s="115">
        <v>0</v>
      </c>
      <c r="H1089" s="115">
        <v>0</v>
      </c>
      <c r="I1089" s="115">
        <v>0</v>
      </c>
      <c r="J1089" s="115">
        <v>0</v>
      </c>
      <c r="K1089" s="115">
        <v>0</v>
      </c>
    </row>
    <row r="1090" spans="2:11" x14ac:dyDescent="0.25">
      <c r="B1090" s="115" t="s">
        <v>1241</v>
      </c>
      <c r="D1090" s="115" t="s">
        <v>8710</v>
      </c>
      <c r="E1090" s="115" t="s">
        <v>1242</v>
      </c>
      <c r="F1090" s="115">
        <v>0</v>
      </c>
      <c r="G1090" s="115">
        <v>0</v>
      </c>
      <c r="H1090" s="115">
        <v>0</v>
      </c>
      <c r="I1090" s="115">
        <v>0</v>
      </c>
      <c r="J1090" s="115">
        <v>0</v>
      </c>
      <c r="K1090" s="115">
        <v>0</v>
      </c>
    </row>
    <row r="1091" spans="2:11" x14ac:dyDescent="0.25">
      <c r="B1091" s="115" t="s">
        <v>1241</v>
      </c>
      <c r="D1091" s="115" t="s">
        <v>8710</v>
      </c>
      <c r="E1091" s="115" t="s">
        <v>1242</v>
      </c>
      <c r="F1091" s="115">
        <v>0</v>
      </c>
      <c r="G1091" s="115">
        <v>0</v>
      </c>
      <c r="H1091" s="115">
        <v>0</v>
      </c>
      <c r="I1091" s="115">
        <v>0</v>
      </c>
      <c r="J1091" s="115">
        <v>0</v>
      </c>
      <c r="K1091" s="115">
        <v>0</v>
      </c>
    </row>
    <row r="1092" spans="2:11" x14ac:dyDescent="0.25">
      <c r="B1092" s="115" t="s">
        <v>1241</v>
      </c>
      <c r="D1092" s="115" t="s">
        <v>8710</v>
      </c>
      <c r="E1092" s="115" t="s">
        <v>1242</v>
      </c>
      <c r="F1092" s="115">
        <v>0</v>
      </c>
      <c r="G1092" s="115">
        <v>0</v>
      </c>
      <c r="H1092" s="115">
        <v>0</v>
      </c>
      <c r="I1092" s="115">
        <v>0</v>
      </c>
      <c r="J1092" s="115">
        <v>0</v>
      </c>
      <c r="K1092" s="115">
        <v>0</v>
      </c>
    </row>
    <row r="1093" spans="2:11" x14ac:dyDescent="0.25">
      <c r="B1093" s="115" t="s">
        <v>1241</v>
      </c>
      <c r="D1093" s="115" t="s">
        <v>8710</v>
      </c>
      <c r="E1093" s="115" t="s">
        <v>1242</v>
      </c>
      <c r="F1093" s="115">
        <v>0</v>
      </c>
      <c r="G1093" s="115">
        <v>0</v>
      </c>
      <c r="H1093" s="115">
        <v>0</v>
      </c>
      <c r="I1093" s="115">
        <v>0</v>
      </c>
      <c r="J1093" s="115">
        <v>0</v>
      </c>
      <c r="K1093" s="115">
        <v>0</v>
      </c>
    </row>
    <row r="1094" spans="2:11" x14ac:dyDescent="0.25">
      <c r="B1094" s="115" t="s">
        <v>1241</v>
      </c>
      <c r="D1094" s="115" t="s">
        <v>8710</v>
      </c>
      <c r="E1094" s="115" t="s">
        <v>1242</v>
      </c>
      <c r="F1094" s="115">
        <v>0</v>
      </c>
      <c r="G1094" s="115">
        <v>0</v>
      </c>
      <c r="H1094" s="115">
        <v>0</v>
      </c>
      <c r="I1094" s="115">
        <v>0</v>
      </c>
      <c r="J1094" s="115">
        <v>0</v>
      </c>
      <c r="K1094" s="115">
        <v>0</v>
      </c>
    </row>
    <row r="1095" spans="2:11" x14ac:dyDescent="0.25">
      <c r="B1095" s="115" t="s">
        <v>1241</v>
      </c>
      <c r="D1095" s="115" t="s">
        <v>8710</v>
      </c>
      <c r="E1095" s="115" t="s">
        <v>1242</v>
      </c>
      <c r="F1095" s="115">
        <v>0</v>
      </c>
      <c r="G1095" s="115">
        <v>0</v>
      </c>
      <c r="H1095" s="115">
        <v>0</v>
      </c>
      <c r="I1095" s="115">
        <v>0</v>
      </c>
      <c r="J1095" s="115">
        <v>0</v>
      </c>
      <c r="K1095" s="115">
        <v>0</v>
      </c>
    </row>
    <row r="1096" spans="2:11" x14ac:dyDescent="0.25">
      <c r="B1096" s="115" t="s">
        <v>1241</v>
      </c>
      <c r="D1096" s="115" t="s">
        <v>8710</v>
      </c>
      <c r="E1096" s="115" t="s">
        <v>1242</v>
      </c>
      <c r="F1096" s="115">
        <v>0</v>
      </c>
      <c r="G1096" s="115">
        <v>0</v>
      </c>
      <c r="H1096" s="115">
        <v>0</v>
      </c>
      <c r="I1096" s="115">
        <v>0</v>
      </c>
      <c r="J1096" s="115">
        <v>0</v>
      </c>
      <c r="K1096" s="115">
        <v>0</v>
      </c>
    </row>
    <row r="1097" spans="2:11" x14ac:dyDescent="0.25">
      <c r="B1097" s="115" t="s">
        <v>1241</v>
      </c>
      <c r="D1097" s="115" t="s">
        <v>8710</v>
      </c>
      <c r="E1097" s="115" t="s">
        <v>1242</v>
      </c>
      <c r="F1097" s="115">
        <v>0</v>
      </c>
      <c r="G1097" s="115">
        <v>0</v>
      </c>
      <c r="H1097" s="115">
        <v>0</v>
      </c>
      <c r="I1097" s="115">
        <v>0</v>
      </c>
      <c r="J1097" s="115">
        <v>0</v>
      </c>
      <c r="K1097" s="115">
        <v>0</v>
      </c>
    </row>
    <row r="1098" spans="2:11" x14ac:dyDescent="0.25">
      <c r="B1098" s="115" t="s">
        <v>1241</v>
      </c>
      <c r="D1098" s="115" t="s">
        <v>8710</v>
      </c>
      <c r="E1098" s="115" t="s">
        <v>1242</v>
      </c>
      <c r="F1098" s="115">
        <v>0</v>
      </c>
      <c r="G1098" s="115">
        <v>0</v>
      </c>
      <c r="H1098" s="115">
        <v>0</v>
      </c>
      <c r="I1098" s="115">
        <v>0</v>
      </c>
      <c r="J1098" s="115">
        <v>0</v>
      </c>
      <c r="K1098" s="115">
        <v>0</v>
      </c>
    </row>
    <row r="1099" spans="2:11" x14ac:dyDescent="0.25">
      <c r="B1099" s="115" t="s">
        <v>1241</v>
      </c>
      <c r="D1099" s="115" t="s">
        <v>8710</v>
      </c>
      <c r="E1099" s="115" t="s">
        <v>1242</v>
      </c>
      <c r="F1099" s="115">
        <v>0</v>
      </c>
      <c r="G1099" s="115">
        <v>0</v>
      </c>
      <c r="H1099" s="115">
        <v>0</v>
      </c>
      <c r="I1099" s="115">
        <v>0</v>
      </c>
      <c r="J1099" s="115">
        <v>0</v>
      </c>
      <c r="K1099" s="115">
        <v>0</v>
      </c>
    </row>
    <row r="1100" spans="2:11" x14ac:dyDescent="0.25">
      <c r="B1100" s="115" t="s">
        <v>1241</v>
      </c>
      <c r="D1100" s="115" t="s">
        <v>8710</v>
      </c>
      <c r="E1100" s="115" t="s">
        <v>1242</v>
      </c>
      <c r="F1100" s="115">
        <v>0</v>
      </c>
      <c r="G1100" s="115">
        <v>0</v>
      </c>
      <c r="H1100" s="115">
        <v>0</v>
      </c>
      <c r="I1100" s="115">
        <v>0</v>
      </c>
      <c r="J1100" s="115">
        <v>0</v>
      </c>
      <c r="K1100" s="115">
        <v>0</v>
      </c>
    </row>
    <row r="1101" spans="2:11" x14ac:dyDescent="0.25">
      <c r="B1101" s="115" t="s">
        <v>1241</v>
      </c>
      <c r="D1101" s="115" t="s">
        <v>8710</v>
      </c>
      <c r="E1101" s="115" t="s">
        <v>1242</v>
      </c>
      <c r="F1101" s="115">
        <v>0</v>
      </c>
      <c r="G1101" s="115">
        <v>0</v>
      </c>
      <c r="H1101" s="115">
        <v>0</v>
      </c>
      <c r="I1101" s="115">
        <v>0</v>
      </c>
      <c r="J1101" s="115">
        <v>0</v>
      </c>
      <c r="K1101" s="115">
        <v>0</v>
      </c>
    </row>
    <row r="1102" spans="2:11" x14ac:dyDescent="0.25">
      <c r="B1102" s="115" t="s">
        <v>1241</v>
      </c>
      <c r="D1102" s="115" t="s">
        <v>8710</v>
      </c>
      <c r="E1102" s="115" t="s">
        <v>1242</v>
      </c>
      <c r="F1102" s="115">
        <v>0</v>
      </c>
      <c r="G1102" s="115">
        <v>0</v>
      </c>
      <c r="H1102" s="115">
        <v>0</v>
      </c>
      <c r="I1102" s="115">
        <v>0</v>
      </c>
      <c r="J1102" s="115">
        <v>0</v>
      </c>
      <c r="K1102" s="115">
        <v>0</v>
      </c>
    </row>
    <row r="1103" spans="2:11" x14ac:dyDescent="0.25">
      <c r="B1103" s="115" t="s">
        <v>1241</v>
      </c>
      <c r="D1103" s="115" t="s">
        <v>8710</v>
      </c>
      <c r="E1103" s="115" t="s">
        <v>1242</v>
      </c>
      <c r="F1103" s="115">
        <v>0</v>
      </c>
      <c r="G1103" s="115">
        <v>0</v>
      </c>
      <c r="H1103" s="115">
        <v>0</v>
      </c>
      <c r="I1103" s="115">
        <v>0</v>
      </c>
      <c r="J1103" s="115">
        <v>0</v>
      </c>
      <c r="K1103" s="115">
        <v>0</v>
      </c>
    </row>
    <row r="1104" spans="2:11" x14ac:dyDescent="0.25">
      <c r="B1104" s="115" t="s">
        <v>1241</v>
      </c>
      <c r="D1104" s="115" t="s">
        <v>8710</v>
      </c>
      <c r="E1104" s="115" t="s">
        <v>1242</v>
      </c>
      <c r="F1104" s="115">
        <v>0</v>
      </c>
      <c r="G1104" s="115">
        <v>0</v>
      </c>
      <c r="H1104" s="115">
        <v>0</v>
      </c>
      <c r="I1104" s="115">
        <v>0</v>
      </c>
      <c r="J1104" s="115">
        <v>0</v>
      </c>
      <c r="K1104" s="115">
        <v>0</v>
      </c>
    </row>
    <row r="1105" spans="2:11" x14ac:dyDescent="0.25">
      <c r="B1105" s="115" t="s">
        <v>1241</v>
      </c>
      <c r="D1105" s="115" t="s">
        <v>8710</v>
      </c>
      <c r="E1105" s="115" t="s">
        <v>1242</v>
      </c>
      <c r="F1105" s="115">
        <v>0</v>
      </c>
      <c r="G1105" s="115">
        <v>0</v>
      </c>
      <c r="H1105" s="115">
        <v>0</v>
      </c>
      <c r="I1105" s="115">
        <v>0</v>
      </c>
      <c r="J1105" s="115">
        <v>0</v>
      </c>
      <c r="K1105" s="115">
        <v>0</v>
      </c>
    </row>
    <row r="1106" spans="2:11" x14ac:dyDescent="0.25">
      <c r="B1106" s="115" t="s">
        <v>1241</v>
      </c>
      <c r="D1106" s="115" t="s">
        <v>8710</v>
      </c>
      <c r="E1106" s="115" t="s">
        <v>1242</v>
      </c>
      <c r="F1106" s="115">
        <v>0</v>
      </c>
      <c r="G1106" s="115">
        <v>0</v>
      </c>
      <c r="H1106" s="115">
        <v>0</v>
      </c>
      <c r="I1106" s="115">
        <v>0</v>
      </c>
      <c r="J1106" s="115">
        <v>0</v>
      </c>
      <c r="K1106" s="115">
        <v>0</v>
      </c>
    </row>
    <row r="1107" spans="2:11" x14ac:dyDescent="0.25">
      <c r="B1107" s="115" t="s">
        <v>1241</v>
      </c>
      <c r="D1107" s="115" t="s">
        <v>8710</v>
      </c>
      <c r="E1107" s="115" t="s">
        <v>1242</v>
      </c>
      <c r="F1107" s="115">
        <v>0</v>
      </c>
      <c r="G1107" s="115">
        <v>0</v>
      </c>
      <c r="H1107" s="115">
        <v>0</v>
      </c>
      <c r="I1107" s="115">
        <v>0</v>
      </c>
      <c r="J1107" s="115">
        <v>0</v>
      </c>
      <c r="K1107" s="115">
        <v>0</v>
      </c>
    </row>
    <row r="1108" spans="2:11" x14ac:dyDescent="0.25">
      <c r="B1108" s="115" t="s">
        <v>1241</v>
      </c>
      <c r="D1108" s="115" t="s">
        <v>8710</v>
      </c>
      <c r="E1108" s="115" t="s">
        <v>1242</v>
      </c>
      <c r="F1108" s="115">
        <v>0</v>
      </c>
      <c r="G1108" s="115">
        <v>0</v>
      </c>
      <c r="H1108" s="115">
        <v>0</v>
      </c>
      <c r="I1108" s="115">
        <v>0</v>
      </c>
      <c r="J1108" s="115">
        <v>0</v>
      </c>
      <c r="K1108" s="115">
        <v>0</v>
      </c>
    </row>
    <row r="1109" spans="2:11" x14ac:dyDescent="0.25">
      <c r="B1109" s="115" t="s">
        <v>1241</v>
      </c>
      <c r="D1109" s="115" t="s">
        <v>8710</v>
      </c>
      <c r="E1109" s="115" t="s">
        <v>1242</v>
      </c>
      <c r="F1109" s="115">
        <v>0</v>
      </c>
      <c r="G1109" s="115">
        <v>0</v>
      </c>
      <c r="H1109" s="115">
        <v>0</v>
      </c>
      <c r="I1109" s="115">
        <v>0</v>
      </c>
      <c r="J1109" s="115">
        <v>0</v>
      </c>
      <c r="K1109" s="115">
        <v>0</v>
      </c>
    </row>
    <row r="1110" spans="2:11" x14ac:dyDescent="0.25">
      <c r="B1110" s="115" t="s">
        <v>1241</v>
      </c>
      <c r="D1110" s="115" t="s">
        <v>8710</v>
      </c>
      <c r="E1110" s="115" t="s">
        <v>1242</v>
      </c>
      <c r="F1110" s="115">
        <v>0</v>
      </c>
      <c r="G1110" s="115">
        <v>0</v>
      </c>
      <c r="H1110" s="115">
        <v>0</v>
      </c>
      <c r="I1110" s="115">
        <v>0</v>
      </c>
      <c r="J1110" s="115">
        <v>0</v>
      </c>
      <c r="K1110" s="115">
        <v>0</v>
      </c>
    </row>
    <row r="1111" spans="2:11" x14ac:dyDescent="0.25">
      <c r="B1111" s="115" t="s">
        <v>1241</v>
      </c>
      <c r="D1111" s="115" t="s">
        <v>8710</v>
      </c>
      <c r="E1111" s="115" t="s">
        <v>1242</v>
      </c>
      <c r="F1111" s="115">
        <v>0</v>
      </c>
      <c r="G1111" s="115">
        <v>0</v>
      </c>
      <c r="H1111" s="115">
        <v>0</v>
      </c>
      <c r="I1111" s="115">
        <v>0</v>
      </c>
      <c r="J1111" s="115">
        <v>0</v>
      </c>
      <c r="K1111" s="115">
        <v>0</v>
      </c>
    </row>
    <row r="1112" spans="2:11" x14ac:dyDescent="0.25">
      <c r="B1112" s="115" t="s">
        <v>1241</v>
      </c>
      <c r="D1112" s="115" t="s">
        <v>8710</v>
      </c>
      <c r="E1112" s="115" t="s">
        <v>1242</v>
      </c>
      <c r="F1112" s="115">
        <v>0</v>
      </c>
      <c r="G1112" s="115">
        <v>0</v>
      </c>
      <c r="H1112" s="115">
        <v>0</v>
      </c>
      <c r="I1112" s="115">
        <v>0</v>
      </c>
      <c r="J1112" s="115">
        <v>0</v>
      </c>
      <c r="K1112" s="115">
        <v>0</v>
      </c>
    </row>
    <row r="1113" spans="2:11" x14ac:dyDescent="0.25">
      <c r="B1113" s="115" t="s">
        <v>1241</v>
      </c>
      <c r="D1113" s="115" t="s">
        <v>8710</v>
      </c>
      <c r="E1113" s="115" t="s">
        <v>1242</v>
      </c>
      <c r="F1113" s="115">
        <v>0</v>
      </c>
      <c r="G1113" s="115">
        <v>0</v>
      </c>
      <c r="H1113" s="115">
        <v>0</v>
      </c>
      <c r="I1113" s="115">
        <v>0</v>
      </c>
      <c r="J1113" s="115">
        <v>0</v>
      </c>
      <c r="K1113" s="115">
        <v>0</v>
      </c>
    </row>
    <row r="1114" spans="2:11" x14ac:dyDescent="0.25">
      <c r="B1114" s="115" t="s">
        <v>1241</v>
      </c>
      <c r="D1114" s="115" t="s">
        <v>8710</v>
      </c>
      <c r="E1114" s="115" t="s">
        <v>1242</v>
      </c>
      <c r="F1114" s="115">
        <v>0</v>
      </c>
      <c r="G1114" s="115">
        <v>0</v>
      </c>
      <c r="H1114" s="115">
        <v>0</v>
      </c>
      <c r="I1114" s="115">
        <v>0</v>
      </c>
      <c r="J1114" s="115">
        <v>0</v>
      </c>
      <c r="K1114" s="115">
        <v>0</v>
      </c>
    </row>
    <row r="1115" spans="2:11" x14ac:dyDescent="0.25">
      <c r="B1115" s="115" t="s">
        <v>1241</v>
      </c>
      <c r="D1115" s="115" t="s">
        <v>8710</v>
      </c>
      <c r="E1115" s="115" t="s">
        <v>1242</v>
      </c>
      <c r="F1115" s="115">
        <v>0</v>
      </c>
      <c r="G1115" s="115">
        <v>0</v>
      </c>
      <c r="H1115" s="115">
        <v>0</v>
      </c>
      <c r="I1115" s="115">
        <v>0</v>
      </c>
      <c r="J1115" s="115">
        <v>0</v>
      </c>
      <c r="K1115" s="115">
        <v>0</v>
      </c>
    </row>
    <row r="1116" spans="2:11" x14ac:dyDescent="0.25">
      <c r="B1116" s="115" t="s">
        <v>1241</v>
      </c>
      <c r="D1116" s="115" t="s">
        <v>8710</v>
      </c>
      <c r="E1116" s="115" t="s">
        <v>1242</v>
      </c>
      <c r="F1116" s="115">
        <v>0</v>
      </c>
      <c r="G1116" s="115">
        <v>0</v>
      </c>
      <c r="H1116" s="115">
        <v>0</v>
      </c>
      <c r="I1116" s="115">
        <v>0</v>
      </c>
      <c r="J1116" s="115">
        <v>0</v>
      </c>
      <c r="K1116" s="115">
        <v>0</v>
      </c>
    </row>
    <row r="1117" spans="2:11" x14ac:dyDescent="0.25">
      <c r="B1117" s="115" t="s">
        <v>1241</v>
      </c>
      <c r="D1117" s="115" t="s">
        <v>8710</v>
      </c>
      <c r="E1117" s="115" t="s">
        <v>1242</v>
      </c>
      <c r="F1117" s="115">
        <v>0</v>
      </c>
      <c r="G1117" s="115">
        <v>0</v>
      </c>
      <c r="H1117" s="115">
        <v>0</v>
      </c>
      <c r="I1117" s="115">
        <v>0</v>
      </c>
      <c r="J1117" s="115">
        <v>0</v>
      </c>
      <c r="K1117" s="115">
        <v>0</v>
      </c>
    </row>
    <row r="1118" spans="2:11" x14ac:dyDescent="0.25">
      <c r="B1118" s="115" t="s">
        <v>1241</v>
      </c>
      <c r="D1118" s="115" t="s">
        <v>8710</v>
      </c>
      <c r="E1118" s="115" t="s">
        <v>1242</v>
      </c>
      <c r="F1118" s="115">
        <v>0</v>
      </c>
      <c r="G1118" s="115">
        <v>0</v>
      </c>
      <c r="H1118" s="115">
        <v>0</v>
      </c>
      <c r="I1118" s="115">
        <v>0</v>
      </c>
      <c r="J1118" s="115">
        <v>0</v>
      </c>
      <c r="K1118" s="115">
        <v>0</v>
      </c>
    </row>
    <row r="1119" spans="2:11" x14ac:dyDescent="0.25">
      <c r="B1119" s="115" t="s">
        <v>1241</v>
      </c>
      <c r="D1119" s="115" t="s">
        <v>8710</v>
      </c>
      <c r="E1119" s="115" t="s">
        <v>1242</v>
      </c>
      <c r="F1119" s="115">
        <v>0</v>
      </c>
      <c r="G1119" s="115">
        <v>0</v>
      </c>
      <c r="H1119" s="115">
        <v>0</v>
      </c>
      <c r="I1119" s="115">
        <v>0</v>
      </c>
      <c r="J1119" s="115">
        <v>0</v>
      </c>
      <c r="K1119" s="115">
        <v>0</v>
      </c>
    </row>
    <row r="1120" spans="2:11" x14ac:dyDescent="0.25">
      <c r="B1120" s="115" t="s">
        <v>1241</v>
      </c>
      <c r="D1120" s="115" t="s">
        <v>8710</v>
      </c>
      <c r="E1120" s="115" t="s">
        <v>1242</v>
      </c>
      <c r="F1120" s="115">
        <v>0</v>
      </c>
      <c r="G1120" s="115">
        <v>0</v>
      </c>
      <c r="H1120" s="115">
        <v>0</v>
      </c>
      <c r="I1120" s="115">
        <v>0</v>
      </c>
      <c r="J1120" s="115">
        <v>0</v>
      </c>
      <c r="K1120" s="115">
        <v>0</v>
      </c>
    </row>
    <row r="1121" spans="2:11" x14ac:dyDescent="0.25">
      <c r="B1121" s="115" t="s">
        <v>1241</v>
      </c>
      <c r="D1121" s="115" t="s">
        <v>8710</v>
      </c>
      <c r="E1121" s="115" t="s">
        <v>1242</v>
      </c>
      <c r="F1121" s="115">
        <v>0</v>
      </c>
      <c r="G1121" s="115">
        <v>0</v>
      </c>
      <c r="H1121" s="115">
        <v>0</v>
      </c>
      <c r="I1121" s="115">
        <v>0</v>
      </c>
      <c r="J1121" s="115">
        <v>0</v>
      </c>
      <c r="K1121" s="115">
        <v>0</v>
      </c>
    </row>
    <row r="1122" spans="2:11" x14ac:dyDescent="0.25">
      <c r="B1122" s="115" t="s">
        <v>1241</v>
      </c>
      <c r="D1122" s="115" t="s">
        <v>8710</v>
      </c>
      <c r="E1122" s="115" t="s">
        <v>1242</v>
      </c>
      <c r="F1122" s="115">
        <v>0</v>
      </c>
      <c r="G1122" s="115">
        <v>0</v>
      </c>
      <c r="H1122" s="115">
        <v>0</v>
      </c>
      <c r="I1122" s="115">
        <v>0</v>
      </c>
      <c r="J1122" s="115">
        <v>0</v>
      </c>
      <c r="K1122" s="115">
        <v>0</v>
      </c>
    </row>
    <row r="1123" spans="2:11" x14ac:dyDescent="0.25">
      <c r="B1123" s="115" t="s">
        <v>1241</v>
      </c>
      <c r="D1123" s="115" t="s">
        <v>8710</v>
      </c>
      <c r="E1123" s="115" t="s">
        <v>1242</v>
      </c>
      <c r="F1123" s="115">
        <v>0</v>
      </c>
      <c r="G1123" s="115">
        <v>0</v>
      </c>
      <c r="H1123" s="115">
        <v>0</v>
      </c>
      <c r="I1123" s="115">
        <v>0</v>
      </c>
      <c r="J1123" s="115">
        <v>0</v>
      </c>
      <c r="K1123" s="115">
        <v>0</v>
      </c>
    </row>
    <row r="1124" spans="2:11" x14ac:dyDescent="0.25">
      <c r="B1124" s="115" t="s">
        <v>1241</v>
      </c>
      <c r="D1124" s="115" t="s">
        <v>8710</v>
      </c>
      <c r="E1124" s="115" t="s">
        <v>1242</v>
      </c>
      <c r="F1124" s="115">
        <v>0</v>
      </c>
      <c r="G1124" s="115">
        <v>0</v>
      </c>
      <c r="H1124" s="115">
        <v>0</v>
      </c>
      <c r="I1124" s="115">
        <v>0</v>
      </c>
      <c r="J1124" s="115">
        <v>0</v>
      </c>
      <c r="K1124" s="115">
        <v>0</v>
      </c>
    </row>
    <row r="1125" spans="2:11" x14ac:dyDescent="0.25">
      <c r="B1125" s="115" t="s">
        <v>1241</v>
      </c>
      <c r="D1125" s="115" t="s">
        <v>8710</v>
      </c>
      <c r="E1125" s="115" t="s">
        <v>1242</v>
      </c>
      <c r="F1125" s="115">
        <v>0</v>
      </c>
      <c r="G1125" s="115">
        <v>0</v>
      </c>
      <c r="H1125" s="115">
        <v>0</v>
      </c>
      <c r="I1125" s="115">
        <v>0</v>
      </c>
      <c r="J1125" s="115">
        <v>0</v>
      </c>
      <c r="K1125" s="115">
        <v>0</v>
      </c>
    </row>
    <row r="1126" spans="2:11" x14ac:dyDescent="0.25">
      <c r="B1126" s="115" t="s">
        <v>1241</v>
      </c>
      <c r="D1126" s="115" t="s">
        <v>8710</v>
      </c>
      <c r="E1126" s="115" t="s">
        <v>1242</v>
      </c>
      <c r="F1126" s="115">
        <v>0</v>
      </c>
      <c r="G1126" s="115">
        <v>0</v>
      </c>
      <c r="H1126" s="115">
        <v>0</v>
      </c>
      <c r="I1126" s="115">
        <v>0</v>
      </c>
      <c r="J1126" s="115">
        <v>0</v>
      </c>
      <c r="K1126" s="115">
        <v>0</v>
      </c>
    </row>
    <row r="1127" spans="2:11" x14ac:dyDescent="0.25">
      <c r="B1127" s="115" t="s">
        <v>1241</v>
      </c>
      <c r="D1127" s="115" t="s">
        <v>8710</v>
      </c>
      <c r="E1127" s="115" t="s">
        <v>1242</v>
      </c>
      <c r="F1127" s="115">
        <v>0</v>
      </c>
      <c r="G1127" s="115">
        <v>0</v>
      </c>
      <c r="H1127" s="115">
        <v>0</v>
      </c>
      <c r="I1127" s="115">
        <v>0</v>
      </c>
      <c r="J1127" s="115">
        <v>0</v>
      </c>
      <c r="K1127" s="115">
        <v>0</v>
      </c>
    </row>
    <row r="1128" spans="2:11" x14ac:dyDescent="0.25">
      <c r="B1128" s="115" t="s">
        <v>1241</v>
      </c>
      <c r="D1128" s="115" t="s">
        <v>8710</v>
      </c>
      <c r="E1128" s="115" t="s">
        <v>1242</v>
      </c>
      <c r="F1128" s="115">
        <v>0</v>
      </c>
      <c r="G1128" s="115">
        <v>0</v>
      </c>
      <c r="H1128" s="115">
        <v>0</v>
      </c>
      <c r="I1128" s="115">
        <v>0</v>
      </c>
      <c r="J1128" s="115">
        <v>0</v>
      </c>
      <c r="K1128" s="115">
        <v>0</v>
      </c>
    </row>
    <row r="1129" spans="2:11" x14ac:dyDescent="0.25">
      <c r="B1129" s="115" t="s">
        <v>1241</v>
      </c>
      <c r="D1129" s="115" t="s">
        <v>8710</v>
      </c>
      <c r="E1129" s="115" t="s">
        <v>1242</v>
      </c>
      <c r="F1129" s="115">
        <v>0</v>
      </c>
      <c r="G1129" s="115">
        <v>0</v>
      </c>
      <c r="H1129" s="115">
        <v>0</v>
      </c>
      <c r="I1129" s="115">
        <v>0</v>
      </c>
      <c r="J1129" s="115">
        <v>0</v>
      </c>
      <c r="K1129" s="115">
        <v>0</v>
      </c>
    </row>
    <row r="1130" spans="2:11" x14ac:dyDescent="0.25">
      <c r="B1130" s="115" t="s">
        <v>1241</v>
      </c>
      <c r="D1130" s="115" t="s">
        <v>8710</v>
      </c>
      <c r="E1130" s="115" t="s">
        <v>1242</v>
      </c>
      <c r="F1130" s="115">
        <v>0</v>
      </c>
      <c r="G1130" s="115">
        <v>0</v>
      </c>
      <c r="H1130" s="115">
        <v>0</v>
      </c>
      <c r="I1130" s="115">
        <v>0</v>
      </c>
      <c r="J1130" s="115">
        <v>0</v>
      </c>
      <c r="K1130" s="115">
        <v>0</v>
      </c>
    </row>
    <row r="1131" spans="2:11" x14ac:dyDescent="0.25">
      <c r="B1131" s="115" t="s">
        <v>1241</v>
      </c>
      <c r="D1131" s="115" t="s">
        <v>8710</v>
      </c>
      <c r="E1131" s="115" t="s">
        <v>1242</v>
      </c>
      <c r="F1131" s="115">
        <v>0</v>
      </c>
      <c r="G1131" s="115">
        <v>0</v>
      </c>
      <c r="H1131" s="115">
        <v>0</v>
      </c>
      <c r="I1131" s="115">
        <v>0</v>
      </c>
      <c r="J1131" s="115">
        <v>0</v>
      </c>
      <c r="K1131" s="115">
        <v>0</v>
      </c>
    </row>
    <row r="1132" spans="2:11" x14ac:dyDescent="0.25">
      <c r="B1132" s="115" t="s">
        <v>1241</v>
      </c>
      <c r="D1132" s="115" t="s">
        <v>8710</v>
      </c>
      <c r="E1132" s="115" t="s">
        <v>1242</v>
      </c>
      <c r="F1132" s="115">
        <v>0</v>
      </c>
      <c r="G1132" s="115">
        <v>0</v>
      </c>
      <c r="H1132" s="115">
        <v>0</v>
      </c>
      <c r="I1132" s="115">
        <v>0</v>
      </c>
      <c r="J1132" s="115">
        <v>0</v>
      </c>
      <c r="K1132" s="115">
        <v>0</v>
      </c>
    </row>
    <row r="1133" spans="2:11" x14ac:dyDescent="0.25">
      <c r="B1133" s="115" t="s">
        <v>1241</v>
      </c>
      <c r="D1133" s="115" t="s">
        <v>8710</v>
      </c>
      <c r="E1133" s="115" t="s">
        <v>1242</v>
      </c>
      <c r="F1133" s="115">
        <v>0</v>
      </c>
      <c r="G1133" s="115">
        <v>0</v>
      </c>
      <c r="H1133" s="115">
        <v>0</v>
      </c>
      <c r="I1133" s="115">
        <v>0</v>
      </c>
      <c r="J1133" s="115">
        <v>0</v>
      </c>
      <c r="K1133" s="115">
        <v>0</v>
      </c>
    </row>
    <row r="1134" spans="2:11" x14ac:dyDescent="0.25">
      <c r="B1134" s="115" t="s">
        <v>1241</v>
      </c>
      <c r="D1134" s="115" t="s">
        <v>8710</v>
      </c>
      <c r="E1134" s="115" t="s">
        <v>1242</v>
      </c>
      <c r="F1134" s="115">
        <v>0</v>
      </c>
      <c r="G1134" s="115">
        <v>0</v>
      </c>
      <c r="H1134" s="115">
        <v>0</v>
      </c>
      <c r="I1134" s="115">
        <v>0</v>
      </c>
      <c r="J1134" s="115">
        <v>0</v>
      </c>
      <c r="K1134" s="115">
        <v>0</v>
      </c>
    </row>
    <row r="1135" spans="2:11" x14ac:dyDescent="0.25">
      <c r="B1135" s="115" t="s">
        <v>1241</v>
      </c>
      <c r="D1135" s="115" t="s">
        <v>8710</v>
      </c>
      <c r="E1135" s="115" t="s">
        <v>1242</v>
      </c>
      <c r="F1135" s="115">
        <v>0</v>
      </c>
      <c r="G1135" s="115">
        <v>0</v>
      </c>
      <c r="H1135" s="115">
        <v>0</v>
      </c>
      <c r="I1135" s="115">
        <v>0</v>
      </c>
      <c r="J1135" s="115">
        <v>0</v>
      </c>
      <c r="K1135" s="115">
        <v>0</v>
      </c>
    </row>
    <row r="1136" spans="2:11" x14ac:dyDescent="0.25">
      <c r="B1136" s="115" t="s">
        <v>1241</v>
      </c>
      <c r="D1136" s="115" t="s">
        <v>8710</v>
      </c>
      <c r="E1136" s="115" t="s">
        <v>1242</v>
      </c>
      <c r="F1136" s="115">
        <v>0</v>
      </c>
      <c r="G1136" s="115">
        <v>0</v>
      </c>
      <c r="H1136" s="115">
        <v>0</v>
      </c>
      <c r="I1136" s="115">
        <v>0</v>
      </c>
      <c r="J1136" s="115">
        <v>0</v>
      </c>
      <c r="K1136" s="115">
        <v>0</v>
      </c>
    </row>
    <row r="1137" spans="1:11" x14ac:dyDescent="0.25">
      <c r="B1137" s="115" t="s">
        <v>1241</v>
      </c>
      <c r="D1137" s="115" t="s">
        <v>8710</v>
      </c>
      <c r="E1137" s="115" t="s">
        <v>1242</v>
      </c>
      <c r="F1137" s="115">
        <v>0</v>
      </c>
      <c r="G1137" s="115">
        <v>0</v>
      </c>
      <c r="H1137" s="115">
        <v>0</v>
      </c>
      <c r="I1137" s="115">
        <v>0</v>
      </c>
      <c r="J1137" s="115">
        <v>0</v>
      </c>
      <c r="K1137" s="115">
        <v>0</v>
      </c>
    </row>
    <row r="1138" spans="1:11" x14ac:dyDescent="0.25">
      <c r="B1138" s="115" t="s">
        <v>1241</v>
      </c>
      <c r="D1138" s="115" t="s">
        <v>8710</v>
      </c>
      <c r="E1138" s="115" t="s">
        <v>1242</v>
      </c>
      <c r="F1138" s="115">
        <v>0</v>
      </c>
      <c r="G1138" s="115">
        <v>0</v>
      </c>
      <c r="H1138" s="115">
        <v>0</v>
      </c>
      <c r="I1138" s="115">
        <v>0</v>
      </c>
      <c r="J1138" s="115">
        <v>0</v>
      </c>
      <c r="K1138" s="115">
        <v>0</v>
      </c>
    </row>
    <row r="1139" spans="1:11" x14ac:dyDescent="0.25">
      <c r="B1139" s="115" t="s">
        <v>1241</v>
      </c>
      <c r="D1139" s="115" t="s">
        <v>8710</v>
      </c>
      <c r="E1139" s="115" t="s">
        <v>1242</v>
      </c>
      <c r="F1139" s="115">
        <v>0</v>
      </c>
      <c r="G1139" s="115">
        <v>0</v>
      </c>
      <c r="H1139" s="115">
        <v>0</v>
      </c>
      <c r="I1139" s="115">
        <v>0</v>
      </c>
      <c r="J1139" s="115">
        <v>0</v>
      </c>
      <c r="K1139" s="115">
        <v>0</v>
      </c>
    </row>
    <row r="1140" spans="1:11" x14ac:dyDescent="0.25">
      <c r="B1140" s="115" t="s">
        <v>1241</v>
      </c>
      <c r="D1140" s="115" t="s">
        <v>8710</v>
      </c>
      <c r="E1140" s="115" t="s">
        <v>1242</v>
      </c>
      <c r="F1140" s="115">
        <v>0</v>
      </c>
      <c r="G1140" s="115">
        <v>0</v>
      </c>
      <c r="H1140" s="115">
        <v>0</v>
      </c>
      <c r="I1140" s="115">
        <v>0</v>
      </c>
      <c r="J1140" s="115">
        <v>0</v>
      </c>
      <c r="K1140" s="115">
        <v>0</v>
      </c>
    </row>
    <row r="1141" spans="1:11" x14ac:dyDescent="0.25">
      <c r="B1141" s="115" t="s">
        <v>1241</v>
      </c>
      <c r="D1141" s="115" t="s">
        <v>8710</v>
      </c>
      <c r="E1141" s="115" t="s">
        <v>1242</v>
      </c>
      <c r="F1141" s="115">
        <v>0</v>
      </c>
      <c r="G1141" s="115">
        <v>0</v>
      </c>
      <c r="H1141" s="115">
        <v>0</v>
      </c>
      <c r="I1141" s="115">
        <v>0</v>
      </c>
      <c r="J1141" s="115">
        <v>0</v>
      </c>
      <c r="K1141" s="115">
        <v>0</v>
      </c>
    </row>
    <row r="1142" spans="1:11" x14ac:dyDescent="0.25">
      <c r="B1142" s="115" t="s">
        <v>1241</v>
      </c>
      <c r="D1142" s="115" t="s">
        <v>8710</v>
      </c>
      <c r="E1142" s="115" t="s">
        <v>1242</v>
      </c>
      <c r="F1142" s="115">
        <v>0</v>
      </c>
      <c r="G1142" s="115">
        <v>0</v>
      </c>
      <c r="H1142" s="115">
        <v>0</v>
      </c>
      <c r="I1142" s="115">
        <v>0</v>
      </c>
      <c r="J1142" s="115">
        <v>0</v>
      </c>
      <c r="K1142" s="115">
        <v>0</v>
      </c>
    </row>
    <row r="1143" spans="1:11" x14ac:dyDescent="0.25">
      <c r="B1143" s="115" t="s">
        <v>1241</v>
      </c>
      <c r="D1143" s="115" t="s">
        <v>8710</v>
      </c>
      <c r="E1143" s="115" t="s">
        <v>1242</v>
      </c>
      <c r="F1143" s="115">
        <v>0</v>
      </c>
      <c r="G1143" s="115">
        <v>0</v>
      </c>
      <c r="H1143" s="115">
        <v>0</v>
      </c>
      <c r="I1143" s="115">
        <v>0</v>
      </c>
      <c r="J1143" s="115">
        <v>0</v>
      </c>
      <c r="K1143" s="115">
        <v>0</v>
      </c>
    </row>
    <row r="1144" spans="1:11" x14ac:dyDescent="0.25">
      <c r="B1144" s="115" t="s">
        <v>1241</v>
      </c>
      <c r="D1144" s="115" t="s">
        <v>8710</v>
      </c>
      <c r="E1144" s="115" t="s">
        <v>1242</v>
      </c>
      <c r="F1144" s="115">
        <v>0</v>
      </c>
      <c r="G1144" s="115">
        <v>0</v>
      </c>
      <c r="H1144" s="115">
        <v>0</v>
      </c>
      <c r="I1144" s="115">
        <v>0</v>
      </c>
      <c r="J1144" s="115">
        <v>0</v>
      </c>
      <c r="K1144" s="115">
        <v>0</v>
      </c>
    </row>
    <row r="1145" spans="1:11" x14ac:dyDescent="0.25">
      <c r="B1145" s="115" t="s">
        <v>1241</v>
      </c>
      <c r="D1145" s="115" t="s">
        <v>8710</v>
      </c>
      <c r="E1145" s="115" t="s">
        <v>1242</v>
      </c>
      <c r="F1145" s="115">
        <v>0</v>
      </c>
      <c r="G1145" s="115">
        <v>0</v>
      </c>
      <c r="H1145" s="115">
        <v>0</v>
      </c>
      <c r="I1145" s="115">
        <v>0</v>
      </c>
      <c r="J1145" s="115">
        <v>0</v>
      </c>
      <c r="K1145" s="115">
        <v>0</v>
      </c>
    </row>
    <row r="1146" spans="1:11" x14ac:dyDescent="0.25">
      <c r="B1146" s="115" t="s">
        <v>1241</v>
      </c>
      <c r="D1146" s="115" t="s">
        <v>9121</v>
      </c>
      <c r="E1146" s="115" t="s">
        <v>1864</v>
      </c>
      <c r="F1146" s="115">
        <v>-521</v>
      </c>
      <c r="G1146" s="115">
        <v>-1077</v>
      </c>
      <c r="H1146" s="115">
        <v>-1043</v>
      </c>
      <c r="I1146" s="115">
        <v>-1252</v>
      </c>
      <c r="J1146" s="115">
        <v>0</v>
      </c>
      <c r="K1146" s="115">
        <v>0</v>
      </c>
    </row>
    <row r="1147" spans="1:11" x14ac:dyDescent="0.25">
      <c r="A1147" s="115" t="s">
        <v>1239</v>
      </c>
      <c r="B1147" s="115" t="s">
        <v>1865</v>
      </c>
      <c r="D1147" s="115" t="s">
        <v>9122</v>
      </c>
      <c r="E1147" s="115" t="s">
        <v>1866</v>
      </c>
      <c r="F1147" s="115">
        <v>127</v>
      </c>
      <c r="G1147" s="115">
        <v>-390</v>
      </c>
      <c r="H1147" s="115">
        <v>0</v>
      </c>
      <c r="I1147" s="115">
        <v>0</v>
      </c>
      <c r="J1147" s="115">
        <v>0</v>
      </c>
      <c r="K1147" s="115">
        <v>0</v>
      </c>
    </row>
    <row r="1148" spans="1:11" x14ac:dyDescent="0.25">
      <c r="B1148" s="115" t="s">
        <v>1241</v>
      </c>
      <c r="D1148" s="115" t="s">
        <v>9123</v>
      </c>
      <c r="E1148" s="115" t="s">
        <v>1867</v>
      </c>
      <c r="F1148" s="115">
        <v>0</v>
      </c>
      <c r="G1148" s="115">
        <v>479</v>
      </c>
      <c r="H1148" s="115">
        <v>0</v>
      </c>
      <c r="I1148" s="115">
        <v>320</v>
      </c>
      <c r="J1148" s="115">
        <v>0</v>
      </c>
      <c r="K1148" s="115">
        <v>574</v>
      </c>
    </row>
    <row r="1149" spans="1:11" x14ac:dyDescent="0.25">
      <c r="A1149" s="115" t="s">
        <v>1239</v>
      </c>
      <c r="B1149" s="115" t="s">
        <v>1868</v>
      </c>
      <c r="D1149" s="115" t="s">
        <v>9124</v>
      </c>
      <c r="E1149" s="115" t="s">
        <v>1869</v>
      </c>
      <c r="F1149" s="115">
        <v>-58</v>
      </c>
      <c r="G1149" s="115">
        <v>-375</v>
      </c>
      <c r="H1149" s="115">
        <v>-790</v>
      </c>
      <c r="I1149" s="115">
        <v>-703</v>
      </c>
      <c r="J1149" s="115">
        <v>-926</v>
      </c>
      <c r="K1149" s="115">
        <v>0</v>
      </c>
    </row>
    <row r="1150" spans="1:11" x14ac:dyDescent="0.25">
      <c r="B1150" s="115" t="s">
        <v>1870</v>
      </c>
      <c r="D1150" s="115" t="s">
        <v>9125</v>
      </c>
      <c r="E1150" s="115" t="s">
        <v>1871</v>
      </c>
      <c r="F1150" s="115">
        <v>0</v>
      </c>
      <c r="G1150" s="115">
        <v>0</v>
      </c>
      <c r="H1150" s="115">
        <v>2</v>
      </c>
      <c r="I1150" s="115">
        <v>0</v>
      </c>
      <c r="J1150" s="115">
        <v>0</v>
      </c>
      <c r="K1150" s="115">
        <v>0</v>
      </c>
    </row>
    <row r="1151" spans="1:11" x14ac:dyDescent="0.25">
      <c r="A1151" s="115" t="s">
        <v>1239</v>
      </c>
      <c r="B1151" s="115" t="s">
        <v>1872</v>
      </c>
      <c r="D1151" s="115" t="s">
        <v>9126</v>
      </c>
      <c r="E1151" s="115" t="s">
        <v>1873</v>
      </c>
      <c r="F1151" s="115">
        <v>0</v>
      </c>
      <c r="G1151" s="115">
        <v>0</v>
      </c>
      <c r="H1151" s="115">
        <v>0</v>
      </c>
      <c r="I1151" s="115">
        <v>0</v>
      </c>
      <c r="J1151" s="115">
        <v>1283</v>
      </c>
      <c r="K1151" s="115">
        <v>0</v>
      </c>
    </row>
    <row r="1152" spans="1:11" x14ac:dyDescent="0.25">
      <c r="B1152" s="115">
        <f>-14    -75</f>
        <v>-89</v>
      </c>
      <c r="D1152" s="115" t="s">
        <v>9127</v>
      </c>
      <c r="E1152" s="115" t="s">
        <v>1874</v>
      </c>
      <c r="F1152" s="115">
        <v>4909</v>
      </c>
      <c r="G1152" s="115">
        <v>-2099</v>
      </c>
      <c r="H1152" s="115">
        <v>0</v>
      </c>
      <c r="I1152" s="115">
        <v>758</v>
      </c>
      <c r="J1152" s="115">
        <v>0</v>
      </c>
      <c r="K1152" s="115">
        <v>0</v>
      </c>
    </row>
    <row r="1153" spans="1:11" x14ac:dyDescent="0.25">
      <c r="B1153" s="115" t="s">
        <v>1241</v>
      </c>
      <c r="C1153" s="115" t="s">
        <v>1239</v>
      </c>
      <c r="D1153" s="115" t="s">
        <v>9128</v>
      </c>
      <c r="E1153" s="115" t="s">
        <v>1875</v>
      </c>
      <c r="F1153" s="115">
        <v>-62</v>
      </c>
      <c r="G1153" s="115">
        <v>0</v>
      </c>
      <c r="H1153" s="115">
        <v>0</v>
      </c>
      <c r="I1153" s="115">
        <v>944</v>
      </c>
      <c r="J1153" s="115">
        <v>572</v>
      </c>
      <c r="K1153" s="115">
        <v>0</v>
      </c>
    </row>
    <row r="1154" spans="1:11" x14ac:dyDescent="0.25">
      <c r="B1154" s="115" t="s">
        <v>1876</v>
      </c>
      <c r="D1154" s="115" t="s">
        <v>9129</v>
      </c>
      <c r="E1154" s="115" t="s">
        <v>1877</v>
      </c>
      <c r="F1154" s="115">
        <v>184</v>
      </c>
      <c r="G1154" s="115">
        <v>902</v>
      </c>
      <c r="H1154" s="115">
        <v>567</v>
      </c>
      <c r="I1154" s="115">
        <v>0</v>
      </c>
      <c r="J1154" s="115">
        <v>0</v>
      </c>
      <c r="K1154" s="115">
        <v>0</v>
      </c>
    </row>
    <row r="1155" spans="1:11" x14ac:dyDescent="0.25">
      <c r="B1155" s="115" t="s">
        <v>1241</v>
      </c>
      <c r="D1155" s="115" t="s">
        <v>9130</v>
      </c>
      <c r="E1155" s="115" t="s">
        <v>1878</v>
      </c>
      <c r="F1155" s="115">
        <v>3016</v>
      </c>
      <c r="G1155" s="115">
        <v>266</v>
      </c>
      <c r="H1155" s="115">
        <v>-547</v>
      </c>
      <c r="I1155" s="115">
        <v>0</v>
      </c>
      <c r="J1155" s="115">
        <v>-89976</v>
      </c>
      <c r="K1155" s="115">
        <v>5128</v>
      </c>
    </row>
    <row r="1156" spans="1:11" x14ac:dyDescent="0.25">
      <c r="B1156" s="115" t="s">
        <v>1879</v>
      </c>
      <c r="D1156" s="115" t="s">
        <v>9131</v>
      </c>
      <c r="E1156" s="115" t="s">
        <v>1880</v>
      </c>
      <c r="F1156" s="115">
        <v>366</v>
      </c>
      <c r="G1156" s="115">
        <v>467</v>
      </c>
      <c r="H1156" s="115">
        <v>-1360</v>
      </c>
      <c r="I1156" s="115">
        <v>2359</v>
      </c>
      <c r="J1156" s="115">
        <v>0</v>
      </c>
      <c r="K1156" s="115">
        <v>51</v>
      </c>
    </row>
    <row r="1157" spans="1:11" x14ac:dyDescent="0.25">
      <c r="A1157" s="115">
        <v>-16</v>
      </c>
      <c r="B1157" s="115" t="s">
        <v>1881</v>
      </c>
      <c r="D1157" s="115" t="s">
        <v>9132</v>
      </c>
      <c r="E1157" s="115" t="s">
        <v>1882</v>
      </c>
      <c r="F1157" s="115">
        <v>-749</v>
      </c>
      <c r="G1157" s="115">
        <v>1572</v>
      </c>
      <c r="H1157" s="115">
        <v>0</v>
      </c>
      <c r="I1157" s="115">
        <v>1591</v>
      </c>
      <c r="J1157" s="115">
        <v>28</v>
      </c>
      <c r="K1157" s="115">
        <v>-990</v>
      </c>
    </row>
    <row r="1158" spans="1:11" x14ac:dyDescent="0.25">
      <c r="A1158" s="115">
        <v>1</v>
      </c>
      <c r="B1158" s="115" t="s">
        <v>1263</v>
      </c>
      <c r="D1158" s="115" t="s">
        <v>8710</v>
      </c>
      <c r="E1158" s="115" t="s">
        <v>1242</v>
      </c>
      <c r="F1158" s="115">
        <v>0</v>
      </c>
      <c r="G1158" s="115">
        <v>0</v>
      </c>
      <c r="H1158" s="115">
        <v>0</v>
      </c>
      <c r="I1158" s="115">
        <v>0</v>
      </c>
      <c r="J1158" s="115">
        <v>0</v>
      </c>
      <c r="K1158" s="115">
        <v>0</v>
      </c>
    </row>
    <row r="1159" spans="1:11" x14ac:dyDescent="0.25">
      <c r="B1159" s="115" t="s">
        <v>1241</v>
      </c>
      <c r="D1159" s="115" t="s">
        <v>8710</v>
      </c>
      <c r="E1159" s="115" t="s">
        <v>1242</v>
      </c>
      <c r="F1159" s="115">
        <v>0</v>
      </c>
      <c r="G1159" s="115">
        <v>0</v>
      </c>
      <c r="H1159" s="115">
        <v>0</v>
      </c>
      <c r="I1159" s="115">
        <v>0</v>
      </c>
      <c r="J1159" s="115">
        <v>0</v>
      </c>
      <c r="K1159" s="115">
        <v>0</v>
      </c>
    </row>
    <row r="1160" spans="1:11" x14ac:dyDescent="0.25">
      <c r="B1160" s="115" t="s">
        <v>1241</v>
      </c>
      <c r="D1160" s="115" t="s">
        <v>8710</v>
      </c>
      <c r="E1160" s="115" t="s">
        <v>1242</v>
      </c>
      <c r="F1160" s="115">
        <v>0</v>
      </c>
      <c r="G1160" s="115">
        <v>0</v>
      </c>
      <c r="H1160" s="115">
        <v>0</v>
      </c>
      <c r="I1160" s="115">
        <v>0</v>
      </c>
      <c r="J1160" s="115">
        <v>0</v>
      </c>
      <c r="K1160" s="115">
        <v>0</v>
      </c>
    </row>
    <row r="1161" spans="1:11" x14ac:dyDescent="0.25">
      <c r="B1161" s="115" t="s">
        <v>1241</v>
      </c>
      <c r="D1161" s="115" t="s">
        <v>8710</v>
      </c>
      <c r="E1161" s="115" t="s">
        <v>1242</v>
      </c>
      <c r="F1161" s="115">
        <v>0</v>
      </c>
      <c r="G1161" s="115">
        <v>0</v>
      </c>
      <c r="H1161" s="115">
        <v>0</v>
      </c>
      <c r="I1161" s="115">
        <v>0</v>
      </c>
      <c r="J1161" s="115">
        <v>0</v>
      </c>
      <c r="K1161" s="115">
        <v>0</v>
      </c>
    </row>
    <row r="1162" spans="1:11" x14ac:dyDescent="0.25">
      <c r="B1162" s="115" t="s">
        <v>1241</v>
      </c>
      <c r="D1162" s="115" t="s">
        <v>8710</v>
      </c>
      <c r="E1162" s="115" t="s">
        <v>1242</v>
      </c>
      <c r="F1162" s="115">
        <v>0</v>
      </c>
      <c r="G1162" s="115">
        <v>0</v>
      </c>
      <c r="H1162" s="115">
        <v>0</v>
      </c>
      <c r="I1162" s="115">
        <v>0</v>
      </c>
      <c r="J1162" s="115">
        <v>0</v>
      </c>
      <c r="K1162" s="115">
        <v>0</v>
      </c>
    </row>
    <row r="1163" spans="1:11" x14ac:dyDescent="0.25">
      <c r="B1163" s="115" t="s">
        <v>1241</v>
      </c>
      <c r="D1163" s="115" t="s">
        <v>8710</v>
      </c>
      <c r="E1163" s="115" t="s">
        <v>1242</v>
      </c>
      <c r="F1163" s="115">
        <v>0</v>
      </c>
      <c r="G1163" s="115">
        <v>0</v>
      </c>
      <c r="H1163" s="115">
        <v>0</v>
      </c>
      <c r="I1163" s="115">
        <v>0</v>
      </c>
      <c r="J1163" s="115">
        <v>0</v>
      </c>
      <c r="K1163" s="115">
        <v>0</v>
      </c>
    </row>
    <row r="1164" spans="1:11" x14ac:dyDescent="0.25">
      <c r="B1164" s="115" t="s">
        <v>1241</v>
      </c>
      <c r="D1164" s="115" t="s">
        <v>8710</v>
      </c>
      <c r="E1164" s="115" t="s">
        <v>1242</v>
      </c>
      <c r="F1164" s="115">
        <v>0</v>
      </c>
      <c r="G1164" s="115">
        <v>0</v>
      </c>
      <c r="H1164" s="115">
        <v>0</v>
      </c>
      <c r="I1164" s="115">
        <v>0</v>
      </c>
      <c r="J1164" s="115">
        <v>0</v>
      </c>
      <c r="K1164" s="115">
        <v>0</v>
      </c>
    </row>
    <row r="1165" spans="1:11" x14ac:dyDescent="0.25">
      <c r="B1165" s="115" t="s">
        <v>1241</v>
      </c>
      <c r="D1165" s="115" t="s">
        <v>8710</v>
      </c>
      <c r="E1165" s="115" t="s">
        <v>1242</v>
      </c>
      <c r="F1165" s="115">
        <v>0</v>
      </c>
      <c r="G1165" s="115">
        <v>0</v>
      </c>
      <c r="H1165" s="115">
        <v>0</v>
      </c>
      <c r="I1165" s="115">
        <v>0</v>
      </c>
      <c r="J1165" s="115">
        <v>0</v>
      </c>
      <c r="K1165" s="115">
        <v>0</v>
      </c>
    </row>
    <row r="1166" spans="1:11" x14ac:dyDescent="0.25">
      <c r="B1166" s="115" t="s">
        <v>1241</v>
      </c>
      <c r="D1166" s="115" t="s">
        <v>8710</v>
      </c>
      <c r="E1166" s="115" t="s">
        <v>1242</v>
      </c>
      <c r="F1166" s="115">
        <v>0</v>
      </c>
      <c r="G1166" s="115">
        <v>0</v>
      </c>
      <c r="H1166" s="115">
        <v>0</v>
      </c>
      <c r="I1166" s="115">
        <v>0</v>
      </c>
      <c r="J1166" s="115">
        <v>0</v>
      </c>
      <c r="K1166" s="115">
        <v>0</v>
      </c>
    </row>
    <row r="1167" spans="1:11" x14ac:dyDescent="0.25">
      <c r="B1167" s="115" t="s">
        <v>1241</v>
      </c>
      <c r="D1167" s="115" t="s">
        <v>8710</v>
      </c>
      <c r="E1167" s="115" t="s">
        <v>1242</v>
      </c>
      <c r="F1167" s="115">
        <v>0</v>
      </c>
      <c r="G1167" s="115">
        <v>0</v>
      </c>
      <c r="H1167" s="115">
        <v>0</v>
      </c>
      <c r="I1167" s="115">
        <v>0</v>
      </c>
      <c r="J1167" s="115">
        <v>0</v>
      </c>
      <c r="K1167" s="115">
        <v>0</v>
      </c>
    </row>
    <row r="1168" spans="1:11" x14ac:dyDescent="0.25">
      <c r="B1168" s="115" t="s">
        <v>1241</v>
      </c>
      <c r="D1168" s="115" t="s">
        <v>8710</v>
      </c>
      <c r="E1168" s="115" t="s">
        <v>1242</v>
      </c>
      <c r="F1168" s="115">
        <v>0</v>
      </c>
      <c r="G1168" s="115">
        <v>0</v>
      </c>
      <c r="H1168" s="115">
        <v>0</v>
      </c>
      <c r="I1168" s="115">
        <v>0</v>
      </c>
      <c r="J1168" s="115">
        <v>0</v>
      </c>
      <c r="K1168" s="115">
        <v>0</v>
      </c>
    </row>
    <row r="1169" spans="1:11" x14ac:dyDescent="0.25">
      <c r="B1169" s="115" t="s">
        <v>1241</v>
      </c>
      <c r="D1169" s="115" t="s">
        <v>8710</v>
      </c>
      <c r="E1169" s="115" t="s">
        <v>1242</v>
      </c>
      <c r="F1169" s="115">
        <v>0</v>
      </c>
      <c r="G1169" s="115">
        <v>0</v>
      </c>
      <c r="H1169" s="115">
        <v>0</v>
      </c>
      <c r="I1169" s="115">
        <v>0</v>
      </c>
      <c r="J1169" s="115">
        <v>0</v>
      </c>
      <c r="K1169" s="115">
        <v>0</v>
      </c>
    </row>
    <row r="1170" spans="1:11" x14ac:dyDescent="0.25">
      <c r="B1170" s="115" t="s">
        <v>1241</v>
      </c>
      <c r="D1170" s="115" t="s">
        <v>8710</v>
      </c>
      <c r="E1170" s="115" t="s">
        <v>1242</v>
      </c>
      <c r="F1170" s="115">
        <v>0</v>
      </c>
      <c r="G1170" s="115">
        <v>0</v>
      </c>
      <c r="H1170" s="115">
        <v>0</v>
      </c>
      <c r="I1170" s="115">
        <v>0</v>
      </c>
      <c r="J1170" s="115">
        <v>0</v>
      </c>
      <c r="K1170" s="115">
        <v>0</v>
      </c>
    </row>
    <row r="1171" spans="1:11" x14ac:dyDescent="0.25">
      <c r="A1171" s="115" t="s">
        <v>1239</v>
      </c>
      <c r="B1171" s="115" t="s">
        <v>1883</v>
      </c>
      <c r="D1171" s="115" t="s">
        <v>9133</v>
      </c>
      <c r="E1171" s="115" t="s">
        <v>1884</v>
      </c>
      <c r="F1171" s="115">
        <v>182</v>
      </c>
      <c r="G1171" s="115">
        <v>0</v>
      </c>
      <c r="H1171" s="115">
        <v>0</v>
      </c>
      <c r="I1171" s="115">
        <v>-72</v>
      </c>
      <c r="J1171" s="115">
        <v>0</v>
      </c>
      <c r="K1171" s="115">
        <v>0</v>
      </c>
    </row>
    <row r="1172" spans="1:11" x14ac:dyDescent="0.25">
      <c r="B1172" s="115" t="s">
        <v>1885</v>
      </c>
      <c r="D1172" s="115" t="s">
        <v>9134</v>
      </c>
      <c r="E1172" s="115" t="s">
        <v>1886</v>
      </c>
      <c r="F1172" s="115">
        <v>0</v>
      </c>
      <c r="G1172" s="115">
        <v>0</v>
      </c>
      <c r="H1172" s="115">
        <v>0</v>
      </c>
      <c r="I1172" s="115">
        <v>0</v>
      </c>
      <c r="J1172" s="115">
        <v>0</v>
      </c>
      <c r="K1172" s="115">
        <v>623</v>
      </c>
    </row>
    <row r="1173" spans="1:11" x14ac:dyDescent="0.25">
      <c r="B1173" s="115" t="s">
        <v>1241</v>
      </c>
      <c r="D1173" s="115" t="s">
        <v>9135</v>
      </c>
      <c r="E1173" s="115" t="s">
        <v>1887</v>
      </c>
      <c r="F1173" s="115">
        <v>346</v>
      </c>
      <c r="G1173" s="115">
        <v>0</v>
      </c>
      <c r="H1173" s="115">
        <v>-421</v>
      </c>
      <c r="I1173" s="115">
        <v>-97</v>
      </c>
      <c r="J1173" s="115">
        <v>190</v>
      </c>
      <c r="K1173" s="115">
        <v>0</v>
      </c>
    </row>
    <row r="1174" spans="1:11" x14ac:dyDescent="0.25">
      <c r="A1174" s="115" t="s">
        <v>1239</v>
      </c>
      <c r="B1174" s="115" t="s">
        <v>1888</v>
      </c>
      <c r="D1174" s="115" t="s">
        <v>9136</v>
      </c>
      <c r="E1174" s="115" t="s">
        <v>1889</v>
      </c>
      <c r="F1174" s="115">
        <v>290</v>
      </c>
      <c r="G1174" s="115">
        <v>-144</v>
      </c>
      <c r="H1174" s="115">
        <v>0</v>
      </c>
      <c r="I1174" s="115">
        <v>69</v>
      </c>
      <c r="J1174" s="115">
        <v>0</v>
      </c>
      <c r="K1174" s="115">
        <v>0</v>
      </c>
    </row>
    <row r="1175" spans="1:11" x14ac:dyDescent="0.25">
      <c r="B1175" s="115" t="s">
        <v>1241</v>
      </c>
      <c r="D1175" s="115" t="s">
        <v>9137</v>
      </c>
      <c r="E1175" s="115" t="s">
        <v>1890</v>
      </c>
      <c r="F1175" s="115">
        <v>0</v>
      </c>
      <c r="G1175" s="115">
        <v>0</v>
      </c>
      <c r="H1175" s="115">
        <v>0</v>
      </c>
      <c r="I1175" s="115">
        <v>60</v>
      </c>
      <c r="J1175" s="115">
        <v>0</v>
      </c>
      <c r="K1175" s="115">
        <v>92</v>
      </c>
    </row>
    <row r="1176" spans="1:11" x14ac:dyDescent="0.25">
      <c r="B1176" s="115" t="s">
        <v>1241</v>
      </c>
      <c r="D1176" s="115" t="s">
        <v>9138</v>
      </c>
      <c r="E1176" s="115" t="s">
        <v>1891</v>
      </c>
      <c r="F1176" s="115">
        <v>0</v>
      </c>
      <c r="G1176" s="115">
        <v>854</v>
      </c>
      <c r="H1176" s="115">
        <v>0</v>
      </c>
      <c r="I1176" s="115">
        <v>-92</v>
      </c>
      <c r="J1176" s="115">
        <v>-244</v>
      </c>
      <c r="K1176" s="115">
        <v>0</v>
      </c>
    </row>
    <row r="1177" spans="1:11" x14ac:dyDescent="0.25">
      <c r="B1177" s="115" t="s">
        <v>1892</v>
      </c>
      <c r="C1177" s="115" t="s">
        <v>1239</v>
      </c>
      <c r="D1177" s="115" t="s">
        <v>9139</v>
      </c>
      <c r="E1177" s="115" t="s">
        <v>1893</v>
      </c>
      <c r="F1177" s="115">
        <v>547</v>
      </c>
      <c r="G1177" s="115">
        <v>0</v>
      </c>
      <c r="H1177" s="115">
        <v>0</v>
      </c>
      <c r="I1177" s="115">
        <v>0</v>
      </c>
      <c r="J1177" s="115">
        <v>0</v>
      </c>
      <c r="K1177" s="115">
        <v>-886</v>
      </c>
    </row>
    <row r="1178" spans="1:11" x14ac:dyDescent="0.25">
      <c r="B1178" s="115" t="s">
        <v>1894</v>
      </c>
      <c r="D1178" s="115" t="s">
        <v>9140</v>
      </c>
      <c r="E1178" s="115" t="s">
        <v>1895</v>
      </c>
      <c r="F1178" s="115">
        <v>-390</v>
      </c>
      <c r="G1178" s="115">
        <v>-137</v>
      </c>
      <c r="H1178" s="115">
        <v>0</v>
      </c>
      <c r="I1178" s="115">
        <v>46</v>
      </c>
      <c r="J1178" s="115">
        <v>463</v>
      </c>
      <c r="K1178" s="115">
        <v>-28</v>
      </c>
    </row>
    <row r="1179" spans="1:11" x14ac:dyDescent="0.25">
      <c r="B1179" s="115" t="s">
        <v>1896</v>
      </c>
      <c r="D1179" s="115" t="s">
        <v>9141</v>
      </c>
      <c r="E1179" s="115" t="s">
        <v>1897</v>
      </c>
      <c r="F1179" s="115">
        <v>0</v>
      </c>
      <c r="G1179" s="115">
        <v>0</v>
      </c>
      <c r="H1179" s="115">
        <v>0</v>
      </c>
      <c r="I1179" s="115">
        <v>0</v>
      </c>
      <c r="J1179" s="115">
        <v>0</v>
      </c>
      <c r="K1179" s="115">
        <v>-1194</v>
      </c>
    </row>
    <row r="1180" spans="1:11" x14ac:dyDescent="0.25">
      <c r="B1180" s="115" t="s">
        <v>1898</v>
      </c>
      <c r="D1180" s="115" t="s">
        <v>9142</v>
      </c>
      <c r="E1180" s="115" t="s">
        <v>1899</v>
      </c>
      <c r="F1180" s="115">
        <v>0</v>
      </c>
      <c r="G1180" s="115">
        <v>7133</v>
      </c>
      <c r="H1180" s="115">
        <v>-70252</v>
      </c>
      <c r="I1180" s="115">
        <v>2878</v>
      </c>
      <c r="J1180" s="115">
        <v>1568</v>
      </c>
      <c r="K1180" s="115">
        <v>682</v>
      </c>
    </row>
    <row r="1181" spans="1:11" x14ac:dyDescent="0.25">
      <c r="B1181" s="115" t="s">
        <v>1900</v>
      </c>
      <c r="D1181" s="115" t="s">
        <v>9143</v>
      </c>
      <c r="E1181" s="115" t="s">
        <v>1901</v>
      </c>
      <c r="F1181" s="115">
        <v>794</v>
      </c>
      <c r="G1181" s="115">
        <v>0</v>
      </c>
      <c r="H1181" s="115">
        <v>-1315</v>
      </c>
      <c r="I1181" s="115">
        <v>-14460</v>
      </c>
      <c r="J1181" s="115">
        <v>0</v>
      </c>
      <c r="K1181" s="115">
        <v>0</v>
      </c>
    </row>
    <row r="1182" spans="1:11" x14ac:dyDescent="0.25">
      <c r="B1182" s="115" t="s">
        <v>1902</v>
      </c>
      <c r="D1182" s="115" t="s">
        <v>9144</v>
      </c>
      <c r="E1182" s="115" t="s">
        <v>1903</v>
      </c>
      <c r="F1182" s="115">
        <v>3254</v>
      </c>
      <c r="G1182" s="115">
        <v>679</v>
      </c>
      <c r="H1182" s="115">
        <v>-2034</v>
      </c>
      <c r="I1182" s="115">
        <v>2447</v>
      </c>
      <c r="J1182" s="115">
        <v>0</v>
      </c>
      <c r="K1182" s="115">
        <v>0</v>
      </c>
    </row>
    <row r="1183" spans="1:11" x14ac:dyDescent="0.25">
      <c r="B1183" s="115" t="s">
        <v>1241</v>
      </c>
      <c r="D1183" s="115" t="s">
        <v>9145</v>
      </c>
      <c r="E1183" s="115">
        <f>-2273   -337   -399   -113    -85</f>
        <v>-3207</v>
      </c>
      <c r="F1183" s="115">
        <v>0</v>
      </c>
      <c r="G1183" s="115">
        <v>-2273</v>
      </c>
      <c r="H1183" s="115">
        <v>-337</v>
      </c>
      <c r="I1183" s="115">
        <v>-399</v>
      </c>
      <c r="J1183" s="115">
        <v>-113</v>
      </c>
      <c r="K1183" s="115">
        <v>-85</v>
      </c>
    </row>
    <row r="1184" spans="1:11" x14ac:dyDescent="0.25">
      <c r="B1184" s="115" t="s">
        <v>1241</v>
      </c>
      <c r="D1184" s="115" t="s">
        <v>9146</v>
      </c>
      <c r="E1184" s="115" t="s">
        <v>1904</v>
      </c>
      <c r="F1184" s="115">
        <v>0</v>
      </c>
      <c r="G1184" s="115">
        <v>0</v>
      </c>
      <c r="H1184" s="115">
        <v>-134</v>
      </c>
      <c r="I1184" s="115">
        <v>247</v>
      </c>
      <c r="J1184" s="115">
        <v>0</v>
      </c>
      <c r="K1184" s="115">
        <v>0</v>
      </c>
    </row>
    <row r="1185" spans="1:11" x14ac:dyDescent="0.25">
      <c r="B1185" s="115" t="s">
        <v>1241</v>
      </c>
      <c r="D1185" s="115" t="s">
        <v>9147</v>
      </c>
      <c r="E1185" s="115" t="s">
        <v>1905</v>
      </c>
      <c r="F1185" s="115">
        <v>-52</v>
      </c>
      <c r="G1185" s="115">
        <v>0</v>
      </c>
      <c r="H1185" s="115">
        <v>0</v>
      </c>
      <c r="I1185" s="115">
        <v>51</v>
      </c>
      <c r="J1185" s="115">
        <v>0</v>
      </c>
      <c r="K1185" s="115">
        <v>-69</v>
      </c>
    </row>
    <row r="1186" spans="1:11" x14ac:dyDescent="0.25">
      <c r="B1186" s="115" t="s">
        <v>1906</v>
      </c>
      <c r="D1186" s="115" t="s">
        <v>9148</v>
      </c>
      <c r="E1186" s="115" t="s">
        <v>1907</v>
      </c>
      <c r="F1186" s="115">
        <v>0</v>
      </c>
      <c r="G1186" s="115">
        <v>-926</v>
      </c>
      <c r="H1186" s="115">
        <v>-257</v>
      </c>
      <c r="I1186" s="115">
        <v>-204</v>
      </c>
      <c r="J1186" s="115">
        <v>-80</v>
      </c>
      <c r="K1186" s="115">
        <v>163</v>
      </c>
    </row>
    <row r="1187" spans="1:11" x14ac:dyDescent="0.25">
      <c r="B1187" s="115" t="s">
        <v>1908</v>
      </c>
      <c r="D1187" s="115" t="s">
        <v>9149</v>
      </c>
      <c r="E1187" s="115" t="s">
        <v>1909</v>
      </c>
      <c r="F1187" s="115">
        <v>0</v>
      </c>
      <c r="G1187" s="115">
        <v>0</v>
      </c>
      <c r="H1187" s="115">
        <v>0</v>
      </c>
      <c r="I1187" s="115">
        <v>0</v>
      </c>
      <c r="J1187" s="115">
        <v>54</v>
      </c>
      <c r="K1187" s="115">
        <v>0</v>
      </c>
    </row>
    <row r="1188" spans="1:11" x14ac:dyDescent="0.25">
      <c r="B1188" s="115" t="s">
        <v>1241</v>
      </c>
      <c r="D1188" s="115" t="s">
        <v>9150</v>
      </c>
      <c r="E1188" s="115" t="s">
        <v>1242</v>
      </c>
      <c r="F1188" s="115">
        <v>19</v>
      </c>
      <c r="G1188" s="115">
        <v>0</v>
      </c>
      <c r="H1188" s="115">
        <v>0</v>
      </c>
      <c r="I1188" s="115">
        <v>0</v>
      </c>
      <c r="J1188" s="115">
        <v>0</v>
      </c>
      <c r="K1188" s="115">
        <v>0</v>
      </c>
    </row>
    <row r="1189" spans="1:11" x14ac:dyDescent="0.25">
      <c r="B1189" s="115" t="s">
        <v>1512</v>
      </c>
      <c r="D1189" s="115" t="s">
        <v>9151</v>
      </c>
      <c r="E1189" s="115" t="s">
        <v>1910</v>
      </c>
      <c r="F1189" s="115">
        <v>0</v>
      </c>
      <c r="G1189" s="115">
        <v>0</v>
      </c>
      <c r="H1189" s="115">
        <v>-486</v>
      </c>
      <c r="I1189" s="115">
        <v>-279</v>
      </c>
      <c r="J1189" s="115">
        <v>0</v>
      </c>
      <c r="K1189" s="115">
        <v>-134</v>
      </c>
    </row>
    <row r="1190" spans="1:11" x14ac:dyDescent="0.25">
      <c r="B1190" s="115" t="s">
        <v>1241</v>
      </c>
      <c r="D1190" s="115" t="s">
        <v>9152</v>
      </c>
      <c r="E1190" s="115" t="s">
        <v>1911</v>
      </c>
      <c r="F1190" s="115">
        <v>158</v>
      </c>
      <c r="G1190" s="115">
        <v>865</v>
      </c>
      <c r="H1190" s="115">
        <v>199</v>
      </c>
      <c r="I1190" s="115">
        <v>0</v>
      </c>
      <c r="J1190" s="115">
        <v>0</v>
      </c>
      <c r="K1190" s="115">
        <v>-258</v>
      </c>
    </row>
    <row r="1191" spans="1:11" x14ac:dyDescent="0.25">
      <c r="B1191" s="115" t="s">
        <v>1912</v>
      </c>
      <c r="D1191" s="115" t="s">
        <v>9153</v>
      </c>
      <c r="E1191" s="115" t="s">
        <v>1913</v>
      </c>
      <c r="F1191" s="115">
        <v>114</v>
      </c>
      <c r="G1191" s="115">
        <v>130</v>
      </c>
      <c r="H1191" s="115">
        <v>136</v>
      </c>
      <c r="I1191" s="115">
        <v>153</v>
      </c>
      <c r="J1191" s="115">
        <v>-273</v>
      </c>
      <c r="K1191" s="115">
        <v>0</v>
      </c>
    </row>
    <row r="1192" spans="1:11" x14ac:dyDescent="0.25">
      <c r="B1192" s="115" t="s">
        <v>1241</v>
      </c>
      <c r="D1192" s="115" t="s">
        <v>9154</v>
      </c>
      <c r="E1192" s="115" t="s">
        <v>1914</v>
      </c>
      <c r="F1192" s="115">
        <v>499</v>
      </c>
      <c r="G1192" s="115">
        <v>0</v>
      </c>
      <c r="H1192" s="115">
        <v>159</v>
      </c>
      <c r="I1192" s="115">
        <v>-7754</v>
      </c>
      <c r="J1192" s="115">
        <v>921</v>
      </c>
      <c r="K1192" s="115">
        <v>0</v>
      </c>
    </row>
    <row r="1193" spans="1:11" x14ac:dyDescent="0.25">
      <c r="A1193" s="115">
        <v>-4</v>
      </c>
      <c r="B1193" s="115" t="s">
        <v>1915</v>
      </c>
      <c r="D1193" s="115" t="s">
        <v>9155</v>
      </c>
      <c r="E1193" s="115" t="s">
        <v>1916</v>
      </c>
      <c r="F1193" s="115">
        <v>-1126</v>
      </c>
      <c r="G1193" s="115">
        <v>0</v>
      </c>
      <c r="H1193" s="115">
        <v>957</v>
      </c>
      <c r="I1193" s="115">
        <v>1829</v>
      </c>
      <c r="J1193" s="115">
        <v>432</v>
      </c>
      <c r="K1193" s="115">
        <v>-7868</v>
      </c>
    </row>
    <row r="1194" spans="1:11" x14ac:dyDescent="0.25">
      <c r="B1194" s="115" t="s">
        <v>1917</v>
      </c>
      <c r="D1194" s="115" t="s">
        <v>9156</v>
      </c>
      <c r="E1194" s="115" t="s">
        <v>1918</v>
      </c>
      <c r="F1194" s="115">
        <v>0</v>
      </c>
      <c r="G1194" s="115">
        <v>0</v>
      </c>
      <c r="H1194" s="115">
        <v>-827</v>
      </c>
      <c r="I1194" s="115">
        <v>640</v>
      </c>
      <c r="J1194" s="115">
        <v>0</v>
      </c>
      <c r="K1194" s="115">
        <v>933</v>
      </c>
    </row>
    <row r="1195" spans="1:11" x14ac:dyDescent="0.25">
      <c r="A1195" s="115" t="s">
        <v>1239</v>
      </c>
      <c r="B1195" s="115" t="s">
        <v>1919</v>
      </c>
      <c r="D1195" s="115" t="s">
        <v>9157</v>
      </c>
      <c r="E1195" s="115" t="s">
        <v>1920</v>
      </c>
      <c r="F1195" s="115">
        <v>0</v>
      </c>
      <c r="G1195" s="115">
        <v>0</v>
      </c>
      <c r="H1195" s="115">
        <v>0</v>
      </c>
      <c r="I1195" s="115">
        <v>0</v>
      </c>
      <c r="J1195" s="115">
        <v>-582</v>
      </c>
      <c r="K1195" s="115">
        <v>0</v>
      </c>
    </row>
    <row r="1196" spans="1:11" x14ac:dyDescent="0.25">
      <c r="A1196" s="115" t="s">
        <v>1239</v>
      </c>
      <c r="B1196" s="115" t="s">
        <v>1921</v>
      </c>
      <c r="D1196" s="115" t="s">
        <v>9158</v>
      </c>
      <c r="E1196" s="115" t="s">
        <v>1922</v>
      </c>
      <c r="F1196" s="115">
        <v>-113</v>
      </c>
      <c r="G1196" s="115">
        <v>-402</v>
      </c>
      <c r="H1196" s="115">
        <v>0</v>
      </c>
      <c r="I1196" s="115">
        <v>0</v>
      </c>
      <c r="J1196" s="115">
        <v>-39</v>
      </c>
      <c r="K1196" s="115">
        <v>0</v>
      </c>
    </row>
    <row r="1197" spans="1:11" x14ac:dyDescent="0.25">
      <c r="B1197" s="115" t="s">
        <v>1241</v>
      </c>
      <c r="D1197" s="115" t="s">
        <v>9159</v>
      </c>
      <c r="E1197" s="115" t="s">
        <v>1242</v>
      </c>
      <c r="F1197" s="115">
        <v>0</v>
      </c>
      <c r="G1197" s="115">
        <v>0</v>
      </c>
      <c r="H1197" s="115">
        <v>0</v>
      </c>
      <c r="I1197" s="115">
        <v>0</v>
      </c>
      <c r="J1197" s="115">
        <v>0</v>
      </c>
      <c r="K1197" s="115">
        <v>0</v>
      </c>
    </row>
    <row r="1198" spans="1:11" x14ac:dyDescent="0.25">
      <c r="B1198" s="115" t="s">
        <v>1923</v>
      </c>
      <c r="D1198" s="115" t="s">
        <v>9160</v>
      </c>
      <c r="E1198" s="115" t="s">
        <v>1924</v>
      </c>
      <c r="F1198" s="115">
        <v>0</v>
      </c>
      <c r="G1198" s="115">
        <v>-37</v>
      </c>
      <c r="H1198" s="115">
        <v>0</v>
      </c>
      <c r="I1198" s="115">
        <v>-84</v>
      </c>
      <c r="J1198" s="115">
        <v>-420</v>
      </c>
      <c r="K1198" s="115">
        <v>3077</v>
      </c>
    </row>
    <row r="1199" spans="1:11" x14ac:dyDescent="0.25">
      <c r="B1199" s="115" t="s">
        <v>1925</v>
      </c>
      <c r="D1199" s="115" t="s">
        <v>9161</v>
      </c>
      <c r="E1199" s="115" t="s">
        <v>1926</v>
      </c>
      <c r="F1199" s="115">
        <v>-195</v>
      </c>
      <c r="G1199" s="115">
        <v>-118</v>
      </c>
      <c r="H1199" s="115">
        <v>-147</v>
      </c>
      <c r="I1199" s="115">
        <v>0</v>
      </c>
      <c r="J1199" s="115">
        <v>-145</v>
      </c>
      <c r="K1199" s="115">
        <v>0</v>
      </c>
    </row>
    <row r="1200" spans="1:11" x14ac:dyDescent="0.25">
      <c r="B1200" s="115" t="s">
        <v>1241</v>
      </c>
      <c r="D1200" s="115" t="s">
        <v>9162</v>
      </c>
      <c r="E1200" s="115" t="s">
        <v>1927</v>
      </c>
      <c r="F1200" s="115">
        <v>18</v>
      </c>
      <c r="G1200" s="115">
        <v>0</v>
      </c>
      <c r="H1200" s="115">
        <v>0</v>
      </c>
      <c r="I1200" s="115">
        <v>0</v>
      </c>
      <c r="J1200" s="115">
        <v>5</v>
      </c>
      <c r="K1200" s="115">
        <v>0</v>
      </c>
    </row>
    <row r="1201" spans="1:11" x14ac:dyDescent="0.25">
      <c r="B1201" s="115" t="s">
        <v>1928</v>
      </c>
      <c r="D1201" s="115" t="s">
        <v>9163</v>
      </c>
      <c r="E1201" s="115" t="s">
        <v>1929</v>
      </c>
      <c r="F1201" s="115">
        <v>0</v>
      </c>
      <c r="G1201" s="115">
        <v>0</v>
      </c>
      <c r="H1201" s="115">
        <v>98</v>
      </c>
      <c r="I1201" s="115">
        <v>0</v>
      </c>
      <c r="J1201" s="115">
        <v>-20</v>
      </c>
      <c r="K1201" s="115">
        <v>429</v>
      </c>
    </row>
    <row r="1202" spans="1:11" x14ac:dyDescent="0.25">
      <c r="B1202" s="115" t="s">
        <v>1241</v>
      </c>
      <c r="D1202" s="115" t="s">
        <v>9164</v>
      </c>
      <c r="E1202" s="115" t="s">
        <v>1930</v>
      </c>
      <c r="F1202" s="115">
        <v>0</v>
      </c>
      <c r="G1202" s="115">
        <v>-459</v>
      </c>
      <c r="H1202" s="115">
        <v>0</v>
      </c>
      <c r="I1202" s="115">
        <v>0</v>
      </c>
      <c r="J1202" s="115">
        <v>0</v>
      </c>
      <c r="K1202" s="115">
        <v>0</v>
      </c>
    </row>
    <row r="1203" spans="1:11" x14ac:dyDescent="0.25">
      <c r="A1203" s="115">
        <v>1</v>
      </c>
      <c r="B1203" s="115" t="s">
        <v>1931</v>
      </c>
      <c r="D1203" s="115" t="s">
        <v>9165</v>
      </c>
      <c r="E1203" s="115" t="s">
        <v>1932</v>
      </c>
      <c r="F1203" s="115">
        <v>0</v>
      </c>
      <c r="G1203" s="115">
        <v>131</v>
      </c>
      <c r="H1203" s="115">
        <v>-363</v>
      </c>
      <c r="I1203" s="115">
        <v>0</v>
      </c>
      <c r="J1203" s="115">
        <v>-97</v>
      </c>
      <c r="K1203" s="115">
        <v>-589</v>
      </c>
    </row>
    <row r="1204" spans="1:11" x14ac:dyDescent="0.25">
      <c r="B1204" s="115" t="s">
        <v>1933</v>
      </c>
      <c r="D1204" s="115" t="s">
        <v>9166</v>
      </c>
      <c r="E1204" s="115" t="s">
        <v>1242</v>
      </c>
      <c r="F1204" s="115">
        <v>-332</v>
      </c>
      <c r="G1204" s="115">
        <v>0</v>
      </c>
      <c r="H1204" s="115">
        <v>0</v>
      </c>
      <c r="I1204" s="115">
        <v>0</v>
      </c>
      <c r="J1204" s="115">
        <v>0</v>
      </c>
      <c r="K1204" s="115">
        <v>0</v>
      </c>
    </row>
    <row r="1205" spans="1:11" x14ac:dyDescent="0.25">
      <c r="B1205" s="115" t="s">
        <v>1934</v>
      </c>
      <c r="D1205" s="115" t="s">
        <v>9167</v>
      </c>
      <c r="E1205" s="115" t="s">
        <v>1935</v>
      </c>
      <c r="F1205" s="115">
        <v>-7316</v>
      </c>
      <c r="G1205" s="115">
        <v>0</v>
      </c>
      <c r="H1205" s="115">
        <v>-5780</v>
      </c>
      <c r="I1205" s="115">
        <v>-5934</v>
      </c>
      <c r="J1205" s="115">
        <v>1832</v>
      </c>
      <c r="K1205" s="115">
        <v>1010</v>
      </c>
    </row>
    <row r="1206" spans="1:11" x14ac:dyDescent="0.25">
      <c r="A1206" s="115">
        <v>1</v>
      </c>
      <c r="B1206" s="115" t="s">
        <v>1936</v>
      </c>
      <c r="C1206" s="115" t="s">
        <v>1239</v>
      </c>
      <c r="D1206" s="115" t="s">
        <v>9168</v>
      </c>
      <c r="E1206" s="115" t="s">
        <v>1937</v>
      </c>
      <c r="F1206" s="115">
        <v>-17476</v>
      </c>
      <c r="G1206" s="115">
        <v>6905</v>
      </c>
      <c r="H1206" s="115">
        <v>0</v>
      </c>
      <c r="I1206" s="115">
        <v>-1375</v>
      </c>
      <c r="J1206" s="115">
        <v>6200</v>
      </c>
      <c r="K1206" s="115">
        <v>0</v>
      </c>
    </row>
    <row r="1207" spans="1:11" x14ac:dyDescent="0.25">
      <c r="B1207" s="115" t="s">
        <v>1241</v>
      </c>
      <c r="D1207" s="115" t="s">
        <v>9169</v>
      </c>
      <c r="E1207" s="115" t="s">
        <v>1938</v>
      </c>
      <c r="F1207" s="115">
        <v>0</v>
      </c>
      <c r="G1207" s="115">
        <v>-5636</v>
      </c>
      <c r="H1207" s="115">
        <v>-7876</v>
      </c>
      <c r="I1207" s="115">
        <v>-3448</v>
      </c>
      <c r="J1207" s="115">
        <v>-516</v>
      </c>
      <c r="K1207" s="115">
        <v>0</v>
      </c>
    </row>
    <row r="1208" spans="1:11" x14ac:dyDescent="0.25">
      <c r="B1208" s="115" t="s">
        <v>1241</v>
      </c>
      <c r="D1208" s="115" t="s">
        <v>9170</v>
      </c>
      <c r="E1208" s="115" t="s">
        <v>1939</v>
      </c>
      <c r="F1208" s="115">
        <v>-193</v>
      </c>
      <c r="G1208" s="115">
        <v>0</v>
      </c>
      <c r="H1208" s="115">
        <v>1588</v>
      </c>
      <c r="I1208" s="115">
        <v>-8619</v>
      </c>
      <c r="J1208" s="115">
        <v>0</v>
      </c>
      <c r="K1208" s="115">
        <v>0</v>
      </c>
    </row>
    <row r="1209" spans="1:11" x14ac:dyDescent="0.25">
      <c r="B1209" s="115" t="s">
        <v>1241</v>
      </c>
      <c r="D1209" s="115" t="s">
        <v>8710</v>
      </c>
      <c r="E1209" s="115" t="s">
        <v>1242</v>
      </c>
      <c r="F1209" s="115">
        <v>0</v>
      </c>
      <c r="G1209" s="115">
        <v>0</v>
      </c>
      <c r="H1209" s="115">
        <v>0</v>
      </c>
      <c r="I1209" s="115">
        <v>0</v>
      </c>
      <c r="J1209" s="115">
        <v>0</v>
      </c>
      <c r="K1209" s="115">
        <v>0</v>
      </c>
    </row>
    <row r="1210" spans="1:11" x14ac:dyDescent="0.25">
      <c r="B1210" s="115" t="s">
        <v>1241</v>
      </c>
      <c r="D1210" s="115" t="s">
        <v>8710</v>
      </c>
      <c r="E1210" s="115" t="s">
        <v>1242</v>
      </c>
      <c r="F1210" s="115">
        <v>0</v>
      </c>
      <c r="G1210" s="115">
        <v>0</v>
      </c>
      <c r="H1210" s="115">
        <v>0</v>
      </c>
      <c r="I1210" s="115">
        <v>0</v>
      </c>
      <c r="J1210" s="115">
        <v>0</v>
      </c>
      <c r="K1210" s="115">
        <v>0</v>
      </c>
    </row>
    <row r="1211" spans="1:11" x14ac:dyDescent="0.25">
      <c r="B1211" s="115" t="s">
        <v>1241</v>
      </c>
      <c r="D1211" s="115" t="s">
        <v>8710</v>
      </c>
      <c r="E1211" s="115" t="s">
        <v>1242</v>
      </c>
      <c r="F1211" s="115">
        <v>0</v>
      </c>
      <c r="G1211" s="115">
        <v>0</v>
      </c>
      <c r="H1211" s="115">
        <v>0</v>
      </c>
      <c r="I1211" s="115">
        <v>0</v>
      </c>
      <c r="J1211" s="115">
        <v>0</v>
      </c>
      <c r="K1211" s="115">
        <v>0</v>
      </c>
    </row>
    <row r="1212" spans="1:11" x14ac:dyDescent="0.25">
      <c r="B1212" s="115" t="s">
        <v>1241</v>
      </c>
      <c r="D1212" s="115" t="s">
        <v>8710</v>
      </c>
      <c r="E1212" s="115" t="s">
        <v>1242</v>
      </c>
      <c r="F1212" s="115">
        <v>0</v>
      </c>
      <c r="G1212" s="115">
        <v>0</v>
      </c>
      <c r="H1212" s="115">
        <v>0</v>
      </c>
      <c r="I1212" s="115">
        <v>0</v>
      </c>
      <c r="J1212" s="115">
        <v>0</v>
      </c>
      <c r="K1212" s="115">
        <v>0</v>
      </c>
    </row>
    <row r="1213" spans="1:11" x14ac:dyDescent="0.25">
      <c r="B1213" s="115" t="s">
        <v>1241</v>
      </c>
      <c r="D1213" s="115" t="s">
        <v>8710</v>
      </c>
      <c r="E1213" s="115" t="s">
        <v>1242</v>
      </c>
      <c r="F1213" s="115">
        <v>0</v>
      </c>
      <c r="G1213" s="115">
        <v>0</v>
      </c>
      <c r="H1213" s="115">
        <v>0</v>
      </c>
      <c r="I1213" s="115">
        <v>0</v>
      </c>
      <c r="J1213" s="115">
        <v>0</v>
      </c>
      <c r="K1213" s="115">
        <v>0</v>
      </c>
    </row>
    <row r="1214" spans="1:11" x14ac:dyDescent="0.25">
      <c r="B1214" s="115" t="s">
        <v>1241</v>
      </c>
      <c r="D1214" s="115" t="s">
        <v>8710</v>
      </c>
      <c r="E1214" s="115" t="s">
        <v>1242</v>
      </c>
      <c r="F1214" s="115">
        <v>0</v>
      </c>
      <c r="G1214" s="115">
        <v>0</v>
      </c>
      <c r="H1214" s="115">
        <v>0</v>
      </c>
      <c r="I1214" s="115">
        <v>0</v>
      </c>
      <c r="J1214" s="115">
        <v>0</v>
      </c>
      <c r="K1214" s="115">
        <v>0</v>
      </c>
    </row>
    <row r="1215" spans="1:11" x14ac:dyDescent="0.25">
      <c r="B1215" s="115" t="s">
        <v>1241</v>
      </c>
      <c r="D1215" s="115" t="s">
        <v>8710</v>
      </c>
      <c r="E1215" s="115" t="s">
        <v>1242</v>
      </c>
      <c r="F1215" s="115">
        <v>0</v>
      </c>
      <c r="G1215" s="115">
        <v>0</v>
      </c>
      <c r="H1215" s="115">
        <v>0</v>
      </c>
      <c r="I1215" s="115">
        <v>0</v>
      </c>
      <c r="J1215" s="115">
        <v>0</v>
      </c>
      <c r="K1215" s="115">
        <v>0</v>
      </c>
    </row>
    <row r="1216" spans="1:11" x14ac:dyDescent="0.25">
      <c r="B1216" s="115" t="s">
        <v>1241</v>
      </c>
      <c r="D1216" s="115" t="s">
        <v>8710</v>
      </c>
      <c r="E1216" s="115" t="s">
        <v>1242</v>
      </c>
      <c r="F1216" s="115">
        <v>0</v>
      </c>
      <c r="G1216" s="115">
        <v>0</v>
      </c>
      <c r="H1216" s="115">
        <v>0</v>
      </c>
      <c r="I1216" s="115">
        <v>0</v>
      </c>
      <c r="J1216" s="115">
        <v>0</v>
      </c>
      <c r="K1216" s="115">
        <v>0</v>
      </c>
    </row>
    <row r="1217" spans="1:11" x14ac:dyDescent="0.25">
      <c r="B1217" s="115" t="s">
        <v>1241</v>
      </c>
      <c r="D1217" s="115" t="s">
        <v>8710</v>
      </c>
      <c r="E1217" s="115" t="s">
        <v>1242</v>
      </c>
      <c r="F1217" s="115">
        <v>0</v>
      </c>
      <c r="G1217" s="115">
        <v>0</v>
      </c>
      <c r="H1217" s="115">
        <v>0</v>
      </c>
      <c r="I1217" s="115">
        <v>0</v>
      </c>
      <c r="J1217" s="115">
        <v>0</v>
      </c>
      <c r="K1217" s="115">
        <v>0</v>
      </c>
    </row>
    <row r="1218" spans="1:11" x14ac:dyDescent="0.25">
      <c r="B1218" s="115" t="s">
        <v>1241</v>
      </c>
      <c r="D1218" s="115" t="s">
        <v>8710</v>
      </c>
      <c r="E1218" s="115" t="s">
        <v>1242</v>
      </c>
      <c r="F1218" s="115">
        <v>0</v>
      </c>
      <c r="G1218" s="115">
        <v>0</v>
      </c>
      <c r="H1218" s="115">
        <v>0</v>
      </c>
      <c r="I1218" s="115">
        <v>0</v>
      </c>
      <c r="J1218" s="115">
        <v>0</v>
      </c>
      <c r="K1218" s="115">
        <v>0</v>
      </c>
    </row>
    <row r="1219" spans="1:11" x14ac:dyDescent="0.25">
      <c r="B1219" s="115" t="s">
        <v>1241</v>
      </c>
      <c r="D1219" s="115" t="s">
        <v>8710</v>
      </c>
      <c r="E1219" s="115" t="s">
        <v>1242</v>
      </c>
      <c r="F1219" s="115">
        <v>0</v>
      </c>
      <c r="G1219" s="115">
        <v>0</v>
      </c>
      <c r="H1219" s="115">
        <v>0</v>
      </c>
      <c r="I1219" s="115">
        <v>0</v>
      </c>
      <c r="J1219" s="115">
        <v>0</v>
      </c>
      <c r="K1219" s="115">
        <v>0</v>
      </c>
    </row>
    <row r="1220" spans="1:11" x14ac:dyDescent="0.25">
      <c r="B1220" s="115" t="s">
        <v>1241</v>
      </c>
      <c r="D1220" s="115" t="s">
        <v>8710</v>
      </c>
      <c r="E1220" s="115" t="s">
        <v>1242</v>
      </c>
      <c r="F1220" s="115">
        <v>0</v>
      </c>
      <c r="G1220" s="115">
        <v>0</v>
      </c>
      <c r="H1220" s="115">
        <v>0</v>
      </c>
      <c r="I1220" s="115">
        <v>0</v>
      </c>
      <c r="J1220" s="115">
        <v>0</v>
      </c>
      <c r="K1220" s="115">
        <v>0</v>
      </c>
    </row>
    <row r="1221" spans="1:11" x14ac:dyDescent="0.25">
      <c r="B1221" s="115" t="s">
        <v>1241</v>
      </c>
      <c r="D1221" s="115" t="s">
        <v>9171</v>
      </c>
      <c r="E1221" s="115" t="s">
        <v>1940</v>
      </c>
      <c r="F1221" s="115">
        <v>0</v>
      </c>
      <c r="G1221" s="115">
        <v>0</v>
      </c>
      <c r="H1221" s="115">
        <v>2083</v>
      </c>
      <c r="I1221" s="115">
        <v>982</v>
      </c>
      <c r="J1221" s="115">
        <v>896</v>
      </c>
      <c r="K1221" s="115">
        <v>391</v>
      </c>
    </row>
    <row r="1222" spans="1:11" x14ac:dyDescent="0.25">
      <c r="B1222" s="115" t="s">
        <v>1941</v>
      </c>
      <c r="D1222" s="115" t="s">
        <v>9172</v>
      </c>
      <c r="E1222" s="115" t="s">
        <v>1942</v>
      </c>
      <c r="F1222" s="115">
        <v>0</v>
      </c>
      <c r="G1222" s="115">
        <v>0</v>
      </c>
      <c r="H1222" s="115">
        <v>0</v>
      </c>
      <c r="I1222" s="115">
        <v>-139</v>
      </c>
      <c r="J1222" s="115">
        <v>142</v>
      </c>
      <c r="K1222" s="115">
        <v>0</v>
      </c>
    </row>
    <row r="1223" spans="1:11" x14ac:dyDescent="0.25">
      <c r="B1223" s="115" t="s">
        <v>1241</v>
      </c>
      <c r="D1223" s="115" t="s">
        <v>9173</v>
      </c>
      <c r="E1223" s="115" t="s">
        <v>1943</v>
      </c>
      <c r="F1223" s="115">
        <v>0</v>
      </c>
      <c r="G1223" s="115">
        <v>-554</v>
      </c>
      <c r="H1223" s="115">
        <v>0</v>
      </c>
      <c r="I1223" s="115">
        <v>0</v>
      </c>
      <c r="J1223" s="115">
        <v>-148</v>
      </c>
      <c r="K1223" s="115">
        <v>0</v>
      </c>
    </row>
    <row r="1224" spans="1:11" x14ac:dyDescent="0.25">
      <c r="A1224" s="115" t="s">
        <v>1239</v>
      </c>
      <c r="B1224" s="115" t="s">
        <v>1944</v>
      </c>
      <c r="D1224" s="115" t="s">
        <v>9174</v>
      </c>
      <c r="E1224" s="115" t="s">
        <v>1945</v>
      </c>
      <c r="F1224" s="115">
        <v>-55</v>
      </c>
      <c r="G1224" s="115">
        <v>0</v>
      </c>
      <c r="H1224" s="115">
        <v>571</v>
      </c>
      <c r="I1224" s="115">
        <v>507</v>
      </c>
      <c r="J1224" s="115">
        <v>-336</v>
      </c>
      <c r="K1224" s="115">
        <v>-7</v>
      </c>
    </row>
    <row r="1225" spans="1:11" x14ac:dyDescent="0.25">
      <c r="A1225" s="115">
        <v>1</v>
      </c>
      <c r="B1225" s="115" t="s">
        <v>1946</v>
      </c>
      <c r="D1225" s="115" t="s">
        <v>9175</v>
      </c>
      <c r="E1225" s="115" t="s">
        <v>1947</v>
      </c>
      <c r="F1225" s="115">
        <v>0</v>
      </c>
      <c r="G1225" s="115">
        <v>0</v>
      </c>
      <c r="H1225" s="115">
        <v>0</v>
      </c>
      <c r="I1225" s="115">
        <v>0</v>
      </c>
      <c r="J1225" s="115">
        <v>0</v>
      </c>
      <c r="K1225" s="115">
        <v>-50</v>
      </c>
    </row>
    <row r="1226" spans="1:11" x14ac:dyDescent="0.25">
      <c r="B1226" s="115" t="s">
        <v>1241</v>
      </c>
      <c r="D1226" s="115" t="s">
        <v>9176</v>
      </c>
      <c r="E1226" s="115" t="s">
        <v>1948</v>
      </c>
      <c r="F1226" s="115">
        <v>0</v>
      </c>
      <c r="G1226" s="115">
        <v>-27</v>
      </c>
      <c r="H1226" s="115">
        <v>0</v>
      </c>
      <c r="I1226" s="115">
        <v>0</v>
      </c>
      <c r="J1226" s="115">
        <v>0</v>
      </c>
      <c r="K1226" s="115">
        <v>0</v>
      </c>
    </row>
    <row r="1227" spans="1:11" x14ac:dyDescent="0.25">
      <c r="B1227" s="115" t="s">
        <v>1949</v>
      </c>
      <c r="D1227" s="115" t="s">
        <v>9177</v>
      </c>
      <c r="E1227" s="115" t="s">
        <v>1950</v>
      </c>
      <c r="F1227" s="115">
        <v>-1487</v>
      </c>
      <c r="G1227" s="115">
        <v>0</v>
      </c>
      <c r="H1227" s="115">
        <v>0</v>
      </c>
      <c r="I1227" s="115">
        <v>1804</v>
      </c>
      <c r="J1227" s="115">
        <v>1556</v>
      </c>
      <c r="K1227" s="115">
        <v>0</v>
      </c>
    </row>
    <row r="1228" spans="1:11" x14ac:dyDescent="0.25">
      <c r="B1228" s="115" t="s">
        <v>1951</v>
      </c>
      <c r="D1228" s="115" t="s">
        <v>9178</v>
      </c>
      <c r="E1228" s="115" t="s">
        <v>1952</v>
      </c>
      <c r="F1228" s="115">
        <v>0</v>
      </c>
      <c r="G1228" s="115">
        <v>617</v>
      </c>
      <c r="H1228" s="115">
        <v>870</v>
      </c>
      <c r="I1228" s="115">
        <v>249</v>
      </c>
      <c r="J1228" s="115">
        <v>0</v>
      </c>
      <c r="K1228" s="115">
        <v>0</v>
      </c>
    </row>
    <row r="1229" spans="1:11" x14ac:dyDescent="0.25">
      <c r="A1229" s="115" t="s">
        <v>1239</v>
      </c>
      <c r="B1229" s="115" t="s">
        <v>1953</v>
      </c>
      <c r="D1229" s="115" t="s">
        <v>9179</v>
      </c>
      <c r="E1229" s="115" t="s">
        <v>1954</v>
      </c>
      <c r="F1229" s="115">
        <v>216</v>
      </c>
      <c r="G1229" s="115">
        <v>-173</v>
      </c>
      <c r="H1229" s="115">
        <v>278</v>
      </c>
      <c r="I1229" s="115">
        <v>-170</v>
      </c>
      <c r="J1229" s="115">
        <v>-429</v>
      </c>
      <c r="K1229" s="115">
        <v>38</v>
      </c>
    </row>
    <row r="1230" spans="1:11" x14ac:dyDescent="0.25">
      <c r="B1230" s="115" t="s">
        <v>1241</v>
      </c>
      <c r="D1230" s="115" t="s">
        <v>9180</v>
      </c>
      <c r="E1230" s="115" t="s">
        <v>1955</v>
      </c>
      <c r="F1230" s="115">
        <v>0</v>
      </c>
      <c r="G1230" s="115">
        <v>1867</v>
      </c>
      <c r="H1230" s="115">
        <v>0</v>
      </c>
      <c r="I1230" s="115">
        <v>-1841</v>
      </c>
      <c r="J1230" s="115">
        <v>-279</v>
      </c>
      <c r="K1230" s="115">
        <v>519</v>
      </c>
    </row>
    <row r="1231" spans="1:11" x14ac:dyDescent="0.25">
      <c r="B1231" s="115" t="s">
        <v>1956</v>
      </c>
      <c r="C1231" s="115" t="s">
        <v>1239</v>
      </c>
      <c r="D1231" s="115" t="s">
        <v>9181</v>
      </c>
      <c r="E1231" s="115" t="s">
        <v>1957</v>
      </c>
      <c r="F1231" s="115">
        <v>1752</v>
      </c>
      <c r="G1231" s="115">
        <v>1133</v>
      </c>
      <c r="H1231" s="115">
        <v>0</v>
      </c>
      <c r="I1231" s="115">
        <v>-76</v>
      </c>
      <c r="J1231" s="115">
        <v>638</v>
      </c>
      <c r="K1231" s="115">
        <v>-1239</v>
      </c>
    </row>
    <row r="1232" spans="1:11" x14ac:dyDescent="0.25">
      <c r="B1232" s="115" t="s">
        <v>1958</v>
      </c>
      <c r="D1232" s="115" t="s">
        <v>9182</v>
      </c>
      <c r="E1232" s="115" t="s">
        <v>1959</v>
      </c>
      <c r="F1232" s="115">
        <v>0</v>
      </c>
      <c r="G1232" s="115">
        <v>0</v>
      </c>
      <c r="H1232" s="115">
        <v>0</v>
      </c>
      <c r="I1232" s="115">
        <v>-187</v>
      </c>
      <c r="J1232" s="115">
        <v>139</v>
      </c>
      <c r="K1232" s="115">
        <v>0</v>
      </c>
    </row>
    <row r="1233" spans="1:11" x14ac:dyDescent="0.25">
      <c r="B1233" s="115" t="s">
        <v>1960</v>
      </c>
      <c r="D1233" s="115" t="s">
        <v>9183</v>
      </c>
      <c r="E1233" s="115" t="s">
        <v>1961</v>
      </c>
      <c r="F1233" s="115">
        <v>0</v>
      </c>
      <c r="G1233" s="115">
        <v>0</v>
      </c>
      <c r="H1233" s="115">
        <v>0</v>
      </c>
      <c r="I1233" s="115">
        <v>0</v>
      </c>
      <c r="J1233" s="115">
        <v>0</v>
      </c>
      <c r="K1233" s="115">
        <v>-4121</v>
      </c>
    </row>
    <row r="1234" spans="1:11" x14ac:dyDescent="0.25">
      <c r="B1234" s="115" t="s">
        <v>1962</v>
      </c>
      <c r="D1234" s="115" t="s">
        <v>9184</v>
      </c>
      <c r="E1234" s="115" t="s">
        <v>1963</v>
      </c>
      <c r="F1234" s="115">
        <v>0</v>
      </c>
      <c r="G1234" s="115">
        <v>765</v>
      </c>
      <c r="H1234" s="115">
        <v>34500</v>
      </c>
      <c r="I1234" s="115">
        <v>-170</v>
      </c>
      <c r="J1234" s="115">
        <v>191</v>
      </c>
      <c r="K1234" s="115">
        <v>-138</v>
      </c>
    </row>
    <row r="1235" spans="1:11" x14ac:dyDescent="0.25">
      <c r="B1235" s="115" t="s">
        <v>1241</v>
      </c>
      <c r="D1235" s="115" t="s">
        <v>9185</v>
      </c>
      <c r="E1235" s="115" t="s">
        <v>1964</v>
      </c>
      <c r="F1235" s="115">
        <v>0</v>
      </c>
      <c r="G1235" s="115">
        <v>0</v>
      </c>
      <c r="H1235" s="115">
        <v>-72</v>
      </c>
      <c r="I1235" s="115">
        <v>-136</v>
      </c>
      <c r="J1235" s="115">
        <v>0</v>
      </c>
      <c r="K1235" s="115">
        <v>0</v>
      </c>
    </row>
    <row r="1236" spans="1:11" x14ac:dyDescent="0.25">
      <c r="B1236" s="115" t="s">
        <v>1241</v>
      </c>
      <c r="D1236" s="115" t="s">
        <v>9186</v>
      </c>
      <c r="E1236" s="115" t="s">
        <v>1965</v>
      </c>
      <c r="F1236" s="115">
        <v>-500</v>
      </c>
      <c r="G1236" s="115">
        <v>0</v>
      </c>
      <c r="H1236" s="115">
        <v>0</v>
      </c>
      <c r="I1236" s="115">
        <v>-103</v>
      </c>
      <c r="J1236" s="115">
        <v>0</v>
      </c>
      <c r="K1236" s="115">
        <v>-73</v>
      </c>
    </row>
    <row r="1237" spans="1:11" x14ac:dyDescent="0.25">
      <c r="B1237" s="115" t="s">
        <v>1966</v>
      </c>
      <c r="D1237" s="115" t="s">
        <v>9187</v>
      </c>
      <c r="E1237" s="115" t="s">
        <v>1967</v>
      </c>
      <c r="F1237" s="115">
        <v>0</v>
      </c>
      <c r="G1237" s="115">
        <v>486</v>
      </c>
      <c r="H1237" s="115">
        <v>29697</v>
      </c>
      <c r="I1237" s="115">
        <v>246</v>
      </c>
      <c r="J1237" s="115">
        <v>44</v>
      </c>
      <c r="K1237" s="115">
        <v>-151</v>
      </c>
    </row>
    <row r="1238" spans="1:11" x14ac:dyDescent="0.25">
      <c r="B1238" s="115" t="s">
        <v>1968</v>
      </c>
      <c r="D1238" s="115" t="s">
        <v>9188</v>
      </c>
      <c r="E1238" s="115" t="s">
        <v>1969</v>
      </c>
      <c r="F1238" s="115">
        <v>0</v>
      </c>
      <c r="G1238" s="115">
        <v>0</v>
      </c>
      <c r="H1238" s="115">
        <v>0</v>
      </c>
      <c r="I1238" s="115">
        <v>0</v>
      </c>
      <c r="J1238" s="115">
        <v>-154</v>
      </c>
      <c r="K1238" s="115">
        <v>0</v>
      </c>
    </row>
    <row r="1239" spans="1:11" x14ac:dyDescent="0.25">
      <c r="B1239" s="115" t="s">
        <v>1241</v>
      </c>
      <c r="D1239" s="115" t="s">
        <v>9189</v>
      </c>
      <c r="E1239" s="115" t="s">
        <v>1242</v>
      </c>
      <c r="F1239" s="115">
        <v>98</v>
      </c>
      <c r="G1239" s="115">
        <v>0</v>
      </c>
      <c r="H1239" s="115">
        <v>0</v>
      </c>
      <c r="I1239" s="115">
        <v>0</v>
      </c>
      <c r="J1239" s="115">
        <v>0</v>
      </c>
      <c r="K1239" s="115">
        <v>0</v>
      </c>
    </row>
    <row r="1240" spans="1:11" x14ac:dyDescent="0.25">
      <c r="A1240" s="115" t="s">
        <v>1239</v>
      </c>
      <c r="B1240" s="115" t="s">
        <v>1970</v>
      </c>
      <c r="D1240" s="115" t="s">
        <v>9190</v>
      </c>
      <c r="E1240" s="115" t="s">
        <v>1971</v>
      </c>
      <c r="F1240" s="115">
        <v>0</v>
      </c>
      <c r="G1240" s="115">
        <v>0</v>
      </c>
      <c r="H1240" s="115">
        <v>-1257</v>
      </c>
      <c r="I1240" s="115">
        <v>39409</v>
      </c>
      <c r="J1240" s="115">
        <v>0</v>
      </c>
      <c r="K1240" s="115">
        <v>121</v>
      </c>
    </row>
    <row r="1241" spans="1:11" x14ac:dyDescent="0.25">
      <c r="B1241" s="115" t="s">
        <v>1241</v>
      </c>
      <c r="D1241" s="115" t="s">
        <v>9191</v>
      </c>
      <c r="E1241" s="115" t="s">
        <v>1972</v>
      </c>
      <c r="F1241" s="115">
        <v>-2418</v>
      </c>
      <c r="G1241" s="115">
        <v>-34</v>
      </c>
      <c r="H1241" s="115">
        <v>-98</v>
      </c>
      <c r="I1241" s="115">
        <v>0</v>
      </c>
      <c r="J1241" s="115">
        <v>0</v>
      </c>
      <c r="K1241" s="115">
        <v>-227</v>
      </c>
    </row>
    <row r="1242" spans="1:11" x14ac:dyDescent="0.25">
      <c r="B1242" s="115" t="s">
        <v>1973</v>
      </c>
      <c r="D1242" s="115" t="s">
        <v>9192</v>
      </c>
      <c r="E1242" s="115" t="s">
        <v>1974</v>
      </c>
      <c r="F1242" s="115">
        <v>-126</v>
      </c>
      <c r="G1242" s="115">
        <v>72</v>
      </c>
      <c r="H1242" s="115">
        <v>-351</v>
      </c>
      <c r="I1242" s="115">
        <v>-210</v>
      </c>
      <c r="J1242" s="115">
        <v>411</v>
      </c>
      <c r="K1242" s="115">
        <v>0</v>
      </c>
    </row>
    <row r="1243" spans="1:11" x14ac:dyDescent="0.25">
      <c r="B1243" s="115" t="s">
        <v>1241</v>
      </c>
      <c r="D1243" s="115" t="s">
        <v>9193</v>
      </c>
      <c r="E1243" s="115" t="s">
        <v>1975</v>
      </c>
      <c r="F1243" s="115">
        <v>811</v>
      </c>
      <c r="G1243" s="115">
        <v>0</v>
      </c>
      <c r="H1243" s="115">
        <v>1198</v>
      </c>
      <c r="I1243" s="115">
        <v>-376</v>
      </c>
      <c r="J1243" s="115">
        <v>173</v>
      </c>
      <c r="K1243" s="115">
        <v>0</v>
      </c>
    </row>
    <row r="1244" spans="1:11" x14ac:dyDescent="0.25">
      <c r="A1244" s="115">
        <v>-4</v>
      </c>
      <c r="B1244" s="115" t="s">
        <v>1976</v>
      </c>
      <c r="D1244" s="115" t="s">
        <v>9194</v>
      </c>
      <c r="E1244" s="115" t="s">
        <v>1977</v>
      </c>
      <c r="F1244" s="115">
        <v>134</v>
      </c>
      <c r="G1244" s="115">
        <v>0</v>
      </c>
      <c r="H1244" s="115">
        <v>86</v>
      </c>
      <c r="I1244" s="115">
        <v>-38</v>
      </c>
      <c r="J1244" s="115">
        <v>-3190</v>
      </c>
      <c r="K1244" s="115">
        <v>549</v>
      </c>
    </row>
    <row r="1245" spans="1:11" x14ac:dyDescent="0.25">
      <c r="B1245" s="115" t="s">
        <v>1978</v>
      </c>
      <c r="D1245" s="115" t="s">
        <v>9195</v>
      </c>
      <c r="E1245" s="115" t="s">
        <v>1979</v>
      </c>
      <c r="F1245" s="115">
        <v>0</v>
      </c>
      <c r="G1245" s="115">
        <v>0</v>
      </c>
      <c r="H1245" s="115">
        <v>17</v>
      </c>
      <c r="I1245" s="115">
        <v>582</v>
      </c>
      <c r="J1245" s="115">
        <v>0</v>
      </c>
      <c r="K1245" s="115">
        <v>379</v>
      </c>
    </row>
    <row r="1246" spans="1:11" x14ac:dyDescent="0.25">
      <c r="A1246" s="115" t="s">
        <v>1239</v>
      </c>
      <c r="B1246" s="115" t="s">
        <v>1980</v>
      </c>
      <c r="D1246" s="115" t="s">
        <v>9196</v>
      </c>
      <c r="E1246" s="115" t="s">
        <v>1981</v>
      </c>
      <c r="F1246" s="115">
        <v>0</v>
      </c>
      <c r="G1246" s="115">
        <v>0</v>
      </c>
      <c r="H1246" s="115">
        <v>0</v>
      </c>
      <c r="I1246" s="115">
        <v>0</v>
      </c>
      <c r="J1246" s="115">
        <v>3962</v>
      </c>
      <c r="K1246" s="115">
        <v>0</v>
      </c>
    </row>
    <row r="1247" spans="1:11" x14ac:dyDescent="0.25">
      <c r="A1247" s="115">
        <v>6</v>
      </c>
      <c r="B1247" s="115" t="s">
        <v>1982</v>
      </c>
      <c r="D1247" s="115" t="s">
        <v>9197</v>
      </c>
      <c r="E1247" s="115" t="s">
        <v>1983</v>
      </c>
      <c r="F1247" s="115">
        <v>-4175</v>
      </c>
      <c r="G1247" s="115">
        <v>-2827</v>
      </c>
      <c r="H1247" s="115">
        <v>154</v>
      </c>
      <c r="I1247" s="115">
        <v>6464</v>
      </c>
      <c r="J1247" s="115">
        <v>705</v>
      </c>
      <c r="K1247" s="115">
        <v>448</v>
      </c>
    </row>
    <row r="1248" spans="1:11" x14ac:dyDescent="0.25">
      <c r="B1248" s="115" t="s">
        <v>1241</v>
      </c>
      <c r="D1248" s="115" t="s">
        <v>9198</v>
      </c>
      <c r="E1248" s="115" t="s">
        <v>1984</v>
      </c>
      <c r="F1248" s="115">
        <v>0</v>
      </c>
      <c r="G1248" s="115">
        <v>0</v>
      </c>
      <c r="H1248" s="115">
        <v>-900</v>
      </c>
      <c r="I1248" s="115">
        <v>146</v>
      </c>
      <c r="J1248" s="115">
        <v>0</v>
      </c>
      <c r="K1248" s="115">
        <v>0</v>
      </c>
    </row>
    <row r="1249" spans="1:11" x14ac:dyDescent="0.25">
      <c r="B1249" s="115" t="s">
        <v>1241</v>
      </c>
      <c r="D1249" s="115" t="s">
        <v>9199</v>
      </c>
      <c r="E1249" s="115" t="s">
        <v>1985</v>
      </c>
      <c r="F1249" s="115">
        <v>-55</v>
      </c>
      <c r="G1249" s="115">
        <v>0</v>
      </c>
      <c r="H1249" s="115">
        <v>0</v>
      </c>
      <c r="I1249" s="115">
        <v>-411</v>
      </c>
      <c r="J1249" s="115">
        <v>0</v>
      </c>
      <c r="K1249" s="115">
        <v>466</v>
      </c>
    </row>
    <row r="1250" spans="1:11" x14ac:dyDescent="0.25">
      <c r="B1250" s="115" t="s">
        <v>1986</v>
      </c>
      <c r="D1250" s="115" t="s">
        <v>9200</v>
      </c>
      <c r="E1250" s="115" t="s">
        <v>1987</v>
      </c>
      <c r="F1250" s="115">
        <v>0</v>
      </c>
      <c r="G1250" s="115">
        <v>-1263</v>
      </c>
      <c r="H1250" s="115">
        <v>-161</v>
      </c>
      <c r="I1250" s="115">
        <v>1076</v>
      </c>
      <c r="J1250" s="115">
        <v>981</v>
      </c>
      <c r="K1250" s="115">
        <v>1128</v>
      </c>
    </row>
    <row r="1251" spans="1:11" x14ac:dyDescent="0.25">
      <c r="B1251" s="115" t="s">
        <v>1988</v>
      </c>
      <c r="D1251" s="115" t="s">
        <v>9201</v>
      </c>
      <c r="E1251" s="115" t="s">
        <v>1989</v>
      </c>
      <c r="F1251" s="115">
        <v>0</v>
      </c>
      <c r="G1251" s="115">
        <v>0</v>
      </c>
      <c r="H1251" s="115">
        <v>0</v>
      </c>
      <c r="I1251" s="115">
        <v>0</v>
      </c>
      <c r="J1251" s="115">
        <v>79</v>
      </c>
      <c r="K1251" s="115">
        <v>0</v>
      </c>
    </row>
    <row r="1252" spans="1:11" x14ac:dyDescent="0.25">
      <c r="B1252" s="115" t="s">
        <v>1241</v>
      </c>
      <c r="D1252" s="115" t="s">
        <v>9202</v>
      </c>
      <c r="E1252" s="115" t="s">
        <v>1242</v>
      </c>
      <c r="F1252" s="115">
        <v>-151</v>
      </c>
      <c r="G1252" s="115">
        <v>0</v>
      </c>
      <c r="H1252" s="115">
        <v>0</v>
      </c>
      <c r="I1252" s="115">
        <v>0</v>
      </c>
      <c r="J1252" s="115">
        <v>0</v>
      </c>
      <c r="K1252" s="115">
        <v>0</v>
      </c>
    </row>
    <row r="1253" spans="1:11" x14ac:dyDescent="0.25">
      <c r="A1253" s="115" t="s">
        <v>1239</v>
      </c>
      <c r="B1253" s="115" t="s">
        <v>1401</v>
      </c>
      <c r="D1253" s="115" t="s">
        <v>9203</v>
      </c>
      <c r="E1253" s="115" t="s">
        <v>1990</v>
      </c>
      <c r="F1253" s="115">
        <v>0</v>
      </c>
      <c r="G1253" s="115">
        <v>0</v>
      </c>
      <c r="H1253" s="115">
        <v>673</v>
      </c>
      <c r="I1253" s="115">
        <v>271</v>
      </c>
      <c r="J1253" s="115">
        <v>0</v>
      </c>
      <c r="K1253" s="115">
        <v>-682</v>
      </c>
    </row>
    <row r="1254" spans="1:11" x14ac:dyDescent="0.25">
      <c r="B1254" s="115" t="s">
        <v>1241</v>
      </c>
      <c r="D1254" s="115" t="s">
        <v>9204</v>
      </c>
      <c r="E1254" s="115" t="s">
        <v>1991</v>
      </c>
      <c r="F1254" s="115">
        <v>240</v>
      </c>
      <c r="G1254" s="115">
        <v>282</v>
      </c>
      <c r="H1254" s="115">
        <v>199</v>
      </c>
      <c r="I1254" s="115">
        <v>0</v>
      </c>
      <c r="J1254" s="115">
        <v>0</v>
      </c>
      <c r="K1254" s="115">
        <v>-121</v>
      </c>
    </row>
    <row r="1255" spans="1:11" x14ac:dyDescent="0.25">
      <c r="A1255" s="115" t="s">
        <v>1239</v>
      </c>
      <c r="B1255" s="115" t="s">
        <v>1992</v>
      </c>
      <c r="D1255" s="115" t="s">
        <v>9205</v>
      </c>
      <c r="E1255" s="115" t="s">
        <v>1993</v>
      </c>
      <c r="F1255" s="115">
        <v>30</v>
      </c>
      <c r="G1255" s="115">
        <v>-195</v>
      </c>
      <c r="H1255" s="115">
        <v>-142</v>
      </c>
      <c r="I1255" s="115">
        <v>-371</v>
      </c>
      <c r="J1255" s="115">
        <v>109</v>
      </c>
      <c r="K1255" s="115">
        <v>0</v>
      </c>
    </row>
    <row r="1256" spans="1:11" x14ac:dyDescent="0.25">
      <c r="B1256" s="115" t="s">
        <v>1241</v>
      </c>
      <c r="D1256" s="115" t="s">
        <v>9206</v>
      </c>
      <c r="E1256" s="115" t="s">
        <v>1994</v>
      </c>
      <c r="F1256" s="115">
        <v>-412</v>
      </c>
      <c r="G1256" s="115">
        <v>0</v>
      </c>
      <c r="H1256" s="115">
        <v>-62</v>
      </c>
      <c r="I1256" s="115">
        <v>-403</v>
      </c>
      <c r="J1256" s="115">
        <v>-528</v>
      </c>
      <c r="K1256" s="115">
        <v>0</v>
      </c>
    </row>
    <row r="1257" spans="1:11" x14ac:dyDescent="0.25">
      <c r="A1257" s="115">
        <v>1</v>
      </c>
      <c r="B1257" s="115" t="s">
        <v>1995</v>
      </c>
      <c r="C1257" s="115" t="s">
        <v>1239</v>
      </c>
      <c r="D1257" s="115" t="s">
        <v>9207</v>
      </c>
      <c r="E1257" s="115" t="s">
        <v>1996</v>
      </c>
      <c r="F1257" s="115">
        <v>-2144</v>
      </c>
      <c r="G1257" s="115">
        <v>0</v>
      </c>
      <c r="H1257" s="115">
        <v>-342</v>
      </c>
      <c r="I1257" s="115">
        <v>-402</v>
      </c>
      <c r="J1257" s="115">
        <v>215</v>
      </c>
      <c r="K1257" s="115">
        <v>559</v>
      </c>
    </row>
    <row r="1258" spans="1:11" x14ac:dyDescent="0.25">
      <c r="B1258" s="115" t="s">
        <v>1997</v>
      </c>
      <c r="D1258" s="115" t="s">
        <v>9208</v>
      </c>
      <c r="E1258" s="115" t="s">
        <v>1998</v>
      </c>
      <c r="F1258" s="115">
        <v>0</v>
      </c>
      <c r="G1258" s="115">
        <v>0</v>
      </c>
      <c r="H1258" s="115">
        <v>23</v>
      </c>
      <c r="I1258" s="115">
        <v>183</v>
      </c>
      <c r="J1258" s="115">
        <v>0</v>
      </c>
      <c r="K1258" s="115">
        <v>-104</v>
      </c>
    </row>
    <row r="1259" spans="1:11" x14ac:dyDescent="0.25">
      <c r="A1259" s="115" t="s">
        <v>1239</v>
      </c>
      <c r="B1259" s="115" t="s">
        <v>1999</v>
      </c>
      <c r="D1259" s="115" t="s">
        <v>9209</v>
      </c>
      <c r="E1259" s="115" t="s">
        <v>2000</v>
      </c>
      <c r="F1259" s="115">
        <v>0</v>
      </c>
      <c r="G1259" s="115">
        <v>0</v>
      </c>
      <c r="H1259" s="115">
        <v>0</v>
      </c>
      <c r="I1259" s="115">
        <v>0</v>
      </c>
      <c r="J1259" s="115">
        <v>-1021</v>
      </c>
      <c r="K1259" s="115">
        <v>0</v>
      </c>
    </row>
    <row r="1260" spans="1:11" x14ac:dyDescent="0.25">
      <c r="B1260" s="115" t="s">
        <v>2001</v>
      </c>
      <c r="C1260" s="115" t="s">
        <v>1239</v>
      </c>
      <c r="D1260" s="115" t="s">
        <v>9210</v>
      </c>
      <c r="E1260" s="115" t="s">
        <v>2002</v>
      </c>
      <c r="F1260" s="115">
        <v>-2763</v>
      </c>
      <c r="G1260" s="115">
        <v>-3225</v>
      </c>
      <c r="H1260" s="115">
        <v>-10019</v>
      </c>
      <c r="I1260" s="115">
        <v>2</v>
      </c>
      <c r="J1260" s="115">
        <v>1155</v>
      </c>
      <c r="K1260" s="115">
        <v>1238</v>
      </c>
    </row>
    <row r="1261" spans="1:11" x14ac:dyDescent="0.25">
      <c r="B1261" s="115" t="s">
        <v>2003</v>
      </c>
      <c r="D1261" s="115" t="s">
        <v>9211</v>
      </c>
      <c r="E1261" s="115" t="s">
        <v>2004</v>
      </c>
      <c r="F1261" s="115">
        <v>0</v>
      </c>
      <c r="G1261" s="115">
        <v>0</v>
      </c>
      <c r="H1261" s="115">
        <v>0</v>
      </c>
      <c r="I1261" s="115">
        <v>-2154</v>
      </c>
      <c r="J1261" s="115">
        <v>107</v>
      </c>
      <c r="K1261" s="115">
        <v>0</v>
      </c>
    </row>
    <row r="1262" spans="1:11" x14ac:dyDescent="0.25">
      <c r="B1262" s="115" t="s">
        <v>1241</v>
      </c>
      <c r="D1262" s="115" t="s">
        <v>9212</v>
      </c>
      <c r="E1262" s="115" t="s">
        <v>2005</v>
      </c>
      <c r="F1262" s="115">
        <v>0</v>
      </c>
      <c r="G1262" s="115">
        <v>648</v>
      </c>
      <c r="H1262" s="115">
        <v>0</v>
      </c>
      <c r="I1262" s="115">
        <v>0</v>
      </c>
      <c r="J1262" s="115">
        <v>-410</v>
      </c>
      <c r="K1262" s="115">
        <v>0</v>
      </c>
    </row>
    <row r="1263" spans="1:11" x14ac:dyDescent="0.25">
      <c r="B1263" s="115" t="s">
        <v>2006</v>
      </c>
      <c r="D1263" s="115" t="s">
        <v>9213</v>
      </c>
      <c r="E1263" s="115" t="s">
        <v>2007</v>
      </c>
      <c r="F1263" s="115">
        <v>2768</v>
      </c>
      <c r="G1263" s="115">
        <v>0</v>
      </c>
      <c r="H1263" s="115">
        <v>-3066</v>
      </c>
      <c r="I1263" s="115">
        <v>-213</v>
      </c>
      <c r="J1263" s="115">
        <v>1580</v>
      </c>
      <c r="K1263" s="115">
        <v>1837</v>
      </c>
    </row>
    <row r="1264" spans="1:11" x14ac:dyDescent="0.25">
      <c r="A1264" s="115">
        <v>2</v>
      </c>
      <c r="B1264" s="115" t="s">
        <v>2008</v>
      </c>
      <c r="D1264" s="115" t="s">
        <v>9214</v>
      </c>
      <c r="E1264" s="115" t="s">
        <v>2009</v>
      </c>
      <c r="F1264" s="115">
        <v>0</v>
      </c>
      <c r="G1264" s="115">
        <v>0</v>
      </c>
      <c r="H1264" s="115">
        <v>0</v>
      </c>
      <c r="I1264" s="115">
        <v>0</v>
      </c>
      <c r="J1264" s="115">
        <v>0</v>
      </c>
      <c r="K1264" s="115">
        <v>134</v>
      </c>
    </row>
    <row r="1265" spans="1:11" x14ac:dyDescent="0.25">
      <c r="B1265" s="115" t="s">
        <v>1241</v>
      </c>
      <c r="D1265" s="115" t="s">
        <v>9215</v>
      </c>
      <c r="E1265" s="115" t="s">
        <v>2010</v>
      </c>
      <c r="F1265" s="115">
        <v>0</v>
      </c>
      <c r="G1265" s="115">
        <v>158</v>
      </c>
      <c r="H1265" s="115">
        <v>0</v>
      </c>
      <c r="I1265" s="115">
        <v>0</v>
      </c>
      <c r="J1265" s="115">
        <v>0</v>
      </c>
      <c r="K1265" s="115">
        <v>0</v>
      </c>
    </row>
    <row r="1266" spans="1:11" x14ac:dyDescent="0.25">
      <c r="B1266" s="115" t="s">
        <v>2011</v>
      </c>
      <c r="D1266" s="115" t="s">
        <v>9216</v>
      </c>
      <c r="E1266" s="115" t="s">
        <v>2012</v>
      </c>
      <c r="F1266" s="115">
        <v>1022</v>
      </c>
      <c r="G1266" s="115">
        <v>0</v>
      </c>
      <c r="H1266" s="115">
        <v>0</v>
      </c>
      <c r="I1266" s="115">
        <v>257</v>
      </c>
      <c r="J1266" s="115">
        <v>-245</v>
      </c>
      <c r="K1266" s="115">
        <v>0</v>
      </c>
    </row>
    <row r="1267" spans="1:11" x14ac:dyDescent="0.25">
      <c r="B1267" s="115" t="s">
        <v>2013</v>
      </c>
      <c r="D1267" s="115" t="s">
        <v>9217</v>
      </c>
      <c r="E1267" s="115" t="s">
        <v>2014</v>
      </c>
      <c r="F1267" s="115">
        <v>0</v>
      </c>
      <c r="G1267" s="115">
        <v>723</v>
      </c>
      <c r="H1267" s="115">
        <v>675</v>
      </c>
      <c r="I1267" s="115">
        <v>-117</v>
      </c>
      <c r="J1267" s="115">
        <v>0</v>
      </c>
      <c r="K1267" s="115">
        <v>0</v>
      </c>
    </row>
    <row r="1268" spans="1:11" x14ac:dyDescent="0.25">
      <c r="B1268" s="115" t="s">
        <v>2015</v>
      </c>
      <c r="D1268" s="115" t="s">
        <v>9218</v>
      </c>
      <c r="E1268" s="115" t="s">
        <v>2016</v>
      </c>
      <c r="F1268" s="115">
        <v>-132</v>
      </c>
      <c r="G1268" s="115">
        <v>166</v>
      </c>
      <c r="H1268" s="115">
        <v>-241</v>
      </c>
      <c r="I1268" s="115">
        <v>81</v>
      </c>
      <c r="J1268" s="115">
        <v>-448</v>
      </c>
      <c r="K1268" s="115">
        <v>-1298</v>
      </c>
    </row>
    <row r="1269" spans="1:11" x14ac:dyDescent="0.25">
      <c r="B1269" s="115" t="s">
        <v>1241</v>
      </c>
      <c r="D1269" s="115" t="s">
        <v>9219</v>
      </c>
      <c r="E1269" s="115" t="s">
        <v>2017</v>
      </c>
      <c r="F1269" s="115">
        <v>0</v>
      </c>
      <c r="G1269" s="115">
        <v>-115</v>
      </c>
      <c r="H1269" s="115">
        <v>0</v>
      </c>
      <c r="I1269" s="115">
        <v>365</v>
      </c>
      <c r="J1269" s="115">
        <v>674</v>
      </c>
      <c r="K1269" s="115">
        <v>352</v>
      </c>
    </row>
    <row r="1270" spans="1:11" x14ac:dyDescent="0.25">
      <c r="B1270" s="115" t="s">
        <v>2018</v>
      </c>
      <c r="D1270" s="115" t="s">
        <v>9220</v>
      </c>
      <c r="E1270" s="115" t="s">
        <v>2019</v>
      </c>
      <c r="F1270" s="115">
        <v>-11841</v>
      </c>
      <c r="G1270" s="115">
        <v>-3069</v>
      </c>
      <c r="H1270" s="115">
        <v>0</v>
      </c>
      <c r="I1270" s="115">
        <v>-1428</v>
      </c>
      <c r="J1270" s="115">
        <v>-2281</v>
      </c>
      <c r="K1270" s="115">
        <v>-286</v>
      </c>
    </row>
    <row r="1271" spans="1:11" x14ac:dyDescent="0.25">
      <c r="A1271" s="115">
        <v>1</v>
      </c>
      <c r="B1271" s="115" t="s">
        <v>2020</v>
      </c>
      <c r="D1271" s="115" t="s">
        <v>9221</v>
      </c>
      <c r="E1271" s="115" t="s">
        <v>2021</v>
      </c>
      <c r="F1271" s="115">
        <v>0</v>
      </c>
      <c r="G1271" s="115">
        <v>0</v>
      </c>
      <c r="H1271" s="115">
        <v>0</v>
      </c>
      <c r="I1271" s="115">
        <v>-168</v>
      </c>
      <c r="J1271" s="115">
        <v>-921</v>
      </c>
      <c r="K1271" s="115">
        <v>0</v>
      </c>
    </row>
    <row r="1272" spans="1:11" x14ac:dyDescent="0.25">
      <c r="A1272" s="115">
        <v>-1</v>
      </c>
      <c r="B1272" s="115" t="s">
        <v>2022</v>
      </c>
      <c r="C1272" s="115" t="s">
        <v>1239</v>
      </c>
      <c r="D1272" s="115" t="s">
        <v>9222</v>
      </c>
      <c r="E1272" s="115" t="s">
        <v>2023</v>
      </c>
      <c r="F1272" s="115">
        <v>0</v>
      </c>
      <c r="G1272" s="115">
        <v>0</v>
      </c>
      <c r="H1272" s="115">
        <v>0</v>
      </c>
      <c r="I1272" s="115">
        <v>0</v>
      </c>
      <c r="J1272" s="115">
        <v>0</v>
      </c>
      <c r="K1272" s="115">
        <v>-1010</v>
      </c>
    </row>
    <row r="1273" spans="1:11" x14ac:dyDescent="0.25">
      <c r="B1273" s="115" t="s">
        <v>2024</v>
      </c>
      <c r="D1273" s="115" t="s">
        <v>9223</v>
      </c>
      <c r="E1273" s="115" t="s">
        <v>2025</v>
      </c>
      <c r="F1273" s="115">
        <v>0</v>
      </c>
      <c r="G1273" s="115">
        <v>-4520</v>
      </c>
      <c r="H1273" s="115">
        <v>-4760</v>
      </c>
      <c r="I1273" s="115">
        <v>24955</v>
      </c>
      <c r="J1273" s="115">
        <v>-9215</v>
      </c>
      <c r="K1273" s="115">
        <v>-135</v>
      </c>
    </row>
    <row r="1274" spans="1:11" x14ac:dyDescent="0.25">
      <c r="A1274" s="115">
        <v>1</v>
      </c>
      <c r="B1274" s="115" t="s">
        <v>2026</v>
      </c>
      <c r="D1274" s="115" t="s">
        <v>9224</v>
      </c>
      <c r="E1274" s="115" t="s">
        <v>2027</v>
      </c>
      <c r="F1274" s="115">
        <v>0</v>
      </c>
      <c r="G1274" s="115">
        <v>-344</v>
      </c>
      <c r="H1274" s="115">
        <v>0</v>
      </c>
      <c r="I1274" s="115">
        <v>0</v>
      </c>
      <c r="J1274" s="115">
        <v>0</v>
      </c>
      <c r="K1274" s="115">
        <v>-2070</v>
      </c>
    </row>
    <row r="1275" spans="1:11" x14ac:dyDescent="0.25">
      <c r="B1275" s="115" t="s">
        <v>2028</v>
      </c>
      <c r="D1275" s="115" t="s">
        <v>9225</v>
      </c>
      <c r="E1275" s="115" t="s">
        <v>2029</v>
      </c>
      <c r="F1275" s="115">
        <v>0</v>
      </c>
      <c r="G1275" s="115">
        <v>0</v>
      </c>
      <c r="H1275" s="115">
        <v>0</v>
      </c>
      <c r="I1275" s="115">
        <v>1100</v>
      </c>
      <c r="J1275" s="115">
        <v>0</v>
      </c>
      <c r="K1275" s="115">
        <v>0</v>
      </c>
    </row>
    <row r="1276" spans="1:11" x14ac:dyDescent="0.25">
      <c r="A1276" s="115" t="s">
        <v>1239</v>
      </c>
      <c r="B1276" s="115" t="s">
        <v>2030</v>
      </c>
      <c r="D1276" s="115" t="s">
        <v>9226</v>
      </c>
      <c r="E1276" s="115" t="s">
        <v>2031</v>
      </c>
      <c r="F1276" s="115">
        <v>-77</v>
      </c>
      <c r="G1276" s="115">
        <v>5577</v>
      </c>
      <c r="H1276" s="115">
        <v>2317</v>
      </c>
      <c r="I1276" s="115">
        <v>0</v>
      </c>
      <c r="J1276" s="115">
        <v>-2484</v>
      </c>
      <c r="K1276" s="115">
        <v>-99</v>
      </c>
    </row>
    <row r="1277" spans="1:11" x14ac:dyDescent="0.25">
      <c r="A1277" s="115">
        <v>1</v>
      </c>
      <c r="B1277" s="115" t="s">
        <v>2032</v>
      </c>
      <c r="D1277" s="115" t="s">
        <v>9227</v>
      </c>
      <c r="E1277" s="115" t="s">
        <v>2033</v>
      </c>
      <c r="F1277" s="115">
        <v>0</v>
      </c>
      <c r="G1277" s="115">
        <v>-57</v>
      </c>
      <c r="H1277" s="115">
        <v>0</v>
      </c>
      <c r="I1277" s="115">
        <v>0</v>
      </c>
      <c r="J1277" s="115">
        <v>0</v>
      </c>
      <c r="K1277" s="115">
        <v>0</v>
      </c>
    </row>
    <row r="1278" spans="1:11" x14ac:dyDescent="0.25">
      <c r="B1278" s="115" t="s">
        <v>2034</v>
      </c>
      <c r="D1278" s="115" t="s">
        <v>9228</v>
      </c>
      <c r="E1278" s="115" t="s">
        <v>2035</v>
      </c>
      <c r="F1278" s="115">
        <v>0</v>
      </c>
      <c r="G1278" s="115">
        <v>-356</v>
      </c>
      <c r="H1278" s="115">
        <v>0</v>
      </c>
      <c r="I1278" s="115">
        <v>-289</v>
      </c>
      <c r="J1278" s="115">
        <v>0</v>
      </c>
      <c r="K1278" s="115">
        <v>0</v>
      </c>
    </row>
    <row r="1279" spans="1:11" x14ac:dyDescent="0.25">
      <c r="B1279" s="115" t="s">
        <v>1241</v>
      </c>
      <c r="D1279" s="115" t="s">
        <v>9229</v>
      </c>
      <c r="E1279" s="115" t="s">
        <v>2036</v>
      </c>
      <c r="F1279" s="115">
        <v>0</v>
      </c>
      <c r="G1279" s="115">
        <v>-452</v>
      </c>
      <c r="H1279" s="115">
        <v>629</v>
      </c>
      <c r="I1279" s="115">
        <v>0</v>
      </c>
      <c r="J1279" s="115">
        <v>0</v>
      </c>
      <c r="K1279" s="115">
        <v>1075</v>
      </c>
    </row>
    <row r="1280" spans="1:11" x14ac:dyDescent="0.25">
      <c r="B1280" s="115" t="s">
        <v>2037</v>
      </c>
      <c r="C1280" s="115" t="s">
        <v>1239</v>
      </c>
      <c r="D1280" s="115" t="s">
        <v>9230</v>
      </c>
      <c r="E1280" s="115" t="s">
        <v>2038</v>
      </c>
      <c r="F1280" s="115">
        <v>0</v>
      </c>
      <c r="G1280" s="115">
        <v>0</v>
      </c>
      <c r="H1280" s="115">
        <v>0</v>
      </c>
      <c r="I1280" s="115">
        <v>-930</v>
      </c>
      <c r="J1280" s="115">
        <v>916</v>
      </c>
      <c r="K1280" s="115">
        <v>237</v>
      </c>
    </row>
    <row r="1281" spans="1:11" x14ac:dyDescent="0.25">
      <c r="B1281" s="115" t="s">
        <v>1241</v>
      </c>
      <c r="D1281" s="115" t="s">
        <v>9231</v>
      </c>
      <c r="E1281" s="115" t="s">
        <v>2039</v>
      </c>
      <c r="F1281" s="115">
        <v>0</v>
      </c>
      <c r="G1281" s="115">
        <v>132</v>
      </c>
      <c r="H1281" s="115">
        <v>540</v>
      </c>
      <c r="I1281" s="115">
        <v>80</v>
      </c>
      <c r="J1281" s="115">
        <v>-158</v>
      </c>
      <c r="K1281" s="115">
        <v>7</v>
      </c>
    </row>
    <row r="1282" spans="1:11" x14ac:dyDescent="0.25">
      <c r="B1282" s="115" t="s">
        <v>2040</v>
      </c>
      <c r="D1282" s="115" t="s">
        <v>9232</v>
      </c>
      <c r="E1282" s="115" t="s">
        <v>2041</v>
      </c>
      <c r="F1282" s="115">
        <v>0</v>
      </c>
      <c r="G1282" s="115">
        <v>0</v>
      </c>
      <c r="H1282" s="115">
        <v>0</v>
      </c>
      <c r="I1282" s="115">
        <v>-514</v>
      </c>
      <c r="J1282" s="115">
        <v>0</v>
      </c>
      <c r="K1282" s="115">
        <v>-174</v>
      </c>
    </row>
    <row r="1283" spans="1:11" x14ac:dyDescent="0.25">
      <c r="A1283" s="115" t="s">
        <v>1239</v>
      </c>
      <c r="B1283" s="115" t="s">
        <v>2042</v>
      </c>
      <c r="D1283" s="115" t="s">
        <v>9233</v>
      </c>
      <c r="E1283" s="115" t="s">
        <v>2043</v>
      </c>
      <c r="F1283" s="115">
        <v>-343</v>
      </c>
      <c r="G1283" s="115">
        <v>-2228</v>
      </c>
      <c r="H1283" s="115">
        <v>-2451</v>
      </c>
      <c r="I1283" s="115">
        <v>-2332</v>
      </c>
      <c r="J1283" s="115">
        <v>0</v>
      </c>
      <c r="K1283" s="115">
        <v>207</v>
      </c>
    </row>
    <row r="1284" spans="1:11" x14ac:dyDescent="0.25">
      <c r="B1284" s="115" t="s">
        <v>2044</v>
      </c>
      <c r="D1284" s="115" t="s">
        <v>9234</v>
      </c>
      <c r="E1284" s="115" t="s">
        <v>2045</v>
      </c>
      <c r="F1284" s="115">
        <v>166</v>
      </c>
      <c r="G1284" s="115">
        <v>-665</v>
      </c>
      <c r="H1284" s="115">
        <v>0</v>
      </c>
      <c r="I1284" s="115">
        <v>0</v>
      </c>
      <c r="J1284" s="115">
        <v>0</v>
      </c>
      <c r="K1284" s="115">
        <v>650</v>
      </c>
    </row>
    <row r="1285" spans="1:11" x14ac:dyDescent="0.25">
      <c r="B1285" s="115" t="s">
        <v>2046</v>
      </c>
      <c r="D1285" s="115" t="s">
        <v>9235</v>
      </c>
      <c r="E1285" s="115" t="s">
        <v>2047</v>
      </c>
      <c r="F1285" s="115">
        <v>838</v>
      </c>
      <c r="G1285" s="115">
        <v>2877</v>
      </c>
      <c r="H1285" s="115">
        <v>0</v>
      </c>
      <c r="I1285" s="115">
        <v>0</v>
      </c>
      <c r="J1285" s="115">
        <v>0</v>
      </c>
      <c r="K1285" s="115">
        <v>0</v>
      </c>
    </row>
    <row r="1286" spans="1:11" x14ac:dyDescent="0.25">
      <c r="B1286" s="115" t="s">
        <v>2048</v>
      </c>
      <c r="D1286" s="115" t="s">
        <v>9236</v>
      </c>
      <c r="E1286" s="115" t="s">
        <v>2049</v>
      </c>
      <c r="F1286" s="115">
        <v>-230</v>
      </c>
      <c r="G1286" s="115">
        <v>-984</v>
      </c>
      <c r="H1286" s="115">
        <v>0</v>
      </c>
      <c r="I1286" s="115">
        <v>-4556</v>
      </c>
      <c r="J1286" s="115">
        <v>-3559</v>
      </c>
      <c r="K1286" s="115">
        <v>23198</v>
      </c>
    </row>
    <row r="1287" spans="1:11" x14ac:dyDescent="0.25">
      <c r="A1287" s="115">
        <v>41</v>
      </c>
      <c r="B1287" s="115" t="s">
        <v>2050</v>
      </c>
      <c r="D1287" s="115" t="s">
        <v>9237</v>
      </c>
      <c r="E1287" s="115" t="s">
        <v>2051</v>
      </c>
      <c r="F1287" s="115">
        <v>4820</v>
      </c>
      <c r="G1287" s="115">
        <v>597</v>
      </c>
      <c r="H1287" s="115">
        <v>0</v>
      </c>
      <c r="I1287" s="115">
        <v>0</v>
      </c>
      <c r="J1287" s="115">
        <v>-133</v>
      </c>
      <c r="K1287" s="115">
        <v>0</v>
      </c>
    </row>
    <row r="1288" spans="1:11" x14ac:dyDescent="0.25">
      <c r="B1288" s="115" t="s">
        <v>1241</v>
      </c>
      <c r="D1288" s="115" t="s">
        <v>9238</v>
      </c>
      <c r="E1288" s="115" t="s">
        <v>1242</v>
      </c>
      <c r="F1288" s="115">
        <v>0</v>
      </c>
      <c r="G1288" s="115">
        <v>0</v>
      </c>
      <c r="H1288" s="115">
        <v>0</v>
      </c>
      <c r="I1288" s="115">
        <v>0</v>
      </c>
      <c r="J1288" s="115">
        <v>0</v>
      </c>
      <c r="K1288" s="115">
        <v>0</v>
      </c>
    </row>
    <row r="1289" spans="1:11" x14ac:dyDescent="0.25">
      <c r="A1289" s="115" t="s">
        <v>1239</v>
      </c>
      <c r="B1289" s="115" t="s">
        <v>2052</v>
      </c>
      <c r="D1289" s="115" t="s">
        <v>9239</v>
      </c>
      <c r="E1289" s="115" t="s">
        <v>2053</v>
      </c>
      <c r="F1289" s="115">
        <v>0</v>
      </c>
      <c r="G1289" s="115">
        <v>990</v>
      </c>
      <c r="H1289" s="115">
        <v>0</v>
      </c>
      <c r="I1289" s="115">
        <v>274</v>
      </c>
      <c r="J1289" s="115">
        <v>2650</v>
      </c>
      <c r="K1289" s="115">
        <v>945</v>
      </c>
    </row>
    <row r="1290" spans="1:11" x14ac:dyDescent="0.25">
      <c r="B1290" s="115" t="s">
        <v>2054</v>
      </c>
      <c r="D1290" s="115" t="s">
        <v>9240</v>
      </c>
      <c r="E1290" s="115" t="s">
        <v>2055</v>
      </c>
      <c r="F1290" s="115">
        <v>1771</v>
      </c>
      <c r="G1290" s="115">
        <v>597</v>
      </c>
      <c r="H1290" s="115">
        <v>799</v>
      </c>
      <c r="I1290" s="115">
        <v>0</v>
      </c>
      <c r="J1290" s="115">
        <v>120</v>
      </c>
      <c r="K1290" s="115">
        <v>0</v>
      </c>
    </row>
    <row r="1291" spans="1:11" x14ac:dyDescent="0.25">
      <c r="B1291" s="115" t="s">
        <v>1241</v>
      </c>
      <c r="D1291" s="115" t="s">
        <v>9241</v>
      </c>
      <c r="E1291" s="115" t="s">
        <v>2056</v>
      </c>
      <c r="F1291" s="115">
        <v>-41</v>
      </c>
      <c r="G1291" s="115">
        <v>0</v>
      </c>
      <c r="H1291" s="115">
        <v>0</v>
      </c>
      <c r="I1291" s="115">
        <v>0</v>
      </c>
      <c r="J1291" s="115">
        <v>-4138</v>
      </c>
      <c r="K1291" s="115">
        <v>0</v>
      </c>
    </row>
    <row r="1292" spans="1:11" x14ac:dyDescent="0.25">
      <c r="B1292" s="115" t="s">
        <v>2057</v>
      </c>
      <c r="D1292" s="115" t="s">
        <v>9242</v>
      </c>
      <c r="E1292" s="115" t="s">
        <v>2058</v>
      </c>
      <c r="F1292" s="115">
        <v>0</v>
      </c>
      <c r="G1292" s="115">
        <v>0</v>
      </c>
      <c r="H1292" s="115">
        <v>-65</v>
      </c>
      <c r="I1292" s="115">
        <v>0</v>
      </c>
      <c r="J1292" s="115">
        <v>29</v>
      </c>
      <c r="K1292" s="115">
        <v>-3922</v>
      </c>
    </row>
    <row r="1293" spans="1:11" x14ac:dyDescent="0.25">
      <c r="B1293" s="115" t="s">
        <v>1241</v>
      </c>
      <c r="D1293" s="115" t="s">
        <v>9243</v>
      </c>
      <c r="E1293" s="115" t="s">
        <v>2059</v>
      </c>
      <c r="F1293" s="115">
        <v>0</v>
      </c>
      <c r="G1293" s="115">
        <v>299</v>
      </c>
      <c r="H1293" s="115">
        <v>0</v>
      </c>
      <c r="I1293" s="115">
        <v>0</v>
      </c>
      <c r="J1293" s="115">
        <v>0</v>
      </c>
      <c r="K1293" s="115">
        <v>0</v>
      </c>
    </row>
    <row r="1294" spans="1:11" x14ac:dyDescent="0.25">
      <c r="B1294" s="115" t="s">
        <v>2060</v>
      </c>
      <c r="D1294" s="115" t="s">
        <v>9244</v>
      </c>
      <c r="E1294" s="115" t="s">
        <v>2061</v>
      </c>
      <c r="F1294" s="115">
        <v>0</v>
      </c>
      <c r="G1294" s="115">
        <v>110</v>
      </c>
      <c r="H1294" s="115">
        <v>-92</v>
      </c>
      <c r="I1294" s="115">
        <v>0</v>
      </c>
      <c r="J1294" s="115">
        <v>-203</v>
      </c>
      <c r="K1294" s="115">
        <v>325</v>
      </c>
    </row>
    <row r="1295" spans="1:11" x14ac:dyDescent="0.25">
      <c r="B1295" s="115" t="s">
        <v>2062</v>
      </c>
      <c r="D1295" s="115" t="s">
        <v>9245</v>
      </c>
      <c r="E1295" s="115" t="s">
        <v>1242</v>
      </c>
      <c r="F1295" s="115">
        <v>312</v>
      </c>
      <c r="G1295" s="115">
        <v>0</v>
      </c>
      <c r="H1295" s="115">
        <v>0</v>
      </c>
      <c r="I1295" s="115">
        <v>0</v>
      </c>
      <c r="J1295" s="115">
        <v>0</v>
      </c>
      <c r="K1295" s="115">
        <v>0</v>
      </c>
    </row>
    <row r="1296" spans="1:11" x14ac:dyDescent="0.25">
      <c r="A1296" s="115" t="s">
        <v>1239</v>
      </c>
      <c r="B1296" s="115" t="s">
        <v>2063</v>
      </c>
      <c r="D1296" s="115" t="s">
        <v>9246</v>
      </c>
      <c r="E1296" s="115" t="s">
        <v>2064</v>
      </c>
      <c r="F1296" s="115">
        <v>-348</v>
      </c>
      <c r="G1296" s="115">
        <v>0</v>
      </c>
      <c r="H1296" s="115">
        <v>99</v>
      </c>
      <c r="I1296" s="115">
        <v>-995</v>
      </c>
      <c r="J1296" s="115">
        <v>140</v>
      </c>
      <c r="K1296" s="115">
        <v>336</v>
      </c>
    </row>
    <row r="1297" spans="1:11" x14ac:dyDescent="0.25">
      <c r="B1297" s="115" t="s">
        <v>2065</v>
      </c>
      <c r="D1297" s="115" t="s">
        <v>9247</v>
      </c>
      <c r="E1297" s="115" t="s">
        <v>2066</v>
      </c>
      <c r="F1297" s="115">
        <v>758</v>
      </c>
      <c r="G1297" s="115">
        <v>721</v>
      </c>
      <c r="H1297" s="115">
        <v>0</v>
      </c>
      <c r="I1297" s="115">
        <v>212</v>
      </c>
      <c r="J1297" s="115">
        <v>225</v>
      </c>
      <c r="K1297" s="115">
        <v>0</v>
      </c>
    </row>
    <row r="1298" spans="1:11" x14ac:dyDescent="0.25">
      <c r="B1298" s="115" t="s">
        <v>1241</v>
      </c>
      <c r="D1298" s="115" t="s">
        <v>9248</v>
      </c>
      <c r="E1298" s="115" t="s">
        <v>2067</v>
      </c>
      <c r="F1298" s="115">
        <v>0</v>
      </c>
      <c r="G1298" s="115">
        <v>278</v>
      </c>
      <c r="H1298" s="115">
        <v>862</v>
      </c>
      <c r="I1298" s="115">
        <v>586</v>
      </c>
      <c r="J1298" s="115">
        <v>238</v>
      </c>
      <c r="K1298" s="115">
        <v>0</v>
      </c>
    </row>
    <row r="1299" spans="1:11" x14ac:dyDescent="0.25">
      <c r="B1299" s="115" t="s">
        <v>1241</v>
      </c>
      <c r="D1299" s="115" t="s">
        <v>9249</v>
      </c>
      <c r="E1299" s="115" t="s">
        <v>2068</v>
      </c>
      <c r="F1299" s="115">
        <v>-456</v>
      </c>
      <c r="G1299" s="115">
        <v>0</v>
      </c>
      <c r="H1299" s="115">
        <v>1374</v>
      </c>
      <c r="I1299" s="115">
        <v>-392</v>
      </c>
      <c r="J1299" s="115">
        <v>-547</v>
      </c>
      <c r="K1299" s="115">
        <v>0</v>
      </c>
    </row>
    <row r="1300" spans="1:11" x14ac:dyDescent="0.25">
      <c r="A1300" s="115">
        <v>-1</v>
      </c>
      <c r="B1300" s="115" t="s">
        <v>2069</v>
      </c>
      <c r="C1300" s="115">
        <v>1</v>
      </c>
      <c r="D1300" s="115" t="s">
        <v>9250</v>
      </c>
      <c r="E1300" s="115" t="s">
        <v>2070</v>
      </c>
      <c r="F1300" s="115">
        <v>19546</v>
      </c>
      <c r="G1300" s="115">
        <v>-3250</v>
      </c>
      <c r="H1300" s="115">
        <v>-88</v>
      </c>
      <c r="I1300" s="115">
        <v>477</v>
      </c>
      <c r="J1300" s="115">
        <v>189</v>
      </c>
      <c r="K1300" s="115">
        <v>10942</v>
      </c>
    </row>
    <row r="1301" spans="1:11" x14ac:dyDescent="0.25">
      <c r="B1301" s="115" t="s">
        <v>1241</v>
      </c>
      <c r="D1301" s="115" t="s">
        <v>9251</v>
      </c>
      <c r="E1301" s="115" t="s">
        <v>2071</v>
      </c>
      <c r="F1301" s="115">
        <v>0</v>
      </c>
      <c r="G1301" s="115">
        <v>0</v>
      </c>
      <c r="H1301" s="115">
        <v>-152</v>
      </c>
      <c r="I1301" s="115">
        <v>263</v>
      </c>
      <c r="J1301" s="115">
        <v>0</v>
      </c>
      <c r="K1301" s="115">
        <v>0</v>
      </c>
    </row>
    <row r="1302" spans="1:11" x14ac:dyDescent="0.25">
      <c r="B1302" s="115" t="s">
        <v>1241</v>
      </c>
      <c r="D1302" s="115" t="s">
        <v>9252</v>
      </c>
      <c r="E1302" s="115" t="s">
        <v>2072</v>
      </c>
      <c r="F1302" s="115">
        <v>66</v>
      </c>
      <c r="G1302" s="115">
        <v>0</v>
      </c>
      <c r="H1302" s="115">
        <v>0</v>
      </c>
      <c r="I1302" s="115">
        <v>-1231</v>
      </c>
      <c r="J1302" s="115">
        <v>0</v>
      </c>
      <c r="K1302" s="115">
        <v>1233</v>
      </c>
    </row>
    <row r="1303" spans="1:11" x14ac:dyDescent="0.25">
      <c r="B1303" s="115" t="s">
        <v>2073</v>
      </c>
      <c r="D1303" s="115" t="s">
        <v>9253</v>
      </c>
      <c r="E1303" s="115" t="s">
        <v>2074</v>
      </c>
      <c r="F1303" s="115">
        <v>0</v>
      </c>
      <c r="G1303" s="115">
        <v>146</v>
      </c>
      <c r="H1303" s="115">
        <v>-176</v>
      </c>
      <c r="I1303" s="115">
        <v>3074</v>
      </c>
      <c r="J1303" s="115">
        <v>10497</v>
      </c>
      <c r="K1303" s="115">
        <v>1639</v>
      </c>
    </row>
    <row r="1304" spans="1:11" x14ac:dyDescent="0.25">
      <c r="B1304" s="115" t="s">
        <v>2075</v>
      </c>
      <c r="D1304" s="115" t="s">
        <v>9254</v>
      </c>
      <c r="E1304" s="115" t="s">
        <v>2076</v>
      </c>
      <c r="F1304" s="115">
        <v>0</v>
      </c>
      <c r="G1304" s="115">
        <v>0</v>
      </c>
      <c r="H1304" s="115">
        <v>0</v>
      </c>
      <c r="I1304" s="115">
        <v>0</v>
      </c>
      <c r="J1304" s="115">
        <v>-329</v>
      </c>
      <c r="K1304" s="115">
        <v>0</v>
      </c>
    </row>
    <row r="1305" spans="1:11" x14ac:dyDescent="0.25">
      <c r="B1305" s="115" t="s">
        <v>1241</v>
      </c>
      <c r="D1305" s="115" t="s">
        <v>9255</v>
      </c>
      <c r="E1305" s="115" t="s">
        <v>1242</v>
      </c>
      <c r="F1305" s="115">
        <v>580</v>
      </c>
      <c r="G1305" s="115">
        <v>0</v>
      </c>
      <c r="H1305" s="115">
        <v>0</v>
      </c>
      <c r="I1305" s="115">
        <v>0</v>
      </c>
      <c r="J1305" s="115">
        <v>0</v>
      </c>
      <c r="K1305" s="115">
        <v>0</v>
      </c>
    </row>
    <row r="1306" spans="1:11" x14ac:dyDescent="0.25">
      <c r="A1306" s="115" t="s">
        <v>1239</v>
      </c>
      <c r="B1306" s="115" t="s">
        <v>2077</v>
      </c>
      <c r="C1306" s="115" t="s">
        <v>1239</v>
      </c>
      <c r="D1306" s="115" t="s">
        <v>9256</v>
      </c>
      <c r="E1306" s="115" t="s">
        <v>2078</v>
      </c>
      <c r="F1306" s="115">
        <v>0</v>
      </c>
      <c r="G1306" s="115">
        <v>0</v>
      </c>
      <c r="H1306" s="115">
        <v>293</v>
      </c>
      <c r="I1306" s="115">
        <v>1549</v>
      </c>
      <c r="J1306" s="115">
        <v>0</v>
      </c>
      <c r="K1306" s="115">
        <v>-2212</v>
      </c>
    </row>
    <row r="1307" spans="1:11" x14ac:dyDescent="0.25">
      <c r="B1307" s="115" t="s">
        <v>1241</v>
      </c>
      <c r="D1307" s="115" t="s">
        <v>9257</v>
      </c>
      <c r="E1307" s="115" t="s">
        <v>2079</v>
      </c>
      <c r="F1307" s="115">
        <v>-2819</v>
      </c>
      <c r="G1307" s="115">
        <v>572</v>
      </c>
      <c r="H1307" s="115">
        <v>351</v>
      </c>
      <c r="I1307" s="115">
        <v>0</v>
      </c>
      <c r="J1307" s="115">
        <v>0</v>
      </c>
      <c r="K1307" s="115">
        <v>-858</v>
      </c>
    </row>
    <row r="1308" spans="1:11" x14ac:dyDescent="0.25">
      <c r="A1308" s="115" t="s">
        <v>1239</v>
      </c>
      <c r="B1308" s="115" t="s">
        <v>2080</v>
      </c>
      <c r="D1308" s="115" t="s">
        <v>9258</v>
      </c>
      <c r="E1308" s="115" t="s">
        <v>2081</v>
      </c>
      <c r="F1308" s="115">
        <v>-271</v>
      </c>
      <c r="G1308" s="115">
        <v>-1409</v>
      </c>
      <c r="H1308" s="115">
        <v>-1298</v>
      </c>
      <c r="I1308" s="115">
        <v>-1443</v>
      </c>
      <c r="J1308" s="115">
        <v>-2220</v>
      </c>
      <c r="K1308" s="115">
        <v>0</v>
      </c>
    </row>
    <row r="1309" spans="1:11" x14ac:dyDescent="0.25">
      <c r="B1309" s="115" t="s">
        <v>1241</v>
      </c>
      <c r="D1309" s="115" t="s">
        <v>9259</v>
      </c>
      <c r="E1309" s="115" t="s">
        <v>2082</v>
      </c>
      <c r="F1309" s="115">
        <v>-505</v>
      </c>
      <c r="G1309" s="115">
        <v>0</v>
      </c>
      <c r="H1309" s="115">
        <v>-1980</v>
      </c>
      <c r="I1309" s="115">
        <v>17</v>
      </c>
      <c r="J1309" s="115">
        <v>1478</v>
      </c>
      <c r="K1309" s="115">
        <v>0</v>
      </c>
    </row>
    <row r="1310" spans="1:11" x14ac:dyDescent="0.25">
      <c r="B1310" s="115" t="s">
        <v>2083</v>
      </c>
      <c r="D1310" s="115" t="s">
        <v>9260</v>
      </c>
      <c r="E1310" s="115" t="s">
        <v>2084</v>
      </c>
      <c r="F1310" s="115">
        <v>478</v>
      </c>
      <c r="G1310" s="115">
        <v>0</v>
      </c>
      <c r="H1310" s="115">
        <v>8026</v>
      </c>
      <c r="I1310" s="115">
        <v>-393</v>
      </c>
      <c r="J1310" s="115">
        <v>14</v>
      </c>
      <c r="K1310" s="115">
        <v>-176</v>
      </c>
    </row>
    <row r="1311" spans="1:11" x14ac:dyDescent="0.25">
      <c r="B1311" s="115" t="s">
        <v>2085</v>
      </c>
      <c r="D1311" s="115" t="s">
        <v>9261</v>
      </c>
      <c r="E1311" s="115" t="s">
        <v>2086</v>
      </c>
      <c r="F1311" s="115">
        <v>0</v>
      </c>
      <c r="G1311" s="115">
        <v>0</v>
      </c>
      <c r="H1311" s="115">
        <v>259</v>
      </c>
      <c r="I1311" s="115">
        <v>-239</v>
      </c>
      <c r="J1311" s="115">
        <v>0</v>
      </c>
      <c r="K1311" s="115">
        <v>-98</v>
      </c>
    </row>
    <row r="1312" spans="1:11" x14ac:dyDescent="0.25">
      <c r="A1312" s="115">
        <v>-1</v>
      </c>
      <c r="B1312" s="115" t="s">
        <v>2087</v>
      </c>
      <c r="D1312" s="115" t="s">
        <v>9262</v>
      </c>
      <c r="E1312" s="115" t="s">
        <v>2088</v>
      </c>
      <c r="F1312" s="115">
        <v>0</v>
      </c>
      <c r="G1312" s="115">
        <v>0</v>
      </c>
      <c r="H1312" s="115">
        <v>0</v>
      </c>
      <c r="I1312" s="115">
        <v>0</v>
      </c>
      <c r="J1312" s="115">
        <v>-873</v>
      </c>
      <c r="K1312" s="115">
        <v>0</v>
      </c>
    </row>
    <row r="1313" spans="1:11" x14ac:dyDescent="0.25">
      <c r="B1313" s="115" t="s">
        <v>2089</v>
      </c>
      <c r="D1313" s="115" t="s">
        <v>9263</v>
      </c>
      <c r="E1313" s="115" t="s">
        <v>2090</v>
      </c>
      <c r="F1313" s="115">
        <v>-1585</v>
      </c>
      <c r="G1313" s="115">
        <v>808</v>
      </c>
      <c r="H1313" s="115">
        <v>7796</v>
      </c>
      <c r="I1313" s="115">
        <v>15523</v>
      </c>
      <c r="J1313" s="115">
        <v>11761</v>
      </c>
      <c r="K1313" s="115">
        <v>21642</v>
      </c>
    </row>
    <row r="1314" spans="1:11" x14ac:dyDescent="0.25">
      <c r="A1314" s="115">
        <v>-3</v>
      </c>
      <c r="B1314" s="115" t="s">
        <v>2091</v>
      </c>
      <c r="D1314" s="115" t="s">
        <v>9264</v>
      </c>
      <c r="E1314" s="115" t="s">
        <v>2092</v>
      </c>
      <c r="F1314" s="115">
        <v>3240</v>
      </c>
      <c r="G1314" s="115">
        <v>0</v>
      </c>
      <c r="H1314" s="115">
        <v>0</v>
      </c>
      <c r="I1314" s="115">
        <v>-298</v>
      </c>
      <c r="J1314" s="115">
        <v>0</v>
      </c>
      <c r="K1314" s="115">
        <v>0</v>
      </c>
    </row>
    <row r="1315" spans="1:11" x14ac:dyDescent="0.25">
      <c r="B1315" s="115" t="s">
        <v>2093</v>
      </c>
      <c r="D1315" s="115" t="s">
        <v>9265</v>
      </c>
      <c r="E1315" s="115" t="s">
        <v>2094</v>
      </c>
      <c r="F1315" s="115">
        <v>0</v>
      </c>
      <c r="G1315" s="115">
        <v>0</v>
      </c>
      <c r="H1315" s="115">
        <v>0</v>
      </c>
      <c r="I1315" s="115">
        <v>0</v>
      </c>
      <c r="J1315" s="115">
        <v>0</v>
      </c>
      <c r="K1315" s="115">
        <v>440</v>
      </c>
    </row>
    <row r="1316" spans="1:11" x14ac:dyDescent="0.25">
      <c r="B1316" s="115" t="s">
        <v>1241</v>
      </c>
      <c r="D1316" s="115" t="s">
        <v>9266</v>
      </c>
      <c r="E1316" s="115" t="s">
        <v>2095</v>
      </c>
      <c r="F1316" s="115">
        <v>802</v>
      </c>
      <c r="G1316" s="115">
        <v>0</v>
      </c>
      <c r="H1316" s="115">
        <v>-5</v>
      </c>
      <c r="I1316" s="115">
        <v>2042</v>
      </c>
      <c r="J1316" s="115">
        <v>723</v>
      </c>
      <c r="K1316" s="115">
        <v>0</v>
      </c>
    </row>
    <row r="1317" spans="1:11" x14ac:dyDescent="0.25">
      <c r="B1317" s="115" t="s">
        <v>2096</v>
      </c>
      <c r="D1317" s="115" t="s">
        <v>9267</v>
      </c>
      <c r="E1317" s="115" t="s">
        <v>2097</v>
      </c>
      <c r="F1317" s="115">
        <v>5737</v>
      </c>
      <c r="G1317" s="115">
        <v>-610</v>
      </c>
      <c r="H1317" s="115">
        <v>0</v>
      </c>
      <c r="I1317" s="115">
        <v>-26</v>
      </c>
      <c r="J1317" s="115">
        <v>0</v>
      </c>
      <c r="K1317" s="115">
        <v>0</v>
      </c>
    </row>
    <row r="1318" spans="1:11" x14ac:dyDescent="0.25">
      <c r="B1318" s="115" t="s">
        <v>1241</v>
      </c>
      <c r="D1318" s="115" t="s">
        <v>9268</v>
      </c>
      <c r="E1318" s="115" t="s">
        <v>2098</v>
      </c>
      <c r="F1318" s="115">
        <v>0</v>
      </c>
      <c r="G1318" s="115">
        <v>0</v>
      </c>
      <c r="H1318" s="115">
        <v>0</v>
      </c>
      <c r="I1318" s="115">
        <v>118</v>
      </c>
      <c r="J1318" s="115">
        <v>0</v>
      </c>
      <c r="K1318" s="115">
        <v>772</v>
      </c>
    </row>
    <row r="1319" spans="1:11" x14ac:dyDescent="0.25">
      <c r="B1319" s="115" t="s">
        <v>1241</v>
      </c>
      <c r="D1319" s="115" t="s">
        <v>9269</v>
      </c>
      <c r="E1319" s="115" t="s">
        <v>2099</v>
      </c>
      <c r="F1319" s="115">
        <v>0</v>
      </c>
      <c r="G1319" s="115">
        <v>-949</v>
      </c>
      <c r="H1319" s="115">
        <v>0</v>
      </c>
      <c r="I1319" s="115">
        <v>-3759</v>
      </c>
      <c r="J1319" s="115">
        <v>-4919</v>
      </c>
      <c r="K1319" s="115">
        <v>0</v>
      </c>
    </row>
    <row r="1320" spans="1:11" x14ac:dyDescent="0.25">
      <c r="B1320" s="115" t="s">
        <v>2100</v>
      </c>
      <c r="C1320" s="115" t="s">
        <v>1239</v>
      </c>
      <c r="D1320" s="115" t="s">
        <v>9270</v>
      </c>
      <c r="E1320" s="115" t="s">
        <v>2101</v>
      </c>
      <c r="F1320" s="115">
        <v>-4994</v>
      </c>
      <c r="G1320" s="115">
        <v>0</v>
      </c>
      <c r="H1320" s="115">
        <v>0</v>
      </c>
      <c r="I1320" s="115">
        <v>0</v>
      </c>
      <c r="J1320" s="115">
        <v>0</v>
      </c>
      <c r="K1320" s="115">
        <v>-13365</v>
      </c>
    </row>
    <row r="1321" spans="1:11" x14ac:dyDescent="0.25">
      <c r="B1321" s="115" t="s">
        <v>2102</v>
      </c>
      <c r="D1321" s="115" t="s">
        <v>9271</v>
      </c>
      <c r="E1321" s="115" t="s">
        <v>2103</v>
      </c>
      <c r="F1321" s="115">
        <v>-717</v>
      </c>
      <c r="G1321" s="115">
        <v>-523</v>
      </c>
      <c r="H1321" s="115">
        <v>0</v>
      </c>
      <c r="I1321" s="115">
        <v>-206</v>
      </c>
      <c r="J1321" s="115">
        <v>-3194</v>
      </c>
      <c r="K1321" s="115">
        <v>-470</v>
      </c>
    </row>
    <row r="1322" spans="1:11" x14ac:dyDescent="0.25">
      <c r="A1322" s="115">
        <v>-2</v>
      </c>
      <c r="B1322" s="115" t="s">
        <v>2104</v>
      </c>
      <c r="C1322" s="115" t="s">
        <v>1239</v>
      </c>
      <c r="D1322" s="115" t="s">
        <v>9272</v>
      </c>
      <c r="E1322" s="115" t="s">
        <v>2105</v>
      </c>
      <c r="F1322" s="115">
        <v>0</v>
      </c>
      <c r="G1322" s="115">
        <v>0</v>
      </c>
      <c r="H1322" s="115">
        <v>0</v>
      </c>
      <c r="I1322" s="115">
        <v>0</v>
      </c>
      <c r="J1322" s="115">
        <v>0</v>
      </c>
      <c r="K1322" s="115">
        <v>6949</v>
      </c>
    </row>
    <row r="1323" spans="1:11" x14ac:dyDescent="0.25">
      <c r="B1323" s="115" t="s">
        <v>2106</v>
      </c>
      <c r="D1323" s="115" t="s">
        <v>9273</v>
      </c>
      <c r="E1323" s="115" t="s">
        <v>2107</v>
      </c>
      <c r="F1323" s="115">
        <v>0</v>
      </c>
      <c r="G1323" s="115">
        <v>614</v>
      </c>
      <c r="H1323" s="115">
        <v>1957</v>
      </c>
      <c r="I1323" s="115">
        <v>-137</v>
      </c>
      <c r="J1323" s="115">
        <v>-727</v>
      </c>
      <c r="K1323" s="115">
        <v>744</v>
      </c>
    </row>
    <row r="1324" spans="1:11" x14ac:dyDescent="0.25">
      <c r="B1324" s="115" t="s">
        <v>2108</v>
      </c>
      <c r="C1324" s="115">
        <v>1</v>
      </c>
      <c r="D1324" s="115" t="s">
        <v>9274</v>
      </c>
      <c r="E1324" s="115" t="s">
        <v>2109</v>
      </c>
      <c r="F1324" s="115">
        <v>166</v>
      </c>
      <c r="G1324" s="115">
        <v>0</v>
      </c>
      <c r="H1324" s="115">
        <v>51</v>
      </c>
      <c r="I1324" s="115">
        <v>-2421</v>
      </c>
      <c r="J1324" s="115">
        <v>0</v>
      </c>
      <c r="K1324" s="115">
        <v>0</v>
      </c>
    </row>
    <row r="1325" spans="1:11" x14ac:dyDescent="0.25">
      <c r="B1325" s="115" t="s">
        <v>2110</v>
      </c>
      <c r="D1325" s="115" t="s">
        <v>9275</v>
      </c>
      <c r="E1325" s="115" t="s">
        <v>2111</v>
      </c>
      <c r="F1325" s="115">
        <v>-92</v>
      </c>
      <c r="G1325" s="115">
        <v>-2615</v>
      </c>
      <c r="H1325" s="115">
        <v>-1170</v>
      </c>
      <c r="I1325" s="115">
        <v>-1138</v>
      </c>
      <c r="J1325" s="115">
        <v>0</v>
      </c>
      <c r="K1325" s="115">
        <v>0</v>
      </c>
    </row>
    <row r="1326" spans="1:11" x14ac:dyDescent="0.25">
      <c r="B1326" s="115" t="s">
        <v>1241</v>
      </c>
      <c r="D1326" s="115" t="s">
        <v>9276</v>
      </c>
      <c r="E1326" s="115" t="s">
        <v>2112</v>
      </c>
      <c r="F1326" s="115">
        <v>0</v>
      </c>
      <c r="G1326" s="115">
        <v>-2741</v>
      </c>
      <c r="H1326" s="115">
        <v>-143</v>
      </c>
      <c r="I1326" s="115">
        <v>1355</v>
      </c>
      <c r="J1326" s="115">
        <v>0</v>
      </c>
      <c r="K1326" s="115">
        <v>-16922</v>
      </c>
    </row>
    <row r="1327" spans="1:11" x14ac:dyDescent="0.25">
      <c r="A1327" s="115">
        <v>-14</v>
      </c>
      <c r="B1327" s="115" t="s">
        <v>2113</v>
      </c>
      <c r="C1327" s="115">
        <v>1</v>
      </c>
      <c r="D1327" s="115" t="s">
        <v>9277</v>
      </c>
      <c r="E1327" s="115" t="s">
        <v>2114</v>
      </c>
      <c r="F1327" s="115">
        <v>21991</v>
      </c>
      <c r="G1327" s="115">
        <v>29039</v>
      </c>
      <c r="H1327" s="115">
        <v>0</v>
      </c>
      <c r="I1327" s="115">
        <v>0</v>
      </c>
      <c r="J1327" s="115">
        <v>0</v>
      </c>
      <c r="K1327" s="115">
        <v>0</v>
      </c>
    </row>
    <row r="1328" spans="1:11" x14ac:dyDescent="0.25">
      <c r="B1328" s="115" t="s">
        <v>1241</v>
      </c>
      <c r="D1328" s="115" t="s">
        <v>8710</v>
      </c>
      <c r="E1328" s="115" t="s">
        <v>1242</v>
      </c>
      <c r="F1328" s="115">
        <v>0</v>
      </c>
      <c r="G1328" s="115">
        <v>0</v>
      </c>
      <c r="H1328" s="115">
        <v>0</v>
      </c>
      <c r="I1328" s="115">
        <v>0</v>
      </c>
      <c r="J1328" s="115">
        <v>0</v>
      </c>
      <c r="K1328" s="115">
        <v>0</v>
      </c>
    </row>
    <row r="1329" spans="1:11" x14ac:dyDescent="0.25">
      <c r="B1329" s="115" t="s">
        <v>1241</v>
      </c>
      <c r="D1329" s="115" t="s">
        <v>8710</v>
      </c>
      <c r="E1329" s="115" t="s">
        <v>1242</v>
      </c>
      <c r="F1329" s="115">
        <v>0</v>
      </c>
      <c r="G1329" s="115">
        <v>0</v>
      </c>
      <c r="H1329" s="115">
        <v>0</v>
      </c>
      <c r="I1329" s="115">
        <v>0</v>
      </c>
      <c r="J1329" s="115">
        <v>0</v>
      </c>
      <c r="K1329" s="115">
        <v>0</v>
      </c>
    </row>
    <row r="1330" spans="1:11" x14ac:dyDescent="0.25">
      <c r="B1330" s="115" t="s">
        <v>1241</v>
      </c>
      <c r="D1330" s="115" t="s">
        <v>8710</v>
      </c>
      <c r="E1330" s="115" t="s">
        <v>1242</v>
      </c>
      <c r="F1330" s="115">
        <v>0</v>
      </c>
      <c r="G1330" s="115">
        <v>0</v>
      </c>
      <c r="H1330" s="115">
        <v>0</v>
      </c>
      <c r="I1330" s="115">
        <v>0</v>
      </c>
      <c r="J1330" s="115">
        <v>0</v>
      </c>
      <c r="K1330" s="115">
        <v>0</v>
      </c>
    </row>
    <row r="1331" spans="1:11" x14ac:dyDescent="0.25">
      <c r="B1331" s="115" t="s">
        <v>1241</v>
      </c>
      <c r="D1331" s="115" t="s">
        <v>8710</v>
      </c>
      <c r="E1331" s="115" t="s">
        <v>1242</v>
      </c>
      <c r="F1331" s="115">
        <v>0</v>
      </c>
      <c r="G1331" s="115">
        <v>0</v>
      </c>
      <c r="H1331" s="115">
        <v>0</v>
      </c>
      <c r="I1331" s="115">
        <v>0</v>
      </c>
      <c r="J1331" s="115">
        <v>0</v>
      </c>
      <c r="K1331" s="115">
        <v>0</v>
      </c>
    </row>
    <row r="1332" spans="1:11" x14ac:dyDescent="0.25">
      <c r="B1332" s="115" t="s">
        <v>1241</v>
      </c>
      <c r="D1332" s="115" t="s">
        <v>8710</v>
      </c>
      <c r="E1332" s="115" t="s">
        <v>1242</v>
      </c>
      <c r="F1332" s="115">
        <v>0</v>
      </c>
      <c r="G1332" s="115">
        <v>0</v>
      </c>
      <c r="H1332" s="115">
        <v>0</v>
      </c>
      <c r="I1332" s="115">
        <v>0</v>
      </c>
      <c r="J1332" s="115">
        <v>0</v>
      </c>
      <c r="K1332" s="115">
        <v>0</v>
      </c>
    </row>
    <row r="1333" spans="1:11" x14ac:dyDescent="0.25">
      <c r="B1333" s="115" t="s">
        <v>1241</v>
      </c>
      <c r="D1333" s="115" t="s">
        <v>8710</v>
      </c>
      <c r="E1333" s="115" t="s">
        <v>1242</v>
      </c>
      <c r="F1333" s="115">
        <v>0</v>
      </c>
      <c r="G1333" s="115">
        <v>0</v>
      </c>
      <c r="H1333" s="115">
        <v>0</v>
      </c>
      <c r="I1333" s="115">
        <v>0</v>
      </c>
      <c r="J1333" s="115">
        <v>0</v>
      </c>
      <c r="K1333" s="115">
        <v>0</v>
      </c>
    </row>
    <row r="1334" spans="1:11" x14ac:dyDescent="0.25">
      <c r="B1334" s="115" t="s">
        <v>1241</v>
      </c>
      <c r="D1334" s="115" t="s">
        <v>8710</v>
      </c>
      <c r="E1334" s="115" t="s">
        <v>1242</v>
      </c>
      <c r="F1334" s="115">
        <v>0</v>
      </c>
      <c r="G1334" s="115">
        <v>0</v>
      </c>
      <c r="H1334" s="115">
        <v>0</v>
      </c>
      <c r="I1334" s="115">
        <v>0</v>
      </c>
      <c r="J1334" s="115">
        <v>0</v>
      </c>
      <c r="K1334" s="115">
        <v>0</v>
      </c>
    </row>
    <row r="1335" spans="1:11" x14ac:dyDescent="0.25">
      <c r="B1335" s="115" t="s">
        <v>1241</v>
      </c>
      <c r="D1335" s="115" t="s">
        <v>8710</v>
      </c>
      <c r="E1335" s="115" t="s">
        <v>1242</v>
      </c>
      <c r="F1335" s="115">
        <v>0</v>
      </c>
      <c r="G1335" s="115">
        <v>0</v>
      </c>
      <c r="H1335" s="115">
        <v>0</v>
      </c>
      <c r="I1335" s="115">
        <v>0</v>
      </c>
      <c r="J1335" s="115">
        <v>0</v>
      </c>
      <c r="K1335" s="115">
        <v>0</v>
      </c>
    </row>
    <row r="1336" spans="1:11" x14ac:dyDescent="0.25">
      <c r="B1336" s="115" t="s">
        <v>1241</v>
      </c>
      <c r="D1336" s="115" t="s">
        <v>8710</v>
      </c>
      <c r="E1336" s="115" t="s">
        <v>1242</v>
      </c>
      <c r="F1336" s="115">
        <v>0</v>
      </c>
      <c r="G1336" s="115">
        <v>0</v>
      </c>
      <c r="H1336" s="115">
        <v>0</v>
      </c>
      <c r="I1336" s="115">
        <v>0</v>
      </c>
      <c r="J1336" s="115">
        <v>0</v>
      </c>
      <c r="K1336" s="115">
        <v>0</v>
      </c>
    </row>
    <row r="1337" spans="1:11" x14ac:dyDescent="0.25">
      <c r="B1337" s="115" t="s">
        <v>1241</v>
      </c>
      <c r="D1337" s="115" t="s">
        <v>8710</v>
      </c>
      <c r="E1337" s="115" t="s">
        <v>1242</v>
      </c>
      <c r="F1337" s="115">
        <v>0</v>
      </c>
      <c r="G1337" s="115">
        <v>0</v>
      </c>
      <c r="H1337" s="115">
        <v>0</v>
      </c>
      <c r="I1337" s="115">
        <v>0</v>
      </c>
      <c r="J1337" s="115">
        <v>0</v>
      </c>
      <c r="K1337" s="115">
        <v>0</v>
      </c>
    </row>
    <row r="1338" spans="1:11" x14ac:dyDescent="0.25">
      <c r="B1338" s="115" t="s">
        <v>1241</v>
      </c>
      <c r="D1338" s="115" t="s">
        <v>8710</v>
      </c>
      <c r="E1338" s="115" t="s">
        <v>1242</v>
      </c>
      <c r="F1338" s="115">
        <v>0</v>
      </c>
      <c r="G1338" s="115">
        <v>0</v>
      </c>
      <c r="H1338" s="115">
        <v>0</v>
      </c>
      <c r="I1338" s="115">
        <v>0</v>
      </c>
      <c r="J1338" s="115">
        <v>0</v>
      </c>
      <c r="K1338" s="115">
        <v>0</v>
      </c>
    </row>
    <row r="1339" spans="1:11" x14ac:dyDescent="0.25">
      <c r="B1339" s="115" t="s">
        <v>1241</v>
      </c>
      <c r="D1339" s="115" t="s">
        <v>8710</v>
      </c>
      <c r="E1339" s="115" t="s">
        <v>1242</v>
      </c>
      <c r="F1339" s="115">
        <v>0</v>
      </c>
      <c r="G1339" s="115">
        <v>0</v>
      </c>
      <c r="H1339" s="115">
        <v>0</v>
      </c>
      <c r="I1339" s="115">
        <v>0</v>
      </c>
      <c r="J1339" s="115">
        <v>0</v>
      </c>
      <c r="K1339" s="115">
        <v>0</v>
      </c>
    </row>
    <row r="1340" spans="1:11" x14ac:dyDescent="0.25">
      <c r="B1340" s="115" t="s">
        <v>1241</v>
      </c>
      <c r="D1340" s="115" t="s">
        <v>8710</v>
      </c>
      <c r="E1340" s="115" t="s">
        <v>1242</v>
      </c>
      <c r="F1340" s="115">
        <v>0</v>
      </c>
      <c r="G1340" s="115">
        <v>0</v>
      </c>
      <c r="H1340" s="115">
        <v>0</v>
      </c>
      <c r="I1340" s="115">
        <v>0</v>
      </c>
      <c r="J1340" s="115">
        <v>0</v>
      </c>
      <c r="K1340" s="115">
        <v>0</v>
      </c>
    </row>
    <row r="1341" spans="1:11" x14ac:dyDescent="0.25">
      <c r="B1341" s="115" t="s">
        <v>1241</v>
      </c>
      <c r="D1341" s="115" t="s">
        <v>9278</v>
      </c>
      <c r="E1341" s="115" t="s">
        <v>2115</v>
      </c>
      <c r="F1341" s="115">
        <v>-108</v>
      </c>
      <c r="G1341" s="115">
        <v>-67</v>
      </c>
      <c r="H1341" s="115">
        <v>-150</v>
      </c>
      <c r="I1341" s="115">
        <v>45</v>
      </c>
      <c r="J1341" s="115">
        <v>0</v>
      </c>
      <c r="K1341" s="115">
        <v>0</v>
      </c>
    </row>
    <row r="1342" spans="1:11" x14ac:dyDescent="0.25">
      <c r="A1342" s="115" t="s">
        <v>1239</v>
      </c>
      <c r="B1342" s="115" t="s">
        <v>2116</v>
      </c>
      <c r="D1342" s="115" t="s">
        <v>9279</v>
      </c>
      <c r="E1342" s="115" t="s">
        <v>2117</v>
      </c>
      <c r="F1342" s="115">
        <v>-57</v>
      </c>
      <c r="G1342" s="115">
        <v>105</v>
      </c>
      <c r="H1342" s="115">
        <v>0</v>
      </c>
      <c r="I1342" s="115">
        <v>0</v>
      </c>
      <c r="J1342" s="115">
        <v>0</v>
      </c>
      <c r="K1342" s="115">
        <v>0</v>
      </c>
    </row>
    <row r="1343" spans="1:11" x14ac:dyDescent="0.25">
      <c r="B1343" s="115" t="s">
        <v>1241</v>
      </c>
      <c r="D1343" s="115" t="s">
        <v>9280</v>
      </c>
      <c r="E1343" s="115" t="s">
        <v>2118</v>
      </c>
      <c r="F1343" s="115">
        <v>0</v>
      </c>
      <c r="G1343" s="115">
        <v>-17</v>
      </c>
      <c r="H1343" s="115">
        <v>0</v>
      </c>
      <c r="I1343" s="115">
        <v>-89</v>
      </c>
      <c r="J1343" s="115">
        <v>0</v>
      </c>
      <c r="K1343" s="115">
        <v>-152</v>
      </c>
    </row>
    <row r="1344" spans="1:11" x14ac:dyDescent="0.25">
      <c r="B1344" s="115" t="s">
        <v>2119</v>
      </c>
      <c r="D1344" s="115" t="s">
        <v>9281</v>
      </c>
      <c r="E1344" s="115" t="s">
        <v>2120</v>
      </c>
      <c r="F1344" s="115">
        <v>-65</v>
      </c>
      <c r="G1344" s="115">
        <v>-59</v>
      </c>
      <c r="H1344" s="115">
        <v>6</v>
      </c>
      <c r="I1344" s="115">
        <v>-31</v>
      </c>
      <c r="J1344" s="115">
        <v>34</v>
      </c>
      <c r="K1344" s="115">
        <v>0</v>
      </c>
    </row>
    <row r="1345" spans="1:11" x14ac:dyDescent="0.25">
      <c r="A1345" s="115" t="s">
        <v>1239</v>
      </c>
      <c r="B1345" s="115" t="s">
        <v>2121</v>
      </c>
      <c r="D1345" s="115" t="s">
        <v>9282</v>
      </c>
      <c r="E1345" s="115" t="s">
        <v>2122</v>
      </c>
      <c r="F1345" s="115">
        <v>0</v>
      </c>
      <c r="G1345" s="115">
        <v>0</v>
      </c>
      <c r="H1345" s="115">
        <v>140</v>
      </c>
      <c r="I1345" s="115">
        <v>0</v>
      </c>
      <c r="J1345" s="115">
        <v>0</v>
      </c>
      <c r="K1345" s="115">
        <v>0</v>
      </c>
    </row>
    <row r="1346" spans="1:11" x14ac:dyDescent="0.25">
      <c r="B1346" s="115" t="s">
        <v>2123</v>
      </c>
      <c r="D1346" s="115" t="s">
        <v>9283</v>
      </c>
      <c r="E1346" s="115" t="s">
        <v>2124</v>
      </c>
      <c r="F1346" s="115">
        <v>0</v>
      </c>
      <c r="G1346" s="115">
        <v>0</v>
      </c>
      <c r="H1346" s="115">
        <v>0</v>
      </c>
      <c r="I1346" s="115">
        <v>0</v>
      </c>
      <c r="J1346" s="115">
        <v>-579</v>
      </c>
      <c r="K1346" s="115">
        <v>0</v>
      </c>
    </row>
    <row r="1347" spans="1:11" x14ac:dyDescent="0.25">
      <c r="A1347" s="115" t="s">
        <v>1239</v>
      </c>
      <c r="B1347" s="115" t="s">
        <v>2125</v>
      </c>
      <c r="D1347" s="115" t="s">
        <v>9284</v>
      </c>
      <c r="E1347" s="115" t="s">
        <v>2126</v>
      </c>
      <c r="F1347" s="115">
        <v>-243</v>
      </c>
      <c r="G1347" s="115">
        <v>-240</v>
      </c>
      <c r="H1347" s="115">
        <v>0</v>
      </c>
      <c r="I1347" s="115">
        <v>236</v>
      </c>
      <c r="J1347" s="115">
        <v>0</v>
      </c>
      <c r="K1347" s="115">
        <v>0</v>
      </c>
    </row>
    <row r="1348" spans="1:11" x14ac:dyDescent="0.25">
      <c r="B1348" s="115" t="s">
        <v>1241</v>
      </c>
      <c r="D1348" s="115" t="s">
        <v>9285</v>
      </c>
      <c r="E1348" s="115" t="s">
        <v>2127</v>
      </c>
      <c r="F1348" s="115">
        <v>276</v>
      </c>
      <c r="G1348" s="115">
        <v>0</v>
      </c>
      <c r="H1348" s="115">
        <v>0</v>
      </c>
      <c r="I1348" s="115">
        <v>962</v>
      </c>
      <c r="J1348" s="115">
        <v>-138</v>
      </c>
      <c r="K1348" s="115">
        <v>0</v>
      </c>
    </row>
    <row r="1349" spans="1:11" x14ac:dyDescent="0.25">
      <c r="B1349" s="115" t="s">
        <v>2128</v>
      </c>
      <c r="D1349" s="115" t="s">
        <v>9286</v>
      </c>
      <c r="E1349" s="115" t="s">
        <v>2129</v>
      </c>
      <c r="F1349" s="115">
        <v>312</v>
      </c>
      <c r="G1349" s="115">
        <v>76</v>
      </c>
      <c r="H1349" s="115">
        <v>-114</v>
      </c>
      <c r="I1349" s="115">
        <v>0</v>
      </c>
      <c r="J1349" s="115">
        <v>0</v>
      </c>
      <c r="K1349" s="115">
        <v>0</v>
      </c>
    </row>
    <row r="1350" spans="1:11" x14ac:dyDescent="0.25">
      <c r="B1350" s="115" t="s">
        <v>1241</v>
      </c>
      <c r="D1350" s="115" t="s">
        <v>9287</v>
      </c>
      <c r="E1350" s="115" t="s">
        <v>2130</v>
      </c>
      <c r="F1350" s="115">
        <v>223</v>
      </c>
      <c r="G1350" s="115">
        <v>623</v>
      </c>
      <c r="H1350" s="115">
        <v>150</v>
      </c>
      <c r="I1350" s="115">
        <v>0</v>
      </c>
      <c r="J1350" s="115">
        <v>904</v>
      </c>
      <c r="K1350" s="115">
        <v>875</v>
      </c>
    </row>
    <row r="1351" spans="1:11" x14ac:dyDescent="0.25">
      <c r="B1351" s="115" t="s">
        <v>2131</v>
      </c>
      <c r="D1351" s="115" t="s">
        <v>9288</v>
      </c>
      <c r="E1351" s="115" t="s">
        <v>2132</v>
      </c>
      <c r="F1351" s="115">
        <v>-309</v>
      </c>
      <c r="G1351" s="115">
        <v>-42</v>
      </c>
      <c r="H1351" s="115">
        <v>-120</v>
      </c>
      <c r="I1351" s="115">
        <v>-18942</v>
      </c>
      <c r="J1351" s="115">
        <v>0</v>
      </c>
      <c r="K1351" s="115">
        <v>-698</v>
      </c>
    </row>
    <row r="1352" spans="1:11" x14ac:dyDescent="0.25">
      <c r="A1352" s="115">
        <v>-2</v>
      </c>
      <c r="B1352" s="115" t="s">
        <v>2133</v>
      </c>
      <c r="D1352" s="115" t="s">
        <v>9289</v>
      </c>
      <c r="E1352" s="115" t="s">
        <v>2134</v>
      </c>
      <c r="F1352" s="115">
        <v>-56</v>
      </c>
      <c r="G1352" s="115">
        <v>-605</v>
      </c>
      <c r="H1352" s="115">
        <v>0</v>
      </c>
      <c r="I1352" s="115">
        <v>-611</v>
      </c>
      <c r="J1352" s="115">
        <v>1345</v>
      </c>
      <c r="K1352" s="115">
        <v>164</v>
      </c>
    </row>
    <row r="1353" spans="1:11" x14ac:dyDescent="0.25">
      <c r="A1353" s="115" t="s">
        <v>1239</v>
      </c>
      <c r="B1353" s="115" t="s">
        <v>2135</v>
      </c>
      <c r="D1353" s="115" t="s">
        <v>9290</v>
      </c>
      <c r="E1353" s="115" t="s">
        <v>2136</v>
      </c>
      <c r="F1353" s="115">
        <v>0</v>
      </c>
      <c r="G1353" s="115">
        <v>0</v>
      </c>
      <c r="H1353" s="115">
        <v>138</v>
      </c>
      <c r="I1353" s="115">
        <v>0</v>
      </c>
      <c r="J1353" s="115">
        <v>-398</v>
      </c>
      <c r="K1353" s="115">
        <v>1761</v>
      </c>
    </row>
    <row r="1354" spans="1:11" x14ac:dyDescent="0.25">
      <c r="A1354" s="115">
        <v>-1</v>
      </c>
      <c r="B1354" s="115" t="s">
        <v>1789</v>
      </c>
      <c r="C1354" s="115" t="s">
        <v>1239</v>
      </c>
      <c r="D1354" s="115" t="s">
        <v>9291</v>
      </c>
      <c r="E1354" s="115">
        <f>-9220  -6480  -6417   -512   -395</f>
        <v>-23024</v>
      </c>
      <c r="F1354" s="115">
        <v>-3981</v>
      </c>
      <c r="G1354" s="115">
        <v>-9220</v>
      </c>
      <c r="H1354" s="115">
        <v>-6480</v>
      </c>
      <c r="I1354" s="115">
        <v>-6417</v>
      </c>
      <c r="J1354" s="115">
        <v>-512</v>
      </c>
      <c r="K1354" s="115">
        <v>-395</v>
      </c>
    </row>
    <row r="1355" spans="1:11" x14ac:dyDescent="0.25">
      <c r="B1355" s="115" t="s">
        <v>1241</v>
      </c>
      <c r="D1355" s="115" t="s">
        <v>8710</v>
      </c>
      <c r="E1355" s="115" t="s">
        <v>1242</v>
      </c>
      <c r="F1355" s="115">
        <v>0</v>
      </c>
      <c r="G1355" s="115">
        <v>0</v>
      </c>
      <c r="H1355" s="115">
        <v>0</v>
      </c>
      <c r="I1355" s="115">
        <v>0</v>
      </c>
      <c r="J1355" s="115">
        <v>0</v>
      </c>
      <c r="K1355" s="115">
        <v>0</v>
      </c>
    </row>
    <row r="1356" spans="1:11" x14ac:dyDescent="0.25">
      <c r="B1356" s="115" t="s">
        <v>1241</v>
      </c>
      <c r="D1356" s="115" t="s">
        <v>8710</v>
      </c>
      <c r="E1356" s="115" t="s">
        <v>1242</v>
      </c>
      <c r="F1356" s="115">
        <v>0</v>
      </c>
      <c r="G1356" s="115">
        <v>0</v>
      </c>
      <c r="H1356" s="115">
        <v>0</v>
      </c>
      <c r="I1356" s="115">
        <v>0</v>
      </c>
      <c r="J1356" s="115">
        <v>0</v>
      </c>
      <c r="K1356" s="115">
        <v>0</v>
      </c>
    </row>
    <row r="1357" spans="1:11" x14ac:dyDescent="0.25">
      <c r="B1357" s="115" t="s">
        <v>1241</v>
      </c>
      <c r="D1357" s="115" t="s">
        <v>8710</v>
      </c>
      <c r="E1357" s="115" t="s">
        <v>1242</v>
      </c>
      <c r="F1357" s="115">
        <v>0</v>
      </c>
      <c r="G1357" s="115">
        <v>0</v>
      </c>
      <c r="H1357" s="115">
        <v>0</v>
      </c>
      <c r="I1357" s="115">
        <v>0</v>
      </c>
      <c r="J1357" s="115">
        <v>0</v>
      </c>
      <c r="K1357" s="115">
        <v>0</v>
      </c>
    </row>
    <row r="1358" spans="1:11" x14ac:dyDescent="0.25">
      <c r="B1358" s="115" t="s">
        <v>1241</v>
      </c>
      <c r="D1358" s="115" t="s">
        <v>8710</v>
      </c>
      <c r="E1358" s="115" t="s">
        <v>1242</v>
      </c>
      <c r="F1358" s="115">
        <v>0</v>
      </c>
      <c r="G1358" s="115">
        <v>0</v>
      </c>
      <c r="H1358" s="115">
        <v>0</v>
      </c>
      <c r="I1358" s="115">
        <v>0</v>
      </c>
      <c r="J1358" s="115">
        <v>0</v>
      </c>
      <c r="K1358" s="115">
        <v>0</v>
      </c>
    </row>
    <row r="1359" spans="1:11" x14ac:dyDescent="0.25">
      <c r="B1359" s="115" t="s">
        <v>1241</v>
      </c>
      <c r="D1359" s="115" t="s">
        <v>8710</v>
      </c>
      <c r="E1359" s="115" t="s">
        <v>1242</v>
      </c>
      <c r="F1359" s="115">
        <v>0</v>
      </c>
      <c r="G1359" s="115">
        <v>0</v>
      </c>
      <c r="H1359" s="115">
        <v>0</v>
      </c>
      <c r="I1359" s="115">
        <v>0</v>
      </c>
      <c r="J1359" s="115">
        <v>0</v>
      </c>
      <c r="K1359" s="115">
        <v>0</v>
      </c>
    </row>
    <row r="1360" spans="1:11" x14ac:dyDescent="0.25">
      <c r="B1360" s="115" t="s">
        <v>1241</v>
      </c>
      <c r="D1360" s="115" t="s">
        <v>8710</v>
      </c>
      <c r="E1360" s="115" t="s">
        <v>1242</v>
      </c>
      <c r="F1360" s="115">
        <v>0</v>
      </c>
      <c r="G1360" s="115">
        <v>0</v>
      </c>
      <c r="H1360" s="115">
        <v>0</v>
      </c>
      <c r="I1360" s="115">
        <v>0</v>
      </c>
      <c r="J1360" s="115">
        <v>0</v>
      </c>
      <c r="K1360" s="115">
        <v>0</v>
      </c>
    </row>
    <row r="1361" spans="2:11" x14ac:dyDescent="0.25">
      <c r="B1361" s="115" t="s">
        <v>1241</v>
      </c>
      <c r="D1361" s="115" t="s">
        <v>8710</v>
      </c>
      <c r="E1361" s="115" t="s">
        <v>1242</v>
      </c>
      <c r="F1361" s="115">
        <v>0</v>
      </c>
      <c r="G1361" s="115">
        <v>0</v>
      </c>
      <c r="H1361" s="115">
        <v>0</v>
      </c>
      <c r="I1361" s="115">
        <v>0</v>
      </c>
      <c r="J1361" s="115">
        <v>0</v>
      </c>
      <c r="K1361" s="115">
        <v>0</v>
      </c>
    </row>
    <row r="1362" spans="2:11" x14ac:dyDescent="0.25">
      <c r="B1362" s="115" t="s">
        <v>1241</v>
      </c>
      <c r="D1362" s="115" t="s">
        <v>8710</v>
      </c>
      <c r="E1362" s="115" t="s">
        <v>1242</v>
      </c>
      <c r="F1362" s="115">
        <v>0</v>
      </c>
      <c r="G1362" s="115">
        <v>0</v>
      </c>
      <c r="H1362" s="115">
        <v>0</v>
      </c>
      <c r="I1362" s="115">
        <v>0</v>
      </c>
      <c r="J1362" s="115">
        <v>0</v>
      </c>
      <c r="K1362" s="115">
        <v>0</v>
      </c>
    </row>
    <row r="1363" spans="2:11" x14ac:dyDescent="0.25">
      <c r="B1363" s="115" t="s">
        <v>1241</v>
      </c>
      <c r="D1363" s="115" t="s">
        <v>8710</v>
      </c>
      <c r="E1363" s="115" t="s">
        <v>1242</v>
      </c>
      <c r="F1363" s="115">
        <v>0</v>
      </c>
      <c r="G1363" s="115">
        <v>0</v>
      </c>
      <c r="H1363" s="115">
        <v>0</v>
      </c>
      <c r="I1363" s="115">
        <v>0</v>
      </c>
      <c r="J1363" s="115">
        <v>0</v>
      </c>
      <c r="K1363" s="115">
        <v>0</v>
      </c>
    </row>
    <row r="1364" spans="2:11" x14ac:dyDescent="0.25">
      <c r="B1364" s="115" t="s">
        <v>1241</v>
      </c>
      <c r="D1364" s="115" t="s">
        <v>8710</v>
      </c>
      <c r="E1364" s="115" t="s">
        <v>1242</v>
      </c>
      <c r="F1364" s="115">
        <v>0</v>
      </c>
      <c r="G1364" s="115">
        <v>0</v>
      </c>
      <c r="H1364" s="115">
        <v>0</v>
      </c>
      <c r="I1364" s="115">
        <v>0</v>
      </c>
      <c r="J1364" s="115">
        <v>0</v>
      </c>
      <c r="K1364" s="115">
        <v>0</v>
      </c>
    </row>
    <row r="1365" spans="2:11" x14ac:dyDescent="0.25">
      <c r="B1365" s="115" t="s">
        <v>1241</v>
      </c>
      <c r="D1365" s="115" t="s">
        <v>8710</v>
      </c>
      <c r="E1365" s="115" t="s">
        <v>1242</v>
      </c>
      <c r="F1365" s="115">
        <v>0</v>
      </c>
      <c r="G1365" s="115">
        <v>0</v>
      </c>
      <c r="H1365" s="115">
        <v>0</v>
      </c>
      <c r="I1365" s="115">
        <v>0</v>
      </c>
      <c r="J1365" s="115">
        <v>0</v>
      </c>
      <c r="K1365" s="115">
        <v>0</v>
      </c>
    </row>
    <row r="1366" spans="2:11" x14ac:dyDescent="0.25">
      <c r="B1366" s="115" t="s">
        <v>1241</v>
      </c>
      <c r="D1366" s="115" t="s">
        <v>8710</v>
      </c>
      <c r="E1366" s="115" t="s">
        <v>1242</v>
      </c>
      <c r="F1366" s="115">
        <v>0</v>
      </c>
      <c r="G1366" s="115">
        <v>0</v>
      </c>
      <c r="H1366" s="115">
        <v>0</v>
      </c>
      <c r="I1366" s="115">
        <v>0</v>
      </c>
      <c r="J1366" s="115">
        <v>0</v>
      </c>
      <c r="K1366" s="115">
        <v>0</v>
      </c>
    </row>
    <row r="1367" spans="2:11" x14ac:dyDescent="0.25">
      <c r="B1367" s="115" t="s">
        <v>1241</v>
      </c>
      <c r="D1367" s="115" t="s">
        <v>8710</v>
      </c>
      <c r="E1367" s="115" t="s">
        <v>1242</v>
      </c>
      <c r="F1367" s="115">
        <v>0</v>
      </c>
      <c r="G1367" s="115">
        <v>0</v>
      </c>
      <c r="H1367" s="115">
        <v>0</v>
      </c>
      <c r="I1367" s="115">
        <v>0</v>
      </c>
      <c r="J1367" s="115">
        <v>0</v>
      </c>
      <c r="K1367" s="115">
        <v>0</v>
      </c>
    </row>
    <row r="1368" spans="2:11" x14ac:dyDescent="0.25">
      <c r="B1368" s="115" t="s">
        <v>1241</v>
      </c>
      <c r="D1368" s="115" t="s">
        <v>8710</v>
      </c>
      <c r="E1368" s="115" t="s">
        <v>1242</v>
      </c>
      <c r="F1368" s="115">
        <v>0</v>
      </c>
      <c r="G1368" s="115">
        <v>0</v>
      </c>
      <c r="H1368" s="115">
        <v>0</v>
      </c>
      <c r="I1368" s="115">
        <v>0</v>
      </c>
      <c r="J1368" s="115">
        <v>0</v>
      </c>
      <c r="K1368" s="115">
        <v>0</v>
      </c>
    </row>
    <row r="1369" spans="2:11" x14ac:dyDescent="0.25">
      <c r="B1369" s="115" t="s">
        <v>1241</v>
      </c>
      <c r="D1369" s="115" t="s">
        <v>8710</v>
      </c>
      <c r="E1369" s="115" t="s">
        <v>1242</v>
      </c>
      <c r="F1369" s="115">
        <v>0</v>
      </c>
      <c r="G1369" s="115">
        <v>0</v>
      </c>
      <c r="H1369" s="115">
        <v>0</v>
      </c>
      <c r="I1369" s="115">
        <v>0</v>
      </c>
      <c r="J1369" s="115">
        <v>0</v>
      </c>
      <c r="K1369" s="115">
        <v>0</v>
      </c>
    </row>
    <row r="1370" spans="2:11" x14ac:dyDescent="0.25">
      <c r="B1370" s="115" t="s">
        <v>1241</v>
      </c>
      <c r="D1370" s="115" t="s">
        <v>8710</v>
      </c>
      <c r="E1370" s="115" t="s">
        <v>1242</v>
      </c>
      <c r="F1370" s="115">
        <v>0</v>
      </c>
      <c r="G1370" s="115">
        <v>0</v>
      </c>
      <c r="H1370" s="115">
        <v>0</v>
      </c>
      <c r="I1370" s="115">
        <v>0</v>
      </c>
      <c r="J1370" s="115">
        <v>0</v>
      </c>
      <c r="K1370" s="115">
        <v>0</v>
      </c>
    </row>
    <row r="1371" spans="2:11" x14ac:dyDescent="0.25">
      <c r="B1371" s="115" t="s">
        <v>1241</v>
      </c>
      <c r="D1371" s="115" t="s">
        <v>8710</v>
      </c>
      <c r="E1371" s="115" t="s">
        <v>1242</v>
      </c>
      <c r="F1371" s="115">
        <v>0</v>
      </c>
      <c r="G1371" s="115">
        <v>0</v>
      </c>
      <c r="H1371" s="115">
        <v>0</v>
      </c>
      <c r="I1371" s="115">
        <v>0</v>
      </c>
      <c r="J1371" s="115">
        <v>0</v>
      </c>
      <c r="K1371" s="115">
        <v>0</v>
      </c>
    </row>
    <row r="1372" spans="2:11" x14ac:dyDescent="0.25">
      <c r="B1372" s="115" t="s">
        <v>1241</v>
      </c>
      <c r="D1372" s="115" t="s">
        <v>8710</v>
      </c>
      <c r="E1372" s="115" t="s">
        <v>1242</v>
      </c>
      <c r="F1372" s="115">
        <v>0</v>
      </c>
      <c r="G1372" s="115">
        <v>0</v>
      </c>
      <c r="H1372" s="115">
        <v>0</v>
      </c>
      <c r="I1372" s="115">
        <v>0</v>
      </c>
      <c r="J1372" s="115">
        <v>0</v>
      </c>
      <c r="K1372" s="115">
        <v>0</v>
      </c>
    </row>
    <row r="1373" spans="2:11" x14ac:dyDescent="0.25">
      <c r="B1373" s="115" t="s">
        <v>1241</v>
      </c>
      <c r="D1373" s="115" t="s">
        <v>8710</v>
      </c>
      <c r="E1373" s="115" t="s">
        <v>1242</v>
      </c>
      <c r="F1373" s="115">
        <v>0</v>
      </c>
      <c r="G1373" s="115">
        <v>0</v>
      </c>
      <c r="H1373" s="115">
        <v>0</v>
      </c>
      <c r="I1373" s="115">
        <v>0</v>
      </c>
      <c r="J1373" s="115">
        <v>0</v>
      </c>
      <c r="K1373" s="115">
        <v>0</v>
      </c>
    </row>
    <row r="1374" spans="2:11" x14ac:dyDescent="0.25">
      <c r="B1374" s="115" t="s">
        <v>1241</v>
      </c>
      <c r="D1374" s="115" t="s">
        <v>8710</v>
      </c>
      <c r="E1374" s="115" t="s">
        <v>1242</v>
      </c>
      <c r="F1374" s="115">
        <v>0</v>
      </c>
      <c r="G1374" s="115">
        <v>0</v>
      </c>
      <c r="H1374" s="115">
        <v>0</v>
      </c>
      <c r="I1374" s="115">
        <v>0</v>
      </c>
      <c r="J1374" s="115">
        <v>0</v>
      </c>
      <c r="K1374" s="115">
        <v>0</v>
      </c>
    </row>
    <row r="1375" spans="2:11" x14ac:dyDescent="0.25">
      <c r="B1375" s="115" t="s">
        <v>1241</v>
      </c>
      <c r="D1375" s="115" t="s">
        <v>8710</v>
      </c>
      <c r="E1375" s="115" t="s">
        <v>1242</v>
      </c>
      <c r="F1375" s="115">
        <v>0</v>
      </c>
      <c r="G1375" s="115">
        <v>0</v>
      </c>
      <c r="H1375" s="115">
        <v>0</v>
      </c>
      <c r="I1375" s="115">
        <v>0</v>
      </c>
      <c r="J1375" s="115">
        <v>0</v>
      </c>
      <c r="K1375" s="115">
        <v>0</v>
      </c>
    </row>
    <row r="1376" spans="2:11" x14ac:dyDescent="0.25">
      <c r="B1376" s="115" t="s">
        <v>1241</v>
      </c>
      <c r="D1376" s="115" t="s">
        <v>8710</v>
      </c>
      <c r="E1376" s="115" t="s">
        <v>1242</v>
      </c>
      <c r="F1376" s="115">
        <v>0</v>
      </c>
      <c r="G1376" s="115">
        <v>0</v>
      </c>
      <c r="H1376" s="115">
        <v>0</v>
      </c>
      <c r="I1376" s="115">
        <v>0</v>
      </c>
      <c r="J1376" s="115">
        <v>0</v>
      </c>
      <c r="K1376" s="115">
        <v>0</v>
      </c>
    </row>
    <row r="1377" spans="1:11" x14ac:dyDescent="0.25">
      <c r="B1377" s="115" t="s">
        <v>1241</v>
      </c>
      <c r="D1377" s="115" t="s">
        <v>8710</v>
      </c>
      <c r="E1377" s="115" t="s">
        <v>1242</v>
      </c>
      <c r="F1377" s="115">
        <v>0</v>
      </c>
      <c r="G1377" s="115">
        <v>0</v>
      </c>
      <c r="H1377" s="115">
        <v>0</v>
      </c>
      <c r="I1377" s="115">
        <v>0</v>
      </c>
      <c r="J1377" s="115">
        <v>0</v>
      </c>
      <c r="K1377" s="115">
        <v>0</v>
      </c>
    </row>
    <row r="1378" spans="1:11" x14ac:dyDescent="0.25">
      <c r="B1378" s="115" t="s">
        <v>1241</v>
      </c>
      <c r="D1378" s="115" t="s">
        <v>8710</v>
      </c>
      <c r="E1378" s="115" t="s">
        <v>1242</v>
      </c>
      <c r="F1378" s="115">
        <v>0</v>
      </c>
      <c r="G1378" s="115">
        <v>0</v>
      </c>
      <c r="H1378" s="115">
        <v>0</v>
      </c>
      <c r="I1378" s="115">
        <v>0</v>
      </c>
      <c r="J1378" s="115">
        <v>0</v>
      </c>
      <c r="K1378" s="115">
        <v>0</v>
      </c>
    </row>
    <row r="1379" spans="1:11" x14ac:dyDescent="0.25">
      <c r="B1379" s="115" t="s">
        <v>1241</v>
      </c>
      <c r="D1379" s="115" t="s">
        <v>8710</v>
      </c>
      <c r="E1379" s="115" t="s">
        <v>1242</v>
      </c>
      <c r="F1379" s="115">
        <v>0</v>
      </c>
      <c r="G1379" s="115">
        <v>0</v>
      </c>
      <c r="H1379" s="115">
        <v>0</v>
      </c>
      <c r="I1379" s="115">
        <v>0</v>
      </c>
      <c r="J1379" s="115">
        <v>0</v>
      </c>
      <c r="K1379" s="115">
        <v>0</v>
      </c>
    </row>
    <row r="1380" spans="1:11" x14ac:dyDescent="0.25">
      <c r="B1380" s="115" t="s">
        <v>1241</v>
      </c>
      <c r="D1380" s="115" t="s">
        <v>8710</v>
      </c>
      <c r="E1380" s="115" t="s">
        <v>1242</v>
      </c>
      <c r="F1380" s="115">
        <v>0</v>
      </c>
      <c r="G1380" s="115">
        <v>0</v>
      </c>
      <c r="H1380" s="115">
        <v>0</v>
      </c>
      <c r="I1380" s="115">
        <v>0</v>
      </c>
      <c r="J1380" s="115">
        <v>0</v>
      </c>
      <c r="K1380" s="115">
        <v>0</v>
      </c>
    </row>
    <row r="1381" spans="1:11" x14ac:dyDescent="0.25">
      <c r="B1381" s="115" t="s">
        <v>1241</v>
      </c>
      <c r="D1381" s="115" t="s">
        <v>8710</v>
      </c>
      <c r="E1381" s="115" t="s">
        <v>1242</v>
      </c>
      <c r="F1381" s="115">
        <v>0</v>
      </c>
      <c r="G1381" s="115">
        <v>0</v>
      </c>
      <c r="H1381" s="115">
        <v>0</v>
      </c>
      <c r="I1381" s="115">
        <v>0</v>
      </c>
      <c r="J1381" s="115">
        <v>0</v>
      </c>
      <c r="K1381" s="115">
        <v>0</v>
      </c>
    </row>
    <row r="1382" spans="1:11" x14ac:dyDescent="0.25">
      <c r="B1382" s="115" t="s">
        <v>1241</v>
      </c>
      <c r="D1382" s="115" t="s">
        <v>8710</v>
      </c>
      <c r="E1382" s="115" t="s">
        <v>1242</v>
      </c>
      <c r="F1382" s="115">
        <v>0</v>
      </c>
      <c r="G1382" s="115">
        <v>0</v>
      </c>
      <c r="H1382" s="115">
        <v>0</v>
      </c>
      <c r="I1382" s="115">
        <v>0</v>
      </c>
      <c r="J1382" s="115">
        <v>0</v>
      </c>
      <c r="K1382" s="115">
        <v>0</v>
      </c>
    </row>
    <row r="1383" spans="1:11" x14ac:dyDescent="0.25">
      <c r="A1383" s="115">
        <v>-1</v>
      </c>
      <c r="B1383" s="115" t="s">
        <v>2137</v>
      </c>
      <c r="D1383" s="115" t="s">
        <v>9292</v>
      </c>
      <c r="E1383" s="115" t="s">
        <v>2138</v>
      </c>
      <c r="F1383" s="115">
        <v>540</v>
      </c>
      <c r="G1383" s="115">
        <v>0</v>
      </c>
      <c r="H1383" s="115">
        <v>0</v>
      </c>
      <c r="I1383" s="115">
        <v>129</v>
      </c>
      <c r="J1383" s="115">
        <v>0</v>
      </c>
      <c r="K1383" s="115">
        <v>0</v>
      </c>
    </row>
    <row r="1384" spans="1:11" x14ac:dyDescent="0.25">
      <c r="B1384" s="115" t="s">
        <v>2139</v>
      </c>
      <c r="D1384" s="115" t="s">
        <v>9293</v>
      </c>
      <c r="E1384" s="115" t="s">
        <v>2140</v>
      </c>
      <c r="F1384" s="115">
        <v>0</v>
      </c>
      <c r="G1384" s="115">
        <v>0</v>
      </c>
      <c r="H1384" s="115">
        <v>0</v>
      </c>
      <c r="I1384" s="115">
        <v>0</v>
      </c>
      <c r="J1384" s="115">
        <v>0</v>
      </c>
      <c r="K1384" s="115">
        <v>59</v>
      </c>
    </row>
    <row r="1385" spans="1:11" x14ac:dyDescent="0.25">
      <c r="B1385" s="115" t="s">
        <v>1241</v>
      </c>
      <c r="D1385" s="115" t="s">
        <v>9294</v>
      </c>
      <c r="E1385" s="115" t="s">
        <v>2141</v>
      </c>
      <c r="F1385" s="115">
        <v>115</v>
      </c>
      <c r="G1385" s="115">
        <v>0</v>
      </c>
      <c r="H1385" s="115">
        <v>-112</v>
      </c>
      <c r="I1385" s="115">
        <v>584</v>
      </c>
      <c r="J1385" s="115">
        <v>189</v>
      </c>
      <c r="K1385" s="115">
        <v>0</v>
      </c>
    </row>
    <row r="1386" spans="1:11" x14ac:dyDescent="0.25">
      <c r="A1386" s="115" t="s">
        <v>1239</v>
      </c>
      <c r="B1386" s="115" t="s">
        <v>2142</v>
      </c>
      <c r="D1386" s="115" t="s">
        <v>9295</v>
      </c>
      <c r="E1386" s="115" t="s">
        <v>2143</v>
      </c>
      <c r="F1386" s="115">
        <v>0</v>
      </c>
      <c r="G1386" s="115">
        <v>638</v>
      </c>
      <c r="H1386" s="115">
        <v>0</v>
      </c>
      <c r="I1386" s="115">
        <v>-302</v>
      </c>
      <c r="J1386" s="115">
        <v>0</v>
      </c>
      <c r="K1386" s="115">
        <v>0</v>
      </c>
    </row>
    <row r="1387" spans="1:11" x14ac:dyDescent="0.25">
      <c r="B1387" s="115" t="s">
        <v>1241</v>
      </c>
      <c r="D1387" s="115" t="s">
        <v>9296</v>
      </c>
      <c r="E1387" s="115" t="s">
        <v>2144</v>
      </c>
      <c r="F1387" s="115">
        <v>0</v>
      </c>
      <c r="G1387" s="115">
        <v>0</v>
      </c>
      <c r="H1387" s="115">
        <v>0</v>
      </c>
      <c r="I1387" s="115">
        <v>126</v>
      </c>
      <c r="J1387" s="115">
        <v>0</v>
      </c>
      <c r="K1387" s="115">
        <v>188</v>
      </c>
    </row>
    <row r="1388" spans="1:11" x14ac:dyDescent="0.25">
      <c r="B1388" s="115" t="s">
        <v>1241</v>
      </c>
      <c r="D1388" s="115" t="s">
        <v>9297</v>
      </c>
      <c r="E1388" s="115" t="s">
        <v>2145</v>
      </c>
      <c r="F1388" s="115">
        <v>0</v>
      </c>
      <c r="G1388" s="115">
        <v>148</v>
      </c>
      <c r="H1388" s="115">
        <v>0</v>
      </c>
      <c r="I1388" s="115">
        <v>409</v>
      </c>
      <c r="J1388" s="115">
        <v>-268</v>
      </c>
      <c r="K1388" s="115">
        <v>0</v>
      </c>
    </row>
    <row r="1389" spans="1:11" x14ac:dyDescent="0.25">
      <c r="B1389" s="115" t="s">
        <v>2146</v>
      </c>
      <c r="D1389" s="115" t="s">
        <v>9298</v>
      </c>
      <c r="E1389" s="115" t="s">
        <v>2147</v>
      </c>
      <c r="F1389" s="115">
        <v>-1341</v>
      </c>
      <c r="G1389" s="115">
        <v>0</v>
      </c>
      <c r="H1389" s="115">
        <v>0</v>
      </c>
      <c r="I1389" s="115">
        <v>0</v>
      </c>
      <c r="J1389" s="115">
        <v>0</v>
      </c>
      <c r="K1389" s="115">
        <v>6036</v>
      </c>
    </row>
    <row r="1390" spans="1:11" x14ac:dyDescent="0.25">
      <c r="A1390" s="115">
        <v>-3</v>
      </c>
      <c r="B1390" s="115" t="s">
        <v>2148</v>
      </c>
      <c r="D1390" s="115" t="s">
        <v>9299</v>
      </c>
      <c r="E1390" s="115" t="s">
        <v>2149</v>
      </c>
      <c r="F1390" s="115">
        <v>1669</v>
      </c>
      <c r="G1390" s="115">
        <v>-275</v>
      </c>
      <c r="H1390" s="115">
        <v>0</v>
      </c>
      <c r="I1390" s="115">
        <v>-396</v>
      </c>
      <c r="J1390" s="115">
        <v>-1111</v>
      </c>
      <c r="K1390" s="115">
        <v>-65</v>
      </c>
    </row>
    <row r="1391" spans="1:11" x14ac:dyDescent="0.25">
      <c r="A1391" s="115" t="s">
        <v>1239</v>
      </c>
      <c r="B1391" s="115" t="s">
        <v>2150</v>
      </c>
      <c r="D1391" s="115" t="s">
        <v>9300</v>
      </c>
      <c r="E1391" s="115" t="s">
        <v>2151</v>
      </c>
      <c r="F1391" s="115">
        <v>0</v>
      </c>
      <c r="G1391" s="115">
        <v>0</v>
      </c>
      <c r="H1391" s="115">
        <v>0</v>
      </c>
      <c r="I1391" s="115">
        <v>0</v>
      </c>
      <c r="J1391" s="115">
        <v>0</v>
      </c>
      <c r="K1391" s="115">
        <v>-8517</v>
      </c>
    </row>
    <row r="1392" spans="1:11" x14ac:dyDescent="0.25">
      <c r="B1392" s="115" t="s">
        <v>2152</v>
      </c>
      <c r="C1392" s="115" t="s">
        <v>1239</v>
      </c>
      <c r="D1392" s="115" t="s">
        <v>9301</v>
      </c>
      <c r="E1392" s="115">
        <f>-520   -788   -191   -486   -753</f>
        <v>-2738</v>
      </c>
      <c r="F1392" s="115">
        <v>0</v>
      </c>
      <c r="G1392" s="115">
        <v>-520</v>
      </c>
      <c r="H1392" s="115">
        <v>-788</v>
      </c>
      <c r="I1392" s="115">
        <v>-191</v>
      </c>
      <c r="J1392" s="115">
        <v>-486</v>
      </c>
      <c r="K1392" s="115">
        <v>-753</v>
      </c>
    </row>
    <row r="1393" spans="1:11" x14ac:dyDescent="0.25">
      <c r="B1393" s="115" t="s">
        <v>2153</v>
      </c>
      <c r="C1393" s="115" t="s">
        <v>1239</v>
      </c>
      <c r="D1393" s="115" t="s">
        <v>9302</v>
      </c>
      <c r="E1393" s="115" t="s">
        <v>2154</v>
      </c>
      <c r="F1393" s="115">
        <v>-2353</v>
      </c>
      <c r="G1393" s="115">
        <v>0</v>
      </c>
      <c r="H1393" s="115">
        <v>-244</v>
      </c>
      <c r="I1393" s="115">
        <v>17208</v>
      </c>
      <c r="J1393" s="115">
        <v>0</v>
      </c>
      <c r="K1393" s="115">
        <v>0</v>
      </c>
    </row>
    <row r="1394" spans="1:11" x14ac:dyDescent="0.25">
      <c r="B1394" s="115" t="s">
        <v>2155</v>
      </c>
      <c r="D1394" s="115" t="s">
        <v>9303</v>
      </c>
      <c r="E1394" s="115" t="s">
        <v>2156</v>
      </c>
      <c r="F1394" s="115">
        <v>7</v>
      </c>
      <c r="G1394" s="115">
        <v>-470</v>
      </c>
      <c r="H1394" s="115">
        <v>-340</v>
      </c>
      <c r="I1394" s="115">
        <v>825</v>
      </c>
      <c r="J1394" s="115">
        <v>0</v>
      </c>
      <c r="K1394" s="115">
        <v>0</v>
      </c>
    </row>
    <row r="1395" spans="1:11" x14ac:dyDescent="0.25">
      <c r="B1395" s="115" t="s">
        <v>1241</v>
      </c>
      <c r="D1395" s="115" t="s">
        <v>9304</v>
      </c>
      <c r="E1395" s="115" t="s">
        <v>2157</v>
      </c>
      <c r="F1395" s="115">
        <v>0</v>
      </c>
      <c r="G1395" s="115">
        <v>-1436</v>
      </c>
      <c r="H1395" s="115">
        <v>-1237</v>
      </c>
      <c r="I1395" s="115">
        <v>-868</v>
      </c>
      <c r="J1395" s="115">
        <v>0</v>
      </c>
      <c r="K1395" s="115">
        <v>1043</v>
      </c>
    </row>
    <row r="1396" spans="1:11" x14ac:dyDescent="0.25">
      <c r="A1396" s="115">
        <v>-1</v>
      </c>
      <c r="B1396" s="115" t="s">
        <v>2158</v>
      </c>
      <c r="D1396" s="115" t="s">
        <v>9305</v>
      </c>
      <c r="E1396" s="115" t="s">
        <v>2159</v>
      </c>
      <c r="F1396" s="115">
        <v>4004</v>
      </c>
      <c r="G1396" s="115">
        <v>10778</v>
      </c>
      <c r="H1396" s="115">
        <v>-7449</v>
      </c>
      <c r="I1396" s="115">
        <v>0</v>
      </c>
      <c r="J1396" s="115">
        <v>12370</v>
      </c>
      <c r="K1396" s="115">
        <v>0</v>
      </c>
    </row>
    <row r="1397" spans="1:11" x14ac:dyDescent="0.25">
      <c r="B1397" s="115" t="s">
        <v>2160</v>
      </c>
      <c r="D1397" s="115" t="s">
        <v>9306</v>
      </c>
      <c r="E1397" s="115" t="s">
        <v>2161</v>
      </c>
      <c r="F1397" s="115">
        <v>76</v>
      </c>
      <c r="G1397" s="115">
        <v>66</v>
      </c>
      <c r="H1397" s="115">
        <v>0</v>
      </c>
      <c r="I1397" s="115">
        <v>0</v>
      </c>
      <c r="J1397" s="115">
        <v>-375</v>
      </c>
      <c r="K1397" s="115">
        <v>0</v>
      </c>
    </row>
    <row r="1398" spans="1:11" x14ac:dyDescent="0.25">
      <c r="B1398" s="115" t="s">
        <v>1241</v>
      </c>
      <c r="D1398" s="115" t="s">
        <v>9307</v>
      </c>
      <c r="E1398" s="115" t="s">
        <v>1242</v>
      </c>
      <c r="F1398" s="115">
        <v>0</v>
      </c>
      <c r="G1398" s="115">
        <v>0</v>
      </c>
      <c r="H1398" s="115">
        <v>0</v>
      </c>
      <c r="I1398" s="115">
        <v>0</v>
      </c>
      <c r="J1398" s="115">
        <v>0</v>
      </c>
      <c r="K1398" s="115">
        <v>0</v>
      </c>
    </row>
    <row r="1399" spans="1:11" x14ac:dyDescent="0.25">
      <c r="A1399" s="115" t="s">
        <v>1239</v>
      </c>
      <c r="B1399" s="115" t="s">
        <v>2162</v>
      </c>
      <c r="D1399" s="115" t="s">
        <v>9308</v>
      </c>
      <c r="E1399" s="115" t="s">
        <v>2163</v>
      </c>
      <c r="F1399" s="115">
        <v>0</v>
      </c>
      <c r="G1399" s="115">
        <v>-198</v>
      </c>
      <c r="H1399" s="115">
        <v>0</v>
      </c>
      <c r="I1399" s="115">
        <v>-39</v>
      </c>
      <c r="J1399" s="115">
        <v>-173</v>
      </c>
      <c r="K1399" s="115">
        <v>-12</v>
      </c>
    </row>
    <row r="1400" spans="1:11" x14ac:dyDescent="0.25">
      <c r="B1400" s="115" t="s">
        <v>2164</v>
      </c>
      <c r="D1400" s="115" t="s">
        <v>9309</v>
      </c>
      <c r="E1400" s="115" t="s">
        <v>2165</v>
      </c>
      <c r="F1400" s="115">
        <v>-225</v>
      </c>
      <c r="G1400" s="115">
        <v>-235</v>
      </c>
      <c r="H1400" s="115">
        <v>-393</v>
      </c>
      <c r="I1400" s="115">
        <v>0</v>
      </c>
      <c r="J1400" s="115">
        <v>163</v>
      </c>
      <c r="K1400" s="115">
        <v>0</v>
      </c>
    </row>
    <row r="1401" spans="1:11" x14ac:dyDescent="0.25">
      <c r="B1401" s="115" t="s">
        <v>1241</v>
      </c>
      <c r="D1401" s="115" t="s">
        <v>9310</v>
      </c>
      <c r="E1401" s="115" t="s">
        <v>2166</v>
      </c>
      <c r="F1401" s="115">
        <v>-256</v>
      </c>
      <c r="G1401" s="115">
        <v>0</v>
      </c>
      <c r="H1401" s="115">
        <v>0</v>
      </c>
      <c r="I1401" s="115">
        <v>0</v>
      </c>
      <c r="J1401" s="115">
        <v>-186</v>
      </c>
      <c r="K1401" s="115">
        <v>0</v>
      </c>
    </row>
    <row r="1402" spans="1:11" x14ac:dyDescent="0.25">
      <c r="B1402" s="115" t="s">
        <v>2167</v>
      </c>
      <c r="D1402" s="115" t="s">
        <v>9311</v>
      </c>
      <c r="E1402" s="115" t="s">
        <v>2168</v>
      </c>
      <c r="F1402" s="115">
        <v>0</v>
      </c>
      <c r="G1402" s="115">
        <v>0</v>
      </c>
      <c r="H1402" s="115">
        <v>39</v>
      </c>
      <c r="I1402" s="115">
        <v>0</v>
      </c>
      <c r="J1402" s="115">
        <v>-67</v>
      </c>
      <c r="K1402" s="115">
        <v>96</v>
      </c>
    </row>
    <row r="1403" spans="1:11" x14ac:dyDescent="0.25">
      <c r="B1403" s="115" t="s">
        <v>1241</v>
      </c>
      <c r="D1403" s="115" t="s">
        <v>9312</v>
      </c>
      <c r="E1403" s="115" t="s">
        <v>2169</v>
      </c>
      <c r="F1403" s="115">
        <v>0</v>
      </c>
      <c r="G1403" s="115">
        <v>523</v>
      </c>
      <c r="H1403" s="115">
        <v>0</v>
      </c>
      <c r="I1403" s="115">
        <v>0</v>
      </c>
      <c r="J1403" s="115">
        <v>0</v>
      </c>
      <c r="K1403" s="115">
        <v>0</v>
      </c>
    </row>
    <row r="1404" spans="1:11" x14ac:dyDescent="0.25">
      <c r="B1404" s="115" t="s">
        <v>2170</v>
      </c>
      <c r="D1404" s="115" t="s">
        <v>9313</v>
      </c>
      <c r="E1404" s="115" t="s">
        <v>2171</v>
      </c>
      <c r="F1404" s="115">
        <v>0</v>
      </c>
      <c r="G1404" s="115">
        <v>-6219</v>
      </c>
      <c r="H1404" s="115">
        <v>1383</v>
      </c>
      <c r="I1404" s="115">
        <v>0</v>
      </c>
      <c r="J1404" s="115">
        <v>-93</v>
      </c>
      <c r="K1404" s="115">
        <v>-304</v>
      </c>
    </row>
    <row r="1405" spans="1:11" x14ac:dyDescent="0.25">
      <c r="A1405" s="115" t="s">
        <v>1239</v>
      </c>
      <c r="B1405" s="115" t="s">
        <v>2172</v>
      </c>
      <c r="D1405" s="115" t="s">
        <v>9314</v>
      </c>
      <c r="E1405" s="115" t="s">
        <v>1242</v>
      </c>
      <c r="F1405" s="115">
        <v>-268</v>
      </c>
      <c r="G1405" s="115">
        <v>0</v>
      </c>
      <c r="H1405" s="115">
        <v>0</v>
      </c>
      <c r="I1405" s="115">
        <v>0</v>
      </c>
      <c r="J1405" s="115">
        <v>0</v>
      </c>
      <c r="K1405" s="115">
        <v>0</v>
      </c>
    </row>
    <row r="1406" spans="1:11" x14ac:dyDescent="0.25">
      <c r="B1406" s="115" t="s">
        <v>1908</v>
      </c>
      <c r="D1406" s="115" t="s">
        <v>9315</v>
      </c>
      <c r="E1406" s="115" t="s">
        <v>2173</v>
      </c>
      <c r="F1406" s="115">
        <v>-1830</v>
      </c>
      <c r="G1406" s="115">
        <v>0</v>
      </c>
      <c r="H1406" s="115">
        <v>-870</v>
      </c>
      <c r="I1406" s="115">
        <v>-87</v>
      </c>
      <c r="J1406" s="115">
        <v>2</v>
      </c>
      <c r="K1406" s="115">
        <v>653</v>
      </c>
    </row>
    <row r="1407" spans="1:11" x14ac:dyDescent="0.25">
      <c r="B1407" s="115" t="s">
        <v>2174</v>
      </c>
      <c r="D1407" s="115" t="s">
        <v>9316</v>
      </c>
      <c r="E1407" s="115" t="s">
        <v>2175</v>
      </c>
      <c r="F1407" s="115">
        <v>742</v>
      </c>
      <c r="G1407" s="115">
        <v>-7</v>
      </c>
      <c r="H1407" s="115">
        <v>0</v>
      </c>
      <c r="I1407" s="115">
        <v>1059</v>
      </c>
      <c r="J1407" s="115">
        <v>-497</v>
      </c>
      <c r="K1407" s="115">
        <v>0</v>
      </c>
    </row>
    <row r="1408" spans="1:11" x14ac:dyDescent="0.25">
      <c r="B1408" s="115" t="s">
        <v>1241</v>
      </c>
      <c r="D1408" s="115" t="s">
        <v>9317</v>
      </c>
      <c r="E1408" s="115" t="s">
        <v>2176</v>
      </c>
      <c r="F1408" s="115">
        <v>0</v>
      </c>
      <c r="G1408" s="115">
        <v>412</v>
      </c>
      <c r="H1408" s="115">
        <v>206</v>
      </c>
      <c r="I1408" s="115">
        <v>158</v>
      </c>
      <c r="J1408" s="115">
        <v>333</v>
      </c>
      <c r="K1408" s="115">
        <v>0</v>
      </c>
    </row>
    <row r="1409" spans="1:11" x14ac:dyDescent="0.25">
      <c r="B1409" s="115" t="s">
        <v>1241</v>
      </c>
      <c r="D1409" s="115" t="s">
        <v>9318</v>
      </c>
      <c r="E1409" s="115" t="s">
        <v>2177</v>
      </c>
      <c r="F1409" s="115">
        <v>895</v>
      </c>
      <c r="G1409" s="115">
        <v>0</v>
      </c>
      <c r="H1409" s="115">
        <v>-94</v>
      </c>
      <c r="I1409" s="115">
        <v>-259</v>
      </c>
      <c r="J1409" s="115">
        <v>161</v>
      </c>
      <c r="K1409" s="115">
        <v>0</v>
      </c>
    </row>
    <row r="1410" spans="1:11" x14ac:dyDescent="0.25">
      <c r="A1410" s="115">
        <v>-3</v>
      </c>
      <c r="B1410" s="115" t="s">
        <v>2178</v>
      </c>
      <c r="D1410" s="115" t="s">
        <v>9319</v>
      </c>
      <c r="E1410" s="115" t="s">
        <v>2179</v>
      </c>
      <c r="F1410" s="115">
        <v>2812</v>
      </c>
      <c r="G1410" s="115">
        <v>-2132</v>
      </c>
      <c r="H1410" s="115">
        <v>1244</v>
      </c>
      <c r="I1410" s="115">
        <v>2831</v>
      </c>
      <c r="J1410" s="115">
        <v>0</v>
      </c>
      <c r="K1410" s="115">
        <v>-18905</v>
      </c>
    </row>
    <row r="1411" spans="1:11" x14ac:dyDescent="0.25">
      <c r="B1411" s="115" t="s">
        <v>1241</v>
      </c>
      <c r="C1411" s="115">
        <v>-1</v>
      </c>
      <c r="D1411" s="115" t="s">
        <v>9320</v>
      </c>
      <c r="E1411" s="115" t="s">
        <v>1242</v>
      </c>
      <c r="F1411" s="115">
        <v>0</v>
      </c>
      <c r="G1411" s="115">
        <v>0</v>
      </c>
      <c r="H1411" s="115">
        <v>0</v>
      </c>
      <c r="I1411" s="115">
        <v>0</v>
      </c>
      <c r="J1411" s="115">
        <v>0</v>
      </c>
      <c r="K1411" s="115">
        <v>0</v>
      </c>
    </row>
    <row r="1412" spans="1:11" x14ac:dyDescent="0.25">
      <c r="B1412" s="115" t="s">
        <v>1241</v>
      </c>
      <c r="D1412" s="115" t="s">
        <v>8710</v>
      </c>
      <c r="E1412" s="115" t="s">
        <v>1242</v>
      </c>
      <c r="F1412" s="115">
        <v>0</v>
      </c>
      <c r="G1412" s="115">
        <v>0</v>
      </c>
      <c r="H1412" s="115">
        <v>0</v>
      </c>
      <c r="I1412" s="115">
        <v>0</v>
      </c>
      <c r="J1412" s="115">
        <v>0</v>
      </c>
      <c r="K1412" s="115">
        <v>0</v>
      </c>
    </row>
    <row r="1413" spans="1:11" x14ac:dyDescent="0.25">
      <c r="B1413" s="115" t="s">
        <v>1241</v>
      </c>
      <c r="D1413" s="115" t="s">
        <v>8710</v>
      </c>
      <c r="E1413" s="115" t="s">
        <v>1242</v>
      </c>
      <c r="F1413" s="115">
        <v>0</v>
      </c>
      <c r="G1413" s="115">
        <v>0</v>
      </c>
      <c r="H1413" s="115">
        <v>0</v>
      </c>
      <c r="I1413" s="115">
        <v>0</v>
      </c>
      <c r="J1413" s="115">
        <v>0</v>
      </c>
      <c r="K1413" s="115">
        <v>0</v>
      </c>
    </row>
    <row r="1414" spans="1:11" x14ac:dyDescent="0.25">
      <c r="B1414" s="115" t="s">
        <v>1241</v>
      </c>
      <c r="D1414" s="115" t="s">
        <v>8710</v>
      </c>
      <c r="E1414" s="115" t="s">
        <v>1242</v>
      </c>
      <c r="F1414" s="115">
        <v>0</v>
      </c>
      <c r="G1414" s="115">
        <v>0</v>
      </c>
      <c r="H1414" s="115">
        <v>0</v>
      </c>
      <c r="I1414" s="115">
        <v>0</v>
      </c>
      <c r="J1414" s="115">
        <v>0</v>
      </c>
      <c r="K1414" s="115">
        <v>0</v>
      </c>
    </row>
    <row r="1415" spans="1:11" x14ac:dyDescent="0.25">
      <c r="B1415" s="115" t="s">
        <v>1241</v>
      </c>
      <c r="D1415" s="115" t="s">
        <v>8710</v>
      </c>
      <c r="E1415" s="115" t="s">
        <v>1242</v>
      </c>
      <c r="F1415" s="115">
        <v>0</v>
      </c>
      <c r="G1415" s="115">
        <v>0</v>
      </c>
      <c r="H1415" s="115">
        <v>0</v>
      </c>
      <c r="I1415" s="115">
        <v>0</v>
      </c>
      <c r="J1415" s="115">
        <v>0</v>
      </c>
      <c r="K1415" s="115">
        <v>0</v>
      </c>
    </row>
    <row r="1416" spans="1:11" x14ac:dyDescent="0.25">
      <c r="B1416" s="115" t="s">
        <v>1241</v>
      </c>
      <c r="D1416" s="115" t="s">
        <v>8710</v>
      </c>
      <c r="E1416" s="115" t="s">
        <v>1242</v>
      </c>
      <c r="F1416" s="115">
        <v>0</v>
      </c>
      <c r="G1416" s="115">
        <v>0</v>
      </c>
      <c r="H1416" s="115">
        <v>0</v>
      </c>
      <c r="I1416" s="115">
        <v>0</v>
      </c>
      <c r="J1416" s="115">
        <v>0</v>
      </c>
      <c r="K1416" s="115">
        <v>0</v>
      </c>
    </row>
    <row r="1417" spans="1:11" x14ac:dyDescent="0.25">
      <c r="B1417" s="115" t="s">
        <v>1241</v>
      </c>
      <c r="D1417" s="115" t="s">
        <v>8710</v>
      </c>
      <c r="E1417" s="115" t="s">
        <v>1242</v>
      </c>
      <c r="F1417" s="115">
        <v>0</v>
      </c>
      <c r="G1417" s="115">
        <v>0</v>
      </c>
      <c r="H1417" s="115">
        <v>0</v>
      </c>
      <c r="I1417" s="115">
        <v>0</v>
      </c>
      <c r="J1417" s="115">
        <v>0</v>
      </c>
      <c r="K1417" s="115">
        <v>0</v>
      </c>
    </row>
    <row r="1418" spans="1:11" x14ac:dyDescent="0.25">
      <c r="B1418" s="115" t="s">
        <v>1241</v>
      </c>
      <c r="D1418" s="115" t="s">
        <v>8710</v>
      </c>
      <c r="E1418" s="115" t="s">
        <v>1242</v>
      </c>
      <c r="F1418" s="115">
        <v>0</v>
      </c>
      <c r="G1418" s="115">
        <v>0</v>
      </c>
      <c r="H1418" s="115">
        <v>0</v>
      </c>
      <c r="I1418" s="115">
        <v>0</v>
      </c>
      <c r="J1418" s="115">
        <v>0</v>
      </c>
      <c r="K1418" s="115">
        <v>0</v>
      </c>
    </row>
    <row r="1419" spans="1:11" x14ac:dyDescent="0.25">
      <c r="B1419" s="115" t="s">
        <v>1241</v>
      </c>
      <c r="D1419" s="115" t="s">
        <v>8710</v>
      </c>
      <c r="E1419" s="115" t="s">
        <v>1242</v>
      </c>
      <c r="F1419" s="115">
        <v>0</v>
      </c>
      <c r="G1419" s="115">
        <v>0</v>
      </c>
      <c r="H1419" s="115">
        <v>0</v>
      </c>
      <c r="I1419" s="115">
        <v>0</v>
      </c>
      <c r="J1419" s="115">
        <v>0</v>
      </c>
      <c r="K1419" s="115">
        <v>0</v>
      </c>
    </row>
    <row r="1420" spans="1:11" x14ac:dyDescent="0.25">
      <c r="B1420" s="115" t="s">
        <v>1241</v>
      </c>
      <c r="D1420" s="115" t="s">
        <v>8710</v>
      </c>
      <c r="E1420" s="115" t="s">
        <v>1242</v>
      </c>
      <c r="F1420" s="115">
        <v>0</v>
      </c>
      <c r="G1420" s="115">
        <v>0</v>
      </c>
      <c r="H1420" s="115">
        <v>0</v>
      </c>
      <c r="I1420" s="115">
        <v>0</v>
      </c>
      <c r="J1420" s="115">
        <v>0</v>
      </c>
      <c r="K1420" s="115">
        <v>0</v>
      </c>
    </row>
    <row r="1421" spans="1:11" x14ac:dyDescent="0.25">
      <c r="B1421" s="115" t="s">
        <v>1241</v>
      </c>
      <c r="D1421" s="115" t="s">
        <v>8710</v>
      </c>
      <c r="E1421" s="115" t="s">
        <v>1242</v>
      </c>
      <c r="F1421" s="115">
        <v>0</v>
      </c>
      <c r="G1421" s="115">
        <v>0</v>
      </c>
      <c r="H1421" s="115">
        <v>0</v>
      </c>
      <c r="I1421" s="115">
        <v>0</v>
      </c>
      <c r="J1421" s="115">
        <v>0</v>
      </c>
      <c r="K1421" s="115">
        <v>0</v>
      </c>
    </row>
    <row r="1422" spans="1:11" x14ac:dyDescent="0.25">
      <c r="B1422" s="115" t="s">
        <v>1241</v>
      </c>
      <c r="D1422" s="115" t="s">
        <v>8710</v>
      </c>
      <c r="E1422" s="115" t="s">
        <v>1242</v>
      </c>
      <c r="F1422" s="115">
        <v>0</v>
      </c>
      <c r="G1422" s="115">
        <v>0</v>
      </c>
      <c r="H1422" s="115">
        <v>0</v>
      </c>
      <c r="I1422" s="115">
        <v>0</v>
      </c>
      <c r="J1422" s="115">
        <v>0</v>
      </c>
      <c r="K1422" s="115">
        <v>0</v>
      </c>
    </row>
    <row r="1423" spans="1:11" x14ac:dyDescent="0.25">
      <c r="B1423" s="115" t="s">
        <v>1241</v>
      </c>
      <c r="D1423" s="115" t="s">
        <v>8710</v>
      </c>
      <c r="E1423" s="115" t="s">
        <v>1242</v>
      </c>
      <c r="F1423" s="115">
        <v>0</v>
      </c>
      <c r="G1423" s="115">
        <v>0</v>
      </c>
      <c r="H1423" s="115">
        <v>0</v>
      </c>
      <c r="I1423" s="115">
        <v>0</v>
      </c>
      <c r="J1423" s="115">
        <v>0</v>
      </c>
      <c r="K1423" s="115">
        <v>0</v>
      </c>
    </row>
    <row r="1424" spans="1:11" x14ac:dyDescent="0.25">
      <c r="B1424" s="115" t="s">
        <v>1241</v>
      </c>
      <c r="D1424" s="115" t="s">
        <v>8710</v>
      </c>
      <c r="E1424" s="115" t="s">
        <v>1242</v>
      </c>
      <c r="F1424" s="115">
        <v>0</v>
      </c>
      <c r="G1424" s="115">
        <v>0</v>
      </c>
      <c r="H1424" s="115">
        <v>0</v>
      </c>
      <c r="I1424" s="115">
        <v>0</v>
      </c>
      <c r="J1424" s="115">
        <v>0</v>
      </c>
      <c r="K1424" s="115">
        <v>0</v>
      </c>
    </row>
    <row r="1425" spans="1:11" x14ac:dyDescent="0.25">
      <c r="B1425" s="115" t="s">
        <v>1241</v>
      </c>
      <c r="D1425" s="115" t="s">
        <v>9321</v>
      </c>
      <c r="E1425" s="115" t="s">
        <v>2180</v>
      </c>
      <c r="F1425" s="115">
        <v>0</v>
      </c>
      <c r="G1425" s="115">
        <v>0</v>
      </c>
      <c r="H1425" s="115">
        <v>-428</v>
      </c>
      <c r="I1425" s="115">
        <v>-327</v>
      </c>
      <c r="J1425" s="115">
        <v>-750</v>
      </c>
      <c r="K1425" s="115">
        <v>-602</v>
      </c>
    </row>
    <row r="1426" spans="1:11" x14ac:dyDescent="0.25">
      <c r="B1426" s="115" t="s">
        <v>2181</v>
      </c>
      <c r="D1426" s="115" t="s">
        <v>9322</v>
      </c>
      <c r="E1426" s="115" t="s">
        <v>2182</v>
      </c>
      <c r="F1426" s="115">
        <v>0</v>
      </c>
      <c r="G1426" s="115">
        <v>0</v>
      </c>
      <c r="H1426" s="115">
        <v>0</v>
      </c>
      <c r="I1426" s="115">
        <v>4667</v>
      </c>
      <c r="J1426" s="115">
        <v>208</v>
      </c>
      <c r="K1426" s="115">
        <v>0</v>
      </c>
    </row>
    <row r="1427" spans="1:11" x14ac:dyDescent="0.25">
      <c r="B1427" s="115" t="s">
        <v>1241</v>
      </c>
      <c r="D1427" s="115" t="s">
        <v>9323</v>
      </c>
      <c r="E1427" s="115" t="s">
        <v>2183</v>
      </c>
      <c r="F1427" s="115">
        <v>0</v>
      </c>
      <c r="G1427" s="115">
        <v>-88</v>
      </c>
      <c r="H1427" s="115">
        <v>0</v>
      </c>
      <c r="I1427" s="115">
        <v>0</v>
      </c>
      <c r="J1427" s="115">
        <v>94</v>
      </c>
      <c r="K1427" s="115">
        <v>0</v>
      </c>
    </row>
    <row r="1428" spans="1:11" x14ac:dyDescent="0.25">
      <c r="B1428" s="115" t="s">
        <v>2184</v>
      </c>
      <c r="D1428" s="115" t="s">
        <v>9324</v>
      </c>
      <c r="E1428" s="115" t="s">
        <v>2185</v>
      </c>
      <c r="F1428" s="115">
        <v>-38</v>
      </c>
      <c r="G1428" s="115">
        <v>0</v>
      </c>
      <c r="H1428" s="115">
        <v>526</v>
      </c>
      <c r="I1428" s="115">
        <v>-15</v>
      </c>
      <c r="J1428" s="115">
        <v>-440</v>
      </c>
      <c r="K1428" s="115">
        <v>-461</v>
      </c>
    </row>
    <row r="1429" spans="1:11" x14ac:dyDescent="0.25">
      <c r="A1429" s="115" t="s">
        <v>1239</v>
      </c>
      <c r="B1429" s="115" t="s">
        <v>2186</v>
      </c>
      <c r="D1429" s="115" t="s">
        <v>9325</v>
      </c>
      <c r="E1429" s="115" t="s">
        <v>2187</v>
      </c>
      <c r="F1429" s="115">
        <v>0</v>
      </c>
      <c r="G1429" s="115">
        <v>0</v>
      </c>
      <c r="H1429" s="115">
        <v>0</v>
      </c>
      <c r="I1429" s="115">
        <v>0</v>
      </c>
      <c r="J1429" s="115">
        <v>0</v>
      </c>
      <c r="K1429" s="115">
        <v>-728</v>
      </c>
    </row>
    <row r="1430" spans="1:11" x14ac:dyDescent="0.25">
      <c r="B1430" s="115" t="s">
        <v>1241</v>
      </c>
      <c r="D1430" s="115" t="s">
        <v>9326</v>
      </c>
      <c r="E1430" s="115" t="s">
        <v>2188</v>
      </c>
      <c r="F1430" s="115">
        <v>0</v>
      </c>
      <c r="G1430" s="115">
        <v>-87</v>
      </c>
      <c r="H1430" s="115">
        <v>0</v>
      </c>
      <c r="I1430" s="115">
        <v>0</v>
      </c>
      <c r="J1430" s="115">
        <v>0</v>
      </c>
      <c r="K1430" s="115">
        <v>0</v>
      </c>
    </row>
    <row r="1431" spans="1:11" x14ac:dyDescent="0.25">
      <c r="B1431" s="115" t="s">
        <v>2189</v>
      </c>
      <c r="D1431" s="115" t="s">
        <v>9327</v>
      </c>
      <c r="E1431" s="115" t="s">
        <v>2190</v>
      </c>
      <c r="F1431" s="115">
        <v>-58</v>
      </c>
      <c r="G1431" s="115">
        <v>0</v>
      </c>
      <c r="H1431" s="115">
        <v>0</v>
      </c>
      <c r="I1431" s="115">
        <v>-660</v>
      </c>
      <c r="J1431" s="115">
        <v>-473</v>
      </c>
      <c r="K1431" s="115">
        <v>0</v>
      </c>
    </row>
    <row r="1432" spans="1:11" x14ac:dyDescent="0.25">
      <c r="A1432" s="115" t="s">
        <v>1239</v>
      </c>
      <c r="B1432" s="115" t="s">
        <v>2181</v>
      </c>
      <c r="D1432" s="115" t="s">
        <v>9328</v>
      </c>
      <c r="E1432" s="115" t="s">
        <v>2191</v>
      </c>
      <c r="F1432" s="115">
        <v>0</v>
      </c>
      <c r="G1432" s="115">
        <v>-217</v>
      </c>
      <c r="H1432" s="115">
        <v>457</v>
      </c>
      <c r="I1432" s="115">
        <v>68</v>
      </c>
      <c r="J1432" s="115">
        <v>0</v>
      </c>
      <c r="K1432" s="115">
        <v>0</v>
      </c>
    </row>
    <row r="1433" spans="1:11" x14ac:dyDescent="0.25">
      <c r="A1433" s="115" t="s">
        <v>1239</v>
      </c>
      <c r="B1433" s="115" t="s">
        <v>2192</v>
      </c>
      <c r="D1433" s="115" t="s">
        <v>9329</v>
      </c>
      <c r="E1433" s="115" t="s">
        <v>2193</v>
      </c>
      <c r="F1433" s="115">
        <v>16</v>
      </c>
      <c r="G1433" s="115">
        <v>345</v>
      </c>
      <c r="H1433" s="115">
        <v>-141</v>
      </c>
      <c r="I1433" s="115">
        <v>138</v>
      </c>
      <c r="J1433" s="115">
        <v>107</v>
      </c>
      <c r="K1433" s="115">
        <v>225</v>
      </c>
    </row>
    <row r="1434" spans="1:11" x14ac:dyDescent="0.25">
      <c r="B1434" s="115" t="s">
        <v>1241</v>
      </c>
      <c r="D1434" s="115" t="s">
        <v>9330</v>
      </c>
      <c r="E1434" s="115" t="s">
        <v>2194</v>
      </c>
      <c r="F1434" s="115">
        <v>0</v>
      </c>
      <c r="G1434" s="115">
        <v>208</v>
      </c>
      <c r="H1434" s="115">
        <v>0</v>
      </c>
      <c r="I1434" s="115">
        <v>391</v>
      </c>
      <c r="J1434" s="115">
        <v>902</v>
      </c>
      <c r="K1434" s="115">
        <v>253</v>
      </c>
    </row>
    <row r="1435" spans="1:11" x14ac:dyDescent="0.25">
      <c r="B1435" s="115" t="s">
        <v>2195</v>
      </c>
      <c r="D1435" s="115" t="s">
        <v>9331</v>
      </c>
      <c r="E1435" s="115" t="s">
        <v>2196</v>
      </c>
      <c r="F1435" s="115">
        <v>1222</v>
      </c>
      <c r="G1435" s="115">
        <v>-464</v>
      </c>
      <c r="H1435" s="115">
        <v>0</v>
      </c>
      <c r="I1435" s="115">
        <v>757</v>
      </c>
      <c r="J1435" s="115">
        <v>989</v>
      </c>
      <c r="K1435" s="115">
        <v>1382</v>
      </c>
    </row>
    <row r="1436" spans="1:11" x14ac:dyDescent="0.25">
      <c r="B1436" s="115" t="s">
        <v>2197</v>
      </c>
      <c r="D1436" s="115" t="s">
        <v>9332</v>
      </c>
      <c r="E1436" s="115" t="s">
        <v>2198</v>
      </c>
      <c r="F1436" s="115">
        <v>0</v>
      </c>
      <c r="G1436" s="115">
        <v>0</v>
      </c>
      <c r="H1436" s="115">
        <v>0</v>
      </c>
      <c r="I1436" s="115">
        <v>1440</v>
      </c>
      <c r="J1436" s="115">
        <v>2331</v>
      </c>
      <c r="K1436" s="115">
        <v>0</v>
      </c>
    </row>
    <row r="1437" spans="1:11" x14ac:dyDescent="0.25">
      <c r="A1437" s="115">
        <v>1</v>
      </c>
      <c r="B1437" s="115" t="s">
        <v>2199</v>
      </c>
      <c r="D1437" s="115" t="s">
        <v>9333</v>
      </c>
      <c r="E1437" s="115" t="s">
        <v>2200</v>
      </c>
      <c r="F1437" s="115">
        <v>0</v>
      </c>
      <c r="G1437" s="115">
        <v>0</v>
      </c>
      <c r="H1437" s="115">
        <v>0</v>
      </c>
      <c r="I1437" s="115">
        <v>0</v>
      </c>
      <c r="J1437" s="115">
        <v>0</v>
      </c>
      <c r="K1437" s="115">
        <v>-203</v>
      </c>
    </row>
    <row r="1438" spans="1:11" x14ac:dyDescent="0.25">
      <c r="B1438" s="115" t="s">
        <v>2201</v>
      </c>
      <c r="D1438" s="115" t="s">
        <v>9334</v>
      </c>
      <c r="E1438" s="115">
        <f>-2058  -1925  -8328 -17777  -7348</f>
        <v>-37436</v>
      </c>
      <c r="F1438" s="115">
        <v>0</v>
      </c>
      <c r="G1438" s="115">
        <v>-2058</v>
      </c>
      <c r="H1438" s="115">
        <v>-1925</v>
      </c>
      <c r="I1438" s="115">
        <v>-8328</v>
      </c>
      <c r="J1438" s="115">
        <v>-17777</v>
      </c>
      <c r="K1438" s="115">
        <v>-7348</v>
      </c>
    </row>
    <row r="1439" spans="1:11" x14ac:dyDescent="0.25">
      <c r="A1439" s="115">
        <v>-7</v>
      </c>
      <c r="B1439" s="115" t="s">
        <v>2202</v>
      </c>
      <c r="D1439" s="115" t="s">
        <v>9335</v>
      </c>
      <c r="E1439" s="115" t="s">
        <v>2203</v>
      </c>
      <c r="F1439" s="115">
        <v>-4270</v>
      </c>
      <c r="G1439" s="115">
        <v>0</v>
      </c>
      <c r="H1439" s="115">
        <v>0</v>
      </c>
      <c r="I1439" s="115">
        <v>122</v>
      </c>
      <c r="J1439" s="115">
        <v>-2199</v>
      </c>
      <c r="K1439" s="115">
        <v>0</v>
      </c>
    </row>
    <row r="1440" spans="1:11" x14ac:dyDescent="0.25">
      <c r="B1440" s="115" t="s">
        <v>1241</v>
      </c>
      <c r="D1440" s="115" t="s">
        <v>8710</v>
      </c>
      <c r="E1440" s="115" t="s">
        <v>1242</v>
      </c>
      <c r="F1440" s="115">
        <v>0</v>
      </c>
      <c r="G1440" s="115">
        <v>0</v>
      </c>
      <c r="H1440" s="115">
        <v>0</v>
      </c>
      <c r="I1440" s="115">
        <v>0</v>
      </c>
      <c r="J1440" s="115">
        <v>0</v>
      </c>
      <c r="K1440" s="115">
        <v>0</v>
      </c>
    </row>
    <row r="1441" spans="2:11" x14ac:dyDescent="0.25">
      <c r="B1441" s="115" t="s">
        <v>1241</v>
      </c>
      <c r="D1441" s="115" t="s">
        <v>8710</v>
      </c>
      <c r="E1441" s="115" t="s">
        <v>1242</v>
      </c>
      <c r="F1441" s="115">
        <v>0</v>
      </c>
      <c r="G1441" s="115">
        <v>0</v>
      </c>
      <c r="H1441" s="115">
        <v>0</v>
      </c>
      <c r="I1441" s="115">
        <v>0</v>
      </c>
      <c r="J1441" s="115">
        <v>0</v>
      </c>
      <c r="K1441" s="115">
        <v>0</v>
      </c>
    </row>
    <row r="1442" spans="2:11" x14ac:dyDescent="0.25">
      <c r="B1442" s="115" t="s">
        <v>1241</v>
      </c>
      <c r="D1442" s="115" t="s">
        <v>8710</v>
      </c>
      <c r="E1442" s="115" t="s">
        <v>1242</v>
      </c>
      <c r="F1442" s="115">
        <v>0</v>
      </c>
      <c r="G1442" s="115">
        <v>0</v>
      </c>
      <c r="H1442" s="115">
        <v>0</v>
      </c>
      <c r="I1442" s="115">
        <v>0</v>
      </c>
      <c r="J1442" s="115">
        <v>0</v>
      </c>
      <c r="K1442" s="115">
        <v>0</v>
      </c>
    </row>
    <row r="1443" spans="2:11" x14ac:dyDescent="0.25">
      <c r="B1443" s="115" t="s">
        <v>1241</v>
      </c>
      <c r="D1443" s="115" t="s">
        <v>8710</v>
      </c>
      <c r="E1443" s="115" t="s">
        <v>1242</v>
      </c>
      <c r="F1443" s="115">
        <v>0</v>
      </c>
      <c r="G1443" s="115">
        <v>0</v>
      </c>
      <c r="H1443" s="115">
        <v>0</v>
      </c>
      <c r="I1443" s="115">
        <v>0</v>
      </c>
      <c r="J1443" s="115">
        <v>0</v>
      </c>
      <c r="K1443" s="115">
        <v>0</v>
      </c>
    </row>
    <row r="1444" spans="2:11" x14ac:dyDescent="0.25">
      <c r="B1444" s="115" t="s">
        <v>1241</v>
      </c>
      <c r="D1444" s="115" t="s">
        <v>8710</v>
      </c>
      <c r="E1444" s="115" t="s">
        <v>1242</v>
      </c>
      <c r="F1444" s="115">
        <v>0</v>
      </c>
      <c r="G1444" s="115">
        <v>0</v>
      </c>
      <c r="H1444" s="115">
        <v>0</v>
      </c>
      <c r="I1444" s="115">
        <v>0</v>
      </c>
      <c r="J1444" s="115">
        <v>0</v>
      </c>
      <c r="K1444" s="115">
        <v>0</v>
      </c>
    </row>
    <row r="1445" spans="2:11" x14ac:dyDescent="0.25">
      <c r="B1445" s="115" t="s">
        <v>1241</v>
      </c>
      <c r="D1445" s="115" t="s">
        <v>8710</v>
      </c>
      <c r="E1445" s="115" t="s">
        <v>1242</v>
      </c>
      <c r="F1445" s="115">
        <v>0</v>
      </c>
      <c r="G1445" s="115">
        <v>0</v>
      </c>
      <c r="H1445" s="115">
        <v>0</v>
      </c>
      <c r="I1445" s="115">
        <v>0</v>
      </c>
      <c r="J1445" s="115">
        <v>0</v>
      </c>
      <c r="K1445" s="115">
        <v>0</v>
      </c>
    </row>
    <row r="1446" spans="2:11" x14ac:dyDescent="0.25">
      <c r="B1446" s="115" t="s">
        <v>1241</v>
      </c>
      <c r="D1446" s="115" t="s">
        <v>8710</v>
      </c>
      <c r="E1446" s="115" t="s">
        <v>1242</v>
      </c>
      <c r="F1446" s="115">
        <v>0</v>
      </c>
      <c r="G1446" s="115">
        <v>0</v>
      </c>
      <c r="H1446" s="115">
        <v>0</v>
      </c>
      <c r="I1446" s="115">
        <v>0</v>
      </c>
      <c r="J1446" s="115">
        <v>0</v>
      </c>
      <c r="K1446" s="115">
        <v>0</v>
      </c>
    </row>
    <row r="1447" spans="2:11" x14ac:dyDescent="0.25">
      <c r="B1447" s="115" t="s">
        <v>1241</v>
      </c>
      <c r="D1447" s="115" t="s">
        <v>8710</v>
      </c>
      <c r="E1447" s="115" t="s">
        <v>1242</v>
      </c>
      <c r="F1447" s="115">
        <v>0</v>
      </c>
      <c r="G1447" s="115">
        <v>0</v>
      </c>
      <c r="H1447" s="115">
        <v>0</v>
      </c>
      <c r="I1447" s="115">
        <v>0</v>
      </c>
      <c r="J1447" s="115">
        <v>0</v>
      </c>
      <c r="K1447" s="115">
        <v>0</v>
      </c>
    </row>
    <row r="1448" spans="2:11" x14ac:dyDescent="0.25">
      <c r="B1448" s="115" t="s">
        <v>1241</v>
      </c>
      <c r="D1448" s="115" t="s">
        <v>8710</v>
      </c>
      <c r="E1448" s="115" t="s">
        <v>1242</v>
      </c>
      <c r="F1448" s="115">
        <v>0</v>
      </c>
      <c r="G1448" s="115">
        <v>0</v>
      </c>
      <c r="H1448" s="115">
        <v>0</v>
      </c>
      <c r="I1448" s="115">
        <v>0</v>
      </c>
      <c r="J1448" s="115">
        <v>0</v>
      </c>
      <c r="K1448" s="115">
        <v>0</v>
      </c>
    </row>
    <row r="1449" spans="2:11" x14ac:dyDescent="0.25">
      <c r="B1449" s="115" t="s">
        <v>1241</v>
      </c>
      <c r="D1449" s="115" t="s">
        <v>8710</v>
      </c>
      <c r="E1449" s="115" t="s">
        <v>1242</v>
      </c>
      <c r="F1449" s="115">
        <v>0</v>
      </c>
      <c r="G1449" s="115">
        <v>0</v>
      </c>
      <c r="H1449" s="115">
        <v>0</v>
      </c>
      <c r="I1449" s="115">
        <v>0</v>
      </c>
      <c r="J1449" s="115">
        <v>0</v>
      </c>
      <c r="K1449" s="115">
        <v>0</v>
      </c>
    </row>
    <row r="1450" spans="2:11" x14ac:dyDescent="0.25">
      <c r="B1450" s="115" t="s">
        <v>1241</v>
      </c>
      <c r="D1450" s="115" t="s">
        <v>8710</v>
      </c>
      <c r="E1450" s="115" t="s">
        <v>1242</v>
      </c>
      <c r="F1450" s="115">
        <v>0</v>
      </c>
      <c r="G1450" s="115">
        <v>0</v>
      </c>
      <c r="H1450" s="115">
        <v>0</v>
      </c>
      <c r="I1450" s="115">
        <v>0</v>
      </c>
      <c r="J1450" s="115">
        <v>0</v>
      </c>
      <c r="K1450" s="115">
        <v>0</v>
      </c>
    </row>
    <row r="1451" spans="2:11" x14ac:dyDescent="0.25">
      <c r="B1451" s="115" t="s">
        <v>1241</v>
      </c>
      <c r="D1451" s="115" t="s">
        <v>8710</v>
      </c>
      <c r="E1451" s="115" t="s">
        <v>1242</v>
      </c>
      <c r="F1451" s="115">
        <v>0</v>
      </c>
      <c r="G1451" s="115">
        <v>0</v>
      </c>
      <c r="H1451" s="115">
        <v>0</v>
      </c>
      <c r="I1451" s="115">
        <v>0</v>
      </c>
      <c r="J1451" s="115">
        <v>0</v>
      </c>
      <c r="K1451" s="115">
        <v>0</v>
      </c>
    </row>
    <row r="1452" spans="2:11" x14ac:dyDescent="0.25">
      <c r="B1452" s="115" t="s">
        <v>1241</v>
      </c>
      <c r="D1452" s="115" t="s">
        <v>8710</v>
      </c>
      <c r="E1452" s="115" t="s">
        <v>1242</v>
      </c>
      <c r="F1452" s="115">
        <v>0</v>
      </c>
      <c r="G1452" s="115">
        <v>0</v>
      </c>
      <c r="H1452" s="115">
        <v>0</v>
      </c>
      <c r="I1452" s="115">
        <v>0</v>
      </c>
      <c r="J1452" s="115">
        <v>0</v>
      </c>
      <c r="K1452" s="115">
        <v>0</v>
      </c>
    </row>
    <row r="1453" spans="2:11" x14ac:dyDescent="0.25">
      <c r="B1453" s="115" t="s">
        <v>1241</v>
      </c>
      <c r="D1453" s="115" t="s">
        <v>8710</v>
      </c>
      <c r="E1453" s="115" t="s">
        <v>1242</v>
      </c>
      <c r="F1453" s="115">
        <v>0</v>
      </c>
      <c r="G1453" s="115">
        <v>0</v>
      </c>
      <c r="H1453" s="115">
        <v>0</v>
      </c>
      <c r="I1453" s="115">
        <v>0</v>
      </c>
      <c r="J1453" s="115">
        <v>0</v>
      </c>
      <c r="K1453" s="115">
        <v>0</v>
      </c>
    </row>
    <row r="1454" spans="2:11" x14ac:dyDescent="0.25">
      <c r="B1454" s="115" t="s">
        <v>1241</v>
      </c>
      <c r="D1454" s="115" t="s">
        <v>8710</v>
      </c>
      <c r="E1454" s="115" t="s">
        <v>1242</v>
      </c>
      <c r="F1454" s="115">
        <v>0</v>
      </c>
      <c r="G1454" s="115">
        <v>0</v>
      </c>
      <c r="H1454" s="115">
        <v>0</v>
      </c>
      <c r="I1454" s="115">
        <v>0</v>
      </c>
      <c r="J1454" s="115">
        <v>0</v>
      </c>
      <c r="K1454" s="115">
        <v>0</v>
      </c>
    </row>
    <row r="1455" spans="2:11" x14ac:dyDescent="0.25">
      <c r="B1455" s="115" t="s">
        <v>1241</v>
      </c>
      <c r="D1455" s="115" t="s">
        <v>8710</v>
      </c>
      <c r="E1455" s="115" t="s">
        <v>1242</v>
      </c>
      <c r="F1455" s="115">
        <v>0</v>
      </c>
      <c r="G1455" s="115">
        <v>0</v>
      </c>
      <c r="H1455" s="115">
        <v>0</v>
      </c>
      <c r="I1455" s="115">
        <v>0</v>
      </c>
      <c r="J1455" s="115">
        <v>0</v>
      </c>
      <c r="K1455" s="115">
        <v>0</v>
      </c>
    </row>
    <row r="1456" spans="2:11" x14ac:dyDescent="0.25">
      <c r="B1456" s="115" t="s">
        <v>1241</v>
      </c>
      <c r="D1456" s="115" t="s">
        <v>8710</v>
      </c>
      <c r="E1456" s="115" t="s">
        <v>1242</v>
      </c>
      <c r="F1456" s="115">
        <v>0</v>
      </c>
      <c r="G1456" s="115">
        <v>0</v>
      </c>
      <c r="H1456" s="115">
        <v>0</v>
      </c>
      <c r="I1456" s="115">
        <v>0</v>
      </c>
      <c r="J1456" s="115">
        <v>0</v>
      </c>
      <c r="K1456" s="115">
        <v>0</v>
      </c>
    </row>
    <row r="1457" spans="2:11" x14ac:dyDescent="0.25">
      <c r="B1457" s="115" t="s">
        <v>1241</v>
      </c>
      <c r="D1457" s="115" t="s">
        <v>8710</v>
      </c>
      <c r="E1457" s="115" t="s">
        <v>1242</v>
      </c>
      <c r="F1457" s="115">
        <v>0</v>
      </c>
      <c r="G1457" s="115">
        <v>0</v>
      </c>
      <c r="H1457" s="115">
        <v>0</v>
      </c>
      <c r="I1457" s="115">
        <v>0</v>
      </c>
      <c r="J1457" s="115">
        <v>0</v>
      </c>
      <c r="K1457" s="115">
        <v>0</v>
      </c>
    </row>
    <row r="1458" spans="2:11" x14ac:dyDescent="0.25">
      <c r="B1458" s="115" t="s">
        <v>1241</v>
      </c>
      <c r="D1458" s="115" t="s">
        <v>8710</v>
      </c>
      <c r="E1458" s="115" t="s">
        <v>1242</v>
      </c>
      <c r="F1458" s="115">
        <v>0</v>
      </c>
      <c r="G1458" s="115">
        <v>0</v>
      </c>
      <c r="H1458" s="115">
        <v>0</v>
      </c>
      <c r="I1458" s="115">
        <v>0</v>
      </c>
      <c r="J1458" s="115">
        <v>0</v>
      </c>
      <c r="K1458" s="115">
        <v>0</v>
      </c>
    </row>
    <row r="1459" spans="2:11" x14ac:dyDescent="0.25">
      <c r="B1459" s="115" t="s">
        <v>1241</v>
      </c>
      <c r="D1459" s="115" t="s">
        <v>8710</v>
      </c>
      <c r="E1459" s="115" t="s">
        <v>1242</v>
      </c>
      <c r="F1459" s="115">
        <v>0</v>
      </c>
      <c r="G1459" s="115">
        <v>0</v>
      </c>
      <c r="H1459" s="115">
        <v>0</v>
      </c>
      <c r="I1459" s="115">
        <v>0</v>
      </c>
      <c r="J1459" s="115">
        <v>0</v>
      </c>
      <c r="K1459" s="115">
        <v>0</v>
      </c>
    </row>
    <row r="1460" spans="2:11" x14ac:dyDescent="0.25">
      <c r="B1460" s="115" t="s">
        <v>1241</v>
      </c>
      <c r="D1460" s="115" t="s">
        <v>8710</v>
      </c>
      <c r="E1460" s="115" t="s">
        <v>1242</v>
      </c>
      <c r="F1460" s="115">
        <v>0</v>
      </c>
      <c r="G1460" s="115">
        <v>0</v>
      </c>
      <c r="H1460" s="115">
        <v>0</v>
      </c>
      <c r="I1460" s="115">
        <v>0</v>
      </c>
      <c r="J1460" s="115">
        <v>0</v>
      </c>
      <c r="K1460" s="115">
        <v>0</v>
      </c>
    </row>
    <row r="1461" spans="2:11" x14ac:dyDescent="0.25">
      <c r="B1461" s="115" t="s">
        <v>1241</v>
      </c>
      <c r="D1461" s="115" t="s">
        <v>8710</v>
      </c>
      <c r="E1461" s="115" t="s">
        <v>1242</v>
      </c>
      <c r="F1461" s="115">
        <v>0</v>
      </c>
      <c r="G1461" s="115">
        <v>0</v>
      </c>
      <c r="H1461" s="115">
        <v>0</v>
      </c>
      <c r="I1461" s="115">
        <v>0</v>
      </c>
      <c r="J1461" s="115">
        <v>0</v>
      </c>
      <c r="K1461" s="115">
        <v>0</v>
      </c>
    </row>
    <row r="1462" spans="2:11" x14ac:dyDescent="0.25">
      <c r="B1462" s="115" t="s">
        <v>1241</v>
      </c>
      <c r="D1462" s="115" t="s">
        <v>8710</v>
      </c>
      <c r="E1462" s="115" t="s">
        <v>1242</v>
      </c>
      <c r="F1462" s="115">
        <v>0</v>
      </c>
      <c r="G1462" s="115">
        <v>0</v>
      </c>
      <c r="H1462" s="115">
        <v>0</v>
      </c>
      <c r="I1462" s="115">
        <v>0</v>
      </c>
      <c r="J1462" s="115">
        <v>0</v>
      </c>
      <c r="K1462" s="115">
        <v>0</v>
      </c>
    </row>
    <row r="1463" spans="2:11" x14ac:dyDescent="0.25">
      <c r="B1463" s="115" t="s">
        <v>1241</v>
      </c>
      <c r="D1463" s="115" t="s">
        <v>8710</v>
      </c>
      <c r="E1463" s="115" t="s">
        <v>1242</v>
      </c>
      <c r="F1463" s="115">
        <v>0</v>
      </c>
      <c r="G1463" s="115">
        <v>0</v>
      </c>
      <c r="H1463" s="115">
        <v>0</v>
      </c>
      <c r="I1463" s="115">
        <v>0</v>
      </c>
      <c r="J1463" s="115">
        <v>0</v>
      </c>
      <c r="K1463" s="115">
        <v>0</v>
      </c>
    </row>
    <row r="1464" spans="2:11" x14ac:dyDescent="0.25">
      <c r="B1464" s="115" t="s">
        <v>1241</v>
      </c>
      <c r="D1464" s="115" t="s">
        <v>8710</v>
      </c>
      <c r="E1464" s="115" t="s">
        <v>1242</v>
      </c>
      <c r="F1464" s="115">
        <v>0</v>
      </c>
      <c r="G1464" s="115">
        <v>0</v>
      </c>
      <c r="H1464" s="115">
        <v>0</v>
      </c>
      <c r="I1464" s="115">
        <v>0</v>
      </c>
      <c r="J1464" s="115">
        <v>0</v>
      </c>
      <c r="K1464" s="115">
        <v>0</v>
      </c>
    </row>
    <row r="1465" spans="2:11" x14ac:dyDescent="0.25">
      <c r="B1465" s="115" t="s">
        <v>1241</v>
      </c>
      <c r="D1465" s="115" t="s">
        <v>8710</v>
      </c>
      <c r="E1465" s="115" t="s">
        <v>1242</v>
      </c>
      <c r="F1465" s="115">
        <v>0</v>
      </c>
      <c r="G1465" s="115">
        <v>0</v>
      </c>
      <c r="H1465" s="115">
        <v>0</v>
      </c>
      <c r="I1465" s="115">
        <v>0</v>
      </c>
      <c r="J1465" s="115">
        <v>0</v>
      </c>
      <c r="K1465" s="115">
        <v>0</v>
      </c>
    </row>
    <row r="1466" spans="2:11" x14ac:dyDescent="0.25">
      <c r="B1466" s="115" t="s">
        <v>1241</v>
      </c>
      <c r="D1466" s="115" t="s">
        <v>8710</v>
      </c>
      <c r="E1466" s="115" t="s">
        <v>1242</v>
      </c>
      <c r="F1466" s="115">
        <v>0</v>
      </c>
      <c r="G1466" s="115">
        <v>0</v>
      </c>
      <c r="H1466" s="115">
        <v>0</v>
      </c>
      <c r="I1466" s="115">
        <v>0</v>
      </c>
      <c r="J1466" s="115">
        <v>0</v>
      </c>
      <c r="K1466" s="115">
        <v>0</v>
      </c>
    </row>
    <row r="1467" spans="2:11" x14ac:dyDescent="0.25">
      <c r="B1467" s="115" t="s">
        <v>1241</v>
      </c>
      <c r="D1467" s="115" t="s">
        <v>8710</v>
      </c>
      <c r="E1467" s="115" t="s">
        <v>1242</v>
      </c>
      <c r="F1467" s="115">
        <v>0</v>
      </c>
      <c r="G1467" s="115">
        <v>0</v>
      </c>
      <c r="H1467" s="115">
        <v>0</v>
      </c>
      <c r="I1467" s="115">
        <v>0</v>
      </c>
      <c r="J1467" s="115">
        <v>0</v>
      </c>
      <c r="K1467" s="115">
        <v>0</v>
      </c>
    </row>
    <row r="1468" spans="2:11" x14ac:dyDescent="0.25">
      <c r="B1468" s="115" t="s">
        <v>1241</v>
      </c>
      <c r="D1468" s="115" t="s">
        <v>8710</v>
      </c>
      <c r="E1468" s="115" t="s">
        <v>1242</v>
      </c>
      <c r="F1468" s="115">
        <v>0</v>
      </c>
      <c r="G1468" s="115">
        <v>0</v>
      </c>
      <c r="H1468" s="115">
        <v>0</v>
      </c>
      <c r="I1468" s="115">
        <v>0</v>
      </c>
      <c r="J1468" s="115">
        <v>0</v>
      </c>
      <c r="K1468" s="115">
        <v>0</v>
      </c>
    </row>
    <row r="1469" spans="2:11" x14ac:dyDescent="0.25">
      <c r="B1469" s="115" t="s">
        <v>1986</v>
      </c>
      <c r="D1469" s="115" t="s">
        <v>9336</v>
      </c>
      <c r="E1469" s="115" t="s">
        <v>2204</v>
      </c>
      <c r="F1469" s="115">
        <v>-65</v>
      </c>
      <c r="G1469" s="115">
        <v>-102</v>
      </c>
      <c r="H1469" s="115">
        <v>0</v>
      </c>
      <c r="I1469" s="115">
        <v>0</v>
      </c>
      <c r="J1469" s="115">
        <v>-160</v>
      </c>
      <c r="K1469" s="115">
        <v>0</v>
      </c>
    </row>
    <row r="1470" spans="2:11" x14ac:dyDescent="0.25">
      <c r="B1470" s="115" t="s">
        <v>1241</v>
      </c>
      <c r="D1470" s="115" t="s">
        <v>9337</v>
      </c>
      <c r="E1470" s="115" t="s">
        <v>1242</v>
      </c>
      <c r="F1470" s="115">
        <v>0</v>
      </c>
      <c r="G1470" s="115">
        <v>0</v>
      </c>
      <c r="H1470" s="115">
        <v>0</v>
      </c>
      <c r="I1470" s="115">
        <v>0</v>
      </c>
      <c r="J1470" s="115">
        <v>0</v>
      </c>
      <c r="K1470" s="115">
        <v>0</v>
      </c>
    </row>
    <row r="1471" spans="2:11" x14ac:dyDescent="0.25">
      <c r="B1471" s="115" t="s">
        <v>2205</v>
      </c>
      <c r="D1471" s="115" t="s">
        <v>9338</v>
      </c>
      <c r="E1471" s="115" t="s">
        <v>2206</v>
      </c>
      <c r="F1471" s="115">
        <v>0</v>
      </c>
      <c r="G1471" s="115">
        <v>181</v>
      </c>
      <c r="H1471" s="115">
        <v>0</v>
      </c>
      <c r="I1471" s="115">
        <v>270</v>
      </c>
      <c r="J1471" s="115">
        <v>-223</v>
      </c>
      <c r="K1471" s="115">
        <v>188</v>
      </c>
    </row>
    <row r="1472" spans="2:11" x14ac:dyDescent="0.25">
      <c r="B1472" s="115" t="s">
        <v>2207</v>
      </c>
      <c r="D1472" s="115" t="s">
        <v>9339</v>
      </c>
      <c r="E1472" s="115" t="s">
        <v>2208</v>
      </c>
      <c r="F1472" s="115">
        <v>-276</v>
      </c>
      <c r="G1472" s="115">
        <v>-354</v>
      </c>
      <c r="H1472" s="115">
        <v>-478</v>
      </c>
      <c r="I1472" s="115">
        <v>0</v>
      </c>
      <c r="J1472" s="115">
        <v>-65</v>
      </c>
      <c r="K1472" s="115">
        <v>0</v>
      </c>
    </row>
    <row r="1473" spans="1:11" x14ac:dyDescent="0.25">
      <c r="B1473" s="115" t="s">
        <v>1241</v>
      </c>
      <c r="D1473" s="115" t="s">
        <v>9340</v>
      </c>
      <c r="E1473" s="115" t="s">
        <v>2209</v>
      </c>
      <c r="F1473" s="115">
        <v>-257</v>
      </c>
      <c r="G1473" s="115">
        <v>0</v>
      </c>
      <c r="H1473" s="115">
        <v>0</v>
      </c>
      <c r="I1473" s="115">
        <v>0</v>
      </c>
      <c r="J1473" s="115">
        <v>-402</v>
      </c>
      <c r="K1473" s="115">
        <v>0</v>
      </c>
    </row>
    <row r="1474" spans="1:11" x14ac:dyDescent="0.25">
      <c r="A1474" s="115" t="s">
        <v>1239</v>
      </c>
      <c r="B1474" s="115" t="s">
        <v>2116</v>
      </c>
      <c r="D1474" s="115" t="s">
        <v>9341</v>
      </c>
      <c r="E1474" s="115" t="s">
        <v>2210</v>
      </c>
      <c r="F1474" s="115">
        <v>0</v>
      </c>
      <c r="G1474" s="115">
        <v>0</v>
      </c>
      <c r="H1474" s="115">
        <v>-471</v>
      </c>
      <c r="I1474" s="115">
        <v>0</v>
      </c>
      <c r="J1474" s="115">
        <v>-104</v>
      </c>
      <c r="K1474" s="115">
        <v>144</v>
      </c>
    </row>
    <row r="1475" spans="1:11" x14ac:dyDescent="0.25">
      <c r="B1475" s="115" t="s">
        <v>1241</v>
      </c>
      <c r="D1475" s="115" t="s">
        <v>9342</v>
      </c>
      <c r="E1475" s="115" t="s">
        <v>2211</v>
      </c>
      <c r="F1475" s="115">
        <v>0</v>
      </c>
      <c r="G1475" s="115">
        <v>150</v>
      </c>
      <c r="H1475" s="115">
        <v>0</v>
      </c>
      <c r="I1475" s="115">
        <v>0</v>
      </c>
      <c r="J1475" s="115">
        <v>0</v>
      </c>
      <c r="K1475" s="115">
        <v>0</v>
      </c>
    </row>
    <row r="1476" spans="1:11" x14ac:dyDescent="0.25">
      <c r="B1476" s="115" t="s">
        <v>2212</v>
      </c>
      <c r="D1476" s="115" t="s">
        <v>9343</v>
      </c>
      <c r="E1476" s="115" t="s">
        <v>2213</v>
      </c>
      <c r="F1476" s="115">
        <v>0</v>
      </c>
      <c r="G1476" s="115">
        <v>-285</v>
      </c>
      <c r="H1476" s="115">
        <v>-17</v>
      </c>
      <c r="I1476" s="115">
        <v>0</v>
      </c>
      <c r="J1476" s="115">
        <v>130</v>
      </c>
      <c r="K1476" s="115">
        <v>-98</v>
      </c>
    </row>
    <row r="1477" spans="1:11" x14ac:dyDescent="0.25">
      <c r="B1477" s="115" t="s">
        <v>2214</v>
      </c>
      <c r="D1477" s="115" t="s">
        <v>9344</v>
      </c>
      <c r="E1477" s="115" t="s">
        <v>1242</v>
      </c>
      <c r="F1477" s="115">
        <v>-176</v>
      </c>
      <c r="G1477" s="115">
        <v>0</v>
      </c>
      <c r="H1477" s="115">
        <v>0</v>
      </c>
      <c r="I1477" s="115">
        <v>0</v>
      </c>
      <c r="J1477" s="115">
        <v>0</v>
      </c>
      <c r="K1477" s="115">
        <v>0</v>
      </c>
    </row>
    <row r="1478" spans="1:11" x14ac:dyDescent="0.25">
      <c r="B1478" s="115" t="s">
        <v>2215</v>
      </c>
      <c r="D1478" s="115" t="s">
        <v>9345</v>
      </c>
      <c r="E1478" s="115" t="s">
        <v>2216</v>
      </c>
      <c r="F1478" s="115">
        <v>79</v>
      </c>
      <c r="G1478" s="115">
        <v>0</v>
      </c>
      <c r="H1478" s="115">
        <v>114</v>
      </c>
      <c r="I1478" s="115">
        <v>-216</v>
      </c>
      <c r="J1478" s="115">
        <v>-62</v>
      </c>
      <c r="K1478" s="115">
        <v>6</v>
      </c>
    </row>
    <row r="1479" spans="1:11" x14ac:dyDescent="0.25">
      <c r="A1479" s="115" t="s">
        <v>1239</v>
      </c>
      <c r="B1479" s="115" t="s">
        <v>2217</v>
      </c>
      <c r="D1479" s="115" t="s">
        <v>9346</v>
      </c>
      <c r="E1479" s="115" t="s">
        <v>2218</v>
      </c>
      <c r="F1479" s="115">
        <v>470</v>
      </c>
      <c r="G1479" s="115">
        <v>21</v>
      </c>
      <c r="H1479" s="115">
        <v>0</v>
      </c>
      <c r="I1479" s="115">
        <v>166</v>
      </c>
      <c r="J1479" s="115">
        <v>-43</v>
      </c>
      <c r="K1479" s="115">
        <v>0</v>
      </c>
    </row>
    <row r="1480" spans="1:11" x14ac:dyDescent="0.25">
      <c r="B1480" s="115" t="s">
        <v>1241</v>
      </c>
      <c r="D1480" s="115" t="s">
        <v>9347</v>
      </c>
      <c r="E1480" s="115" t="s">
        <v>2219</v>
      </c>
      <c r="F1480" s="115">
        <v>0</v>
      </c>
      <c r="G1480" s="115">
        <v>-1140</v>
      </c>
      <c r="H1480" s="115">
        <v>-81</v>
      </c>
      <c r="I1480" s="115">
        <v>451</v>
      </c>
      <c r="J1480" s="115">
        <v>-311</v>
      </c>
      <c r="K1480" s="115">
        <v>0</v>
      </c>
    </row>
    <row r="1481" spans="1:11" x14ac:dyDescent="0.25">
      <c r="B1481" s="115" t="s">
        <v>1241</v>
      </c>
      <c r="D1481" s="115" t="s">
        <v>9348</v>
      </c>
      <c r="E1481" s="115" t="s">
        <v>2220</v>
      </c>
      <c r="F1481" s="115">
        <v>-189</v>
      </c>
      <c r="G1481" s="115">
        <v>0</v>
      </c>
      <c r="H1481" s="115">
        <v>308</v>
      </c>
      <c r="I1481" s="115">
        <v>2</v>
      </c>
      <c r="J1481" s="115">
        <v>532</v>
      </c>
      <c r="K1481" s="115">
        <v>0</v>
      </c>
    </row>
    <row r="1482" spans="1:11" x14ac:dyDescent="0.25">
      <c r="A1482" s="115" t="s">
        <v>1239</v>
      </c>
      <c r="B1482" s="115" t="s">
        <v>2221</v>
      </c>
      <c r="D1482" s="115" t="s">
        <v>9349</v>
      </c>
      <c r="E1482" s="115" t="s">
        <v>2222</v>
      </c>
      <c r="F1482" s="115">
        <v>2203</v>
      </c>
      <c r="G1482" s="115">
        <v>3956</v>
      </c>
      <c r="H1482" s="115">
        <v>4161</v>
      </c>
      <c r="I1482" s="115">
        <v>4333</v>
      </c>
      <c r="J1482" s="115">
        <v>0</v>
      </c>
      <c r="K1482" s="115">
        <v>-1607</v>
      </c>
    </row>
    <row r="1483" spans="1:11" x14ac:dyDescent="0.25">
      <c r="B1483" s="115" t="s">
        <v>1241</v>
      </c>
      <c r="D1483" s="115" t="s">
        <v>9350</v>
      </c>
      <c r="E1483" s="115" t="s">
        <v>2223</v>
      </c>
      <c r="F1483" s="115">
        <v>0</v>
      </c>
      <c r="G1483" s="115">
        <v>9513</v>
      </c>
      <c r="H1483" s="115">
        <v>0</v>
      </c>
      <c r="I1483" s="115">
        <v>0</v>
      </c>
      <c r="J1483" s="115">
        <v>0</v>
      </c>
      <c r="K1483" s="115">
        <v>0</v>
      </c>
    </row>
    <row r="1484" spans="1:11" x14ac:dyDescent="0.25">
      <c r="B1484" s="115" t="s">
        <v>1241</v>
      </c>
      <c r="D1484" s="115" t="s">
        <v>8710</v>
      </c>
      <c r="E1484" s="115" t="s">
        <v>1242</v>
      </c>
      <c r="F1484" s="115">
        <v>0</v>
      </c>
      <c r="G1484" s="115">
        <v>0</v>
      </c>
      <c r="H1484" s="115">
        <v>0</v>
      </c>
      <c r="I1484" s="115">
        <v>0</v>
      </c>
      <c r="J1484" s="115">
        <v>0</v>
      </c>
      <c r="K1484" s="115">
        <v>0</v>
      </c>
    </row>
    <row r="1485" spans="1:11" x14ac:dyDescent="0.25">
      <c r="B1485" s="115" t="s">
        <v>1241</v>
      </c>
      <c r="D1485" s="115" t="s">
        <v>8710</v>
      </c>
      <c r="E1485" s="115" t="s">
        <v>1242</v>
      </c>
      <c r="F1485" s="115">
        <v>0</v>
      </c>
      <c r="G1485" s="115">
        <v>0</v>
      </c>
      <c r="H1485" s="115">
        <v>0</v>
      </c>
      <c r="I1485" s="115">
        <v>0</v>
      </c>
      <c r="J1485" s="115">
        <v>0</v>
      </c>
      <c r="K1485" s="115">
        <v>0</v>
      </c>
    </row>
    <row r="1486" spans="1:11" x14ac:dyDescent="0.25">
      <c r="B1486" s="115" t="s">
        <v>1241</v>
      </c>
      <c r="D1486" s="115" t="s">
        <v>8710</v>
      </c>
      <c r="E1486" s="115" t="s">
        <v>1242</v>
      </c>
      <c r="F1486" s="115">
        <v>0</v>
      </c>
      <c r="G1486" s="115">
        <v>0</v>
      </c>
      <c r="H1486" s="115">
        <v>0</v>
      </c>
      <c r="I1486" s="115">
        <v>0</v>
      </c>
      <c r="J1486" s="115">
        <v>0</v>
      </c>
      <c r="K1486" s="115">
        <v>0</v>
      </c>
    </row>
    <row r="1487" spans="1:11" x14ac:dyDescent="0.25">
      <c r="B1487" s="115" t="s">
        <v>1241</v>
      </c>
      <c r="D1487" s="115" t="s">
        <v>8710</v>
      </c>
      <c r="E1487" s="115" t="s">
        <v>1242</v>
      </c>
      <c r="F1487" s="115">
        <v>0</v>
      </c>
      <c r="G1487" s="115">
        <v>0</v>
      </c>
      <c r="H1487" s="115">
        <v>0</v>
      </c>
      <c r="I1487" s="115">
        <v>0</v>
      </c>
      <c r="J1487" s="115">
        <v>0</v>
      </c>
      <c r="K1487" s="115">
        <v>0</v>
      </c>
    </row>
    <row r="1488" spans="1:11" x14ac:dyDescent="0.25">
      <c r="B1488" s="115" t="s">
        <v>1241</v>
      </c>
      <c r="D1488" s="115" t="s">
        <v>8710</v>
      </c>
      <c r="E1488" s="115" t="s">
        <v>1242</v>
      </c>
      <c r="F1488" s="115">
        <v>0</v>
      </c>
      <c r="G1488" s="115">
        <v>0</v>
      </c>
      <c r="H1488" s="115">
        <v>0</v>
      </c>
      <c r="I1488" s="115">
        <v>0</v>
      </c>
      <c r="J1488" s="115">
        <v>0</v>
      </c>
      <c r="K1488" s="115">
        <v>0</v>
      </c>
    </row>
    <row r="1489" spans="1:11" x14ac:dyDescent="0.25">
      <c r="B1489" s="115" t="s">
        <v>1241</v>
      </c>
      <c r="D1489" s="115" t="s">
        <v>8710</v>
      </c>
      <c r="E1489" s="115" t="s">
        <v>1242</v>
      </c>
      <c r="F1489" s="115">
        <v>0</v>
      </c>
      <c r="G1489" s="115">
        <v>0</v>
      </c>
      <c r="H1489" s="115">
        <v>0</v>
      </c>
      <c r="I1489" s="115">
        <v>0</v>
      </c>
      <c r="J1489" s="115">
        <v>0</v>
      </c>
      <c r="K1489" s="115">
        <v>0</v>
      </c>
    </row>
    <row r="1490" spans="1:11" x14ac:dyDescent="0.25">
      <c r="B1490" s="115" t="s">
        <v>1241</v>
      </c>
      <c r="D1490" s="115" t="s">
        <v>8710</v>
      </c>
      <c r="E1490" s="115" t="s">
        <v>1242</v>
      </c>
      <c r="F1490" s="115">
        <v>0</v>
      </c>
      <c r="G1490" s="115">
        <v>0</v>
      </c>
      <c r="H1490" s="115">
        <v>0</v>
      </c>
      <c r="I1490" s="115">
        <v>0</v>
      </c>
      <c r="J1490" s="115">
        <v>0</v>
      </c>
      <c r="K1490" s="115">
        <v>0</v>
      </c>
    </row>
    <row r="1491" spans="1:11" x14ac:dyDescent="0.25">
      <c r="B1491" s="115" t="s">
        <v>1241</v>
      </c>
      <c r="D1491" s="115" t="s">
        <v>8710</v>
      </c>
      <c r="E1491" s="115" t="s">
        <v>1242</v>
      </c>
      <c r="F1491" s="115">
        <v>0</v>
      </c>
      <c r="G1491" s="115">
        <v>0</v>
      </c>
      <c r="H1491" s="115">
        <v>0</v>
      </c>
      <c r="I1491" s="115">
        <v>0</v>
      </c>
      <c r="J1491" s="115">
        <v>0</v>
      </c>
      <c r="K1491" s="115">
        <v>0</v>
      </c>
    </row>
    <row r="1492" spans="1:11" x14ac:dyDescent="0.25">
      <c r="B1492" s="115" t="s">
        <v>1241</v>
      </c>
      <c r="D1492" s="115" t="s">
        <v>8710</v>
      </c>
      <c r="E1492" s="115" t="s">
        <v>1242</v>
      </c>
      <c r="F1492" s="115">
        <v>0</v>
      </c>
      <c r="G1492" s="115">
        <v>0</v>
      </c>
      <c r="H1492" s="115">
        <v>0</v>
      </c>
      <c r="I1492" s="115">
        <v>0</v>
      </c>
      <c r="J1492" s="115">
        <v>0</v>
      </c>
      <c r="K1492" s="115">
        <v>0</v>
      </c>
    </row>
    <row r="1493" spans="1:11" x14ac:dyDescent="0.25">
      <c r="B1493" s="115" t="s">
        <v>1241</v>
      </c>
      <c r="D1493" s="115" t="s">
        <v>8710</v>
      </c>
      <c r="E1493" s="115" t="s">
        <v>1242</v>
      </c>
      <c r="F1493" s="115">
        <v>0</v>
      </c>
      <c r="G1493" s="115">
        <v>0</v>
      </c>
      <c r="H1493" s="115">
        <v>0</v>
      </c>
      <c r="I1493" s="115">
        <v>0</v>
      </c>
      <c r="J1493" s="115">
        <v>0</v>
      </c>
      <c r="K1493" s="115">
        <v>0</v>
      </c>
    </row>
    <row r="1494" spans="1:11" x14ac:dyDescent="0.25">
      <c r="B1494" s="115" t="s">
        <v>1241</v>
      </c>
      <c r="D1494" s="115" t="s">
        <v>8710</v>
      </c>
      <c r="E1494" s="115" t="s">
        <v>1242</v>
      </c>
      <c r="F1494" s="115">
        <v>0</v>
      </c>
      <c r="G1494" s="115">
        <v>0</v>
      </c>
      <c r="H1494" s="115">
        <v>0</v>
      </c>
      <c r="I1494" s="115">
        <v>0</v>
      </c>
      <c r="J1494" s="115">
        <v>0</v>
      </c>
      <c r="K1494" s="115">
        <v>0</v>
      </c>
    </row>
    <row r="1495" spans="1:11" x14ac:dyDescent="0.25">
      <c r="B1495" s="115" t="s">
        <v>1241</v>
      </c>
      <c r="D1495" s="115" t="s">
        <v>8710</v>
      </c>
      <c r="E1495" s="115" t="s">
        <v>1242</v>
      </c>
      <c r="F1495" s="115">
        <v>0</v>
      </c>
      <c r="G1495" s="115">
        <v>0</v>
      </c>
      <c r="H1495" s="115">
        <v>0</v>
      </c>
      <c r="I1495" s="115">
        <v>0</v>
      </c>
      <c r="J1495" s="115">
        <v>0</v>
      </c>
      <c r="K1495" s="115">
        <v>0</v>
      </c>
    </row>
    <row r="1496" spans="1:11" x14ac:dyDescent="0.25">
      <c r="B1496" s="115" t="s">
        <v>1241</v>
      </c>
      <c r="D1496" s="115" t="s">
        <v>8710</v>
      </c>
      <c r="E1496" s="115" t="s">
        <v>1242</v>
      </c>
      <c r="F1496" s="115">
        <v>0</v>
      </c>
      <c r="G1496" s="115">
        <v>0</v>
      </c>
      <c r="H1496" s="115">
        <v>0</v>
      </c>
      <c r="I1496" s="115">
        <v>0</v>
      </c>
      <c r="J1496" s="115">
        <v>0</v>
      </c>
      <c r="K1496" s="115">
        <v>0</v>
      </c>
    </row>
    <row r="1497" spans="1:11" x14ac:dyDescent="0.25">
      <c r="B1497" s="115" t="s">
        <v>1241</v>
      </c>
      <c r="D1497" s="115" t="s">
        <v>8710</v>
      </c>
      <c r="E1497" s="115" t="s">
        <v>1242</v>
      </c>
      <c r="F1497" s="115">
        <v>0</v>
      </c>
      <c r="G1497" s="115">
        <v>0</v>
      </c>
      <c r="H1497" s="115">
        <v>0</v>
      </c>
      <c r="I1497" s="115">
        <v>0</v>
      </c>
      <c r="J1497" s="115">
        <v>0</v>
      </c>
      <c r="K1497" s="115">
        <v>0</v>
      </c>
    </row>
    <row r="1498" spans="1:11" x14ac:dyDescent="0.25">
      <c r="B1498" s="115" t="s">
        <v>1241</v>
      </c>
      <c r="D1498" s="115" t="s">
        <v>9351</v>
      </c>
      <c r="E1498" s="115" t="s">
        <v>2224</v>
      </c>
      <c r="F1498" s="115">
        <v>0</v>
      </c>
      <c r="G1498" s="115">
        <v>0</v>
      </c>
      <c r="H1498" s="115">
        <v>1173</v>
      </c>
      <c r="I1498" s="115">
        <v>-217</v>
      </c>
      <c r="J1498" s="115">
        <v>-13</v>
      </c>
      <c r="K1498" s="115">
        <v>-139</v>
      </c>
    </row>
    <row r="1499" spans="1:11" x14ac:dyDescent="0.25">
      <c r="A1499" s="115" t="s">
        <v>1239</v>
      </c>
      <c r="B1499" s="115" t="s">
        <v>2225</v>
      </c>
      <c r="D1499" s="115" t="s">
        <v>9352</v>
      </c>
      <c r="E1499" s="115" t="s">
        <v>2226</v>
      </c>
      <c r="F1499" s="115">
        <v>0</v>
      </c>
      <c r="G1499" s="115">
        <v>0</v>
      </c>
      <c r="H1499" s="115">
        <v>0</v>
      </c>
      <c r="I1499" s="115">
        <v>202</v>
      </c>
      <c r="J1499" s="115">
        <v>278</v>
      </c>
      <c r="K1499" s="115">
        <v>0</v>
      </c>
    </row>
    <row r="1500" spans="1:11" x14ac:dyDescent="0.25">
      <c r="B1500" s="115" t="s">
        <v>1241</v>
      </c>
      <c r="D1500" s="115" t="s">
        <v>9353</v>
      </c>
      <c r="E1500" s="115" t="s">
        <v>2227</v>
      </c>
      <c r="F1500" s="115">
        <v>0</v>
      </c>
      <c r="G1500" s="115">
        <v>-104</v>
      </c>
      <c r="H1500" s="115">
        <v>0</v>
      </c>
      <c r="I1500" s="115">
        <v>0</v>
      </c>
      <c r="J1500" s="115">
        <v>367</v>
      </c>
      <c r="K1500" s="115">
        <v>0</v>
      </c>
    </row>
    <row r="1501" spans="1:11" x14ac:dyDescent="0.25">
      <c r="A1501" s="115" t="s">
        <v>1239</v>
      </c>
      <c r="B1501" s="115" t="s">
        <v>2228</v>
      </c>
      <c r="D1501" s="115" t="s">
        <v>9354</v>
      </c>
      <c r="E1501" s="115" t="s">
        <v>2229</v>
      </c>
      <c r="F1501" s="115">
        <v>181</v>
      </c>
      <c r="G1501" s="115">
        <v>0</v>
      </c>
      <c r="H1501" s="115">
        <v>-770</v>
      </c>
      <c r="I1501" s="115">
        <v>-249</v>
      </c>
      <c r="J1501" s="115">
        <v>-2677</v>
      </c>
      <c r="K1501" s="115">
        <v>-2</v>
      </c>
    </row>
    <row r="1502" spans="1:11" x14ac:dyDescent="0.25">
      <c r="B1502" s="115" t="s">
        <v>2230</v>
      </c>
      <c r="D1502" s="115" t="s">
        <v>9355</v>
      </c>
      <c r="E1502" s="115" t="s">
        <v>2231</v>
      </c>
      <c r="F1502" s="115">
        <v>0</v>
      </c>
      <c r="G1502" s="115">
        <v>0</v>
      </c>
      <c r="H1502" s="115">
        <v>0</v>
      </c>
      <c r="I1502" s="115">
        <v>0</v>
      </c>
      <c r="J1502" s="115">
        <v>0</v>
      </c>
      <c r="K1502" s="115">
        <v>-54</v>
      </c>
    </row>
    <row r="1503" spans="1:11" x14ac:dyDescent="0.25">
      <c r="B1503" s="115" t="s">
        <v>1241</v>
      </c>
      <c r="D1503" s="115" t="s">
        <v>9356</v>
      </c>
      <c r="E1503" s="115" t="s">
        <v>2232</v>
      </c>
      <c r="F1503" s="115">
        <v>0</v>
      </c>
      <c r="G1503" s="115">
        <v>298</v>
      </c>
      <c r="H1503" s="115">
        <v>0</v>
      </c>
      <c r="I1503" s="115">
        <v>0</v>
      </c>
      <c r="J1503" s="115">
        <v>0</v>
      </c>
      <c r="K1503" s="115">
        <v>0</v>
      </c>
    </row>
    <row r="1504" spans="1:11" x14ac:dyDescent="0.25">
      <c r="B1504" s="115" t="s">
        <v>2233</v>
      </c>
      <c r="D1504" s="115" t="s">
        <v>9357</v>
      </c>
      <c r="E1504" s="115" t="s">
        <v>2234</v>
      </c>
      <c r="F1504" s="115">
        <v>-375</v>
      </c>
      <c r="G1504" s="115">
        <v>0</v>
      </c>
      <c r="H1504" s="115">
        <v>0</v>
      </c>
      <c r="I1504" s="115">
        <v>-518</v>
      </c>
      <c r="J1504" s="115">
        <v>-144</v>
      </c>
      <c r="K1504" s="115">
        <v>0</v>
      </c>
    </row>
    <row r="1505" spans="1:11" x14ac:dyDescent="0.25">
      <c r="A1505" s="115" t="s">
        <v>1239</v>
      </c>
      <c r="B1505" s="115" t="s">
        <v>2235</v>
      </c>
      <c r="D1505" s="115" t="s">
        <v>9358</v>
      </c>
      <c r="E1505" s="115" t="s">
        <v>2236</v>
      </c>
      <c r="F1505" s="115">
        <v>0</v>
      </c>
      <c r="G1505" s="115">
        <v>73</v>
      </c>
      <c r="H1505" s="115">
        <v>271</v>
      </c>
      <c r="I1505" s="115">
        <v>-33</v>
      </c>
      <c r="J1505" s="115">
        <v>0</v>
      </c>
      <c r="K1505" s="115">
        <v>0</v>
      </c>
    </row>
    <row r="1506" spans="1:11" x14ac:dyDescent="0.25">
      <c r="A1506" s="115" t="s">
        <v>1239</v>
      </c>
      <c r="B1506" s="115" t="s">
        <v>2237</v>
      </c>
      <c r="D1506" s="115" t="s">
        <v>9359</v>
      </c>
      <c r="E1506" s="115" t="s">
        <v>2238</v>
      </c>
      <c r="F1506" s="115">
        <v>-141</v>
      </c>
      <c r="G1506" s="115">
        <v>105</v>
      </c>
      <c r="H1506" s="115">
        <v>-225</v>
      </c>
      <c r="I1506" s="115">
        <v>1123</v>
      </c>
      <c r="J1506" s="115">
        <v>-657</v>
      </c>
      <c r="K1506" s="115">
        <v>-934</v>
      </c>
    </row>
    <row r="1507" spans="1:11" x14ac:dyDescent="0.25">
      <c r="B1507" s="115" t="s">
        <v>1241</v>
      </c>
      <c r="D1507" s="115" t="s">
        <v>9360</v>
      </c>
      <c r="E1507" s="115" t="s">
        <v>2239</v>
      </c>
      <c r="F1507" s="115">
        <v>0</v>
      </c>
      <c r="G1507" s="115">
        <v>213</v>
      </c>
      <c r="H1507" s="115">
        <v>0</v>
      </c>
      <c r="I1507" s="115">
        <v>93</v>
      </c>
      <c r="J1507" s="115">
        <v>639</v>
      </c>
      <c r="K1507" s="115">
        <v>481</v>
      </c>
    </row>
    <row r="1508" spans="1:11" x14ac:dyDescent="0.25">
      <c r="B1508" s="115" t="s">
        <v>2240</v>
      </c>
      <c r="D1508" s="115" t="s">
        <v>9361</v>
      </c>
      <c r="E1508" s="115" t="s">
        <v>2241</v>
      </c>
      <c r="F1508" s="115">
        <v>-2242</v>
      </c>
      <c r="G1508" s="115">
        <v>22</v>
      </c>
      <c r="H1508" s="115">
        <v>0</v>
      </c>
      <c r="I1508" s="115">
        <v>-892</v>
      </c>
      <c r="J1508" s="115">
        <v>-2279</v>
      </c>
      <c r="K1508" s="115">
        <v>-825</v>
      </c>
    </row>
    <row r="1509" spans="1:11" x14ac:dyDescent="0.25">
      <c r="A1509" s="115">
        <v>1</v>
      </c>
      <c r="B1509" s="115" t="s">
        <v>2242</v>
      </c>
      <c r="D1509" s="115" t="s">
        <v>9362</v>
      </c>
      <c r="E1509" s="115" t="s">
        <v>2243</v>
      </c>
      <c r="F1509" s="115">
        <v>0</v>
      </c>
      <c r="G1509" s="115">
        <v>0</v>
      </c>
      <c r="H1509" s="115">
        <v>0</v>
      </c>
      <c r="I1509" s="115">
        <v>-366</v>
      </c>
      <c r="J1509" s="115">
        <v>-276</v>
      </c>
      <c r="K1509" s="115">
        <v>0</v>
      </c>
    </row>
    <row r="1510" spans="1:11" x14ac:dyDescent="0.25">
      <c r="A1510" s="115" t="s">
        <v>1239</v>
      </c>
      <c r="B1510" s="115" t="s">
        <v>2244</v>
      </c>
      <c r="C1510" s="115" t="s">
        <v>1239</v>
      </c>
      <c r="D1510" s="115" t="s">
        <v>9363</v>
      </c>
      <c r="E1510" s="115" t="s">
        <v>2245</v>
      </c>
      <c r="F1510" s="115">
        <v>0</v>
      </c>
      <c r="G1510" s="115">
        <v>0</v>
      </c>
      <c r="H1510" s="115">
        <v>0</v>
      </c>
      <c r="I1510" s="115">
        <v>0</v>
      </c>
      <c r="J1510" s="115">
        <v>0</v>
      </c>
      <c r="K1510" s="115">
        <v>-285</v>
      </c>
    </row>
    <row r="1511" spans="1:11" x14ac:dyDescent="0.25">
      <c r="B1511" s="115" t="s">
        <v>2246</v>
      </c>
      <c r="D1511" s="115" t="s">
        <v>9364</v>
      </c>
      <c r="E1511" s="115" t="s">
        <v>2247</v>
      </c>
      <c r="F1511" s="115">
        <v>0</v>
      </c>
      <c r="G1511" s="115">
        <v>-379</v>
      </c>
      <c r="H1511" s="115">
        <v>-425</v>
      </c>
      <c r="I1511" s="115">
        <v>-2887</v>
      </c>
      <c r="J1511" s="115">
        <v>10665</v>
      </c>
      <c r="K1511" s="115">
        <v>-5791</v>
      </c>
    </row>
    <row r="1512" spans="1:11" x14ac:dyDescent="0.25">
      <c r="A1512" s="115">
        <v>-36</v>
      </c>
      <c r="B1512" s="115" t="s">
        <v>2248</v>
      </c>
      <c r="D1512" s="115" t="s">
        <v>9365</v>
      </c>
      <c r="E1512" s="115" t="s">
        <v>2249</v>
      </c>
      <c r="F1512" s="115">
        <v>-6082</v>
      </c>
      <c r="G1512" s="115">
        <v>0</v>
      </c>
      <c r="H1512" s="115">
        <v>0</v>
      </c>
      <c r="I1512" s="115">
        <v>4029</v>
      </c>
      <c r="J1512" s="115">
        <v>3782</v>
      </c>
      <c r="K1512" s="115">
        <v>0</v>
      </c>
    </row>
    <row r="1513" spans="1:11" x14ac:dyDescent="0.25">
      <c r="A1513" s="115">
        <v>-1</v>
      </c>
      <c r="B1513" s="115" t="s">
        <v>2250</v>
      </c>
      <c r="D1513" s="115" t="s">
        <v>9366</v>
      </c>
      <c r="E1513" s="115" t="s">
        <v>2251</v>
      </c>
      <c r="F1513" s="115">
        <v>0</v>
      </c>
      <c r="G1513" s="115">
        <v>1063</v>
      </c>
      <c r="H1513" s="115">
        <v>-44</v>
      </c>
      <c r="I1513" s="115">
        <v>-18</v>
      </c>
      <c r="J1513" s="115">
        <v>-91</v>
      </c>
      <c r="K1513" s="115">
        <v>58</v>
      </c>
    </row>
    <row r="1514" spans="1:11" x14ac:dyDescent="0.25">
      <c r="B1514" s="115" t="s">
        <v>1241</v>
      </c>
      <c r="D1514" s="115" t="s">
        <v>9367</v>
      </c>
      <c r="E1514" s="115" t="s">
        <v>2252</v>
      </c>
      <c r="F1514" s="115">
        <v>0</v>
      </c>
      <c r="G1514" s="115">
        <v>0</v>
      </c>
      <c r="H1514" s="115">
        <v>322</v>
      </c>
      <c r="I1514" s="115">
        <v>740</v>
      </c>
      <c r="J1514" s="115">
        <v>0</v>
      </c>
      <c r="K1514" s="115">
        <v>0</v>
      </c>
    </row>
    <row r="1515" spans="1:11" x14ac:dyDescent="0.25">
      <c r="B1515" s="115" t="s">
        <v>1241</v>
      </c>
      <c r="D1515" s="115" t="s">
        <v>9368</v>
      </c>
      <c r="E1515" s="115" t="s">
        <v>2253</v>
      </c>
      <c r="F1515" s="115">
        <v>46</v>
      </c>
      <c r="G1515" s="115">
        <v>0</v>
      </c>
      <c r="H1515" s="115">
        <v>0</v>
      </c>
      <c r="I1515" s="115">
        <v>11</v>
      </c>
      <c r="J1515" s="115">
        <v>0</v>
      </c>
      <c r="K1515" s="115">
        <v>-95</v>
      </c>
    </row>
    <row r="1516" spans="1:11" x14ac:dyDescent="0.25">
      <c r="B1516" s="115" t="s">
        <v>2254</v>
      </c>
      <c r="D1516" s="115" t="s">
        <v>9369</v>
      </c>
      <c r="E1516" s="115" t="s">
        <v>2255</v>
      </c>
      <c r="F1516" s="115">
        <v>0</v>
      </c>
      <c r="G1516" s="115">
        <v>242</v>
      </c>
      <c r="H1516" s="115">
        <v>39</v>
      </c>
      <c r="I1516" s="115">
        <v>-213</v>
      </c>
      <c r="J1516" s="115">
        <v>-226</v>
      </c>
      <c r="K1516" s="115">
        <v>-184</v>
      </c>
    </row>
    <row r="1517" spans="1:11" x14ac:dyDescent="0.25">
      <c r="A1517" s="115" t="s">
        <v>1239</v>
      </c>
      <c r="B1517" s="115" t="s">
        <v>2256</v>
      </c>
      <c r="D1517" s="115" t="s">
        <v>9370</v>
      </c>
      <c r="E1517" s="115" t="s">
        <v>2257</v>
      </c>
      <c r="F1517" s="115">
        <v>0</v>
      </c>
      <c r="G1517" s="115">
        <v>0</v>
      </c>
      <c r="H1517" s="115">
        <v>0</v>
      </c>
      <c r="I1517" s="115">
        <v>0</v>
      </c>
      <c r="J1517" s="115">
        <v>359</v>
      </c>
      <c r="K1517" s="115">
        <v>0</v>
      </c>
    </row>
    <row r="1518" spans="1:11" x14ac:dyDescent="0.25">
      <c r="B1518" s="115" t="s">
        <v>1241</v>
      </c>
      <c r="D1518" s="115" t="s">
        <v>9371</v>
      </c>
      <c r="E1518" s="115" t="s">
        <v>1242</v>
      </c>
      <c r="F1518" s="115">
        <v>-337</v>
      </c>
      <c r="G1518" s="115">
        <v>0</v>
      </c>
      <c r="H1518" s="115">
        <v>0</v>
      </c>
      <c r="I1518" s="115">
        <v>0</v>
      </c>
      <c r="J1518" s="115">
        <v>0</v>
      </c>
      <c r="K1518" s="115">
        <v>0</v>
      </c>
    </row>
    <row r="1519" spans="1:11" x14ac:dyDescent="0.25">
      <c r="A1519" s="115" t="s">
        <v>1239</v>
      </c>
      <c r="B1519" s="115" t="s">
        <v>2030</v>
      </c>
      <c r="D1519" s="115" t="s">
        <v>9372</v>
      </c>
      <c r="E1519" s="115" t="s">
        <v>2258</v>
      </c>
      <c r="F1519" s="115">
        <v>0</v>
      </c>
      <c r="G1519" s="115">
        <v>0</v>
      </c>
      <c r="H1519" s="115">
        <v>14</v>
      </c>
      <c r="I1519" s="115">
        <v>-98</v>
      </c>
      <c r="J1519" s="115">
        <v>0</v>
      </c>
      <c r="K1519" s="115">
        <v>-618</v>
      </c>
    </row>
    <row r="1520" spans="1:11" x14ac:dyDescent="0.25">
      <c r="B1520" s="115" t="s">
        <v>1241</v>
      </c>
      <c r="D1520" s="115" t="s">
        <v>9373</v>
      </c>
      <c r="E1520" s="115" t="s">
        <v>2259</v>
      </c>
      <c r="F1520" s="115">
        <v>-17</v>
      </c>
      <c r="G1520" s="115">
        <v>84</v>
      </c>
      <c r="H1520" s="115">
        <v>-6</v>
      </c>
      <c r="I1520" s="115">
        <v>0</v>
      </c>
      <c r="J1520" s="115">
        <v>0</v>
      </c>
      <c r="K1520" s="115">
        <v>-32</v>
      </c>
    </row>
    <row r="1521" spans="1:11" x14ac:dyDescent="0.25">
      <c r="B1521" s="115" t="s">
        <v>2260</v>
      </c>
      <c r="D1521" s="115" t="s">
        <v>9374</v>
      </c>
      <c r="E1521" s="115" t="s">
        <v>2261</v>
      </c>
      <c r="F1521" s="115">
        <v>803</v>
      </c>
      <c r="G1521" s="115">
        <v>-427</v>
      </c>
      <c r="H1521" s="115">
        <v>-607</v>
      </c>
      <c r="I1521" s="115">
        <v>-4515</v>
      </c>
      <c r="J1521" s="115">
        <v>-1003</v>
      </c>
      <c r="K1521" s="115">
        <v>0</v>
      </c>
    </row>
    <row r="1522" spans="1:11" x14ac:dyDescent="0.25">
      <c r="B1522" s="115" t="s">
        <v>1241</v>
      </c>
      <c r="D1522" s="115" t="s">
        <v>9375</v>
      </c>
      <c r="E1522" s="115" t="s">
        <v>2262</v>
      </c>
      <c r="F1522" s="115">
        <v>184</v>
      </c>
      <c r="G1522" s="115">
        <v>0</v>
      </c>
      <c r="H1522" s="115">
        <v>135</v>
      </c>
      <c r="I1522" s="115">
        <v>280</v>
      </c>
      <c r="J1522" s="115">
        <v>115</v>
      </c>
      <c r="K1522" s="115">
        <v>0</v>
      </c>
    </row>
    <row r="1523" spans="1:11" x14ac:dyDescent="0.25">
      <c r="B1523" s="115" t="s">
        <v>2263</v>
      </c>
      <c r="D1523" s="115" t="s">
        <v>9376</v>
      </c>
      <c r="E1523" s="115" t="s">
        <v>2264</v>
      </c>
      <c r="F1523" s="115">
        <v>818</v>
      </c>
      <c r="G1523" s="115">
        <v>0</v>
      </c>
      <c r="H1523" s="115">
        <v>-1203</v>
      </c>
      <c r="I1523" s="115">
        <v>-1653</v>
      </c>
      <c r="J1523" s="115">
        <v>-589</v>
      </c>
      <c r="K1523" s="115">
        <v>129</v>
      </c>
    </row>
    <row r="1524" spans="1:11" x14ac:dyDescent="0.25">
      <c r="B1524" s="115" t="s">
        <v>2265</v>
      </c>
      <c r="D1524" s="115" t="s">
        <v>9377</v>
      </c>
      <c r="E1524" s="115" t="s">
        <v>2266</v>
      </c>
      <c r="F1524" s="115">
        <v>0</v>
      </c>
      <c r="G1524" s="115">
        <v>0</v>
      </c>
      <c r="H1524" s="115">
        <v>522</v>
      </c>
      <c r="I1524" s="115">
        <v>-307</v>
      </c>
      <c r="J1524" s="115">
        <v>0</v>
      </c>
      <c r="K1524" s="115">
        <v>-217</v>
      </c>
    </row>
    <row r="1525" spans="1:11" x14ac:dyDescent="0.25">
      <c r="A1525" s="115">
        <v>-2</v>
      </c>
      <c r="B1525" s="115" t="s">
        <v>2267</v>
      </c>
      <c r="C1525" s="115" t="s">
        <v>1239</v>
      </c>
      <c r="D1525" s="115" t="s">
        <v>9378</v>
      </c>
      <c r="E1525" s="115" t="s">
        <v>2268</v>
      </c>
      <c r="F1525" s="115">
        <v>0</v>
      </c>
      <c r="G1525" s="115">
        <v>0</v>
      </c>
      <c r="H1525" s="115">
        <v>0</v>
      </c>
      <c r="I1525" s="115">
        <v>0</v>
      </c>
      <c r="J1525" s="115">
        <v>463</v>
      </c>
      <c r="K1525" s="115">
        <v>0</v>
      </c>
    </row>
    <row r="1526" spans="1:11" x14ac:dyDescent="0.25">
      <c r="A1526" s="115">
        <v>1</v>
      </c>
      <c r="B1526" s="115" t="s">
        <v>2269</v>
      </c>
      <c r="D1526" s="115" t="s">
        <v>9379</v>
      </c>
      <c r="E1526" s="115" t="s">
        <v>2270</v>
      </c>
      <c r="F1526" s="115">
        <v>-991</v>
      </c>
      <c r="G1526" s="115">
        <v>-537</v>
      </c>
      <c r="H1526" s="115">
        <v>1134</v>
      </c>
      <c r="I1526" s="115">
        <v>15472</v>
      </c>
      <c r="J1526" s="115">
        <v>-5649</v>
      </c>
      <c r="K1526" s="115">
        <v>-7817</v>
      </c>
    </row>
    <row r="1527" spans="1:11" x14ac:dyDescent="0.25">
      <c r="A1527" s="115">
        <v>6</v>
      </c>
      <c r="B1527" s="115" t="s">
        <v>2271</v>
      </c>
      <c r="D1527" s="115" t="s">
        <v>9380</v>
      </c>
      <c r="E1527" s="115" t="s">
        <v>2272</v>
      </c>
      <c r="F1527" s="115">
        <v>0</v>
      </c>
      <c r="G1527" s="115">
        <v>0</v>
      </c>
      <c r="H1527" s="115">
        <v>1262</v>
      </c>
      <c r="I1527" s="115">
        <v>686</v>
      </c>
      <c r="J1527" s="115">
        <v>0</v>
      </c>
      <c r="K1527" s="115">
        <v>1784</v>
      </c>
    </row>
    <row r="1528" spans="1:11" x14ac:dyDescent="0.25">
      <c r="B1528" s="115" t="s">
        <v>1241</v>
      </c>
      <c r="C1528" s="115" t="s">
        <v>1239</v>
      </c>
      <c r="D1528" s="115" t="s">
        <v>9381</v>
      </c>
      <c r="E1528" s="115" t="s">
        <v>2273</v>
      </c>
      <c r="F1528" s="115">
        <v>18090</v>
      </c>
      <c r="G1528" s="115">
        <v>1351</v>
      </c>
      <c r="H1528" s="115">
        <v>90</v>
      </c>
      <c r="I1528" s="115">
        <v>62</v>
      </c>
      <c r="J1528" s="115">
        <v>134</v>
      </c>
      <c r="K1528" s="115">
        <v>125</v>
      </c>
    </row>
    <row r="1529" spans="1:11" x14ac:dyDescent="0.25">
      <c r="B1529" s="115" t="s">
        <v>1241</v>
      </c>
      <c r="D1529" s="115" t="s">
        <v>9382</v>
      </c>
      <c r="E1529" s="115" t="s">
        <v>2274</v>
      </c>
      <c r="F1529" s="115">
        <v>0</v>
      </c>
      <c r="G1529" s="115">
        <v>0</v>
      </c>
      <c r="H1529" s="115">
        <v>-86</v>
      </c>
      <c r="I1529" s="115">
        <v>-253</v>
      </c>
      <c r="J1529" s="115">
        <v>0</v>
      </c>
      <c r="K1529" s="115">
        <v>0</v>
      </c>
    </row>
    <row r="1530" spans="1:11" x14ac:dyDescent="0.25">
      <c r="B1530" s="115" t="s">
        <v>1241</v>
      </c>
      <c r="D1530" s="115" t="s">
        <v>9383</v>
      </c>
      <c r="E1530" s="115" t="s">
        <v>2275</v>
      </c>
      <c r="F1530" s="115">
        <v>-93</v>
      </c>
      <c r="G1530" s="115">
        <v>0</v>
      </c>
      <c r="H1530" s="115">
        <v>0</v>
      </c>
      <c r="I1530" s="115">
        <v>-23</v>
      </c>
      <c r="J1530" s="115">
        <v>0</v>
      </c>
      <c r="K1530" s="115">
        <v>-76</v>
      </c>
    </row>
    <row r="1531" spans="1:11" x14ac:dyDescent="0.25">
      <c r="B1531" s="115" t="s">
        <v>2276</v>
      </c>
      <c r="D1531" s="115" t="s">
        <v>9384</v>
      </c>
      <c r="E1531" s="115" t="s">
        <v>2277</v>
      </c>
      <c r="F1531" s="115">
        <v>0</v>
      </c>
      <c r="G1531" s="115">
        <v>-795</v>
      </c>
      <c r="H1531" s="115">
        <v>-163</v>
      </c>
      <c r="I1531" s="115">
        <v>-124</v>
      </c>
      <c r="J1531" s="115">
        <v>429</v>
      </c>
      <c r="K1531" s="115">
        <v>638</v>
      </c>
    </row>
    <row r="1532" spans="1:11" x14ac:dyDescent="0.25">
      <c r="B1532" s="115" t="s">
        <v>1570</v>
      </c>
      <c r="D1532" s="115" t="s">
        <v>9385</v>
      </c>
      <c r="E1532" s="115" t="s">
        <v>2278</v>
      </c>
      <c r="F1532" s="115">
        <v>0</v>
      </c>
      <c r="G1532" s="115">
        <v>0</v>
      </c>
      <c r="H1532" s="115">
        <v>0</v>
      </c>
      <c r="I1532" s="115">
        <v>0</v>
      </c>
      <c r="J1532" s="115">
        <v>19</v>
      </c>
      <c r="K1532" s="115">
        <v>0</v>
      </c>
    </row>
    <row r="1533" spans="1:11" x14ac:dyDescent="0.25">
      <c r="B1533" s="115" t="s">
        <v>1241</v>
      </c>
      <c r="D1533" s="115" t="s">
        <v>9386</v>
      </c>
      <c r="E1533" s="115" t="s">
        <v>1242</v>
      </c>
      <c r="F1533" s="115">
        <v>1180</v>
      </c>
      <c r="G1533" s="115">
        <v>0</v>
      </c>
      <c r="H1533" s="115">
        <v>0</v>
      </c>
      <c r="I1533" s="115">
        <v>0</v>
      </c>
      <c r="J1533" s="115">
        <v>0</v>
      </c>
      <c r="K1533" s="115">
        <v>0</v>
      </c>
    </row>
    <row r="1534" spans="1:11" x14ac:dyDescent="0.25">
      <c r="A1534" s="115" t="s">
        <v>1239</v>
      </c>
      <c r="B1534" s="115" t="s">
        <v>2279</v>
      </c>
      <c r="D1534" s="115" t="s">
        <v>9387</v>
      </c>
      <c r="E1534" s="115" t="s">
        <v>2280</v>
      </c>
      <c r="F1534" s="115">
        <v>0</v>
      </c>
      <c r="G1534" s="115">
        <v>0</v>
      </c>
      <c r="H1534" s="115">
        <v>-189</v>
      </c>
      <c r="I1534" s="115">
        <v>101</v>
      </c>
      <c r="J1534" s="115">
        <v>0</v>
      </c>
      <c r="K1534" s="115">
        <v>-1703</v>
      </c>
    </row>
    <row r="1535" spans="1:11" x14ac:dyDescent="0.25">
      <c r="B1535" s="115" t="s">
        <v>1241</v>
      </c>
      <c r="D1535" s="115" t="s">
        <v>9388</v>
      </c>
      <c r="E1535" s="115" t="s">
        <v>2281</v>
      </c>
      <c r="F1535" s="115">
        <v>-95</v>
      </c>
      <c r="G1535" s="115">
        <v>0</v>
      </c>
      <c r="H1535" s="115">
        <v>-24</v>
      </c>
      <c r="I1535" s="115">
        <v>0</v>
      </c>
      <c r="J1535" s="115">
        <v>0</v>
      </c>
      <c r="K1535" s="115">
        <v>-492</v>
      </c>
    </row>
    <row r="1536" spans="1:11" x14ac:dyDescent="0.25">
      <c r="B1536" s="115" t="s">
        <v>2282</v>
      </c>
      <c r="D1536" s="115" t="s">
        <v>9389</v>
      </c>
      <c r="E1536" s="115" t="s">
        <v>2283</v>
      </c>
      <c r="F1536" s="115">
        <v>-52</v>
      </c>
      <c r="G1536" s="115">
        <v>-718</v>
      </c>
      <c r="H1536" s="115">
        <v>-700</v>
      </c>
      <c r="I1536" s="115">
        <v>-929</v>
      </c>
      <c r="J1536" s="115">
        <v>-4558</v>
      </c>
      <c r="K1536" s="115">
        <v>0</v>
      </c>
    </row>
    <row r="1537" spans="1:11" x14ac:dyDescent="0.25">
      <c r="B1537" s="115" t="s">
        <v>1241</v>
      </c>
      <c r="D1537" s="115" t="s">
        <v>9390</v>
      </c>
      <c r="E1537" s="115" t="s">
        <v>2284</v>
      </c>
      <c r="F1537" s="115">
        <v>39</v>
      </c>
      <c r="G1537" s="115">
        <v>0</v>
      </c>
      <c r="H1537" s="115">
        <v>-49</v>
      </c>
      <c r="I1537" s="115">
        <v>919</v>
      </c>
      <c r="J1537" s="115">
        <v>246</v>
      </c>
      <c r="K1537" s="115">
        <v>0</v>
      </c>
    </row>
    <row r="1538" spans="1:11" x14ac:dyDescent="0.25">
      <c r="A1538" s="115">
        <v>1</v>
      </c>
      <c r="B1538" s="115" t="s">
        <v>2285</v>
      </c>
      <c r="D1538" s="115" t="s">
        <v>9391</v>
      </c>
      <c r="E1538" s="115" t="s">
        <v>2286</v>
      </c>
      <c r="F1538" s="115">
        <v>2884</v>
      </c>
      <c r="G1538" s="115">
        <v>0</v>
      </c>
      <c r="H1538" s="115">
        <v>-1410</v>
      </c>
      <c r="I1538" s="115">
        <v>-2217</v>
      </c>
      <c r="J1538" s="115">
        <v>-762</v>
      </c>
      <c r="K1538" s="115">
        <v>-375</v>
      </c>
    </row>
    <row r="1539" spans="1:11" x14ac:dyDescent="0.25">
      <c r="B1539" s="115" t="s">
        <v>1600</v>
      </c>
      <c r="D1539" s="115" t="s">
        <v>9392</v>
      </c>
      <c r="E1539" s="115" t="s">
        <v>2287</v>
      </c>
      <c r="F1539" s="115">
        <v>0</v>
      </c>
      <c r="G1539" s="115">
        <v>0</v>
      </c>
      <c r="H1539" s="115">
        <v>-321</v>
      </c>
      <c r="I1539" s="115">
        <v>-1988</v>
      </c>
      <c r="J1539" s="115">
        <v>0</v>
      </c>
      <c r="K1539" s="115">
        <v>-1708</v>
      </c>
    </row>
    <row r="1540" spans="1:11" x14ac:dyDescent="0.25">
      <c r="A1540" s="115">
        <v>-3</v>
      </c>
      <c r="B1540" s="115" t="s">
        <v>2288</v>
      </c>
      <c r="C1540" s="115">
        <v>-1</v>
      </c>
      <c r="D1540" s="115" t="s">
        <v>9393</v>
      </c>
      <c r="E1540" s="115" t="s">
        <v>2289</v>
      </c>
      <c r="F1540" s="115">
        <v>0</v>
      </c>
      <c r="G1540" s="115">
        <v>0</v>
      </c>
      <c r="H1540" s="115">
        <v>0</v>
      </c>
      <c r="I1540" s="115">
        <v>0</v>
      </c>
      <c r="J1540" s="115">
        <v>-283</v>
      </c>
      <c r="K1540" s="115">
        <v>0</v>
      </c>
    </row>
    <row r="1541" spans="1:11" x14ac:dyDescent="0.25">
      <c r="B1541" s="115" t="s">
        <v>2290</v>
      </c>
      <c r="D1541" s="115" t="s">
        <v>9394</v>
      </c>
      <c r="E1541" s="115" t="s">
        <v>2291</v>
      </c>
      <c r="F1541" s="115">
        <v>-2935</v>
      </c>
      <c r="G1541" s="115">
        <v>-3059</v>
      </c>
      <c r="H1541" s="115">
        <v>-3483</v>
      </c>
      <c r="I1541" s="115">
        <v>22294</v>
      </c>
      <c r="J1541" s="115">
        <v>-19139</v>
      </c>
      <c r="K1541" s="115">
        <v>-1884</v>
      </c>
    </row>
    <row r="1542" spans="1:11" x14ac:dyDescent="0.25">
      <c r="A1542" s="115">
        <v>6</v>
      </c>
      <c r="B1542" s="115" t="s">
        <v>2292</v>
      </c>
      <c r="D1542" s="115" t="s">
        <v>9395</v>
      </c>
      <c r="E1542" s="115" t="s">
        <v>2293</v>
      </c>
      <c r="F1542" s="115">
        <v>0</v>
      </c>
      <c r="G1542" s="115">
        <v>0</v>
      </c>
      <c r="H1542" s="115">
        <v>-3706</v>
      </c>
      <c r="I1542" s="115">
        <v>2454</v>
      </c>
      <c r="J1542" s="115">
        <v>0</v>
      </c>
      <c r="K1542" s="115">
        <v>-13000</v>
      </c>
    </row>
    <row r="1543" spans="1:11" x14ac:dyDescent="0.25">
      <c r="B1543" s="115" t="s">
        <v>1241</v>
      </c>
      <c r="D1543" s="115" t="s">
        <v>9396</v>
      </c>
      <c r="E1543" s="115" t="s">
        <v>2294</v>
      </c>
      <c r="F1543" s="115">
        <v>21322</v>
      </c>
      <c r="G1543" s="115">
        <v>27268</v>
      </c>
      <c r="H1543" s="115">
        <v>0</v>
      </c>
      <c r="I1543" s="115">
        <v>0</v>
      </c>
      <c r="J1543" s="115">
        <v>0</v>
      </c>
      <c r="K1543" s="115">
        <v>0</v>
      </c>
    </row>
    <row r="1544" spans="1:11" x14ac:dyDescent="0.25">
      <c r="B1544" s="115" t="s">
        <v>1241</v>
      </c>
      <c r="D1544" s="115" t="s">
        <v>8710</v>
      </c>
      <c r="E1544" s="115" t="s">
        <v>1242</v>
      </c>
      <c r="F1544" s="115">
        <v>0</v>
      </c>
      <c r="G1544" s="115">
        <v>0</v>
      </c>
      <c r="H1544" s="115">
        <v>0</v>
      </c>
      <c r="I1544" s="115">
        <v>0</v>
      </c>
      <c r="J1544" s="115">
        <v>0</v>
      </c>
      <c r="K1544" s="115">
        <v>0</v>
      </c>
    </row>
    <row r="1545" spans="1:11" x14ac:dyDescent="0.25">
      <c r="B1545" s="115" t="s">
        <v>1241</v>
      </c>
      <c r="D1545" s="115" t="s">
        <v>8710</v>
      </c>
      <c r="E1545" s="115" t="s">
        <v>1242</v>
      </c>
      <c r="F1545" s="115">
        <v>0</v>
      </c>
      <c r="G1545" s="115">
        <v>0</v>
      </c>
      <c r="H1545" s="115">
        <v>0</v>
      </c>
      <c r="I1545" s="115">
        <v>0</v>
      </c>
      <c r="J1545" s="115">
        <v>0</v>
      </c>
      <c r="K1545" s="115">
        <v>0</v>
      </c>
    </row>
    <row r="1546" spans="1:11" x14ac:dyDescent="0.25">
      <c r="B1546" s="115" t="s">
        <v>1241</v>
      </c>
      <c r="D1546" s="115" t="s">
        <v>8710</v>
      </c>
      <c r="E1546" s="115" t="s">
        <v>1242</v>
      </c>
      <c r="F1546" s="115">
        <v>0</v>
      </c>
      <c r="G1546" s="115">
        <v>0</v>
      </c>
      <c r="H1546" s="115">
        <v>0</v>
      </c>
      <c r="I1546" s="115">
        <v>0</v>
      </c>
      <c r="J1546" s="115">
        <v>0</v>
      </c>
      <c r="K1546" s="115">
        <v>0</v>
      </c>
    </row>
    <row r="1547" spans="1:11" x14ac:dyDescent="0.25">
      <c r="B1547" s="115" t="s">
        <v>1241</v>
      </c>
      <c r="D1547" s="115" t="s">
        <v>8710</v>
      </c>
      <c r="E1547" s="115" t="s">
        <v>1242</v>
      </c>
      <c r="F1547" s="115">
        <v>0</v>
      </c>
      <c r="G1547" s="115">
        <v>0</v>
      </c>
      <c r="H1547" s="115">
        <v>0</v>
      </c>
      <c r="I1547" s="115">
        <v>0</v>
      </c>
      <c r="J1547" s="115">
        <v>0</v>
      </c>
      <c r="K1547" s="115">
        <v>0</v>
      </c>
    </row>
    <row r="1548" spans="1:11" x14ac:dyDescent="0.25">
      <c r="B1548" s="115" t="s">
        <v>1241</v>
      </c>
      <c r="D1548" s="115" t="s">
        <v>8710</v>
      </c>
      <c r="E1548" s="115" t="s">
        <v>1242</v>
      </c>
      <c r="F1548" s="115">
        <v>0</v>
      </c>
      <c r="G1548" s="115">
        <v>0</v>
      </c>
      <c r="H1548" s="115">
        <v>0</v>
      </c>
      <c r="I1548" s="115">
        <v>0</v>
      </c>
      <c r="J1548" s="115">
        <v>0</v>
      </c>
      <c r="K1548" s="115">
        <v>0</v>
      </c>
    </row>
    <row r="1549" spans="1:11" x14ac:dyDescent="0.25">
      <c r="B1549" s="115" t="s">
        <v>1241</v>
      </c>
      <c r="D1549" s="115" t="s">
        <v>8710</v>
      </c>
      <c r="E1549" s="115" t="s">
        <v>1242</v>
      </c>
      <c r="F1549" s="115">
        <v>0</v>
      </c>
      <c r="G1549" s="115">
        <v>0</v>
      </c>
      <c r="H1549" s="115">
        <v>0</v>
      </c>
      <c r="I1549" s="115">
        <v>0</v>
      </c>
      <c r="J1549" s="115">
        <v>0</v>
      </c>
      <c r="K1549" s="115">
        <v>0</v>
      </c>
    </row>
    <row r="1550" spans="1:11" x14ac:dyDescent="0.25">
      <c r="B1550" s="115" t="s">
        <v>1241</v>
      </c>
      <c r="D1550" s="115" t="s">
        <v>8710</v>
      </c>
      <c r="E1550" s="115" t="s">
        <v>1242</v>
      </c>
      <c r="F1550" s="115">
        <v>0</v>
      </c>
      <c r="G1550" s="115">
        <v>0</v>
      </c>
      <c r="H1550" s="115">
        <v>0</v>
      </c>
      <c r="I1550" s="115">
        <v>0</v>
      </c>
      <c r="J1550" s="115">
        <v>0</v>
      </c>
      <c r="K1550" s="115">
        <v>0</v>
      </c>
    </row>
    <row r="1551" spans="1:11" x14ac:dyDescent="0.25">
      <c r="B1551" s="115" t="s">
        <v>1241</v>
      </c>
      <c r="D1551" s="115" t="s">
        <v>8710</v>
      </c>
      <c r="E1551" s="115" t="s">
        <v>1242</v>
      </c>
      <c r="F1551" s="115">
        <v>0</v>
      </c>
      <c r="G1551" s="115">
        <v>0</v>
      </c>
      <c r="H1551" s="115">
        <v>0</v>
      </c>
      <c r="I1551" s="115">
        <v>0</v>
      </c>
      <c r="J1551" s="115">
        <v>0</v>
      </c>
      <c r="K1551" s="115">
        <v>0</v>
      </c>
    </row>
    <row r="1552" spans="1:11" x14ac:dyDescent="0.25">
      <c r="B1552" s="115" t="s">
        <v>1241</v>
      </c>
      <c r="D1552" s="115" t="s">
        <v>8710</v>
      </c>
      <c r="E1552" s="115" t="s">
        <v>1242</v>
      </c>
      <c r="F1552" s="115">
        <v>0</v>
      </c>
      <c r="G1552" s="115">
        <v>0</v>
      </c>
      <c r="H1552" s="115">
        <v>0</v>
      </c>
      <c r="I1552" s="115">
        <v>0</v>
      </c>
      <c r="J1552" s="115">
        <v>0</v>
      </c>
      <c r="K1552" s="115">
        <v>0</v>
      </c>
    </row>
    <row r="1553" spans="2:11" x14ac:dyDescent="0.25">
      <c r="B1553" s="115" t="s">
        <v>1241</v>
      </c>
      <c r="D1553" s="115" t="s">
        <v>8710</v>
      </c>
      <c r="E1553" s="115" t="s">
        <v>1242</v>
      </c>
      <c r="F1553" s="115">
        <v>0</v>
      </c>
      <c r="G1553" s="115">
        <v>0</v>
      </c>
      <c r="H1553" s="115">
        <v>0</v>
      </c>
      <c r="I1553" s="115">
        <v>0</v>
      </c>
      <c r="J1553" s="115">
        <v>0</v>
      </c>
      <c r="K1553" s="115">
        <v>0</v>
      </c>
    </row>
    <row r="1554" spans="2:11" x14ac:dyDescent="0.25">
      <c r="B1554" s="115" t="s">
        <v>1241</v>
      </c>
      <c r="D1554" s="115" t="s">
        <v>8710</v>
      </c>
      <c r="E1554" s="115" t="s">
        <v>1242</v>
      </c>
      <c r="F1554" s="115">
        <v>0</v>
      </c>
      <c r="G1554" s="115">
        <v>0</v>
      </c>
      <c r="H1554" s="115">
        <v>0</v>
      </c>
      <c r="I1554" s="115">
        <v>0</v>
      </c>
      <c r="J1554" s="115">
        <v>0</v>
      </c>
      <c r="K1554" s="115">
        <v>0</v>
      </c>
    </row>
    <row r="1555" spans="2:11" x14ac:dyDescent="0.25">
      <c r="B1555" s="115" t="s">
        <v>1241</v>
      </c>
      <c r="D1555" s="115" t="s">
        <v>8710</v>
      </c>
      <c r="E1555" s="115" t="s">
        <v>1242</v>
      </c>
      <c r="F1555" s="115">
        <v>0</v>
      </c>
      <c r="G1555" s="115">
        <v>0</v>
      </c>
      <c r="H1555" s="115">
        <v>0</v>
      </c>
      <c r="I1555" s="115">
        <v>0</v>
      </c>
      <c r="J1555" s="115">
        <v>0</v>
      </c>
      <c r="K1555" s="115">
        <v>0</v>
      </c>
    </row>
    <row r="1556" spans="2:11" x14ac:dyDescent="0.25">
      <c r="B1556" s="115" t="s">
        <v>1241</v>
      </c>
      <c r="D1556" s="115" t="s">
        <v>8710</v>
      </c>
      <c r="E1556" s="115" t="s">
        <v>1242</v>
      </c>
      <c r="F1556" s="115">
        <v>0</v>
      </c>
      <c r="G1556" s="115">
        <v>0</v>
      </c>
      <c r="H1556" s="115">
        <v>0</v>
      </c>
      <c r="I1556" s="115">
        <v>0</v>
      </c>
      <c r="J1556" s="115">
        <v>0</v>
      </c>
      <c r="K1556" s="115">
        <v>0</v>
      </c>
    </row>
    <row r="1557" spans="2:11" x14ac:dyDescent="0.25">
      <c r="B1557" s="115" t="s">
        <v>1241</v>
      </c>
      <c r="D1557" s="115" t="s">
        <v>8710</v>
      </c>
      <c r="E1557" s="115" t="s">
        <v>1242</v>
      </c>
      <c r="F1557" s="115">
        <v>0</v>
      </c>
      <c r="G1557" s="115">
        <v>0</v>
      </c>
      <c r="H1557" s="115">
        <v>0</v>
      </c>
      <c r="I1557" s="115">
        <v>0</v>
      </c>
      <c r="J1557" s="115">
        <v>0</v>
      </c>
      <c r="K1557" s="115">
        <v>0</v>
      </c>
    </row>
    <row r="1558" spans="2:11" x14ac:dyDescent="0.25">
      <c r="B1558" s="115" t="s">
        <v>1241</v>
      </c>
      <c r="D1558" s="115" t="s">
        <v>8710</v>
      </c>
      <c r="E1558" s="115" t="s">
        <v>1242</v>
      </c>
      <c r="F1558" s="115">
        <v>0</v>
      </c>
      <c r="G1558" s="115">
        <v>0</v>
      </c>
      <c r="H1558" s="115">
        <v>0</v>
      </c>
      <c r="I1558" s="115">
        <v>0</v>
      </c>
      <c r="J1558" s="115">
        <v>0</v>
      </c>
      <c r="K1558" s="115">
        <v>0</v>
      </c>
    </row>
    <row r="1559" spans="2:11" x14ac:dyDescent="0.25">
      <c r="B1559" s="115" t="s">
        <v>1241</v>
      </c>
      <c r="D1559" s="115" t="s">
        <v>8710</v>
      </c>
      <c r="E1559" s="115" t="s">
        <v>1242</v>
      </c>
      <c r="F1559" s="115">
        <v>0</v>
      </c>
      <c r="G1559" s="115">
        <v>0</v>
      </c>
      <c r="H1559" s="115">
        <v>0</v>
      </c>
      <c r="I1559" s="115">
        <v>0</v>
      </c>
      <c r="J1559" s="115">
        <v>0</v>
      </c>
      <c r="K1559" s="115">
        <v>0</v>
      </c>
    </row>
    <row r="1560" spans="2:11" x14ac:dyDescent="0.25">
      <c r="B1560" s="115" t="s">
        <v>1241</v>
      </c>
      <c r="D1560" s="115" t="s">
        <v>8710</v>
      </c>
      <c r="E1560" s="115" t="s">
        <v>1242</v>
      </c>
      <c r="F1560" s="115">
        <v>0</v>
      </c>
      <c r="G1560" s="115">
        <v>0</v>
      </c>
      <c r="H1560" s="115">
        <v>0</v>
      </c>
      <c r="I1560" s="115">
        <v>0</v>
      </c>
      <c r="J1560" s="115">
        <v>0</v>
      </c>
      <c r="K1560" s="115">
        <v>0</v>
      </c>
    </row>
    <row r="1561" spans="2:11" x14ac:dyDescent="0.25">
      <c r="B1561" s="115" t="s">
        <v>1241</v>
      </c>
      <c r="D1561" s="115" t="s">
        <v>8710</v>
      </c>
      <c r="E1561" s="115" t="s">
        <v>1242</v>
      </c>
      <c r="F1561" s="115">
        <v>0</v>
      </c>
      <c r="G1561" s="115">
        <v>0</v>
      </c>
      <c r="H1561" s="115">
        <v>0</v>
      </c>
      <c r="I1561" s="115">
        <v>0</v>
      </c>
      <c r="J1561" s="115">
        <v>0</v>
      </c>
      <c r="K1561" s="115">
        <v>0</v>
      </c>
    </row>
    <row r="1562" spans="2:11" x14ac:dyDescent="0.25">
      <c r="B1562" s="115" t="s">
        <v>1241</v>
      </c>
      <c r="D1562" s="115" t="s">
        <v>8710</v>
      </c>
      <c r="E1562" s="115" t="s">
        <v>1242</v>
      </c>
      <c r="F1562" s="115">
        <v>0</v>
      </c>
      <c r="G1562" s="115">
        <v>0</v>
      </c>
      <c r="H1562" s="115">
        <v>0</v>
      </c>
      <c r="I1562" s="115">
        <v>0</v>
      </c>
      <c r="J1562" s="115">
        <v>0</v>
      </c>
      <c r="K1562" s="115">
        <v>0</v>
      </c>
    </row>
    <row r="1563" spans="2:11" x14ac:dyDescent="0.25">
      <c r="B1563" s="115" t="s">
        <v>1241</v>
      </c>
      <c r="D1563" s="115" t="s">
        <v>8710</v>
      </c>
      <c r="E1563" s="115" t="s">
        <v>1242</v>
      </c>
      <c r="F1563" s="115">
        <v>0</v>
      </c>
      <c r="G1563" s="115">
        <v>0</v>
      </c>
      <c r="H1563" s="115">
        <v>0</v>
      </c>
      <c r="I1563" s="115">
        <v>0</v>
      </c>
      <c r="J1563" s="115">
        <v>0</v>
      </c>
      <c r="K1563" s="115">
        <v>0</v>
      </c>
    </row>
    <row r="1564" spans="2:11" x14ac:dyDescent="0.25">
      <c r="B1564" s="115" t="s">
        <v>1241</v>
      </c>
      <c r="D1564" s="115" t="s">
        <v>8710</v>
      </c>
      <c r="E1564" s="115" t="s">
        <v>1242</v>
      </c>
      <c r="F1564" s="115">
        <v>0</v>
      </c>
      <c r="G1564" s="115">
        <v>0</v>
      </c>
      <c r="H1564" s="115">
        <v>0</v>
      </c>
      <c r="I1564" s="115">
        <v>0</v>
      </c>
      <c r="J1564" s="115">
        <v>0</v>
      </c>
      <c r="K1564" s="115">
        <v>0</v>
      </c>
    </row>
    <row r="1565" spans="2:11" x14ac:dyDescent="0.25">
      <c r="B1565" s="115" t="s">
        <v>1241</v>
      </c>
      <c r="D1565" s="115" t="s">
        <v>8710</v>
      </c>
      <c r="E1565" s="115" t="s">
        <v>1242</v>
      </c>
      <c r="F1565" s="115">
        <v>0</v>
      </c>
      <c r="G1565" s="115">
        <v>0</v>
      </c>
      <c r="H1565" s="115">
        <v>0</v>
      </c>
      <c r="I1565" s="115">
        <v>0</v>
      </c>
      <c r="J1565" s="115">
        <v>0</v>
      </c>
      <c r="K1565" s="115">
        <v>0</v>
      </c>
    </row>
    <row r="1566" spans="2:11" x14ac:dyDescent="0.25">
      <c r="B1566" s="115" t="s">
        <v>1241</v>
      </c>
      <c r="D1566" s="115" t="s">
        <v>8710</v>
      </c>
      <c r="E1566" s="115" t="s">
        <v>1242</v>
      </c>
      <c r="F1566" s="115">
        <v>0</v>
      </c>
      <c r="G1566" s="115">
        <v>0</v>
      </c>
      <c r="H1566" s="115">
        <v>0</v>
      </c>
      <c r="I1566" s="115">
        <v>0</v>
      </c>
      <c r="J1566" s="115">
        <v>0</v>
      </c>
      <c r="K1566" s="115">
        <v>0</v>
      </c>
    </row>
    <row r="1567" spans="2:11" x14ac:dyDescent="0.25">
      <c r="B1567" s="115" t="s">
        <v>1241</v>
      </c>
      <c r="D1567" s="115" t="s">
        <v>8710</v>
      </c>
      <c r="E1567" s="115" t="s">
        <v>1242</v>
      </c>
      <c r="F1567" s="115">
        <v>0</v>
      </c>
      <c r="G1567" s="115">
        <v>0</v>
      </c>
      <c r="H1567" s="115">
        <v>0</v>
      </c>
      <c r="I1567" s="115">
        <v>0</v>
      </c>
      <c r="J1567" s="115">
        <v>0</v>
      </c>
      <c r="K1567" s="115">
        <v>0</v>
      </c>
    </row>
    <row r="1568" spans="2:11" x14ac:dyDescent="0.25">
      <c r="B1568" s="115" t="s">
        <v>1241</v>
      </c>
      <c r="D1568" s="115" t="s">
        <v>8710</v>
      </c>
      <c r="E1568" s="115" t="s">
        <v>1242</v>
      </c>
      <c r="F1568" s="115">
        <v>0</v>
      </c>
      <c r="G1568" s="115">
        <v>0</v>
      </c>
      <c r="H1568" s="115">
        <v>0</v>
      </c>
      <c r="I1568" s="115">
        <v>0</v>
      </c>
      <c r="J1568" s="115">
        <v>0</v>
      </c>
      <c r="K1568" s="115">
        <v>0</v>
      </c>
    </row>
    <row r="1569" spans="2:11" x14ac:dyDescent="0.25">
      <c r="B1569" s="115" t="s">
        <v>1241</v>
      </c>
      <c r="D1569" s="115" t="s">
        <v>8710</v>
      </c>
      <c r="E1569" s="115" t="s">
        <v>1242</v>
      </c>
      <c r="F1569" s="115">
        <v>0</v>
      </c>
      <c r="G1569" s="115">
        <v>0</v>
      </c>
      <c r="H1569" s="115">
        <v>0</v>
      </c>
      <c r="I1569" s="115">
        <v>0</v>
      </c>
      <c r="J1569" s="115">
        <v>0</v>
      </c>
      <c r="K1569" s="115">
        <v>0</v>
      </c>
    </row>
    <row r="1570" spans="2:11" x14ac:dyDescent="0.25">
      <c r="B1570" s="115" t="s">
        <v>1241</v>
      </c>
      <c r="D1570" s="115" t="s">
        <v>8710</v>
      </c>
      <c r="E1570" s="115" t="s">
        <v>1242</v>
      </c>
      <c r="F1570" s="115">
        <v>0</v>
      </c>
      <c r="G1570" s="115">
        <v>0</v>
      </c>
      <c r="H1570" s="115">
        <v>0</v>
      </c>
      <c r="I1570" s="115">
        <v>0</v>
      </c>
      <c r="J1570" s="115">
        <v>0</v>
      </c>
      <c r="K1570" s="115">
        <v>0</v>
      </c>
    </row>
    <row r="1571" spans="2:11" x14ac:dyDescent="0.25">
      <c r="B1571" s="115" t="s">
        <v>1241</v>
      </c>
      <c r="D1571" s="115" t="s">
        <v>8710</v>
      </c>
      <c r="E1571" s="115" t="s">
        <v>1242</v>
      </c>
      <c r="F1571" s="115">
        <v>0</v>
      </c>
      <c r="G1571" s="115">
        <v>0</v>
      </c>
      <c r="H1571" s="115">
        <v>0</v>
      </c>
      <c r="I1571" s="115">
        <v>0</v>
      </c>
      <c r="J1571" s="115">
        <v>0</v>
      </c>
      <c r="K1571" s="115">
        <v>0</v>
      </c>
    </row>
    <row r="1572" spans="2:11" x14ac:dyDescent="0.25">
      <c r="B1572" s="115" t="s">
        <v>1241</v>
      </c>
      <c r="D1572" s="115" t="s">
        <v>8710</v>
      </c>
      <c r="E1572" s="115" t="s">
        <v>1242</v>
      </c>
      <c r="F1572" s="115">
        <v>0</v>
      </c>
      <c r="G1572" s="115">
        <v>0</v>
      </c>
      <c r="H1572" s="115">
        <v>0</v>
      </c>
      <c r="I1572" s="115">
        <v>0</v>
      </c>
      <c r="J1572" s="115">
        <v>0</v>
      </c>
      <c r="K1572" s="115">
        <v>0</v>
      </c>
    </row>
    <row r="1573" spans="2:11" x14ac:dyDescent="0.25">
      <c r="B1573" s="115" t="s">
        <v>1241</v>
      </c>
      <c r="D1573" s="115" t="s">
        <v>8710</v>
      </c>
      <c r="E1573" s="115" t="s">
        <v>1242</v>
      </c>
      <c r="F1573" s="115">
        <v>0</v>
      </c>
      <c r="G1573" s="115">
        <v>0</v>
      </c>
      <c r="H1573" s="115">
        <v>0</v>
      </c>
      <c r="I1573" s="115">
        <v>0</v>
      </c>
      <c r="J1573" s="115">
        <v>0</v>
      </c>
      <c r="K1573" s="115">
        <v>0</v>
      </c>
    </row>
    <row r="1574" spans="2:11" x14ac:dyDescent="0.25">
      <c r="B1574" s="115" t="s">
        <v>1241</v>
      </c>
      <c r="D1574" s="115" t="s">
        <v>8710</v>
      </c>
      <c r="E1574" s="115" t="s">
        <v>1242</v>
      </c>
      <c r="F1574" s="115">
        <v>0</v>
      </c>
      <c r="G1574" s="115">
        <v>0</v>
      </c>
      <c r="H1574" s="115">
        <v>0</v>
      </c>
      <c r="I1574" s="115">
        <v>0</v>
      </c>
      <c r="J1574" s="115">
        <v>0</v>
      </c>
      <c r="K1574" s="115">
        <v>0</v>
      </c>
    </row>
    <row r="1575" spans="2:11" x14ac:dyDescent="0.25">
      <c r="B1575" s="115" t="s">
        <v>1241</v>
      </c>
      <c r="D1575" s="115" t="s">
        <v>8710</v>
      </c>
      <c r="E1575" s="115" t="s">
        <v>1242</v>
      </c>
      <c r="F1575" s="115">
        <v>0</v>
      </c>
      <c r="G1575" s="115">
        <v>0</v>
      </c>
      <c r="H1575" s="115">
        <v>0</v>
      </c>
      <c r="I1575" s="115">
        <v>0</v>
      </c>
      <c r="J1575" s="115">
        <v>0</v>
      </c>
      <c r="K1575" s="115">
        <v>0</v>
      </c>
    </row>
    <row r="1576" spans="2:11" x14ac:dyDescent="0.25">
      <c r="B1576" s="115" t="s">
        <v>1241</v>
      </c>
      <c r="D1576" s="115" t="s">
        <v>8710</v>
      </c>
      <c r="E1576" s="115" t="s">
        <v>1242</v>
      </c>
      <c r="F1576" s="115">
        <v>0</v>
      </c>
      <c r="G1576" s="115">
        <v>0</v>
      </c>
      <c r="H1576" s="115">
        <v>0</v>
      </c>
      <c r="I1576" s="115">
        <v>0</v>
      </c>
      <c r="J1576" s="115">
        <v>0</v>
      </c>
      <c r="K1576" s="115">
        <v>0</v>
      </c>
    </row>
    <row r="1577" spans="2:11" x14ac:dyDescent="0.25">
      <c r="B1577" s="115" t="s">
        <v>1241</v>
      </c>
      <c r="D1577" s="115" t="s">
        <v>8710</v>
      </c>
      <c r="E1577" s="115" t="s">
        <v>1242</v>
      </c>
      <c r="F1577" s="115">
        <v>0</v>
      </c>
      <c r="G1577" s="115">
        <v>0</v>
      </c>
      <c r="H1577" s="115">
        <v>0</v>
      </c>
      <c r="I1577" s="115">
        <v>0</v>
      </c>
      <c r="J1577" s="115">
        <v>0</v>
      </c>
      <c r="K1577" s="115">
        <v>0</v>
      </c>
    </row>
    <row r="1578" spans="2:11" x14ac:dyDescent="0.25">
      <c r="B1578" s="115" t="s">
        <v>1241</v>
      </c>
      <c r="D1578" s="115" t="s">
        <v>8710</v>
      </c>
      <c r="E1578" s="115" t="s">
        <v>1242</v>
      </c>
      <c r="F1578" s="115">
        <v>0</v>
      </c>
      <c r="G1578" s="115">
        <v>0</v>
      </c>
      <c r="H1578" s="115">
        <v>0</v>
      </c>
      <c r="I1578" s="115">
        <v>0</v>
      </c>
      <c r="J1578" s="115">
        <v>0</v>
      </c>
      <c r="K1578" s="115">
        <v>0</v>
      </c>
    </row>
    <row r="1579" spans="2:11" x14ac:dyDescent="0.25">
      <c r="B1579" s="115" t="s">
        <v>1241</v>
      </c>
      <c r="D1579" s="115" t="s">
        <v>8710</v>
      </c>
      <c r="E1579" s="115" t="s">
        <v>1242</v>
      </c>
      <c r="F1579" s="115">
        <v>0</v>
      </c>
      <c r="G1579" s="115">
        <v>0</v>
      </c>
      <c r="H1579" s="115">
        <v>0</v>
      </c>
      <c r="I1579" s="115">
        <v>0</v>
      </c>
      <c r="J1579" s="115">
        <v>0</v>
      </c>
      <c r="K1579" s="115">
        <v>0</v>
      </c>
    </row>
    <row r="1580" spans="2:11" x14ac:dyDescent="0.25">
      <c r="B1580" s="115" t="s">
        <v>1241</v>
      </c>
      <c r="D1580" s="115" t="s">
        <v>8710</v>
      </c>
      <c r="E1580" s="115" t="s">
        <v>1242</v>
      </c>
      <c r="F1580" s="115">
        <v>0</v>
      </c>
      <c r="G1580" s="115">
        <v>0</v>
      </c>
      <c r="H1580" s="115">
        <v>0</v>
      </c>
      <c r="I1580" s="115">
        <v>0</v>
      </c>
      <c r="J1580" s="115">
        <v>0</v>
      </c>
      <c r="K1580" s="115">
        <v>0</v>
      </c>
    </row>
    <row r="1581" spans="2:11" x14ac:dyDescent="0.25">
      <c r="B1581" s="115" t="s">
        <v>1241</v>
      </c>
      <c r="D1581" s="115" t="s">
        <v>8710</v>
      </c>
      <c r="E1581" s="115" t="s">
        <v>1242</v>
      </c>
      <c r="F1581" s="115">
        <v>0</v>
      </c>
      <c r="G1581" s="115">
        <v>0</v>
      </c>
      <c r="H1581" s="115">
        <v>0</v>
      </c>
      <c r="I1581" s="115">
        <v>0</v>
      </c>
      <c r="J1581" s="115">
        <v>0</v>
      </c>
      <c r="K1581" s="115">
        <v>0</v>
      </c>
    </row>
    <row r="1582" spans="2:11" x14ac:dyDescent="0.25">
      <c r="B1582" s="115" t="s">
        <v>1241</v>
      </c>
      <c r="D1582" s="115" t="s">
        <v>8710</v>
      </c>
      <c r="E1582" s="115" t="s">
        <v>1242</v>
      </c>
      <c r="F1582" s="115">
        <v>0</v>
      </c>
      <c r="G1582" s="115">
        <v>0</v>
      </c>
      <c r="H1582" s="115">
        <v>0</v>
      </c>
      <c r="I1582" s="115">
        <v>0</v>
      </c>
      <c r="J1582" s="115">
        <v>0</v>
      </c>
      <c r="K1582" s="115">
        <v>0</v>
      </c>
    </row>
    <row r="1583" spans="2:11" x14ac:dyDescent="0.25">
      <c r="B1583" s="115" t="s">
        <v>1241</v>
      </c>
      <c r="D1583" s="115" t="s">
        <v>8710</v>
      </c>
      <c r="E1583" s="115" t="s">
        <v>1242</v>
      </c>
      <c r="F1583" s="115">
        <v>0</v>
      </c>
      <c r="G1583" s="115">
        <v>0</v>
      </c>
      <c r="H1583" s="115">
        <v>0</v>
      </c>
      <c r="I1583" s="115">
        <v>0</v>
      </c>
      <c r="J1583" s="115">
        <v>0</v>
      </c>
      <c r="K1583" s="115">
        <v>0</v>
      </c>
    </row>
    <row r="1584" spans="2:11" x14ac:dyDescent="0.25">
      <c r="B1584" s="115" t="s">
        <v>1241</v>
      </c>
      <c r="D1584" s="115" t="s">
        <v>8710</v>
      </c>
      <c r="E1584" s="115" t="s">
        <v>1242</v>
      </c>
      <c r="F1584" s="115">
        <v>0</v>
      </c>
      <c r="G1584" s="115">
        <v>0</v>
      </c>
      <c r="H1584" s="115">
        <v>0</v>
      </c>
      <c r="I1584" s="115">
        <v>0</v>
      </c>
      <c r="J1584" s="115">
        <v>0</v>
      </c>
      <c r="K1584" s="115">
        <v>0</v>
      </c>
    </row>
    <row r="1585" spans="2:11" x14ac:dyDescent="0.25">
      <c r="B1585" s="115" t="s">
        <v>1241</v>
      </c>
      <c r="D1585" s="115" t="s">
        <v>8710</v>
      </c>
      <c r="E1585" s="115" t="s">
        <v>1242</v>
      </c>
      <c r="F1585" s="115">
        <v>0</v>
      </c>
      <c r="G1585" s="115">
        <v>0</v>
      </c>
      <c r="H1585" s="115">
        <v>0</v>
      </c>
      <c r="I1585" s="115">
        <v>0</v>
      </c>
      <c r="J1585" s="115">
        <v>0</v>
      </c>
      <c r="K1585" s="115">
        <v>0</v>
      </c>
    </row>
    <row r="1586" spans="2:11" x14ac:dyDescent="0.25">
      <c r="B1586" s="115" t="s">
        <v>1241</v>
      </c>
      <c r="D1586" s="115" t="s">
        <v>8710</v>
      </c>
      <c r="E1586" s="115" t="s">
        <v>1242</v>
      </c>
      <c r="F1586" s="115">
        <v>0</v>
      </c>
      <c r="G1586" s="115">
        <v>0</v>
      </c>
      <c r="H1586" s="115">
        <v>0</v>
      </c>
      <c r="I1586" s="115">
        <v>0</v>
      </c>
      <c r="J1586" s="115">
        <v>0</v>
      </c>
      <c r="K1586" s="115">
        <v>0</v>
      </c>
    </row>
    <row r="1587" spans="2:11" x14ac:dyDescent="0.25">
      <c r="B1587" s="115" t="s">
        <v>1241</v>
      </c>
      <c r="D1587" s="115" t="s">
        <v>8710</v>
      </c>
      <c r="E1587" s="115" t="s">
        <v>1242</v>
      </c>
      <c r="F1587" s="115">
        <v>0</v>
      </c>
      <c r="G1587" s="115">
        <v>0</v>
      </c>
      <c r="H1587" s="115">
        <v>0</v>
      </c>
      <c r="I1587" s="115">
        <v>0</v>
      </c>
      <c r="J1587" s="115">
        <v>0</v>
      </c>
      <c r="K1587" s="115">
        <v>0</v>
      </c>
    </row>
    <row r="1588" spans="2:11" x14ac:dyDescent="0.25">
      <c r="B1588" s="115" t="s">
        <v>1241</v>
      </c>
      <c r="D1588" s="115" t="s">
        <v>8710</v>
      </c>
      <c r="E1588" s="115" t="s">
        <v>1242</v>
      </c>
      <c r="F1588" s="115">
        <v>0</v>
      </c>
      <c r="G1588" s="115">
        <v>0</v>
      </c>
      <c r="H1588" s="115">
        <v>0</v>
      </c>
      <c r="I1588" s="115">
        <v>0</v>
      </c>
      <c r="J1588" s="115">
        <v>0</v>
      </c>
      <c r="K1588" s="115">
        <v>0</v>
      </c>
    </row>
    <row r="1589" spans="2:11" x14ac:dyDescent="0.25">
      <c r="B1589" s="115" t="s">
        <v>1241</v>
      </c>
      <c r="D1589" s="115" t="s">
        <v>8710</v>
      </c>
      <c r="E1589" s="115" t="s">
        <v>1242</v>
      </c>
      <c r="F1589" s="115">
        <v>0</v>
      </c>
      <c r="G1589" s="115">
        <v>0</v>
      </c>
      <c r="H1589" s="115">
        <v>0</v>
      </c>
      <c r="I1589" s="115">
        <v>0</v>
      </c>
      <c r="J1589" s="115">
        <v>0</v>
      </c>
      <c r="K1589" s="115">
        <v>0</v>
      </c>
    </row>
    <row r="1590" spans="2:11" x14ac:dyDescent="0.25">
      <c r="B1590" s="115" t="s">
        <v>1241</v>
      </c>
      <c r="D1590" s="115" t="s">
        <v>8710</v>
      </c>
      <c r="E1590" s="115" t="s">
        <v>1242</v>
      </c>
      <c r="F1590" s="115">
        <v>0</v>
      </c>
      <c r="G1590" s="115">
        <v>0</v>
      </c>
      <c r="H1590" s="115">
        <v>0</v>
      </c>
      <c r="I1590" s="115">
        <v>0</v>
      </c>
      <c r="J1590" s="115">
        <v>0</v>
      </c>
      <c r="K1590" s="115">
        <v>0</v>
      </c>
    </row>
    <row r="1591" spans="2:11" x14ac:dyDescent="0.25">
      <c r="B1591" s="115" t="s">
        <v>1241</v>
      </c>
      <c r="D1591" s="115" t="s">
        <v>8710</v>
      </c>
      <c r="E1591" s="115" t="s">
        <v>1242</v>
      </c>
      <c r="F1591" s="115">
        <v>0</v>
      </c>
      <c r="G1591" s="115">
        <v>0</v>
      </c>
      <c r="H1591" s="115">
        <v>0</v>
      </c>
      <c r="I1591" s="115">
        <v>0</v>
      </c>
      <c r="J1591" s="115">
        <v>0</v>
      </c>
      <c r="K1591" s="115">
        <v>0</v>
      </c>
    </row>
    <row r="1592" spans="2:11" x14ac:dyDescent="0.25">
      <c r="B1592" s="115" t="s">
        <v>1241</v>
      </c>
      <c r="D1592" s="115" t="s">
        <v>8710</v>
      </c>
      <c r="E1592" s="115" t="s">
        <v>1242</v>
      </c>
      <c r="F1592" s="115">
        <v>0</v>
      </c>
      <c r="G1592" s="115">
        <v>0</v>
      </c>
      <c r="H1592" s="115">
        <v>0</v>
      </c>
      <c r="I1592" s="115">
        <v>0</v>
      </c>
      <c r="J1592" s="115">
        <v>0</v>
      </c>
      <c r="K1592" s="115">
        <v>0</v>
      </c>
    </row>
    <row r="1593" spans="2:11" x14ac:dyDescent="0.25">
      <c r="B1593" s="115" t="s">
        <v>1241</v>
      </c>
      <c r="D1593" s="115" t="s">
        <v>8710</v>
      </c>
      <c r="E1593" s="115" t="s">
        <v>1242</v>
      </c>
      <c r="F1593" s="115">
        <v>0</v>
      </c>
      <c r="G1593" s="115">
        <v>0</v>
      </c>
      <c r="H1593" s="115">
        <v>0</v>
      </c>
      <c r="I1593" s="115">
        <v>0</v>
      </c>
      <c r="J1593" s="115">
        <v>0</v>
      </c>
      <c r="K1593" s="115">
        <v>0</v>
      </c>
    </row>
    <row r="1594" spans="2:11" x14ac:dyDescent="0.25">
      <c r="B1594" s="115" t="s">
        <v>1241</v>
      </c>
      <c r="D1594" s="115" t="s">
        <v>8710</v>
      </c>
      <c r="E1594" s="115" t="s">
        <v>1242</v>
      </c>
      <c r="F1594" s="115">
        <v>0</v>
      </c>
      <c r="G1594" s="115">
        <v>0</v>
      </c>
      <c r="H1594" s="115">
        <v>0</v>
      </c>
      <c r="I1594" s="115">
        <v>0</v>
      </c>
      <c r="J1594" s="115">
        <v>0</v>
      </c>
      <c r="K1594" s="115">
        <v>0</v>
      </c>
    </row>
    <row r="1595" spans="2:11" x14ac:dyDescent="0.25">
      <c r="B1595" s="115" t="s">
        <v>1241</v>
      </c>
      <c r="D1595" s="115" t="s">
        <v>8710</v>
      </c>
      <c r="E1595" s="115" t="s">
        <v>1242</v>
      </c>
      <c r="F1595" s="115">
        <v>0</v>
      </c>
      <c r="G1595" s="115">
        <v>0</v>
      </c>
      <c r="H1595" s="115">
        <v>0</v>
      </c>
      <c r="I1595" s="115">
        <v>0</v>
      </c>
      <c r="J1595" s="115">
        <v>0</v>
      </c>
      <c r="K1595" s="115">
        <v>0</v>
      </c>
    </row>
    <row r="1596" spans="2:11" x14ac:dyDescent="0.25">
      <c r="B1596" s="115" t="s">
        <v>1241</v>
      </c>
      <c r="D1596" s="115" t="s">
        <v>8710</v>
      </c>
      <c r="E1596" s="115" t="s">
        <v>1242</v>
      </c>
      <c r="F1596" s="115">
        <v>0</v>
      </c>
      <c r="G1596" s="115">
        <v>0</v>
      </c>
      <c r="H1596" s="115">
        <v>0</v>
      </c>
      <c r="I1596" s="115">
        <v>0</v>
      </c>
      <c r="J1596" s="115">
        <v>0</v>
      </c>
      <c r="K1596" s="115">
        <v>0</v>
      </c>
    </row>
    <row r="1597" spans="2:11" x14ac:dyDescent="0.25">
      <c r="B1597" s="115" t="s">
        <v>1241</v>
      </c>
      <c r="D1597" s="115" t="s">
        <v>8710</v>
      </c>
      <c r="E1597" s="115" t="s">
        <v>1242</v>
      </c>
      <c r="F1597" s="115">
        <v>0</v>
      </c>
      <c r="G1597" s="115">
        <v>0</v>
      </c>
      <c r="H1597" s="115">
        <v>0</v>
      </c>
      <c r="I1597" s="115">
        <v>0</v>
      </c>
      <c r="J1597" s="115">
        <v>0</v>
      </c>
      <c r="K1597" s="115">
        <v>0</v>
      </c>
    </row>
    <row r="1598" spans="2:11" x14ac:dyDescent="0.25">
      <c r="B1598" s="115" t="s">
        <v>1241</v>
      </c>
      <c r="D1598" s="115" t="s">
        <v>8710</v>
      </c>
      <c r="E1598" s="115" t="s">
        <v>1242</v>
      </c>
      <c r="F1598" s="115">
        <v>0</v>
      </c>
      <c r="G1598" s="115">
        <v>0</v>
      </c>
      <c r="H1598" s="115">
        <v>0</v>
      </c>
      <c r="I1598" s="115">
        <v>0</v>
      </c>
      <c r="J1598" s="115">
        <v>0</v>
      </c>
      <c r="K1598" s="115">
        <v>0</v>
      </c>
    </row>
    <row r="1599" spans="2:11" x14ac:dyDescent="0.25">
      <c r="B1599" s="115" t="s">
        <v>1241</v>
      </c>
      <c r="D1599" s="115" t="s">
        <v>8710</v>
      </c>
      <c r="E1599" s="115" t="s">
        <v>1242</v>
      </c>
      <c r="F1599" s="115">
        <v>0</v>
      </c>
      <c r="G1599" s="115">
        <v>0</v>
      </c>
      <c r="H1599" s="115">
        <v>0</v>
      </c>
      <c r="I1599" s="115">
        <v>0</v>
      </c>
      <c r="J1599" s="115">
        <v>0</v>
      </c>
      <c r="K1599" s="115">
        <v>0</v>
      </c>
    </row>
    <row r="1600" spans="2:11" x14ac:dyDescent="0.25">
      <c r="B1600" s="115" t="s">
        <v>1241</v>
      </c>
      <c r="D1600" s="115" t="s">
        <v>8710</v>
      </c>
      <c r="E1600" s="115" t="s">
        <v>1242</v>
      </c>
      <c r="F1600" s="115">
        <v>0</v>
      </c>
      <c r="G1600" s="115">
        <v>0</v>
      </c>
      <c r="H1600" s="115">
        <v>0</v>
      </c>
      <c r="I1600" s="115">
        <v>0</v>
      </c>
      <c r="J1600" s="115">
        <v>0</v>
      </c>
      <c r="K1600" s="115">
        <v>0</v>
      </c>
    </row>
    <row r="1601" spans="2:11" x14ac:dyDescent="0.25">
      <c r="B1601" s="115" t="s">
        <v>1241</v>
      </c>
      <c r="D1601" s="115" t="s">
        <v>8710</v>
      </c>
      <c r="E1601" s="115" t="s">
        <v>1242</v>
      </c>
      <c r="F1601" s="115">
        <v>0</v>
      </c>
      <c r="G1601" s="115">
        <v>0</v>
      </c>
      <c r="H1601" s="115">
        <v>0</v>
      </c>
      <c r="I1601" s="115">
        <v>0</v>
      </c>
      <c r="J1601" s="115">
        <v>0</v>
      </c>
      <c r="K1601" s="115">
        <v>0</v>
      </c>
    </row>
    <row r="1602" spans="2:11" x14ac:dyDescent="0.25">
      <c r="B1602" s="115" t="s">
        <v>1241</v>
      </c>
      <c r="D1602" s="115" t="s">
        <v>8710</v>
      </c>
      <c r="E1602" s="115" t="s">
        <v>1242</v>
      </c>
      <c r="F1602" s="115">
        <v>0</v>
      </c>
      <c r="G1602" s="115">
        <v>0</v>
      </c>
      <c r="H1602" s="115">
        <v>0</v>
      </c>
      <c r="I1602" s="115">
        <v>0</v>
      </c>
      <c r="J1602" s="115">
        <v>0</v>
      </c>
      <c r="K1602" s="115">
        <v>0</v>
      </c>
    </row>
    <row r="1603" spans="2:11" x14ac:dyDescent="0.25">
      <c r="B1603" s="115" t="s">
        <v>1241</v>
      </c>
      <c r="D1603" s="115" t="s">
        <v>8710</v>
      </c>
      <c r="E1603" s="115" t="s">
        <v>1242</v>
      </c>
      <c r="F1603" s="115">
        <v>0</v>
      </c>
      <c r="G1603" s="115">
        <v>0</v>
      </c>
      <c r="H1603" s="115">
        <v>0</v>
      </c>
      <c r="I1603" s="115">
        <v>0</v>
      </c>
      <c r="J1603" s="115">
        <v>0</v>
      </c>
      <c r="K1603" s="115">
        <v>0</v>
      </c>
    </row>
    <row r="1604" spans="2:11" x14ac:dyDescent="0.25">
      <c r="B1604" s="115" t="s">
        <v>1241</v>
      </c>
      <c r="D1604" s="115" t="s">
        <v>8710</v>
      </c>
      <c r="E1604" s="115" t="s">
        <v>1242</v>
      </c>
      <c r="F1604" s="115">
        <v>0</v>
      </c>
      <c r="G1604" s="115">
        <v>0</v>
      </c>
      <c r="H1604" s="115">
        <v>0</v>
      </c>
      <c r="I1604" s="115">
        <v>0</v>
      </c>
      <c r="J1604" s="115">
        <v>0</v>
      </c>
      <c r="K1604" s="115">
        <v>0</v>
      </c>
    </row>
    <row r="1605" spans="2:11" x14ac:dyDescent="0.25">
      <c r="B1605" s="115" t="s">
        <v>1241</v>
      </c>
      <c r="D1605" s="115" t="s">
        <v>8710</v>
      </c>
      <c r="E1605" s="115" t="s">
        <v>1242</v>
      </c>
      <c r="F1605" s="115">
        <v>0</v>
      </c>
      <c r="G1605" s="115">
        <v>0</v>
      </c>
      <c r="H1605" s="115">
        <v>0</v>
      </c>
      <c r="I1605" s="115">
        <v>0</v>
      </c>
      <c r="J1605" s="115">
        <v>0</v>
      </c>
      <c r="K1605" s="115">
        <v>0</v>
      </c>
    </row>
    <row r="1606" spans="2:11" x14ac:dyDescent="0.25">
      <c r="B1606" s="115" t="s">
        <v>1241</v>
      </c>
      <c r="D1606" s="115" t="s">
        <v>8710</v>
      </c>
      <c r="E1606" s="115" t="s">
        <v>1242</v>
      </c>
      <c r="F1606" s="115">
        <v>0</v>
      </c>
      <c r="G1606" s="115">
        <v>0</v>
      </c>
      <c r="H1606" s="115">
        <v>0</v>
      </c>
      <c r="I1606" s="115">
        <v>0</v>
      </c>
      <c r="J1606" s="115">
        <v>0</v>
      </c>
      <c r="K1606" s="115">
        <v>0</v>
      </c>
    </row>
    <row r="1607" spans="2:11" x14ac:dyDescent="0.25">
      <c r="B1607" s="115" t="s">
        <v>1241</v>
      </c>
      <c r="D1607" s="115" t="s">
        <v>8710</v>
      </c>
      <c r="E1607" s="115" t="s">
        <v>1242</v>
      </c>
      <c r="F1607" s="115">
        <v>0</v>
      </c>
      <c r="G1607" s="115">
        <v>0</v>
      </c>
      <c r="H1607" s="115">
        <v>0</v>
      </c>
      <c r="I1607" s="115">
        <v>0</v>
      </c>
      <c r="J1607" s="115">
        <v>0</v>
      </c>
      <c r="K1607" s="115">
        <v>0</v>
      </c>
    </row>
    <row r="1608" spans="2:11" x14ac:dyDescent="0.25">
      <c r="B1608" s="115" t="s">
        <v>1241</v>
      </c>
      <c r="D1608" s="115" t="s">
        <v>8710</v>
      </c>
      <c r="E1608" s="115" t="s">
        <v>1242</v>
      </c>
      <c r="F1608" s="115">
        <v>0</v>
      </c>
      <c r="G1608" s="115">
        <v>0</v>
      </c>
      <c r="H1608" s="115">
        <v>0</v>
      </c>
      <c r="I1608" s="115">
        <v>0</v>
      </c>
      <c r="J1608" s="115">
        <v>0</v>
      </c>
      <c r="K1608" s="115">
        <v>0</v>
      </c>
    </row>
    <row r="1609" spans="2:11" x14ac:dyDescent="0.25">
      <c r="B1609" s="115" t="s">
        <v>1241</v>
      </c>
      <c r="D1609" s="115" t="s">
        <v>8710</v>
      </c>
      <c r="E1609" s="115" t="s">
        <v>1242</v>
      </c>
      <c r="F1609" s="115">
        <v>0</v>
      </c>
      <c r="G1609" s="115">
        <v>0</v>
      </c>
      <c r="H1609" s="115">
        <v>0</v>
      </c>
      <c r="I1609" s="115">
        <v>0</v>
      </c>
      <c r="J1609" s="115">
        <v>0</v>
      </c>
      <c r="K1609" s="115">
        <v>0</v>
      </c>
    </row>
    <row r="1610" spans="2:11" x14ac:dyDescent="0.25">
      <c r="B1610" s="115" t="s">
        <v>1241</v>
      </c>
      <c r="D1610" s="115" t="s">
        <v>8710</v>
      </c>
      <c r="E1610" s="115" t="s">
        <v>1242</v>
      </c>
      <c r="F1610" s="115">
        <v>0</v>
      </c>
      <c r="G1610" s="115">
        <v>0</v>
      </c>
      <c r="H1610" s="115">
        <v>0</v>
      </c>
      <c r="I1610" s="115">
        <v>0</v>
      </c>
      <c r="J1610" s="115">
        <v>0</v>
      </c>
      <c r="K1610" s="115">
        <v>0</v>
      </c>
    </row>
    <row r="1611" spans="2:11" x14ac:dyDescent="0.25">
      <c r="B1611" s="115" t="s">
        <v>1241</v>
      </c>
      <c r="D1611" s="115" t="s">
        <v>8710</v>
      </c>
      <c r="E1611" s="115" t="s">
        <v>1242</v>
      </c>
      <c r="F1611" s="115">
        <v>0</v>
      </c>
      <c r="G1611" s="115">
        <v>0</v>
      </c>
      <c r="H1611" s="115">
        <v>0</v>
      </c>
      <c r="I1611" s="115">
        <v>0</v>
      </c>
      <c r="J1611" s="115">
        <v>0</v>
      </c>
      <c r="K1611" s="115">
        <v>0</v>
      </c>
    </row>
    <row r="1612" spans="2:11" x14ac:dyDescent="0.25">
      <c r="B1612" s="115" t="s">
        <v>1241</v>
      </c>
      <c r="D1612" s="115" t="s">
        <v>8710</v>
      </c>
      <c r="E1612" s="115" t="s">
        <v>1242</v>
      </c>
      <c r="F1612" s="115">
        <v>0</v>
      </c>
      <c r="G1612" s="115">
        <v>0</v>
      </c>
      <c r="H1612" s="115">
        <v>0</v>
      </c>
      <c r="I1612" s="115">
        <v>0</v>
      </c>
      <c r="J1612" s="115">
        <v>0</v>
      </c>
      <c r="K1612" s="115">
        <v>0</v>
      </c>
    </row>
    <row r="1613" spans="2:11" x14ac:dyDescent="0.25">
      <c r="B1613" s="115" t="s">
        <v>1241</v>
      </c>
      <c r="D1613" s="115" t="s">
        <v>8710</v>
      </c>
      <c r="E1613" s="115" t="s">
        <v>1242</v>
      </c>
      <c r="F1613" s="115">
        <v>0</v>
      </c>
      <c r="G1613" s="115">
        <v>0</v>
      </c>
      <c r="H1613" s="115">
        <v>0</v>
      </c>
      <c r="I1613" s="115">
        <v>0</v>
      </c>
      <c r="J1613" s="115">
        <v>0</v>
      </c>
      <c r="K1613" s="115">
        <v>0</v>
      </c>
    </row>
    <row r="1614" spans="2:11" x14ac:dyDescent="0.25">
      <c r="B1614" s="115" t="s">
        <v>1241</v>
      </c>
      <c r="D1614" s="115" t="s">
        <v>8710</v>
      </c>
      <c r="E1614" s="115" t="s">
        <v>1242</v>
      </c>
      <c r="F1614" s="115">
        <v>0</v>
      </c>
      <c r="G1614" s="115">
        <v>0</v>
      </c>
      <c r="H1614" s="115">
        <v>0</v>
      </c>
      <c r="I1614" s="115">
        <v>0</v>
      </c>
      <c r="J1614" s="115">
        <v>0</v>
      </c>
      <c r="K1614" s="115">
        <v>0</v>
      </c>
    </row>
    <row r="1615" spans="2:11" x14ac:dyDescent="0.25">
      <c r="B1615" s="115" t="s">
        <v>1241</v>
      </c>
      <c r="D1615" s="115" t="s">
        <v>8710</v>
      </c>
      <c r="E1615" s="115" t="s">
        <v>1242</v>
      </c>
      <c r="F1615" s="115">
        <v>0</v>
      </c>
      <c r="G1615" s="115">
        <v>0</v>
      </c>
      <c r="H1615" s="115">
        <v>0</v>
      </c>
      <c r="I1615" s="115">
        <v>0</v>
      </c>
      <c r="J1615" s="115">
        <v>0</v>
      </c>
      <c r="K1615" s="115">
        <v>0</v>
      </c>
    </row>
    <row r="1616" spans="2:11" x14ac:dyDescent="0.25">
      <c r="B1616" s="115" t="s">
        <v>1241</v>
      </c>
      <c r="D1616" s="115" t="s">
        <v>8710</v>
      </c>
      <c r="E1616" s="115" t="s">
        <v>1242</v>
      </c>
      <c r="F1616" s="115">
        <v>0</v>
      </c>
      <c r="G1616" s="115">
        <v>0</v>
      </c>
      <c r="H1616" s="115">
        <v>0</v>
      </c>
      <c r="I1616" s="115">
        <v>0</v>
      </c>
      <c r="J1616" s="115">
        <v>0</v>
      </c>
      <c r="K1616" s="115">
        <v>0</v>
      </c>
    </row>
    <row r="1617" spans="1:11" x14ac:dyDescent="0.25">
      <c r="B1617" s="115" t="s">
        <v>1241</v>
      </c>
      <c r="D1617" s="115" t="s">
        <v>8710</v>
      </c>
      <c r="E1617" s="115" t="s">
        <v>1242</v>
      </c>
      <c r="F1617" s="115">
        <v>0</v>
      </c>
      <c r="G1617" s="115">
        <v>0</v>
      </c>
      <c r="H1617" s="115">
        <v>0</v>
      </c>
      <c r="I1617" s="115">
        <v>0</v>
      </c>
      <c r="J1617" s="115">
        <v>0</v>
      </c>
      <c r="K1617" s="115">
        <v>0</v>
      </c>
    </row>
    <row r="1618" spans="1:11" x14ac:dyDescent="0.25">
      <c r="B1618" s="115" t="s">
        <v>1241</v>
      </c>
      <c r="D1618" s="115" t="s">
        <v>8710</v>
      </c>
      <c r="E1618" s="115" t="s">
        <v>1242</v>
      </c>
      <c r="F1618" s="115">
        <v>0</v>
      </c>
      <c r="G1618" s="115">
        <v>0</v>
      </c>
      <c r="H1618" s="115">
        <v>0</v>
      </c>
      <c r="I1618" s="115">
        <v>0</v>
      </c>
      <c r="J1618" s="115">
        <v>0</v>
      </c>
      <c r="K1618" s="115">
        <v>0</v>
      </c>
    </row>
    <row r="1619" spans="1:11" x14ac:dyDescent="0.25">
      <c r="B1619" s="115" t="s">
        <v>1241</v>
      </c>
      <c r="D1619" s="115" t="s">
        <v>8710</v>
      </c>
      <c r="E1619" s="115" t="s">
        <v>1242</v>
      </c>
      <c r="F1619" s="115">
        <v>0</v>
      </c>
      <c r="G1619" s="115">
        <v>0</v>
      </c>
      <c r="H1619" s="115">
        <v>0</v>
      </c>
      <c r="I1619" s="115">
        <v>0</v>
      </c>
      <c r="J1619" s="115">
        <v>0</v>
      </c>
      <c r="K1619" s="115">
        <v>0</v>
      </c>
    </row>
    <row r="1620" spans="1:11" x14ac:dyDescent="0.25">
      <c r="B1620" s="115" t="s">
        <v>1241</v>
      </c>
      <c r="D1620" s="115" t="s">
        <v>9397</v>
      </c>
      <c r="E1620" s="115" t="s">
        <v>2295</v>
      </c>
      <c r="F1620" s="115">
        <v>0</v>
      </c>
      <c r="G1620" s="115">
        <v>0</v>
      </c>
      <c r="H1620" s="115">
        <v>2051</v>
      </c>
      <c r="I1620" s="115">
        <v>-605</v>
      </c>
      <c r="J1620" s="115">
        <v>-520</v>
      </c>
      <c r="K1620" s="115">
        <v>-439</v>
      </c>
    </row>
    <row r="1621" spans="1:11" x14ac:dyDescent="0.25">
      <c r="A1621" s="115">
        <v>-1</v>
      </c>
      <c r="B1621" s="115" t="s">
        <v>2296</v>
      </c>
      <c r="D1621" s="115" t="s">
        <v>9398</v>
      </c>
      <c r="E1621" s="115" t="s">
        <v>2297</v>
      </c>
      <c r="F1621" s="115">
        <v>0</v>
      </c>
      <c r="G1621" s="115">
        <v>0</v>
      </c>
      <c r="H1621" s="115">
        <v>0</v>
      </c>
      <c r="I1621" s="115">
        <v>161</v>
      </c>
      <c r="J1621" s="115">
        <v>-462</v>
      </c>
      <c r="K1621" s="115">
        <v>0</v>
      </c>
    </row>
    <row r="1622" spans="1:11" x14ac:dyDescent="0.25">
      <c r="B1622" s="115" t="s">
        <v>1241</v>
      </c>
      <c r="D1622" s="115" t="s">
        <v>9399</v>
      </c>
      <c r="E1622" s="115" t="s">
        <v>2298</v>
      </c>
      <c r="F1622" s="115">
        <v>0</v>
      </c>
      <c r="G1622" s="115">
        <v>828</v>
      </c>
      <c r="H1622" s="115">
        <v>0</v>
      </c>
      <c r="I1622" s="115">
        <v>0</v>
      </c>
      <c r="J1622" s="115">
        <v>297</v>
      </c>
      <c r="K1622" s="115">
        <v>0</v>
      </c>
    </row>
    <row r="1623" spans="1:11" x14ac:dyDescent="0.25">
      <c r="B1623" s="115" t="s">
        <v>2299</v>
      </c>
      <c r="D1623" s="115" t="s">
        <v>9400</v>
      </c>
      <c r="E1623" s="115" t="s">
        <v>2300</v>
      </c>
      <c r="F1623" s="115">
        <v>-772</v>
      </c>
      <c r="G1623" s="115">
        <v>0</v>
      </c>
      <c r="H1623" s="115">
        <v>1010</v>
      </c>
      <c r="I1623" s="115">
        <v>-88</v>
      </c>
      <c r="J1623" s="115">
        <v>-94</v>
      </c>
      <c r="K1623" s="115">
        <v>-626</v>
      </c>
    </row>
    <row r="1624" spans="1:11" x14ac:dyDescent="0.25">
      <c r="A1624" s="115">
        <v>-1</v>
      </c>
      <c r="B1624" s="115" t="s">
        <v>2301</v>
      </c>
      <c r="D1624" s="115" t="s">
        <v>9401</v>
      </c>
      <c r="E1624" s="115" t="s">
        <v>2302</v>
      </c>
      <c r="F1624" s="115">
        <v>0</v>
      </c>
      <c r="G1624" s="115">
        <v>0</v>
      </c>
      <c r="H1624" s="115">
        <v>0</v>
      </c>
      <c r="I1624" s="115">
        <v>0</v>
      </c>
      <c r="J1624" s="115">
        <v>0</v>
      </c>
      <c r="K1624" s="115">
        <v>-8</v>
      </c>
    </row>
    <row r="1625" spans="1:11" x14ac:dyDescent="0.25">
      <c r="B1625" s="115" t="s">
        <v>1241</v>
      </c>
      <c r="D1625" s="115" t="s">
        <v>9402</v>
      </c>
      <c r="E1625" s="115" t="s">
        <v>2303</v>
      </c>
      <c r="F1625" s="115">
        <v>0</v>
      </c>
      <c r="G1625" s="115">
        <v>-114</v>
      </c>
      <c r="H1625" s="115">
        <v>0</v>
      </c>
      <c r="I1625" s="115">
        <v>0</v>
      </c>
      <c r="J1625" s="115">
        <v>0</v>
      </c>
      <c r="K1625" s="115">
        <v>0</v>
      </c>
    </row>
    <row r="1626" spans="1:11" x14ac:dyDescent="0.25">
      <c r="B1626" s="115" t="s">
        <v>2304</v>
      </c>
      <c r="D1626" s="115" t="s">
        <v>9403</v>
      </c>
      <c r="E1626" s="115" t="s">
        <v>2305</v>
      </c>
      <c r="F1626" s="115">
        <v>611</v>
      </c>
      <c r="G1626" s="115">
        <v>0</v>
      </c>
      <c r="H1626" s="115">
        <v>0</v>
      </c>
      <c r="I1626" s="115">
        <v>5960</v>
      </c>
      <c r="J1626" s="115">
        <v>-2607</v>
      </c>
      <c r="K1626" s="115">
        <v>0</v>
      </c>
    </row>
    <row r="1627" spans="1:11" x14ac:dyDescent="0.25">
      <c r="A1627" s="115">
        <v>1</v>
      </c>
      <c r="B1627" s="115" t="s">
        <v>2306</v>
      </c>
      <c r="D1627" s="115" t="s">
        <v>9404</v>
      </c>
      <c r="E1627" s="115" t="s">
        <v>2307</v>
      </c>
      <c r="F1627" s="115">
        <v>0</v>
      </c>
      <c r="G1627" s="115">
        <v>-2532</v>
      </c>
      <c r="H1627" s="115">
        <v>-738</v>
      </c>
      <c r="I1627" s="115">
        <v>-41</v>
      </c>
      <c r="J1627" s="115">
        <v>0</v>
      </c>
      <c r="K1627" s="115">
        <v>0</v>
      </c>
    </row>
    <row r="1628" spans="1:11" x14ac:dyDescent="0.25">
      <c r="B1628" s="115" t="s">
        <v>2308</v>
      </c>
      <c r="D1628" s="115" t="s">
        <v>9405</v>
      </c>
      <c r="E1628" s="115" t="s">
        <v>2309</v>
      </c>
      <c r="F1628" s="115">
        <v>383</v>
      </c>
      <c r="G1628" s="115">
        <v>286</v>
      </c>
      <c r="H1628" s="115">
        <v>109</v>
      </c>
      <c r="I1628" s="115">
        <v>649</v>
      </c>
      <c r="J1628" s="115">
        <v>1018</v>
      </c>
      <c r="K1628" s="115">
        <v>1271</v>
      </c>
    </row>
    <row r="1629" spans="1:11" x14ac:dyDescent="0.25">
      <c r="B1629" s="115" t="s">
        <v>1241</v>
      </c>
      <c r="D1629" s="115" t="s">
        <v>9406</v>
      </c>
      <c r="E1629" s="115" t="s">
        <v>2310</v>
      </c>
      <c r="F1629" s="115">
        <v>0</v>
      </c>
      <c r="G1629" s="115">
        <v>638</v>
      </c>
      <c r="H1629" s="115">
        <v>0</v>
      </c>
      <c r="I1629" s="115">
        <v>3391</v>
      </c>
      <c r="J1629" s="115">
        <v>230</v>
      </c>
      <c r="K1629" s="115">
        <v>-894</v>
      </c>
    </row>
    <row r="1630" spans="1:11" x14ac:dyDescent="0.25">
      <c r="B1630" s="115" t="s">
        <v>2311</v>
      </c>
      <c r="D1630" s="115" t="s">
        <v>9407</v>
      </c>
      <c r="E1630" s="115" t="s">
        <v>2312</v>
      </c>
      <c r="F1630" s="115">
        <v>791</v>
      </c>
      <c r="G1630" s="115">
        <v>425</v>
      </c>
      <c r="H1630" s="115">
        <v>0</v>
      </c>
      <c r="I1630" s="115">
        <v>-161</v>
      </c>
      <c r="J1630" s="115">
        <v>-1674</v>
      </c>
      <c r="K1630" s="115">
        <v>-188</v>
      </c>
    </row>
    <row r="1631" spans="1:11" x14ac:dyDescent="0.25">
      <c r="A1631" s="115" t="s">
        <v>1239</v>
      </c>
      <c r="B1631" s="115" t="s">
        <v>1711</v>
      </c>
      <c r="D1631" s="115" t="s">
        <v>9408</v>
      </c>
      <c r="E1631" s="115" t="s">
        <v>2313</v>
      </c>
      <c r="F1631" s="115">
        <v>0</v>
      </c>
      <c r="G1631" s="115">
        <v>0</v>
      </c>
      <c r="H1631" s="115">
        <v>0</v>
      </c>
      <c r="I1631" s="115">
        <v>10</v>
      </c>
      <c r="J1631" s="115">
        <v>-140</v>
      </c>
      <c r="K1631" s="115">
        <v>0</v>
      </c>
    </row>
    <row r="1632" spans="1:11" x14ac:dyDescent="0.25">
      <c r="A1632" s="115" t="s">
        <v>1239</v>
      </c>
      <c r="B1632" s="115" t="s">
        <v>2314</v>
      </c>
      <c r="D1632" s="115" t="s">
        <v>9409</v>
      </c>
      <c r="E1632" s="115" t="s">
        <v>2315</v>
      </c>
      <c r="F1632" s="115">
        <v>0</v>
      </c>
      <c r="G1632" s="115">
        <v>0</v>
      </c>
      <c r="H1632" s="115">
        <v>0</v>
      </c>
      <c r="I1632" s="115">
        <v>0</v>
      </c>
      <c r="J1632" s="115">
        <v>0</v>
      </c>
      <c r="K1632" s="115">
        <v>11463</v>
      </c>
    </row>
    <row r="1633" spans="1:11" x14ac:dyDescent="0.25">
      <c r="B1633" s="115" t="s">
        <v>2316</v>
      </c>
      <c r="D1633" s="115" t="s">
        <v>9410</v>
      </c>
      <c r="E1633" s="115" t="s">
        <v>2317</v>
      </c>
      <c r="F1633" s="115">
        <v>0</v>
      </c>
      <c r="G1633" s="115">
        <v>-90953</v>
      </c>
      <c r="H1633" s="115">
        <v>5695</v>
      </c>
      <c r="I1633" s="115">
        <v>-3023</v>
      </c>
      <c r="J1633" s="115">
        <v>-8503</v>
      </c>
      <c r="K1633" s="115">
        <v>-5299</v>
      </c>
    </row>
    <row r="1634" spans="1:11" x14ac:dyDescent="0.25">
      <c r="A1634" s="115">
        <v>-3</v>
      </c>
      <c r="B1634" s="115" t="s">
        <v>2318</v>
      </c>
      <c r="C1634" s="115">
        <v>1</v>
      </c>
      <c r="D1634" s="115" t="s">
        <v>9411</v>
      </c>
      <c r="E1634" s="115" t="s">
        <v>2319</v>
      </c>
      <c r="F1634" s="115">
        <v>4289</v>
      </c>
      <c r="G1634" s="115">
        <v>0</v>
      </c>
      <c r="H1634" s="115">
        <v>0</v>
      </c>
      <c r="I1634" s="115">
        <v>-17271</v>
      </c>
      <c r="J1634" s="115">
        <v>1276</v>
      </c>
      <c r="K1634" s="115">
        <v>0</v>
      </c>
    </row>
    <row r="1635" spans="1:11" x14ac:dyDescent="0.25">
      <c r="A1635" s="115">
        <v>-1</v>
      </c>
      <c r="B1635" s="115" t="s">
        <v>2320</v>
      </c>
      <c r="D1635" s="115" t="s">
        <v>9412</v>
      </c>
      <c r="E1635" s="115" t="s">
        <v>2321</v>
      </c>
      <c r="F1635" s="115">
        <v>0</v>
      </c>
      <c r="G1635" s="115">
        <v>-2778</v>
      </c>
      <c r="H1635" s="115">
        <v>-3441</v>
      </c>
      <c r="I1635" s="115">
        <v>-2717</v>
      </c>
      <c r="J1635" s="115">
        <v>0</v>
      </c>
      <c r="K1635" s="115">
        <v>0</v>
      </c>
    </row>
    <row r="1636" spans="1:11" x14ac:dyDescent="0.25">
      <c r="B1636" s="115" t="s">
        <v>1241</v>
      </c>
      <c r="D1636" s="115" t="s">
        <v>8710</v>
      </c>
      <c r="E1636" s="115" t="s">
        <v>1242</v>
      </c>
      <c r="F1636" s="115">
        <v>0</v>
      </c>
      <c r="G1636" s="115">
        <v>0</v>
      </c>
      <c r="H1636" s="115">
        <v>0</v>
      </c>
      <c r="I1636" s="115">
        <v>0</v>
      </c>
      <c r="J1636" s="115">
        <v>0</v>
      </c>
      <c r="K1636" s="115">
        <v>0</v>
      </c>
    </row>
    <row r="1637" spans="1:11" x14ac:dyDescent="0.25">
      <c r="B1637" s="115" t="s">
        <v>1241</v>
      </c>
      <c r="D1637" s="115" t="s">
        <v>8710</v>
      </c>
      <c r="E1637" s="115" t="s">
        <v>1242</v>
      </c>
      <c r="F1637" s="115">
        <v>0</v>
      </c>
      <c r="G1637" s="115">
        <v>0</v>
      </c>
      <c r="H1637" s="115">
        <v>0</v>
      </c>
      <c r="I1637" s="115">
        <v>0</v>
      </c>
      <c r="J1637" s="115">
        <v>0</v>
      </c>
      <c r="K1637" s="115">
        <v>0</v>
      </c>
    </row>
    <row r="1638" spans="1:11" x14ac:dyDescent="0.25">
      <c r="B1638" s="115" t="s">
        <v>1241</v>
      </c>
      <c r="D1638" s="115" t="s">
        <v>8710</v>
      </c>
      <c r="E1638" s="115" t="s">
        <v>1242</v>
      </c>
      <c r="F1638" s="115">
        <v>0</v>
      </c>
      <c r="G1638" s="115">
        <v>0</v>
      </c>
      <c r="H1638" s="115">
        <v>0</v>
      </c>
      <c r="I1638" s="115">
        <v>0</v>
      </c>
      <c r="J1638" s="115">
        <v>0</v>
      </c>
      <c r="K1638" s="115">
        <v>0</v>
      </c>
    </row>
    <row r="1639" spans="1:11" x14ac:dyDescent="0.25">
      <c r="B1639" s="115" t="s">
        <v>1241</v>
      </c>
      <c r="D1639" s="115" t="s">
        <v>8710</v>
      </c>
      <c r="E1639" s="115" t="s">
        <v>1242</v>
      </c>
      <c r="F1639" s="115">
        <v>0</v>
      </c>
      <c r="G1639" s="115">
        <v>0</v>
      </c>
      <c r="H1639" s="115">
        <v>0</v>
      </c>
      <c r="I1639" s="115">
        <v>0</v>
      </c>
      <c r="J1639" s="115">
        <v>0</v>
      </c>
      <c r="K1639" s="115">
        <v>0</v>
      </c>
    </row>
    <row r="1640" spans="1:11" x14ac:dyDescent="0.25">
      <c r="B1640" s="115" t="s">
        <v>1241</v>
      </c>
      <c r="D1640" s="115" t="s">
        <v>8710</v>
      </c>
      <c r="E1640" s="115" t="s">
        <v>1242</v>
      </c>
      <c r="F1640" s="115">
        <v>0</v>
      </c>
      <c r="G1640" s="115">
        <v>0</v>
      </c>
      <c r="H1640" s="115">
        <v>0</v>
      </c>
      <c r="I1640" s="115">
        <v>0</v>
      </c>
      <c r="J1640" s="115">
        <v>0</v>
      </c>
      <c r="K1640" s="115">
        <v>0</v>
      </c>
    </row>
    <row r="1641" spans="1:11" x14ac:dyDescent="0.25">
      <c r="B1641" s="115" t="s">
        <v>1241</v>
      </c>
      <c r="D1641" s="115" t="s">
        <v>8710</v>
      </c>
      <c r="E1641" s="115" t="s">
        <v>1242</v>
      </c>
      <c r="F1641" s="115">
        <v>0</v>
      </c>
      <c r="G1641" s="115">
        <v>0</v>
      </c>
      <c r="H1641" s="115">
        <v>0</v>
      </c>
      <c r="I1641" s="115">
        <v>0</v>
      </c>
      <c r="J1641" s="115">
        <v>0</v>
      </c>
      <c r="K1641" s="115">
        <v>0</v>
      </c>
    </row>
    <row r="1642" spans="1:11" x14ac:dyDescent="0.25">
      <c r="B1642" s="115" t="s">
        <v>1241</v>
      </c>
      <c r="D1642" s="115" t="s">
        <v>8710</v>
      </c>
      <c r="E1642" s="115" t="s">
        <v>1242</v>
      </c>
      <c r="F1642" s="115">
        <v>0</v>
      </c>
      <c r="G1642" s="115">
        <v>0</v>
      </c>
      <c r="H1642" s="115">
        <v>0</v>
      </c>
      <c r="I1642" s="115">
        <v>0</v>
      </c>
      <c r="J1642" s="115">
        <v>0</v>
      </c>
      <c r="K1642" s="115">
        <v>0</v>
      </c>
    </row>
    <row r="1643" spans="1:11" x14ac:dyDescent="0.25">
      <c r="B1643" s="115" t="s">
        <v>1241</v>
      </c>
      <c r="D1643" s="115" t="s">
        <v>8710</v>
      </c>
      <c r="E1643" s="115" t="s">
        <v>1242</v>
      </c>
      <c r="F1643" s="115">
        <v>0</v>
      </c>
      <c r="G1643" s="115">
        <v>0</v>
      </c>
      <c r="H1643" s="115">
        <v>0</v>
      </c>
      <c r="I1643" s="115">
        <v>0</v>
      </c>
      <c r="J1643" s="115">
        <v>0</v>
      </c>
      <c r="K1643" s="115">
        <v>0</v>
      </c>
    </row>
    <row r="1644" spans="1:11" x14ac:dyDescent="0.25">
      <c r="B1644" s="115" t="s">
        <v>1241</v>
      </c>
      <c r="D1644" s="115" t="s">
        <v>8710</v>
      </c>
      <c r="E1644" s="115" t="s">
        <v>1242</v>
      </c>
      <c r="F1644" s="115">
        <v>0</v>
      </c>
      <c r="G1644" s="115">
        <v>0</v>
      </c>
      <c r="H1644" s="115">
        <v>0</v>
      </c>
      <c r="I1644" s="115">
        <v>0</v>
      </c>
      <c r="J1644" s="115">
        <v>0</v>
      </c>
      <c r="K1644" s="115">
        <v>0</v>
      </c>
    </row>
    <row r="1645" spans="1:11" x14ac:dyDescent="0.25">
      <c r="B1645" s="115" t="s">
        <v>1241</v>
      </c>
      <c r="D1645" s="115" t="s">
        <v>8710</v>
      </c>
      <c r="E1645" s="115" t="s">
        <v>1242</v>
      </c>
      <c r="F1645" s="115">
        <v>0</v>
      </c>
      <c r="G1645" s="115">
        <v>0</v>
      </c>
      <c r="H1645" s="115">
        <v>0</v>
      </c>
      <c r="I1645" s="115">
        <v>0</v>
      </c>
      <c r="J1645" s="115">
        <v>0</v>
      </c>
      <c r="K1645" s="115">
        <v>0</v>
      </c>
    </row>
    <row r="1646" spans="1:11" x14ac:dyDescent="0.25">
      <c r="B1646" s="115" t="s">
        <v>1241</v>
      </c>
      <c r="D1646" s="115" t="s">
        <v>8710</v>
      </c>
      <c r="E1646" s="115" t="s">
        <v>1242</v>
      </c>
      <c r="F1646" s="115">
        <v>0</v>
      </c>
      <c r="G1646" s="115">
        <v>0</v>
      </c>
      <c r="H1646" s="115">
        <v>0</v>
      </c>
      <c r="I1646" s="115">
        <v>0</v>
      </c>
      <c r="J1646" s="115">
        <v>0</v>
      </c>
      <c r="K1646" s="115">
        <v>0</v>
      </c>
    </row>
    <row r="1647" spans="1:11" x14ac:dyDescent="0.25">
      <c r="B1647" s="115" t="s">
        <v>1241</v>
      </c>
      <c r="D1647" s="115" t="s">
        <v>8710</v>
      </c>
      <c r="E1647" s="115" t="s">
        <v>1242</v>
      </c>
      <c r="F1647" s="115">
        <v>0</v>
      </c>
      <c r="G1647" s="115">
        <v>0</v>
      </c>
      <c r="H1647" s="115">
        <v>0</v>
      </c>
      <c r="I1647" s="115">
        <v>0</v>
      </c>
      <c r="J1647" s="115">
        <v>0</v>
      </c>
      <c r="K1647" s="115">
        <v>0</v>
      </c>
    </row>
    <row r="1648" spans="1:11" x14ac:dyDescent="0.25">
      <c r="B1648" s="115" t="s">
        <v>1241</v>
      </c>
      <c r="D1648" s="115" t="s">
        <v>8710</v>
      </c>
      <c r="E1648" s="115" t="s">
        <v>1242</v>
      </c>
      <c r="F1648" s="115">
        <v>0</v>
      </c>
      <c r="G1648" s="115">
        <v>0</v>
      </c>
      <c r="H1648" s="115">
        <v>0</v>
      </c>
      <c r="I1648" s="115">
        <v>0</v>
      </c>
      <c r="J1648" s="115">
        <v>0</v>
      </c>
      <c r="K1648" s="115">
        <v>0</v>
      </c>
    </row>
    <row r="1649" spans="1:11" x14ac:dyDescent="0.25">
      <c r="B1649" s="115" t="s">
        <v>1241</v>
      </c>
      <c r="D1649" s="115" t="s">
        <v>8710</v>
      </c>
      <c r="E1649" s="115" t="s">
        <v>1242</v>
      </c>
      <c r="F1649" s="115">
        <v>0</v>
      </c>
      <c r="G1649" s="115">
        <v>0</v>
      </c>
      <c r="H1649" s="115">
        <v>0</v>
      </c>
      <c r="I1649" s="115">
        <v>0</v>
      </c>
      <c r="J1649" s="115">
        <v>0</v>
      </c>
      <c r="K1649" s="115">
        <v>0</v>
      </c>
    </row>
    <row r="1650" spans="1:11" x14ac:dyDescent="0.25">
      <c r="B1650" s="115" t="s">
        <v>1241</v>
      </c>
      <c r="D1650" s="115" t="s">
        <v>8710</v>
      </c>
      <c r="E1650" s="115" t="s">
        <v>1242</v>
      </c>
      <c r="F1650" s="115">
        <v>0</v>
      </c>
      <c r="G1650" s="115">
        <v>0</v>
      </c>
      <c r="H1650" s="115">
        <v>0</v>
      </c>
      <c r="I1650" s="115">
        <v>0</v>
      </c>
      <c r="J1650" s="115">
        <v>0</v>
      </c>
      <c r="K1650" s="115">
        <v>0</v>
      </c>
    </row>
    <row r="1651" spans="1:11" x14ac:dyDescent="0.25">
      <c r="B1651" s="115" t="s">
        <v>1241</v>
      </c>
      <c r="D1651" s="115" t="s">
        <v>8710</v>
      </c>
      <c r="E1651" s="115" t="s">
        <v>1242</v>
      </c>
      <c r="F1651" s="115">
        <v>0</v>
      </c>
      <c r="G1651" s="115">
        <v>0</v>
      </c>
      <c r="H1651" s="115">
        <v>0</v>
      </c>
      <c r="I1651" s="115">
        <v>0</v>
      </c>
      <c r="J1651" s="115">
        <v>0</v>
      </c>
      <c r="K1651" s="115">
        <v>0</v>
      </c>
    </row>
    <row r="1652" spans="1:11" x14ac:dyDescent="0.25">
      <c r="B1652" s="115" t="s">
        <v>2322</v>
      </c>
      <c r="C1652" s="115" t="s">
        <v>1239</v>
      </c>
      <c r="D1652" s="115" t="s">
        <v>9413</v>
      </c>
      <c r="E1652" s="115" t="s">
        <v>2323</v>
      </c>
      <c r="F1652" s="115">
        <v>-409</v>
      </c>
      <c r="G1652" s="115">
        <v>-243</v>
      </c>
      <c r="H1652" s="115">
        <v>0</v>
      </c>
      <c r="I1652" s="115">
        <v>0</v>
      </c>
      <c r="J1652" s="115">
        <v>134</v>
      </c>
      <c r="K1652" s="115">
        <v>0</v>
      </c>
    </row>
    <row r="1653" spans="1:11" x14ac:dyDescent="0.25">
      <c r="B1653" s="115" t="s">
        <v>1241</v>
      </c>
      <c r="D1653" s="115" t="s">
        <v>9414</v>
      </c>
      <c r="E1653" s="115" t="s">
        <v>1242</v>
      </c>
      <c r="F1653" s="115">
        <v>0</v>
      </c>
      <c r="G1653" s="115">
        <v>0</v>
      </c>
      <c r="H1653" s="115">
        <v>0</v>
      </c>
      <c r="I1653" s="115">
        <v>0</v>
      </c>
      <c r="J1653" s="115">
        <v>0</v>
      </c>
      <c r="K1653" s="115">
        <v>0</v>
      </c>
    </row>
    <row r="1654" spans="1:11" x14ac:dyDescent="0.25">
      <c r="B1654" s="115" t="s">
        <v>2324</v>
      </c>
      <c r="D1654" s="115" t="s">
        <v>9415</v>
      </c>
      <c r="E1654" s="115" t="s">
        <v>2325</v>
      </c>
      <c r="F1654" s="115">
        <v>0</v>
      </c>
      <c r="G1654" s="115">
        <v>70</v>
      </c>
      <c r="H1654" s="115">
        <v>0</v>
      </c>
      <c r="I1654" s="115">
        <v>-493</v>
      </c>
      <c r="J1654" s="115">
        <v>-1212</v>
      </c>
      <c r="K1654" s="115">
        <v>-357</v>
      </c>
    </row>
    <row r="1655" spans="1:11" x14ac:dyDescent="0.25">
      <c r="B1655" s="115" t="s">
        <v>2326</v>
      </c>
      <c r="C1655" s="115" t="s">
        <v>1239</v>
      </c>
      <c r="D1655" s="115" t="s">
        <v>9416</v>
      </c>
      <c r="E1655" s="115" t="s">
        <v>2327</v>
      </c>
      <c r="F1655" s="115">
        <v>-446</v>
      </c>
      <c r="G1655" s="115">
        <v>-186</v>
      </c>
      <c r="H1655" s="115">
        <v>-407</v>
      </c>
      <c r="I1655" s="115">
        <v>0</v>
      </c>
      <c r="J1655" s="115">
        <v>14</v>
      </c>
      <c r="K1655" s="115">
        <v>0</v>
      </c>
    </row>
    <row r="1656" spans="1:11" x14ac:dyDescent="0.25">
      <c r="B1656" s="115" t="s">
        <v>1241</v>
      </c>
      <c r="D1656" s="115" t="s">
        <v>9417</v>
      </c>
      <c r="E1656" s="115" t="s">
        <v>2328</v>
      </c>
      <c r="F1656" s="115">
        <v>202</v>
      </c>
      <c r="G1656" s="115">
        <v>0</v>
      </c>
      <c r="H1656" s="115">
        <v>0</v>
      </c>
      <c r="I1656" s="115">
        <v>0</v>
      </c>
      <c r="J1656" s="115">
        <v>46</v>
      </c>
      <c r="K1656" s="115">
        <v>0</v>
      </c>
    </row>
    <row r="1657" spans="1:11" x14ac:dyDescent="0.25">
      <c r="A1657" s="115" t="s">
        <v>1239</v>
      </c>
      <c r="B1657" s="115" t="s">
        <v>2329</v>
      </c>
      <c r="D1657" s="115" t="s">
        <v>9418</v>
      </c>
      <c r="E1657" s="115" t="s">
        <v>2330</v>
      </c>
      <c r="F1657" s="115">
        <v>0</v>
      </c>
      <c r="G1657" s="115">
        <v>0</v>
      </c>
      <c r="H1657" s="115">
        <v>765</v>
      </c>
      <c r="I1657" s="115">
        <v>0</v>
      </c>
      <c r="J1657" s="115">
        <v>556</v>
      </c>
      <c r="K1657" s="115">
        <v>579</v>
      </c>
    </row>
    <row r="1658" spans="1:11" x14ac:dyDescent="0.25">
      <c r="B1658" s="115" t="s">
        <v>1241</v>
      </c>
      <c r="D1658" s="115" t="s">
        <v>9419</v>
      </c>
      <c r="E1658" s="115" t="s">
        <v>2331</v>
      </c>
      <c r="F1658" s="115">
        <v>0</v>
      </c>
      <c r="G1658" s="115">
        <v>-270</v>
      </c>
      <c r="H1658" s="115">
        <v>0</v>
      </c>
      <c r="I1658" s="115">
        <v>0</v>
      </c>
      <c r="J1658" s="115">
        <v>0</v>
      </c>
      <c r="K1658" s="115">
        <v>0</v>
      </c>
    </row>
    <row r="1659" spans="1:11" x14ac:dyDescent="0.25">
      <c r="A1659" s="115">
        <v>2</v>
      </c>
      <c r="B1659" s="115" t="s">
        <v>2332</v>
      </c>
      <c r="D1659" s="115" t="s">
        <v>9420</v>
      </c>
      <c r="E1659" s="115" t="s">
        <v>2333</v>
      </c>
      <c r="F1659" s="115">
        <v>0</v>
      </c>
      <c r="G1659" s="115">
        <v>328</v>
      </c>
      <c r="H1659" s="115">
        <v>-265</v>
      </c>
      <c r="I1659" s="115">
        <v>0</v>
      </c>
      <c r="J1659" s="115">
        <v>-101</v>
      </c>
      <c r="K1659" s="115">
        <v>56</v>
      </c>
    </row>
    <row r="1660" spans="1:11" x14ac:dyDescent="0.25">
      <c r="B1660" s="115" t="s">
        <v>2334</v>
      </c>
      <c r="D1660" s="115" t="s">
        <v>9421</v>
      </c>
      <c r="E1660" s="115" t="s">
        <v>1242</v>
      </c>
      <c r="F1660" s="115">
        <v>-7</v>
      </c>
      <c r="G1660" s="115">
        <v>0</v>
      </c>
      <c r="H1660" s="115">
        <v>0</v>
      </c>
      <c r="I1660" s="115">
        <v>0</v>
      </c>
      <c r="J1660" s="115">
        <v>0</v>
      </c>
      <c r="K1660" s="115">
        <v>0</v>
      </c>
    </row>
    <row r="1661" spans="1:11" x14ac:dyDescent="0.25">
      <c r="B1661" s="115" t="s">
        <v>2335</v>
      </c>
      <c r="D1661" s="115" t="s">
        <v>9422</v>
      </c>
      <c r="E1661" s="115" t="s">
        <v>2336</v>
      </c>
      <c r="F1661" s="115">
        <v>-109</v>
      </c>
      <c r="G1661" s="115">
        <v>0</v>
      </c>
      <c r="H1661" s="115">
        <v>5882</v>
      </c>
      <c r="I1661" s="115">
        <v>6576</v>
      </c>
      <c r="J1661" s="115">
        <v>-151</v>
      </c>
      <c r="K1661" s="115">
        <v>245</v>
      </c>
    </row>
    <row r="1662" spans="1:11" x14ac:dyDescent="0.25">
      <c r="B1662" s="115" t="s">
        <v>2337</v>
      </c>
      <c r="D1662" s="115" t="s">
        <v>9423</v>
      </c>
      <c r="E1662" s="115" t="s">
        <v>2338</v>
      </c>
      <c r="F1662" s="115">
        <v>4276</v>
      </c>
      <c r="G1662" s="115">
        <v>13</v>
      </c>
      <c r="H1662" s="115">
        <v>0</v>
      </c>
      <c r="I1662" s="115">
        <v>102</v>
      </c>
      <c r="J1662" s="115">
        <v>-1720</v>
      </c>
      <c r="K1662" s="115">
        <v>0</v>
      </c>
    </row>
    <row r="1663" spans="1:11" x14ac:dyDescent="0.25">
      <c r="B1663" s="115" t="s">
        <v>1241</v>
      </c>
      <c r="D1663" s="115" t="s">
        <v>9424</v>
      </c>
      <c r="E1663" s="115" t="s">
        <v>2339</v>
      </c>
      <c r="F1663" s="115">
        <v>0</v>
      </c>
      <c r="G1663" s="115">
        <v>-333</v>
      </c>
      <c r="H1663" s="115">
        <v>540</v>
      </c>
      <c r="I1663" s="115">
        <v>972</v>
      </c>
      <c r="J1663" s="115">
        <v>69</v>
      </c>
      <c r="K1663" s="115">
        <v>0</v>
      </c>
    </row>
    <row r="1664" spans="1:11" x14ac:dyDescent="0.25">
      <c r="B1664" s="115" t="s">
        <v>1241</v>
      </c>
      <c r="D1664" s="115" t="s">
        <v>9425</v>
      </c>
      <c r="E1664" s="115" t="s">
        <v>2340</v>
      </c>
      <c r="F1664" s="115">
        <v>-4870</v>
      </c>
      <c r="G1664" s="115">
        <v>0</v>
      </c>
      <c r="H1664" s="115">
        <v>-10701</v>
      </c>
      <c r="I1664" s="115">
        <v>417</v>
      </c>
      <c r="J1664" s="115">
        <v>-1312</v>
      </c>
      <c r="K1664" s="115">
        <v>0</v>
      </c>
    </row>
    <row r="1665" spans="1:11" x14ac:dyDescent="0.25">
      <c r="A1665" s="115">
        <v>8</v>
      </c>
      <c r="B1665" s="115" t="s">
        <v>2341</v>
      </c>
      <c r="D1665" s="115" t="s">
        <v>9426</v>
      </c>
      <c r="E1665" s="115" t="s">
        <v>2342</v>
      </c>
      <c r="F1665" s="115">
        <v>-4484</v>
      </c>
      <c r="G1665" s="115">
        <v>-6145</v>
      </c>
      <c r="H1665" s="115">
        <v>-6702</v>
      </c>
      <c r="I1665" s="115">
        <v>14699</v>
      </c>
      <c r="J1665" s="115">
        <v>0</v>
      </c>
      <c r="K1665" s="115">
        <v>3230</v>
      </c>
    </row>
    <row r="1666" spans="1:11" x14ac:dyDescent="0.25">
      <c r="B1666" s="115" t="s">
        <v>1241</v>
      </c>
      <c r="C1666" s="115">
        <v>-1</v>
      </c>
      <c r="D1666" s="115" t="s">
        <v>9427</v>
      </c>
      <c r="E1666" s="115" t="s">
        <v>2343</v>
      </c>
      <c r="F1666" s="115">
        <v>0</v>
      </c>
      <c r="G1666" s="115">
        <v>-1706</v>
      </c>
      <c r="H1666" s="115">
        <v>0</v>
      </c>
      <c r="I1666" s="115">
        <v>0</v>
      </c>
      <c r="J1666" s="115">
        <v>-1808</v>
      </c>
      <c r="K1666" s="115">
        <v>0</v>
      </c>
    </row>
    <row r="1667" spans="1:11" x14ac:dyDescent="0.25">
      <c r="A1667" s="115">
        <v>-2</v>
      </c>
      <c r="B1667" s="115" t="s">
        <v>2344</v>
      </c>
      <c r="C1667" s="115" t="s">
        <v>1239</v>
      </c>
      <c r="D1667" s="115" t="s">
        <v>9428</v>
      </c>
      <c r="E1667" s="115" t="s">
        <v>2345</v>
      </c>
      <c r="F1667" s="115">
        <v>0</v>
      </c>
      <c r="G1667" s="115">
        <v>0</v>
      </c>
      <c r="H1667" s="115">
        <v>0</v>
      </c>
      <c r="I1667" s="115">
        <v>0</v>
      </c>
      <c r="J1667" s="115">
        <v>-4360</v>
      </c>
      <c r="K1667" s="115">
        <v>0</v>
      </c>
    </row>
    <row r="1668" spans="1:11" x14ac:dyDescent="0.25">
      <c r="A1668" s="115">
        <v>-2</v>
      </c>
      <c r="B1668" s="115" t="s">
        <v>2346</v>
      </c>
      <c r="D1668" s="115" t="s">
        <v>9429</v>
      </c>
      <c r="E1668" s="115" t="s">
        <v>2347</v>
      </c>
      <c r="F1668" s="115">
        <v>10</v>
      </c>
      <c r="G1668" s="115">
        <v>0</v>
      </c>
      <c r="H1668" s="115">
        <v>0</v>
      </c>
      <c r="I1668" s="115">
        <v>-17</v>
      </c>
      <c r="J1668" s="115">
        <v>0</v>
      </c>
      <c r="K1668" s="115">
        <v>0</v>
      </c>
    </row>
    <row r="1669" spans="1:11" x14ac:dyDescent="0.25">
      <c r="B1669" s="115" t="s">
        <v>2348</v>
      </c>
      <c r="D1669" s="115" t="s">
        <v>9430</v>
      </c>
      <c r="E1669" s="115" t="s">
        <v>2349</v>
      </c>
      <c r="F1669" s="115">
        <v>0</v>
      </c>
      <c r="G1669" s="115">
        <v>0</v>
      </c>
      <c r="H1669" s="115">
        <v>0</v>
      </c>
      <c r="I1669" s="115">
        <v>0</v>
      </c>
      <c r="J1669" s="115">
        <v>0</v>
      </c>
      <c r="K1669" s="115">
        <v>-11</v>
      </c>
    </row>
    <row r="1670" spans="1:11" x14ac:dyDescent="0.25">
      <c r="B1670" s="115" t="s">
        <v>1241</v>
      </c>
      <c r="D1670" s="115" t="s">
        <v>9431</v>
      </c>
      <c r="E1670" s="115" t="s">
        <v>2350</v>
      </c>
      <c r="F1670" s="115">
        <v>19</v>
      </c>
      <c r="G1670" s="115">
        <v>0</v>
      </c>
      <c r="H1670" s="115">
        <v>57</v>
      </c>
      <c r="I1670" s="115">
        <v>1188</v>
      </c>
      <c r="J1670" s="115">
        <v>334</v>
      </c>
      <c r="K1670" s="115">
        <v>0</v>
      </c>
    </row>
    <row r="1671" spans="1:11" x14ac:dyDescent="0.25">
      <c r="A1671" s="115" t="s">
        <v>1239</v>
      </c>
      <c r="B1671" s="115" t="s">
        <v>2351</v>
      </c>
      <c r="D1671" s="115" t="s">
        <v>9432</v>
      </c>
      <c r="E1671" s="115" t="s">
        <v>2352</v>
      </c>
      <c r="F1671" s="115">
        <v>282</v>
      </c>
      <c r="G1671" s="115">
        <v>-67</v>
      </c>
      <c r="H1671" s="115">
        <v>0</v>
      </c>
      <c r="I1671" s="115">
        <v>22</v>
      </c>
      <c r="J1671" s="115">
        <v>0</v>
      </c>
      <c r="K1671" s="115">
        <v>0</v>
      </c>
    </row>
    <row r="1672" spans="1:11" x14ac:dyDescent="0.25">
      <c r="B1672" s="115" t="s">
        <v>1241</v>
      </c>
      <c r="D1672" s="115" t="s">
        <v>9433</v>
      </c>
      <c r="E1672" s="115" t="s">
        <v>2353</v>
      </c>
      <c r="F1672" s="115">
        <v>0</v>
      </c>
      <c r="G1672" s="115">
        <v>0</v>
      </c>
      <c r="H1672" s="115">
        <v>0</v>
      </c>
      <c r="I1672" s="115">
        <v>-123</v>
      </c>
      <c r="J1672" s="115">
        <v>0</v>
      </c>
      <c r="K1672" s="115">
        <v>31</v>
      </c>
    </row>
    <row r="1673" spans="1:11" x14ac:dyDescent="0.25">
      <c r="B1673" s="115" t="s">
        <v>1241</v>
      </c>
      <c r="D1673" s="115" t="s">
        <v>9434</v>
      </c>
      <c r="E1673" s="115" t="s">
        <v>2354</v>
      </c>
      <c r="F1673" s="115">
        <v>0</v>
      </c>
      <c r="G1673" s="115">
        <v>65</v>
      </c>
      <c r="H1673" s="115">
        <v>0</v>
      </c>
      <c r="I1673" s="115">
        <v>97</v>
      </c>
      <c r="J1673" s="115">
        <v>1610</v>
      </c>
      <c r="K1673" s="115">
        <v>0</v>
      </c>
    </row>
    <row r="1674" spans="1:11" x14ac:dyDescent="0.25">
      <c r="B1674" s="115" t="s">
        <v>2355</v>
      </c>
      <c r="D1674" s="115" t="s">
        <v>9435</v>
      </c>
      <c r="E1674" s="115" t="s">
        <v>2356</v>
      </c>
      <c r="F1674" s="115">
        <v>-33</v>
      </c>
      <c r="G1674" s="115">
        <v>0</v>
      </c>
      <c r="H1674" s="115">
        <v>0</v>
      </c>
      <c r="I1674" s="115">
        <v>0</v>
      </c>
      <c r="J1674" s="115">
        <v>0</v>
      </c>
      <c r="K1674" s="115">
        <v>54</v>
      </c>
    </row>
    <row r="1675" spans="1:11" x14ac:dyDescent="0.25">
      <c r="B1675" s="115" t="s">
        <v>2357</v>
      </c>
      <c r="D1675" s="115" t="s">
        <v>9436</v>
      </c>
      <c r="E1675" s="115" t="s">
        <v>2358</v>
      </c>
      <c r="F1675" s="115">
        <v>-34</v>
      </c>
      <c r="G1675" s="115">
        <v>131</v>
      </c>
      <c r="H1675" s="115">
        <v>0</v>
      </c>
      <c r="I1675" s="115">
        <v>192</v>
      </c>
      <c r="J1675" s="115">
        <v>59</v>
      </c>
      <c r="K1675" s="115">
        <v>189</v>
      </c>
    </row>
    <row r="1676" spans="1:11" x14ac:dyDescent="0.25">
      <c r="B1676" s="115" t="s">
        <v>2359</v>
      </c>
      <c r="D1676" s="115" t="s">
        <v>9437</v>
      </c>
      <c r="E1676" s="115" t="s">
        <v>2360</v>
      </c>
      <c r="F1676" s="115">
        <v>0</v>
      </c>
      <c r="G1676" s="115">
        <v>0</v>
      </c>
      <c r="H1676" s="115">
        <v>0</v>
      </c>
      <c r="I1676" s="115">
        <v>0</v>
      </c>
      <c r="J1676" s="115">
        <v>0</v>
      </c>
      <c r="K1676" s="115">
        <v>376</v>
      </c>
    </row>
    <row r="1677" spans="1:11" x14ac:dyDescent="0.25">
      <c r="B1677" s="115" t="s">
        <v>2361</v>
      </c>
      <c r="C1677" s="115" t="s">
        <v>1239</v>
      </c>
      <c r="D1677" s="115" t="s">
        <v>9438</v>
      </c>
      <c r="E1677" s="115" t="s">
        <v>2362</v>
      </c>
      <c r="F1677" s="115">
        <v>0</v>
      </c>
      <c r="G1677" s="115">
        <v>26</v>
      </c>
      <c r="H1677" s="115">
        <v>39</v>
      </c>
      <c r="I1677" s="115">
        <v>-150</v>
      </c>
      <c r="J1677" s="115">
        <v>95</v>
      </c>
      <c r="K1677" s="115">
        <v>-150</v>
      </c>
    </row>
    <row r="1678" spans="1:11" x14ac:dyDescent="0.25">
      <c r="B1678" s="115" t="s">
        <v>2363</v>
      </c>
      <c r="D1678" s="115" t="s">
        <v>9439</v>
      </c>
      <c r="E1678" s="115" t="s">
        <v>2364</v>
      </c>
      <c r="F1678" s="115">
        <v>1629</v>
      </c>
      <c r="G1678" s="115">
        <v>0</v>
      </c>
      <c r="H1678" s="115">
        <v>-162</v>
      </c>
      <c r="I1678" s="115">
        <v>-1443</v>
      </c>
      <c r="J1678" s="115">
        <v>0</v>
      </c>
      <c r="K1678" s="115">
        <v>0</v>
      </c>
    </row>
    <row r="1679" spans="1:11" x14ac:dyDescent="0.25">
      <c r="B1679" s="115" t="s">
        <v>2073</v>
      </c>
      <c r="D1679" s="115" t="s">
        <v>9440</v>
      </c>
      <c r="E1679" s="115" t="s">
        <v>2365</v>
      </c>
      <c r="F1679" s="115">
        <v>-90</v>
      </c>
      <c r="G1679" s="115">
        <v>314</v>
      </c>
      <c r="H1679" s="115">
        <v>356</v>
      </c>
      <c r="I1679" s="115">
        <v>-407</v>
      </c>
      <c r="J1679" s="115">
        <v>0</v>
      </c>
      <c r="K1679" s="115">
        <v>0</v>
      </c>
    </row>
    <row r="1680" spans="1:11" x14ac:dyDescent="0.25">
      <c r="B1680" s="115" t="s">
        <v>1241</v>
      </c>
      <c r="D1680" s="115" t="s">
        <v>9441</v>
      </c>
      <c r="E1680" s="115" t="s">
        <v>2366</v>
      </c>
      <c r="F1680" s="115">
        <v>0</v>
      </c>
      <c r="G1680" s="115">
        <v>101</v>
      </c>
      <c r="H1680" s="115">
        <v>-15110</v>
      </c>
      <c r="I1680" s="115">
        <v>2337</v>
      </c>
      <c r="J1680" s="115">
        <v>0</v>
      </c>
      <c r="K1680" s="115">
        <v>-5426</v>
      </c>
    </row>
    <row r="1681" spans="1:11" x14ac:dyDescent="0.25">
      <c r="A1681" s="115">
        <v>-3</v>
      </c>
      <c r="B1681" s="115" t="s">
        <v>2367</v>
      </c>
      <c r="D1681" s="115" t="s">
        <v>9442</v>
      </c>
      <c r="E1681" s="115" t="s">
        <v>2368</v>
      </c>
      <c r="F1681" s="115">
        <v>2984</v>
      </c>
      <c r="G1681" s="115">
        <v>1432</v>
      </c>
      <c r="H1681" s="115">
        <v>2379</v>
      </c>
      <c r="I1681" s="115">
        <v>0</v>
      </c>
      <c r="J1681" s="115">
        <v>-7014</v>
      </c>
      <c r="K1681" s="115">
        <v>0</v>
      </c>
    </row>
    <row r="1682" spans="1:11" x14ac:dyDescent="0.25">
      <c r="B1682" s="115" t="s">
        <v>2369</v>
      </c>
      <c r="C1682" s="115" t="s">
        <v>1239</v>
      </c>
      <c r="D1682" s="115" t="s">
        <v>9443</v>
      </c>
      <c r="E1682" s="115" t="s">
        <v>2370</v>
      </c>
      <c r="F1682" s="115">
        <v>-168</v>
      </c>
      <c r="G1682" s="115">
        <v>0</v>
      </c>
      <c r="H1682" s="115">
        <v>0</v>
      </c>
      <c r="I1682" s="115">
        <v>-820</v>
      </c>
      <c r="J1682" s="115">
        <v>0</v>
      </c>
      <c r="K1682" s="115">
        <v>-2176</v>
      </c>
    </row>
    <row r="1683" spans="1:11" x14ac:dyDescent="0.25">
      <c r="B1683" s="115" t="s">
        <v>2371</v>
      </c>
      <c r="D1683" s="115" t="s">
        <v>9444</v>
      </c>
      <c r="E1683" s="115" t="s">
        <v>2372</v>
      </c>
      <c r="F1683" s="115">
        <v>0</v>
      </c>
      <c r="G1683" s="115">
        <v>0</v>
      </c>
      <c r="H1683" s="115">
        <v>0</v>
      </c>
      <c r="I1683" s="115">
        <v>778</v>
      </c>
      <c r="J1683" s="115">
        <v>0</v>
      </c>
      <c r="K1683" s="115">
        <v>377</v>
      </c>
    </row>
    <row r="1684" spans="1:11" x14ac:dyDescent="0.25">
      <c r="A1684" s="115">
        <v>-1</v>
      </c>
      <c r="B1684" s="115" t="s">
        <v>2373</v>
      </c>
      <c r="D1684" s="115" t="s">
        <v>9445</v>
      </c>
      <c r="E1684" s="115" t="s">
        <v>2374</v>
      </c>
      <c r="F1684" s="115">
        <v>-216</v>
      </c>
      <c r="G1684" s="115">
        <v>0</v>
      </c>
      <c r="H1684" s="115">
        <v>0</v>
      </c>
      <c r="I1684" s="115">
        <v>-175</v>
      </c>
      <c r="J1684" s="115">
        <v>0</v>
      </c>
      <c r="K1684" s="115">
        <v>0</v>
      </c>
    </row>
    <row r="1685" spans="1:11" x14ac:dyDescent="0.25">
      <c r="B1685" s="115" t="s">
        <v>1795</v>
      </c>
      <c r="D1685" s="115" t="s">
        <v>9446</v>
      </c>
      <c r="E1685" s="115" t="s">
        <v>2375</v>
      </c>
      <c r="F1685" s="115">
        <v>0</v>
      </c>
      <c r="G1685" s="115">
        <v>0</v>
      </c>
      <c r="H1685" s="115">
        <v>0</v>
      </c>
      <c r="I1685" s="115">
        <v>0</v>
      </c>
      <c r="J1685" s="115">
        <v>0</v>
      </c>
      <c r="K1685" s="115">
        <v>-125</v>
      </c>
    </row>
    <row r="1686" spans="1:11" x14ac:dyDescent="0.25">
      <c r="B1686" s="115" t="s">
        <v>1241</v>
      </c>
      <c r="D1686" s="115" t="s">
        <v>9447</v>
      </c>
      <c r="E1686" s="115" t="s">
        <v>2376</v>
      </c>
      <c r="F1686" s="115">
        <v>-84</v>
      </c>
      <c r="G1686" s="115">
        <v>0</v>
      </c>
      <c r="H1686" s="115">
        <v>-116</v>
      </c>
      <c r="I1686" s="115">
        <v>640</v>
      </c>
      <c r="J1686" s="115">
        <v>1685</v>
      </c>
      <c r="K1686" s="115">
        <v>0</v>
      </c>
    </row>
    <row r="1687" spans="1:11" x14ac:dyDescent="0.25">
      <c r="A1687" s="115" t="s">
        <v>1239</v>
      </c>
      <c r="B1687" s="115" t="s">
        <v>2377</v>
      </c>
      <c r="D1687" s="115" t="s">
        <v>9448</v>
      </c>
      <c r="E1687" s="115" t="s">
        <v>2378</v>
      </c>
      <c r="F1687" s="115">
        <v>-32</v>
      </c>
      <c r="G1687" s="115">
        <v>317</v>
      </c>
      <c r="H1687" s="115">
        <v>0</v>
      </c>
      <c r="I1687" s="115">
        <v>-68</v>
      </c>
      <c r="J1687" s="115">
        <v>0</v>
      </c>
      <c r="K1687" s="115">
        <v>0</v>
      </c>
    </row>
    <row r="1688" spans="1:11" x14ac:dyDescent="0.25">
      <c r="B1688" s="115" t="s">
        <v>1241</v>
      </c>
      <c r="D1688" s="115" t="s">
        <v>9449</v>
      </c>
      <c r="E1688" s="115" t="s">
        <v>2379</v>
      </c>
      <c r="F1688" s="115">
        <v>0</v>
      </c>
      <c r="G1688" s="115">
        <v>0</v>
      </c>
      <c r="H1688" s="115">
        <v>0</v>
      </c>
      <c r="I1688" s="115">
        <v>-8</v>
      </c>
      <c r="J1688" s="115">
        <v>0</v>
      </c>
      <c r="K1688" s="115">
        <v>123</v>
      </c>
    </row>
    <row r="1689" spans="1:11" x14ac:dyDescent="0.25">
      <c r="B1689" s="115" t="s">
        <v>1241</v>
      </c>
      <c r="D1689" s="115" t="s">
        <v>9450</v>
      </c>
      <c r="E1689" s="115" t="s">
        <v>2380</v>
      </c>
      <c r="F1689" s="115">
        <v>0</v>
      </c>
      <c r="G1689" s="115">
        <v>329</v>
      </c>
      <c r="H1689" s="115">
        <v>0</v>
      </c>
      <c r="I1689" s="115">
        <v>224</v>
      </c>
      <c r="J1689" s="115">
        <v>17</v>
      </c>
      <c r="K1689" s="115">
        <v>0</v>
      </c>
    </row>
    <row r="1690" spans="1:11" x14ac:dyDescent="0.25">
      <c r="B1690" s="115" t="s">
        <v>2381</v>
      </c>
      <c r="D1690" s="115" t="s">
        <v>9451</v>
      </c>
      <c r="E1690" s="115" t="s">
        <v>2382</v>
      </c>
      <c r="F1690" s="115">
        <v>-41</v>
      </c>
      <c r="G1690" s="115">
        <v>0</v>
      </c>
      <c r="H1690" s="115">
        <v>0</v>
      </c>
      <c r="I1690" s="115">
        <v>0</v>
      </c>
      <c r="J1690" s="115">
        <v>0</v>
      </c>
      <c r="K1690" s="115">
        <v>-108</v>
      </c>
    </row>
    <row r="1691" spans="1:11" x14ac:dyDescent="0.25">
      <c r="B1691" s="115" t="s">
        <v>2383</v>
      </c>
      <c r="D1691" s="115" t="s">
        <v>9452</v>
      </c>
      <c r="E1691" s="115" t="s">
        <v>2384</v>
      </c>
      <c r="F1691" s="115">
        <v>-1595</v>
      </c>
      <c r="G1691" s="115">
        <v>275</v>
      </c>
      <c r="H1691" s="115">
        <v>0</v>
      </c>
      <c r="I1691" s="115">
        <v>2</v>
      </c>
      <c r="J1691" s="115">
        <v>-462</v>
      </c>
      <c r="K1691" s="115">
        <v>192</v>
      </c>
    </row>
    <row r="1692" spans="1:11" x14ac:dyDescent="0.25">
      <c r="B1692" s="115" t="s">
        <v>2385</v>
      </c>
      <c r="D1692" s="115" t="s">
        <v>9453</v>
      </c>
      <c r="E1692" s="115" t="s">
        <v>2386</v>
      </c>
      <c r="F1692" s="115">
        <v>0</v>
      </c>
      <c r="G1692" s="115">
        <v>0</v>
      </c>
      <c r="H1692" s="115">
        <v>0</v>
      </c>
      <c r="I1692" s="115">
        <v>0</v>
      </c>
      <c r="J1692" s="115">
        <v>0</v>
      </c>
      <c r="K1692" s="115">
        <v>52</v>
      </c>
    </row>
    <row r="1693" spans="1:11" x14ac:dyDescent="0.25">
      <c r="B1693" s="115" t="s">
        <v>2387</v>
      </c>
      <c r="D1693" s="115" t="s">
        <v>9454</v>
      </c>
      <c r="E1693" s="115" t="s">
        <v>2388</v>
      </c>
      <c r="F1693" s="115">
        <v>0</v>
      </c>
      <c r="G1693" s="115">
        <v>944</v>
      </c>
      <c r="H1693" s="115">
        <v>1415</v>
      </c>
      <c r="I1693" s="115">
        <v>-901</v>
      </c>
      <c r="J1693" s="115">
        <v>-596</v>
      </c>
      <c r="K1693" s="115">
        <v>-683</v>
      </c>
    </row>
    <row r="1694" spans="1:11" x14ac:dyDescent="0.25">
      <c r="B1694" s="115" t="s">
        <v>2389</v>
      </c>
      <c r="D1694" s="115" t="s">
        <v>9455</v>
      </c>
      <c r="E1694" s="115" t="s">
        <v>2390</v>
      </c>
      <c r="F1694" s="115">
        <v>-963</v>
      </c>
      <c r="G1694" s="115">
        <v>0</v>
      </c>
      <c r="H1694" s="115">
        <v>382</v>
      </c>
      <c r="I1694" s="115">
        <v>-1071</v>
      </c>
      <c r="J1694" s="115">
        <v>0</v>
      </c>
      <c r="K1694" s="115">
        <v>0</v>
      </c>
    </row>
    <row r="1695" spans="1:11" x14ac:dyDescent="0.25">
      <c r="B1695" s="115" t="s">
        <v>2391</v>
      </c>
      <c r="D1695" s="115" t="s">
        <v>9456</v>
      </c>
      <c r="E1695" s="115" t="s">
        <v>2392</v>
      </c>
      <c r="F1695" s="115">
        <v>674</v>
      </c>
      <c r="G1695" s="115">
        <v>1067</v>
      </c>
      <c r="H1695" s="115">
        <v>420</v>
      </c>
      <c r="I1695" s="115">
        <v>-99</v>
      </c>
      <c r="J1695" s="115">
        <v>0</v>
      </c>
      <c r="K1695" s="115">
        <v>0</v>
      </c>
    </row>
    <row r="1696" spans="1:11" x14ac:dyDescent="0.25">
      <c r="B1696" s="115" t="s">
        <v>1241</v>
      </c>
      <c r="D1696" s="115" t="s">
        <v>9457</v>
      </c>
      <c r="E1696" s="115" t="s">
        <v>2393</v>
      </c>
      <c r="F1696" s="115">
        <v>0</v>
      </c>
      <c r="G1696" s="115">
        <v>-1145</v>
      </c>
      <c r="H1696" s="115">
        <v>2189</v>
      </c>
      <c r="I1696" s="115">
        <v>-16218</v>
      </c>
      <c r="J1696" s="115">
        <v>0</v>
      </c>
      <c r="K1696" s="115">
        <v>-10514</v>
      </c>
    </row>
    <row r="1697" spans="1:11" x14ac:dyDescent="0.25">
      <c r="A1697" s="115">
        <v>-9</v>
      </c>
      <c r="B1697" s="115" t="s">
        <v>2394</v>
      </c>
      <c r="D1697" s="115" t="s">
        <v>9458</v>
      </c>
      <c r="E1697" s="115" t="s">
        <v>2395</v>
      </c>
      <c r="F1697" s="115">
        <v>2693</v>
      </c>
      <c r="G1697" s="115">
        <v>-4684</v>
      </c>
      <c r="H1697" s="115">
        <v>-6621</v>
      </c>
      <c r="I1697" s="115">
        <v>0</v>
      </c>
      <c r="J1697" s="115">
        <v>945</v>
      </c>
      <c r="K1697" s="115">
        <v>0</v>
      </c>
    </row>
    <row r="1698" spans="1:11" x14ac:dyDescent="0.25">
      <c r="B1698" s="115" t="s">
        <v>2396</v>
      </c>
      <c r="C1698" s="115">
        <v>2</v>
      </c>
      <c r="D1698" s="115" t="s">
        <v>9459</v>
      </c>
      <c r="E1698" s="115" t="s">
        <v>2397</v>
      </c>
      <c r="F1698" s="115">
        <v>4017</v>
      </c>
      <c r="G1698" s="115">
        <v>0</v>
      </c>
      <c r="H1698" s="115">
        <v>0</v>
      </c>
      <c r="I1698" s="115">
        <v>-3385</v>
      </c>
      <c r="J1698" s="115">
        <v>0</v>
      </c>
      <c r="K1698" s="115">
        <v>-4585</v>
      </c>
    </row>
    <row r="1699" spans="1:11" x14ac:dyDescent="0.25">
      <c r="B1699" s="115" t="s">
        <v>2398</v>
      </c>
      <c r="D1699" s="115" t="s">
        <v>9460</v>
      </c>
      <c r="E1699" s="115" t="s">
        <v>2399</v>
      </c>
      <c r="F1699" s="115">
        <v>0</v>
      </c>
      <c r="G1699" s="115">
        <v>0</v>
      </c>
      <c r="H1699" s="115">
        <v>0</v>
      </c>
      <c r="I1699" s="115">
        <v>2679</v>
      </c>
      <c r="J1699" s="115">
        <v>0</v>
      </c>
      <c r="K1699" s="115">
        <v>3546</v>
      </c>
    </row>
    <row r="1700" spans="1:11" x14ac:dyDescent="0.25">
      <c r="A1700" s="115">
        <v>-9</v>
      </c>
      <c r="B1700" s="115" t="s">
        <v>2400</v>
      </c>
      <c r="D1700" s="115" t="s">
        <v>8710</v>
      </c>
      <c r="E1700" s="115" t="s">
        <v>1242</v>
      </c>
      <c r="F1700" s="115">
        <v>0</v>
      </c>
      <c r="G1700" s="115">
        <v>0</v>
      </c>
      <c r="H1700" s="115">
        <v>0</v>
      </c>
      <c r="I1700" s="115">
        <v>0</v>
      </c>
      <c r="J1700" s="115">
        <v>0</v>
      </c>
      <c r="K1700" s="115">
        <v>0</v>
      </c>
    </row>
    <row r="1701" spans="1:11" x14ac:dyDescent="0.25">
      <c r="B1701" s="115" t="s">
        <v>1241</v>
      </c>
      <c r="D1701" s="115" t="s">
        <v>8710</v>
      </c>
      <c r="E1701" s="115" t="s">
        <v>1242</v>
      </c>
      <c r="F1701" s="115">
        <v>0</v>
      </c>
      <c r="G1701" s="115">
        <v>0</v>
      </c>
      <c r="H1701" s="115">
        <v>0</v>
      </c>
      <c r="I1701" s="115">
        <v>0</v>
      </c>
      <c r="J1701" s="115">
        <v>0</v>
      </c>
      <c r="K1701" s="115">
        <v>0</v>
      </c>
    </row>
    <row r="1702" spans="1:11" x14ac:dyDescent="0.25">
      <c r="B1702" s="115" t="s">
        <v>1241</v>
      </c>
      <c r="D1702" s="115" t="s">
        <v>8710</v>
      </c>
      <c r="E1702" s="115" t="s">
        <v>1242</v>
      </c>
      <c r="F1702" s="115">
        <v>0</v>
      </c>
      <c r="G1702" s="115">
        <v>0</v>
      </c>
      <c r="H1702" s="115">
        <v>0</v>
      </c>
      <c r="I1702" s="115">
        <v>0</v>
      </c>
      <c r="J1702" s="115">
        <v>0</v>
      </c>
      <c r="K1702" s="115">
        <v>0</v>
      </c>
    </row>
    <row r="1703" spans="1:11" x14ac:dyDescent="0.25">
      <c r="B1703" s="115" t="s">
        <v>1241</v>
      </c>
      <c r="D1703" s="115" t="s">
        <v>8710</v>
      </c>
      <c r="E1703" s="115" t="s">
        <v>1242</v>
      </c>
      <c r="F1703" s="115">
        <v>0</v>
      </c>
      <c r="G1703" s="115">
        <v>0</v>
      </c>
      <c r="H1703" s="115">
        <v>0</v>
      </c>
      <c r="I1703" s="115">
        <v>0</v>
      </c>
      <c r="J1703" s="115">
        <v>0</v>
      </c>
      <c r="K1703" s="115">
        <v>0</v>
      </c>
    </row>
    <row r="1704" spans="1:11" x14ac:dyDescent="0.25">
      <c r="B1704" s="115" t="s">
        <v>1241</v>
      </c>
      <c r="D1704" s="115" t="s">
        <v>8710</v>
      </c>
      <c r="E1704" s="115" t="s">
        <v>1242</v>
      </c>
      <c r="F1704" s="115">
        <v>0</v>
      </c>
      <c r="G1704" s="115">
        <v>0</v>
      </c>
      <c r="H1704" s="115">
        <v>0</v>
      </c>
      <c r="I1704" s="115">
        <v>0</v>
      </c>
      <c r="J1704" s="115">
        <v>0</v>
      </c>
      <c r="K1704" s="115">
        <v>0</v>
      </c>
    </row>
    <row r="1705" spans="1:11" x14ac:dyDescent="0.25">
      <c r="B1705" s="115" t="s">
        <v>1241</v>
      </c>
      <c r="D1705" s="115" t="s">
        <v>8710</v>
      </c>
      <c r="E1705" s="115" t="s">
        <v>1242</v>
      </c>
      <c r="F1705" s="115">
        <v>0</v>
      </c>
      <c r="G1705" s="115">
        <v>0</v>
      </c>
      <c r="H1705" s="115">
        <v>0</v>
      </c>
      <c r="I1705" s="115">
        <v>0</v>
      </c>
      <c r="J1705" s="115">
        <v>0</v>
      </c>
      <c r="K1705" s="115">
        <v>0</v>
      </c>
    </row>
    <row r="1706" spans="1:11" x14ac:dyDescent="0.25">
      <c r="B1706" s="115" t="s">
        <v>1241</v>
      </c>
      <c r="D1706" s="115" t="s">
        <v>8710</v>
      </c>
      <c r="E1706" s="115" t="s">
        <v>1242</v>
      </c>
      <c r="F1706" s="115">
        <v>0</v>
      </c>
      <c r="G1706" s="115">
        <v>0</v>
      </c>
      <c r="H1706" s="115">
        <v>0</v>
      </c>
      <c r="I1706" s="115">
        <v>0</v>
      </c>
      <c r="J1706" s="115">
        <v>0</v>
      </c>
      <c r="K1706" s="115">
        <v>0</v>
      </c>
    </row>
    <row r="1707" spans="1:11" x14ac:dyDescent="0.25">
      <c r="B1707" s="115" t="s">
        <v>1241</v>
      </c>
      <c r="D1707" s="115" t="s">
        <v>8710</v>
      </c>
      <c r="E1707" s="115" t="s">
        <v>1242</v>
      </c>
      <c r="F1707" s="115">
        <v>0</v>
      </c>
      <c r="G1707" s="115">
        <v>0</v>
      </c>
      <c r="H1707" s="115">
        <v>0</v>
      </c>
      <c r="I1707" s="115">
        <v>0</v>
      </c>
      <c r="J1707" s="115">
        <v>0</v>
      </c>
      <c r="K1707" s="115">
        <v>0</v>
      </c>
    </row>
    <row r="1708" spans="1:11" x14ac:dyDescent="0.25">
      <c r="B1708" s="115" t="s">
        <v>1241</v>
      </c>
      <c r="D1708" s="115" t="s">
        <v>8710</v>
      </c>
      <c r="E1708" s="115" t="s">
        <v>1242</v>
      </c>
      <c r="F1708" s="115">
        <v>0</v>
      </c>
      <c r="G1708" s="115">
        <v>0</v>
      </c>
      <c r="H1708" s="115">
        <v>0</v>
      </c>
      <c r="I1708" s="115">
        <v>0</v>
      </c>
      <c r="J1708" s="115">
        <v>0</v>
      </c>
      <c r="K1708" s="115">
        <v>0</v>
      </c>
    </row>
    <row r="1709" spans="1:11" x14ac:dyDescent="0.25">
      <c r="B1709" s="115" t="s">
        <v>1241</v>
      </c>
      <c r="D1709" s="115" t="s">
        <v>8710</v>
      </c>
      <c r="E1709" s="115" t="s">
        <v>1242</v>
      </c>
      <c r="F1709" s="115">
        <v>0</v>
      </c>
      <c r="G1709" s="115">
        <v>0</v>
      </c>
      <c r="H1709" s="115">
        <v>0</v>
      </c>
      <c r="I1709" s="115">
        <v>0</v>
      </c>
      <c r="J1709" s="115">
        <v>0</v>
      </c>
      <c r="K1709" s="115">
        <v>0</v>
      </c>
    </row>
    <row r="1710" spans="1:11" x14ac:dyDescent="0.25">
      <c r="B1710" s="115" t="s">
        <v>1241</v>
      </c>
      <c r="D1710" s="115" t="s">
        <v>8710</v>
      </c>
      <c r="E1710" s="115" t="s">
        <v>1242</v>
      </c>
      <c r="F1710" s="115">
        <v>0</v>
      </c>
      <c r="G1710" s="115">
        <v>0</v>
      </c>
      <c r="H1710" s="115">
        <v>0</v>
      </c>
      <c r="I1710" s="115">
        <v>0</v>
      </c>
      <c r="J1710" s="115">
        <v>0</v>
      </c>
      <c r="K1710" s="115">
        <v>0</v>
      </c>
    </row>
    <row r="1711" spans="1:11" x14ac:dyDescent="0.25">
      <c r="B1711" s="115" t="s">
        <v>1241</v>
      </c>
      <c r="D1711" s="115" t="s">
        <v>8710</v>
      </c>
      <c r="E1711" s="115" t="s">
        <v>1242</v>
      </c>
      <c r="F1711" s="115">
        <v>0</v>
      </c>
      <c r="G1711" s="115">
        <v>0</v>
      </c>
      <c r="H1711" s="115">
        <v>0</v>
      </c>
      <c r="I1711" s="115">
        <v>0</v>
      </c>
      <c r="J1711" s="115">
        <v>0</v>
      </c>
      <c r="K1711" s="115">
        <v>0</v>
      </c>
    </row>
    <row r="1712" spans="1:11" x14ac:dyDescent="0.25">
      <c r="B1712" s="115" t="s">
        <v>1241</v>
      </c>
      <c r="D1712" s="115" t="s">
        <v>8710</v>
      </c>
      <c r="E1712" s="115" t="s">
        <v>1242</v>
      </c>
      <c r="F1712" s="115">
        <v>0</v>
      </c>
      <c r="G1712" s="115">
        <v>0</v>
      </c>
      <c r="H1712" s="115">
        <v>0</v>
      </c>
      <c r="I1712" s="115">
        <v>0</v>
      </c>
      <c r="J1712" s="115">
        <v>0</v>
      </c>
      <c r="K1712" s="115">
        <v>0</v>
      </c>
    </row>
    <row r="1713" spans="1:11" x14ac:dyDescent="0.25">
      <c r="B1713" s="115" t="s">
        <v>1241</v>
      </c>
      <c r="D1713" s="115" t="s">
        <v>8710</v>
      </c>
      <c r="E1713" s="115" t="s">
        <v>1242</v>
      </c>
      <c r="F1713" s="115">
        <v>0</v>
      </c>
      <c r="G1713" s="115">
        <v>0</v>
      </c>
      <c r="H1713" s="115">
        <v>0</v>
      </c>
      <c r="I1713" s="115">
        <v>0</v>
      </c>
      <c r="J1713" s="115">
        <v>0</v>
      </c>
      <c r="K1713" s="115">
        <v>0</v>
      </c>
    </row>
    <row r="1714" spans="1:11" x14ac:dyDescent="0.25">
      <c r="B1714" s="115" t="s">
        <v>1241</v>
      </c>
      <c r="D1714" s="115" t="s">
        <v>8710</v>
      </c>
      <c r="E1714" s="115" t="s">
        <v>1242</v>
      </c>
      <c r="F1714" s="115">
        <v>0</v>
      </c>
      <c r="G1714" s="115">
        <v>0</v>
      </c>
      <c r="H1714" s="115">
        <v>0</v>
      </c>
      <c r="I1714" s="115">
        <v>0</v>
      </c>
      <c r="J1714" s="115">
        <v>0</v>
      </c>
      <c r="K1714" s="115">
        <v>0</v>
      </c>
    </row>
    <row r="1715" spans="1:11" x14ac:dyDescent="0.25">
      <c r="B1715" s="115" t="s">
        <v>1241</v>
      </c>
      <c r="D1715" s="115" t="s">
        <v>8710</v>
      </c>
      <c r="E1715" s="115" t="s">
        <v>1242</v>
      </c>
      <c r="F1715" s="115">
        <v>0</v>
      </c>
      <c r="G1715" s="115">
        <v>0</v>
      </c>
      <c r="H1715" s="115">
        <v>0</v>
      </c>
      <c r="I1715" s="115">
        <v>0</v>
      </c>
      <c r="J1715" s="115">
        <v>0</v>
      </c>
      <c r="K1715" s="115">
        <v>0</v>
      </c>
    </row>
    <row r="1716" spans="1:11" x14ac:dyDescent="0.25">
      <c r="B1716" s="115" t="s">
        <v>1241</v>
      </c>
      <c r="D1716" s="115" t="s">
        <v>9461</v>
      </c>
      <c r="E1716" s="115" t="s">
        <v>2401</v>
      </c>
      <c r="F1716" s="115">
        <v>525</v>
      </c>
      <c r="G1716" s="115">
        <v>1326</v>
      </c>
      <c r="H1716" s="115">
        <v>764</v>
      </c>
      <c r="I1716" s="115">
        <v>699</v>
      </c>
      <c r="J1716" s="115">
        <v>0</v>
      </c>
      <c r="K1716" s="115">
        <v>0</v>
      </c>
    </row>
    <row r="1717" spans="1:11" x14ac:dyDescent="0.25">
      <c r="B1717" s="115" t="s">
        <v>2402</v>
      </c>
      <c r="D1717" s="115" t="s">
        <v>9462</v>
      </c>
      <c r="E1717" s="115" t="s">
        <v>2403</v>
      </c>
      <c r="F1717" s="115">
        <v>-77</v>
      </c>
      <c r="G1717" s="115">
        <v>-194</v>
      </c>
      <c r="H1717" s="115">
        <v>0</v>
      </c>
      <c r="I1717" s="115">
        <v>0</v>
      </c>
      <c r="J1717" s="115">
        <v>0</v>
      </c>
      <c r="K1717" s="115">
        <v>0</v>
      </c>
    </row>
    <row r="1718" spans="1:11" x14ac:dyDescent="0.25">
      <c r="B1718" s="115" t="s">
        <v>1241</v>
      </c>
      <c r="D1718" s="115" t="s">
        <v>9463</v>
      </c>
      <c r="E1718" s="115" t="s">
        <v>2404</v>
      </c>
      <c r="F1718" s="115">
        <v>0</v>
      </c>
      <c r="G1718" s="115">
        <v>-175</v>
      </c>
      <c r="H1718" s="115">
        <v>0</v>
      </c>
      <c r="I1718" s="115">
        <v>-97</v>
      </c>
      <c r="J1718" s="115">
        <v>0</v>
      </c>
      <c r="K1718" s="115">
        <v>-268</v>
      </c>
    </row>
    <row r="1719" spans="1:11" x14ac:dyDescent="0.25">
      <c r="A1719" s="115">
        <v>-1</v>
      </c>
      <c r="B1719" s="115" t="s">
        <v>2405</v>
      </c>
      <c r="D1719" s="115" t="s">
        <v>9464</v>
      </c>
      <c r="E1719" s="115" t="s">
        <v>2406</v>
      </c>
      <c r="F1719" s="115">
        <v>474</v>
      </c>
      <c r="G1719" s="115">
        <v>186</v>
      </c>
      <c r="H1719" s="115">
        <v>146</v>
      </c>
      <c r="I1719" s="115">
        <v>587</v>
      </c>
      <c r="J1719" s="115">
        <v>535</v>
      </c>
      <c r="K1719" s="115">
        <v>0</v>
      </c>
    </row>
    <row r="1720" spans="1:11" x14ac:dyDescent="0.25">
      <c r="A1720" s="115" t="s">
        <v>1239</v>
      </c>
      <c r="B1720" s="115" t="s">
        <v>2407</v>
      </c>
      <c r="D1720" s="115" t="s">
        <v>9465</v>
      </c>
      <c r="E1720" s="115" t="s">
        <v>2408</v>
      </c>
      <c r="F1720" s="115">
        <v>0</v>
      </c>
      <c r="G1720" s="115">
        <v>0</v>
      </c>
      <c r="H1720" s="115">
        <v>-71</v>
      </c>
      <c r="I1720" s="115">
        <v>0</v>
      </c>
      <c r="J1720" s="115">
        <v>0</v>
      </c>
      <c r="K1720" s="115">
        <v>0</v>
      </c>
    </row>
    <row r="1721" spans="1:11" x14ac:dyDescent="0.25">
      <c r="B1721" s="115" t="s">
        <v>2409</v>
      </c>
      <c r="D1721" s="115" t="s">
        <v>9466</v>
      </c>
      <c r="E1721" s="115" t="s">
        <v>2410</v>
      </c>
      <c r="F1721" s="115">
        <v>0</v>
      </c>
      <c r="G1721" s="115">
        <v>0</v>
      </c>
      <c r="H1721" s="115">
        <v>0</v>
      </c>
      <c r="I1721" s="115">
        <v>0</v>
      </c>
      <c r="J1721" s="115">
        <v>-486</v>
      </c>
      <c r="K1721" s="115">
        <v>0</v>
      </c>
    </row>
    <row r="1722" spans="1:11" x14ac:dyDescent="0.25">
      <c r="B1722" s="115" t="s">
        <v>2411</v>
      </c>
      <c r="D1722" s="115" t="s">
        <v>9467</v>
      </c>
      <c r="E1722" s="115" t="s">
        <v>2412</v>
      </c>
      <c r="F1722" s="115">
        <v>9336</v>
      </c>
      <c r="G1722" s="115">
        <v>-567</v>
      </c>
      <c r="H1722" s="115">
        <v>0</v>
      </c>
      <c r="I1722" s="115">
        <v>2456</v>
      </c>
      <c r="J1722" s="115">
        <v>0</v>
      </c>
      <c r="K1722" s="115">
        <v>0</v>
      </c>
    </row>
    <row r="1723" spans="1:11" x14ac:dyDescent="0.25">
      <c r="B1723" s="115" t="s">
        <v>1241</v>
      </c>
      <c r="D1723" s="115" t="s">
        <v>9468</v>
      </c>
      <c r="E1723" s="115" t="s">
        <v>2413</v>
      </c>
      <c r="F1723" s="115">
        <v>795</v>
      </c>
      <c r="G1723" s="115">
        <v>0</v>
      </c>
      <c r="H1723" s="115">
        <v>0</v>
      </c>
      <c r="I1723" s="115">
        <v>-305</v>
      </c>
      <c r="J1723" s="115">
        <v>-578</v>
      </c>
      <c r="K1723" s="115">
        <v>0</v>
      </c>
    </row>
    <row r="1724" spans="1:11" x14ac:dyDescent="0.25">
      <c r="B1724" s="115" t="s">
        <v>2414</v>
      </c>
      <c r="D1724" s="115" t="s">
        <v>9469</v>
      </c>
      <c r="E1724" s="115" t="s">
        <v>2415</v>
      </c>
      <c r="F1724" s="115">
        <v>525</v>
      </c>
      <c r="G1724" s="115">
        <v>114</v>
      </c>
      <c r="H1724" s="115">
        <v>1030</v>
      </c>
      <c r="I1724" s="115">
        <v>0</v>
      </c>
      <c r="J1724" s="115">
        <v>0</v>
      </c>
      <c r="K1724" s="115">
        <v>0</v>
      </c>
    </row>
    <row r="1725" spans="1:11" x14ac:dyDescent="0.25">
      <c r="B1725" s="115" t="s">
        <v>1241</v>
      </c>
      <c r="D1725" s="115" t="s">
        <v>9470</v>
      </c>
      <c r="E1725" s="115" t="s">
        <v>2416</v>
      </c>
      <c r="F1725" s="115">
        <v>488</v>
      </c>
      <c r="G1725" s="115">
        <v>-65</v>
      </c>
      <c r="H1725" s="115">
        <v>329</v>
      </c>
      <c r="I1725" s="115">
        <v>0</v>
      </c>
      <c r="J1725" s="115">
        <v>6475</v>
      </c>
      <c r="K1725" s="115">
        <v>-4303</v>
      </c>
    </row>
    <row r="1726" spans="1:11" x14ac:dyDescent="0.25">
      <c r="B1726" s="115" t="s">
        <v>2417</v>
      </c>
      <c r="D1726" s="115" t="s">
        <v>9471</v>
      </c>
      <c r="E1726" s="115" t="s">
        <v>2418</v>
      </c>
      <c r="F1726" s="115">
        <v>-92</v>
      </c>
      <c r="G1726" s="115">
        <v>-1188</v>
      </c>
      <c r="H1726" s="115">
        <v>-979</v>
      </c>
      <c r="I1726" s="115">
        <v>655</v>
      </c>
      <c r="J1726" s="115">
        <v>0</v>
      </c>
      <c r="K1726" s="115">
        <v>-242</v>
      </c>
    </row>
    <row r="1727" spans="1:11" x14ac:dyDescent="0.25">
      <c r="A1727" s="115">
        <v>-1</v>
      </c>
      <c r="B1727" s="115" t="s">
        <v>2419</v>
      </c>
      <c r="D1727" s="115" t="s">
        <v>9472</v>
      </c>
      <c r="E1727" s="115" t="s">
        <v>2420</v>
      </c>
      <c r="F1727" s="115">
        <v>-142</v>
      </c>
      <c r="G1727" s="115">
        <v>100</v>
      </c>
      <c r="H1727" s="115">
        <v>0</v>
      </c>
      <c r="I1727" s="115">
        <v>348</v>
      </c>
      <c r="J1727" s="115">
        <v>135</v>
      </c>
      <c r="K1727" s="115">
        <v>-133</v>
      </c>
    </row>
    <row r="1728" spans="1:11" x14ac:dyDescent="0.25">
      <c r="B1728" s="115" t="s">
        <v>2421</v>
      </c>
      <c r="D1728" s="115" t="s">
        <v>9473</v>
      </c>
      <c r="E1728" s="115" t="s">
        <v>2422</v>
      </c>
      <c r="F1728" s="115">
        <v>0</v>
      </c>
      <c r="G1728" s="115">
        <v>0</v>
      </c>
      <c r="H1728" s="115">
        <v>4260</v>
      </c>
      <c r="I1728" s="115">
        <v>0</v>
      </c>
      <c r="J1728" s="115">
        <v>5695</v>
      </c>
      <c r="K1728" s="115">
        <v>-198</v>
      </c>
    </row>
    <row r="1729" spans="1:11" x14ac:dyDescent="0.25">
      <c r="A1729" s="115">
        <v>1</v>
      </c>
      <c r="B1729" s="115" t="s">
        <v>1817</v>
      </c>
      <c r="D1729" s="115" t="s">
        <v>9474</v>
      </c>
      <c r="E1729" s="115" t="s">
        <v>2423</v>
      </c>
      <c r="F1729" s="115">
        <v>492</v>
      </c>
      <c r="G1729" s="115">
        <v>1728</v>
      </c>
      <c r="H1729" s="115">
        <v>1386</v>
      </c>
      <c r="I1729" s="115">
        <v>-76</v>
      </c>
      <c r="J1729" s="115">
        <v>-566</v>
      </c>
      <c r="K1729" s="115">
        <v>18</v>
      </c>
    </row>
    <row r="1730" spans="1:11" x14ac:dyDescent="0.25">
      <c r="B1730" s="115" t="s">
        <v>2424</v>
      </c>
      <c r="D1730" s="115" t="s">
        <v>9475</v>
      </c>
      <c r="E1730" s="115" t="s">
        <v>2425</v>
      </c>
      <c r="F1730" s="115">
        <v>-2318</v>
      </c>
      <c r="G1730" s="115">
        <v>-235</v>
      </c>
      <c r="H1730" s="115">
        <v>0</v>
      </c>
      <c r="I1730" s="115">
        <v>357</v>
      </c>
      <c r="J1730" s="115">
        <v>0</v>
      </c>
      <c r="K1730" s="115">
        <v>0</v>
      </c>
    </row>
    <row r="1731" spans="1:11" x14ac:dyDescent="0.25">
      <c r="B1731" s="115" t="s">
        <v>2426</v>
      </c>
      <c r="D1731" s="115" t="s">
        <v>9476</v>
      </c>
      <c r="E1731" s="115" t="s">
        <v>1242</v>
      </c>
      <c r="F1731" s="115">
        <v>-151</v>
      </c>
      <c r="G1731" s="115">
        <v>0</v>
      </c>
      <c r="H1731" s="115">
        <v>0</v>
      </c>
      <c r="I1731" s="115">
        <v>0</v>
      </c>
      <c r="J1731" s="115">
        <v>0</v>
      </c>
      <c r="K1731" s="115">
        <v>0</v>
      </c>
    </row>
    <row r="1732" spans="1:11" x14ac:dyDescent="0.25">
      <c r="A1732" s="115">
        <v>2</v>
      </c>
      <c r="B1732" s="115" t="s">
        <v>2427</v>
      </c>
      <c r="D1732" s="115" t="s">
        <v>9477</v>
      </c>
      <c r="E1732" s="115" t="s">
        <v>2428</v>
      </c>
      <c r="F1732" s="115">
        <v>544</v>
      </c>
      <c r="G1732" s="115">
        <v>0</v>
      </c>
      <c r="H1732" s="115">
        <v>-77</v>
      </c>
      <c r="I1732" s="115">
        <v>38990</v>
      </c>
      <c r="J1732" s="115">
        <v>-149</v>
      </c>
      <c r="K1732" s="115">
        <v>-53</v>
      </c>
    </row>
    <row r="1733" spans="1:11" x14ac:dyDescent="0.25">
      <c r="A1733" s="115" t="s">
        <v>1239</v>
      </c>
      <c r="B1733" s="115" t="s">
        <v>2429</v>
      </c>
      <c r="D1733" s="115" t="s">
        <v>9478</v>
      </c>
      <c r="E1733" s="115" t="s">
        <v>2430</v>
      </c>
      <c r="F1733" s="115">
        <v>0</v>
      </c>
      <c r="G1733" s="115">
        <v>0</v>
      </c>
      <c r="H1733" s="115">
        <v>0</v>
      </c>
      <c r="I1733" s="115">
        <v>244</v>
      </c>
      <c r="J1733" s="115">
        <v>-138</v>
      </c>
      <c r="K1733" s="115">
        <v>0</v>
      </c>
    </row>
    <row r="1734" spans="1:11" x14ac:dyDescent="0.25">
      <c r="B1734" s="115" t="s">
        <v>1241</v>
      </c>
      <c r="D1734" s="115" t="s">
        <v>9479</v>
      </c>
      <c r="E1734" s="115" t="s">
        <v>2431</v>
      </c>
      <c r="F1734" s="115">
        <v>0</v>
      </c>
      <c r="G1734" s="115">
        <v>-125</v>
      </c>
      <c r="H1734" s="115">
        <v>0</v>
      </c>
      <c r="I1734" s="115">
        <v>0</v>
      </c>
      <c r="J1734" s="115">
        <v>-84</v>
      </c>
      <c r="K1734" s="115">
        <v>0</v>
      </c>
    </row>
    <row r="1735" spans="1:11" x14ac:dyDescent="0.25">
      <c r="B1735" s="115" t="s">
        <v>2205</v>
      </c>
      <c r="D1735" s="115" t="s">
        <v>9480</v>
      </c>
      <c r="E1735" s="115" t="s">
        <v>2432</v>
      </c>
      <c r="F1735" s="115">
        <v>186</v>
      </c>
      <c r="G1735" s="115">
        <v>0</v>
      </c>
      <c r="H1735" s="115">
        <v>155</v>
      </c>
      <c r="I1735" s="115">
        <v>32888</v>
      </c>
      <c r="J1735" s="115">
        <v>-36</v>
      </c>
      <c r="K1735" s="115">
        <v>-15</v>
      </c>
    </row>
    <row r="1736" spans="1:11" x14ac:dyDescent="0.25">
      <c r="B1736" s="115" t="s">
        <v>2433</v>
      </c>
      <c r="D1736" s="115" t="s">
        <v>9481</v>
      </c>
      <c r="E1736" s="115" t="s">
        <v>2434</v>
      </c>
      <c r="F1736" s="115">
        <v>0</v>
      </c>
      <c r="G1736" s="115">
        <v>0</v>
      </c>
      <c r="H1736" s="115">
        <v>0</v>
      </c>
      <c r="I1736" s="115">
        <v>0</v>
      </c>
      <c r="J1736" s="115">
        <v>0</v>
      </c>
      <c r="K1736" s="115">
        <v>-31</v>
      </c>
    </row>
    <row r="1737" spans="1:11" x14ac:dyDescent="0.25">
      <c r="B1737" s="115" t="s">
        <v>1241</v>
      </c>
      <c r="D1737" s="115" t="s">
        <v>9482</v>
      </c>
      <c r="E1737" s="115" t="s">
        <v>2435</v>
      </c>
      <c r="F1737" s="115">
        <v>0</v>
      </c>
      <c r="G1737" s="115">
        <v>-52</v>
      </c>
      <c r="H1737" s="115">
        <v>0</v>
      </c>
      <c r="I1737" s="115">
        <v>0</v>
      </c>
      <c r="J1737" s="115">
        <v>0</v>
      </c>
      <c r="K1737" s="115">
        <v>0</v>
      </c>
    </row>
    <row r="1738" spans="1:11" x14ac:dyDescent="0.25">
      <c r="B1738" s="115" t="s">
        <v>2436</v>
      </c>
      <c r="D1738" s="115" t="s">
        <v>9483</v>
      </c>
      <c r="E1738" s="115" t="s">
        <v>2437</v>
      </c>
      <c r="F1738" s="115">
        <v>-321</v>
      </c>
      <c r="G1738" s="115">
        <v>0</v>
      </c>
      <c r="H1738" s="115">
        <v>0</v>
      </c>
      <c r="I1738" s="115">
        <v>-1362</v>
      </c>
      <c r="J1738" s="115">
        <v>48636</v>
      </c>
      <c r="K1738" s="115">
        <v>0</v>
      </c>
    </row>
    <row r="1739" spans="1:11" x14ac:dyDescent="0.25">
      <c r="A1739" s="115" t="s">
        <v>1239</v>
      </c>
      <c r="B1739" s="115" t="s">
        <v>2438</v>
      </c>
      <c r="D1739" s="115" t="s">
        <v>9484</v>
      </c>
      <c r="E1739" s="115" t="s">
        <v>2439</v>
      </c>
      <c r="F1739" s="115">
        <v>0</v>
      </c>
      <c r="G1739" s="115">
        <v>-46</v>
      </c>
      <c r="H1739" s="115">
        <v>677</v>
      </c>
      <c r="I1739" s="115">
        <v>549</v>
      </c>
      <c r="J1739" s="115">
        <v>0</v>
      </c>
      <c r="K1739" s="115">
        <v>0</v>
      </c>
    </row>
    <row r="1740" spans="1:11" x14ac:dyDescent="0.25">
      <c r="B1740" s="115" t="s">
        <v>2440</v>
      </c>
      <c r="D1740" s="115" t="s">
        <v>9485</v>
      </c>
      <c r="E1740" s="115" t="s">
        <v>2441</v>
      </c>
      <c r="F1740" s="115">
        <v>385</v>
      </c>
      <c r="G1740" s="115">
        <v>-60</v>
      </c>
      <c r="H1740" s="115">
        <v>61</v>
      </c>
      <c r="I1740" s="115">
        <v>-83</v>
      </c>
      <c r="J1740" s="115">
        <v>2</v>
      </c>
      <c r="K1740" s="115">
        <v>292</v>
      </c>
    </row>
    <row r="1741" spans="1:11" x14ac:dyDescent="0.25">
      <c r="B1741" s="115" t="s">
        <v>1241</v>
      </c>
      <c r="D1741" s="115" t="s">
        <v>9486</v>
      </c>
      <c r="E1741" s="115" t="s">
        <v>2442</v>
      </c>
      <c r="F1741" s="115">
        <v>0</v>
      </c>
      <c r="G1741" s="115">
        <v>1145</v>
      </c>
      <c r="H1741" s="115">
        <v>0</v>
      </c>
      <c r="I1741" s="115">
        <v>155</v>
      </c>
      <c r="J1741" s="115">
        <v>-152</v>
      </c>
      <c r="K1741" s="115">
        <v>474</v>
      </c>
    </row>
    <row r="1742" spans="1:11" x14ac:dyDescent="0.25">
      <c r="B1742" s="115" t="s">
        <v>2443</v>
      </c>
      <c r="C1742" s="115">
        <v>5</v>
      </c>
      <c r="D1742" s="115" t="s">
        <v>9487</v>
      </c>
      <c r="E1742" s="115" t="s">
        <v>2444</v>
      </c>
      <c r="F1742" s="115">
        <v>-317</v>
      </c>
      <c r="G1742" s="115">
        <v>903</v>
      </c>
      <c r="H1742" s="115">
        <v>0</v>
      </c>
      <c r="I1742" s="115">
        <v>116</v>
      </c>
      <c r="J1742" s="115">
        <v>401</v>
      </c>
      <c r="K1742" s="115">
        <v>482</v>
      </c>
    </row>
    <row r="1743" spans="1:11" x14ac:dyDescent="0.25">
      <c r="B1743" s="115" t="s">
        <v>2445</v>
      </c>
      <c r="D1743" s="115" t="s">
        <v>9488</v>
      </c>
      <c r="E1743" s="115" t="s">
        <v>2446</v>
      </c>
      <c r="F1743" s="115">
        <v>0</v>
      </c>
      <c r="G1743" s="115">
        <v>0</v>
      </c>
      <c r="H1743" s="115">
        <v>0</v>
      </c>
      <c r="I1743" s="115">
        <v>-60</v>
      </c>
      <c r="J1743" s="115">
        <v>254</v>
      </c>
      <c r="K1743" s="115">
        <v>0</v>
      </c>
    </row>
    <row r="1744" spans="1:11" x14ac:dyDescent="0.25">
      <c r="B1744" s="115" t="s">
        <v>2447</v>
      </c>
      <c r="D1744" s="115" t="s">
        <v>9489</v>
      </c>
      <c r="E1744" s="115" t="s">
        <v>2448</v>
      </c>
      <c r="F1744" s="115">
        <v>0</v>
      </c>
      <c r="G1744" s="115">
        <v>0</v>
      </c>
      <c r="H1744" s="115">
        <v>0</v>
      </c>
      <c r="I1744" s="115">
        <v>0</v>
      </c>
      <c r="J1744" s="115">
        <v>0</v>
      </c>
      <c r="K1744" s="115">
        <v>1262</v>
      </c>
    </row>
    <row r="1745" spans="1:11" x14ac:dyDescent="0.25">
      <c r="B1745" s="115" t="s">
        <v>2449</v>
      </c>
      <c r="D1745" s="115" t="s">
        <v>9490</v>
      </c>
      <c r="E1745" s="115" t="s">
        <v>2450</v>
      </c>
      <c r="F1745" s="115">
        <v>0</v>
      </c>
      <c r="G1745" s="115">
        <v>1864</v>
      </c>
      <c r="H1745" s="115">
        <v>51433</v>
      </c>
      <c r="I1745" s="115">
        <v>-22</v>
      </c>
      <c r="J1745" s="115">
        <v>-542</v>
      </c>
      <c r="K1745" s="115">
        <v>789</v>
      </c>
    </row>
    <row r="1746" spans="1:11" x14ac:dyDescent="0.25">
      <c r="A1746" s="115" t="s">
        <v>1239</v>
      </c>
      <c r="B1746" s="115" t="s">
        <v>2451</v>
      </c>
      <c r="D1746" s="115" t="s">
        <v>9491</v>
      </c>
      <c r="E1746" s="115" t="s">
        <v>2452</v>
      </c>
      <c r="F1746" s="115">
        <v>133</v>
      </c>
      <c r="G1746" s="115">
        <v>0</v>
      </c>
      <c r="H1746" s="115">
        <v>0</v>
      </c>
      <c r="I1746" s="115">
        <v>-1639</v>
      </c>
      <c r="J1746" s="115">
        <v>90</v>
      </c>
      <c r="K1746" s="115">
        <v>0</v>
      </c>
    </row>
    <row r="1747" spans="1:11" x14ac:dyDescent="0.25">
      <c r="B1747" s="115" t="s">
        <v>2453</v>
      </c>
      <c r="D1747" s="115" t="s">
        <v>9492</v>
      </c>
      <c r="E1747" s="115" t="s">
        <v>2454</v>
      </c>
      <c r="F1747" s="115">
        <v>0</v>
      </c>
      <c r="G1747" s="115">
        <v>-25</v>
      </c>
      <c r="H1747" s="115">
        <v>-34</v>
      </c>
      <c r="I1747" s="115">
        <v>-106</v>
      </c>
      <c r="J1747" s="115">
        <v>0</v>
      </c>
      <c r="K1747" s="115">
        <v>0</v>
      </c>
    </row>
    <row r="1748" spans="1:11" x14ac:dyDescent="0.25">
      <c r="B1748" s="115" t="s">
        <v>1241</v>
      </c>
      <c r="D1748" s="115" t="s">
        <v>9493</v>
      </c>
      <c r="E1748" s="115" t="s">
        <v>2455</v>
      </c>
      <c r="F1748" s="115">
        <v>0</v>
      </c>
      <c r="G1748" s="115">
        <v>36</v>
      </c>
      <c r="H1748" s="115">
        <v>-554</v>
      </c>
      <c r="I1748" s="115">
        <v>285</v>
      </c>
      <c r="J1748" s="115">
        <v>0</v>
      </c>
      <c r="K1748" s="115">
        <v>6548</v>
      </c>
    </row>
    <row r="1749" spans="1:11" x14ac:dyDescent="0.25">
      <c r="A1749" s="115">
        <v>1</v>
      </c>
      <c r="B1749" s="115" t="s">
        <v>2456</v>
      </c>
      <c r="C1749" s="115" t="s">
        <v>1239</v>
      </c>
      <c r="D1749" s="115" t="s">
        <v>9494</v>
      </c>
      <c r="E1749" s="115" t="s">
        <v>2457</v>
      </c>
      <c r="F1749" s="115">
        <v>5</v>
      </c>
      <c r="G1749" s="115">
        <v>0</v>
      </c>
      <c r="H1749" s="115">
        <v>0</v>
      </c>
      <c r="I1749" s="115">
        <v>48</v>
      </c>
      <c r="J1749" s="115">
        <v>0</v>
      </c>
      <c r="K1749" s="115">
        <v>0</v>
      </c>
    </row>
    <row r="1750" spans="1:11" x14ac:dyDescent="0.25">
      <c r="B1750" s="115" t="s">
        <v>2387</v>
      </c>
      <c r="D1750" s="115" t="s">
        <v>9495</v>
      </c>
      <c r="E1750" s="115" t="s">
        <v>2458</v>
      </c>
      <c r="F1750" s="115">
        <v>0</v>
      </c>
      <c r="G1750" s="115">
        <v>0</v>
      </c>
      <c r="H1750" s="115">
        <v>0</v>
      </c>
      <c r="I1750" s="115">
        <v>0</v>
      </c>
      <c r="J1750" s="115">
        <v>0</v>
      </c>
      <c r="K1750" s="115">
        <v>207</v>
      </c>
    </row>
    <row r="1751" spans="1:11" x14ac:dyDescent="0.25">
      <c r="B1751" s="115" t="s">
        <v>1241</v>
      </c>
      <c r="D1751" s="115" t="s">
        <v>9496</v>
      </c>
      <c r="E1751" s="115" t="s">
        <v>2459</v>
      </c>
      <c r="F1751" s="115">
        <v>181</v>
      </c>
      <c r="G1751" s="115">
        <v>0</v>
      </c>
      <c r="H1751" s="115">
        <v>-147</v>
      </c>
      <c r="I1751" s="115">
        <v>-683</v>
      </c>
      <c r="J1751" s="115">
        <v>-289</v>
      </c>
      <c r="K1751" s="115">
        <v>0</v>
      </c>
    </row>
    <row r="1752" spans="1:11" x14ac:dyDescent="0.25">
      <c r="A1752" s="115" t="s">
        <v>1239</v>
      </c>
      <c r="B1752" s="115" t="s">
        <v>2460</v>
      </c>
      <c r="D1752" s="115" t="s">
        <v>9497</v>
      </c>
      <c r="E1752" s="115" t="s">
        <v>2461</v>
      </c>
      <c r="F1752" s="115">
        <v>79</v>
      </c>
      <c r="G1752" s="115">
        <v>-4</v>
      </c>
      <c r="H1752" s="115">
        <v>0</v>
      </c>
      <c r="I1752" s="115">
        <v>28</v>
      </c>
      <c r="J1752" s="115">
        <v>0</v>
      </c>
      <c r="K1752" s="115">
        <v>0</v>
      </c>
    </row>
    <row r="1753" spans="1:11" x14ac:dyDescent="0.25">
      <c r="B1753" s="115" t="s">
        <v>1241</v>
      </c>
      <c r="D1753" s="115" t="s">
        <v>9498</v>
      </c>
      <c r="E1753" s="115" t="s">
        <v>2462</v>
      </c>
      <c r="F1753" s="115">
        <v>0</v>
      </c>
      <c r="G1753" s="115">
        <v>0</v>
      </c>
      <c r="H1753" s="115">
        <v>0</v>
      </c>
      <c r="I1753" s="115">
        <v>86</v>
      </c>
      <c r="J1753" s="115">
        <v>0</v>
      </c>
      <c r="K1753" s="115">
        <v>-19</v>
      </c>
    </row>
    <row r="1754" spans="1:11" x14ac:dyDescent="0.25">
      <c r="B1754" s="115" t="s">
        <v>1241</v>
      </c>
      <c r="D1754" s="115" t="s">
        <v>9499</v>
      </c>
      <c r="E1754" s="115" t="s">
        <v>2463</v>
      </c>
      <c r="F1754" s="115">
        <v>0</v>
      </c>
      <c r="G1754" s="115">
        <v>66</v>
      </c>
      <c r="H1754" s="115">
        <v>0</v>
      </c>
      <c r="I1754" s="115">
        <v>-10</v>
      </c>
      <c r="J1754" s="115">
        <v>313</v>
      </c>
      <c r="K1754" s="115">
        <v>0</v>
      </c>
    </row>
    <row r="1755" spans="1:11" x14ac:dyDescent="0.25">
      <c r="B1755" s="115" t="s">
        <v>2464</v>
      </c>
      <c r="D1755" s="115" t="s">
        <v>9500</v>
      </c>
      <c r="E1755" s="115" t="s">
        <v>2465</v>
      </c>
      <c r="F1755" s="115">
        <v>71</v>
      </c>
      <c r="G1755" s="115">
        <v>0</v>
      </c>
      <c r="H1755" s="115">
        <v>0</v>
      </c>
      <c r="I1755" s="115">
        <v>0</v>
      </c>
      <c r="J1755" s="115">
        <v>0</v>
      </c>
      <c r="K1755" s="115">
        <v>109</v>
      </c>
    </row>
    <row r="1756" spans="1:11" x14ac:dyDescent="0.25">
      <c r="A1756" s="115" t="s">
        <v>1239</v>
      </c>
      <c r="B1756" s="115" t="s">
        <v>2466</v>
      </c>
      <c r="D1756" s="115" t="s">
        <v>9501</v>
      </c>
      <c r="E1756" s="115" t="s">
        <v>2467</v>
      </c>
      <c r="F1756" s="115">
        <v>-364</v>
      </c>
      <c r="G1756" s="115">
        <v>794</v>
      </c>
      <c r="H1756" s="115">
        <v>0</v>
      </c>
      <c r="I1756" s="115">
        <v>-349</v>
      </c>
      <c r="J1756" s="115">
        <v>-165</v>
      </c>
      <c r="K1756" s="115">
        <v>-25</v>
      </c>
    </row>
    <row r="1757" spans="1:11" x14ac:dyDescent="0.25">
      <c r="B1757" s="115" t="s">
        <v>2468</v>
      </c>
      <c r="D1757" s="115" t="s">
        <v>9502</v>
      </c>
      <c r="E1757" s="115" t="s">
        <v>2469</v>
      </c>
      <c r="F1757" s="115">
        <v>0</v>
      </c>
      <c r="G1757" s="115">
        <v>0</v>
      </c>
      <c r="H1757" s="115">
        <v>0</v>
      </c>
      <c r="I1757" s="115">
        <v>0</v>
      </c>
      <c r="J1757" s="115">
        <v>0</v>
      </c>
      <c r="K1757" s="115">
        <v>-79</v>
      </c>
    </row>
    <row r="1758" spans="1:11" x14ac:dyDescent="0.25">
      <c r="B1758" s="115" t="s">
        <v>2470</v>
      </c>
      <c r="D1758" s="115" t="s">
        <v>9503</v>
      </c>
      <c r="E1758" s="115" t="s">
        <v>2471</v>
      </c>
      <c r="F1758" s="115">
        <v>0</v>
      </c>
      <c r="G1758" s="115">
        <v>385</v>
      </c>
      <c r="H1758" s="115">
        <v>59</v>
      </c>
      <c r="I1758" s="115">
        <v>-2872</v>
      </c>
      <c r="J1758" s="115">
        <v>-56</v>
      </c>
      <c r="K1758" s="115">
        <v>-1442</v>
      </c>
    </row>
    <row r="1759" spans="1:11" x14ac:dyDescent="0.25">
      <c r="B1759" s="115" t="s">
        <v>2472</v>
      </c>
      <c r="D1759" s="115" t="s">
        <v>9504</v>
      </c>
      <c r="E1759" s="115" t="s">
        <v>2473</v>
      </c>
      <c r="F1759" s="115">
        <v>30</v>
      </c>
      <c r="G1759" s="115">
        <v>0</v>
      </c>
      <c r="H1759" s="115">
        <v>-74</v>
      </c>
      <c r="I1759" s="115">
        <v>-67</v>
      </c>
      <c r="J1759" s="115">
        <v>0</v>
      </c>
      <c r="K1759" s="115">
        <v>0</v>
      </c>
    </row>
    <row r="1760" spans="1:11" x14ac:dyDescent="0.25">
      <c r="B1760" s="115" t="s">
        <v>2474</v>
      </c>
      <c r="D1760" s="115" t="s">
        <v>9505</v>
      </c>
      <c r="E1760" s="115" t="s">
        <v>2475</v>
      </c>
      <c r="F1760" s="115">
        <v>-43</v>
      </c>
      <c r="G1760" s="115">
        <v>-139</v>
      </c>
      <c r="H1760" s="115">
        <v>-205</v>
      </c>
      <c r="I1760" s="115">
        <v>20</v>
      </c>
      <c r="J1760" s="115">
        <v>0</v>
      </c>
      <c r="K1760" s="115">
        <v>0</v>
      </c>
    </row>
    <row r="1761" spans="1:11" x14ac:dyDescent="0.25">
      <c r="B1761" s="115" t="s">
        <v>1241</v>
      </c>
      <c r="D1761" s="115" t="s">
        <v>9506</v>
      </c>
      <c r="E1761" s="115" t="s">
        <v>2476</v>
      </c>
      <c r="F1761" s="115">
        <v>0</v>
      </c>
      <c r="G1761" s="115">
        <v>-450</v>
      </c>
      <c r="H1761" s="115">
        <v>-114</v>
      </c>
      <c r="I1761" s="115">
        <v>-300</v>
      </c>
      <c r="J1761" s="115">
        <v>0</v>
      </c>
      <c r="K1761" s="115">
        <v>65</v>
      </c>
    </row>
    <row r="1762" spans="1:11" x14ac:dyDescent="0.25">
      <c r="A1762" s="115" t="s">
        <v>1239</v>
      </c>
      <c r="B1762" s="115" t="s">
        <v>2477</v>
      </c>
      <c r="D1762" s="115" t="s">
        <v>9507</v>
      </c>
      <c r="E1762" s="115" t="s">
        <v>2478</v>
      </c>
      <c r="F1762" s="115">
        <v>-190</v>
      </c>
      <c r="G1762" s="115">
        <v>-179</v>
      </c>
      <c r="H1762" s="115">
        <v>-158</v>
      </c>
      <c r="I1762" s="115">
        <v>0</v>
      </c>
      <c r="J1762" s="115">
        <v>8</v>
      </c>
      <c r="K1762" s="115">
        <v>0</v>
      </c>
    </row>
    <row r="1763" spans="1:11" x14ac:dyDescent="0.25">
      <c r="B1763" s="115" t="s">
        <v>2479</v>
      </c>
      <c r="D1763" s="115" t="s">
        <v>9508</v>
      </c>
      <c r="E1763" s="115" t="s">
        <v>2480</v>
      </c>
      <c r="F1763" s="115">
        <v>43</v>
      </c>
      <c r="G1763" s="115">
        <v>0</v>
      </c>
      <c r="H1763" s="115">
        <v>0</v>
      </c>
      <c r="I1763" s="115">
        <v>93</v>
      </c>
      <c r="J1763" s="115">
        <v>0</v>
      </c>
      <c r="K1763" s="115">
        <v>-78</v>
      </c>
    </row>
    <row r="1764" spans="1:11" x14ac:dyDescent="0.25">
      <c r="A1764" s="115" t="s">
        <v>1239</v>
      </c>
      <c r="B1764" s="115" t="s">
        <v>2481</v>
      </c>
      <c r="D1764" s="115" t="s">
        <v>9509</v>
      </c>
      <c r="E1764" s="115" t="s">
        <v>2482</v>
      </c>
      <c r="F1764" s="115">
        <v>0</v>
      </c>
      <c r="G1764" s="115">
        <v>0</v>
      </c>
      <c r="H1764" s="115">
        <v>0</v>
      </c>
      <c r="I1764" s="115">
        <v>-145</v>
      </c>
      <c r="J1764" s="115">
        <v>0</v>
      </c>
      <c r="K1764" s="115">
        <v>-67</v>
      </c>
    </row>
    <row r="1765" spans="1:11" x14ac:dyDescent="0.25">
      <c r="B1765" s="115" t="s">
        <v>2483</v>
      </c>
      <c r="D1765" s="115" t="s">
        <v>9510</v>
      </c>
      <c r="E1765" s="115" t="s">
        <v>1242</v>
      </c>
      <c r="F1765" s="115">
        <v>-2349</v>
      </c>
      <c r="G1765" s="115">
        <v>0</v>
      </c>
      <c r="H1765" s="115">
        <v>0</v>
      </c>
      <c r="I1765" s="115">
        <v>0</v>
      </c>
      <c r="J1765" s="115">
        <v>0</v>
      </c>
      <c r="K1765" s="115">
        <v>0</v>
      </c>
    </row>
    <row r="1766" spans="1:11" x14ac:dyDescent="0.25">
      <c r="B1766" s="115" t="s">
        <v>1241</v>
      </c>
      <c r="D1766" s="115" t="s">
        <v>8710</v>
      </c>
      <c r="E1766" s="115" t="s">
        <v>1242</v>
      </c>
      <c r="F1766" s="115">
        <v>0</v>
      </c>
      <c r="G1766" s="115">
        <v>0</v>
      </c>
      <c r="H1766" s="115">
        <v>0</v>
      </c>
      <c r="I1766" s="115">
        <v>0</v>
      </c>
      <c r="J1766" s="115">
        <v>0</v>
      </c>
      <c r="K1766" s="115">
        <v>0</v>
      </c>
    </row>
    <row r="1767" spans="1:11" x14ac:dyDescent="0.25">
      <c r="B1767" s="115" t="s">
        <v>1241</v>
      </c>
      <c r="D1767" s="115" t="s">
        <v>8710</v>
      </c>
      <c r="E1767" s="115" t="s">
        <v>1242</v>
      </c>
      <c r="F1767" s="115">
        <v>0</v>
      </c>
      <c r="G1767" s="115">
        <v>0</v>
      </c>
      <c r="H1767" s="115">
        <v>0</v>
      </c>
      <c r="I1767" s="115">
        <v>0</v>
      </c>
      <c r="J1767" s="115">
        <v>0</v>
      </c>
      <c r="K1767" s="115">
        <v>0</v>
      </c>
    </row>
    <row r="1768" spans="1:11" x14ac:dyDescent="0.25">
      <c r="B1768" s="115" t="s">
        <v>1241</v>
      </c>
      <c r="D1768" s="115" t="s">
        <v>8710</v>
      </c>
      <c r="E1768" s="115" t="s">
        <v>1242</v>
      </c>
      <c r="F1768" s="115">
        <v>0</v>
      </c>
      <c r="G1768" s="115">
        <v>0</v>
      </c>
      <c r="H1768" s="115">
        <v>0</v>
      </c>
      <c r="I1768" s="115">
        <v>0</v>
      </c>
      <c r="J1768" s="115">
        <v>0</v>
      </c>
      <c r="K1768" s="115">
        <v>0</v>
      </c>
    </row>
    <row r="1769" spans="1:11" x14ac:dyDescent="0.25">
      <c r="B1769" s="115" t="s">
        <v>1241</v>
      </c>
      <c r="D1769" s="115" t="s">
        <v>8710</v>
      </c>
      <c r="E1769" s="115" t="s">
        <v>1242</v>
      </c>
      <c r="F1769" s="115">
        <v>0</v>
      </c>
      <c r="G1769" s="115">
        <v>0</v>
      </c>
      <c r="H1769" s="115">
        <v>0</v>
      </c>
      <c r="I1769" s="115">
        <v>0</v>
      </c>
      <c r="J1769" s="115">
        <v>0</v>
      </c>
      <c r="K1769" s="115">
        <v>0</v>
      </c>
    </row>
    <row r="1770" spans="1:11" x14ac:dyDescent="0.25">
      <c r="B1770" s="115" t="s">
        <v>1241</v>
      </c>
      <c r="D1770" s="115" t="s">
        <v>8710</v>
      </c>
      <c r="E1770" s="115" t="s">
        <v>1242</v>
      </c>
      <c r="F1770" s="115">
        <v>0</v>
      </c>
      <c r="G1770" s="115">
        <v>0</v>
      </c>
      <c r="H1770" s="115">
        <v>0</v>
      </c>
      <c r="I1770" s="115">
        <v>0</v>
      </c>
      <c r="J1770" s="115">
        <v>0</v>
      </c>
      <c r="K1770" s="115">
        <v>0</v>
      </c>
    </row>
    <row r="1771" spans="1:11" x14ac:dyDescent="0.25">
      <c r="B1771" s="115" t="s">
        <v>1241</v>
      </c>
      <c r="D1771" s="115" t="s">
        <v>8710</v>
      </c>
      <c r="E1771" s="115" t="s">
        <v>1242</v>
      </c>
      <c r="F1771" s="115">
        <v>0</v>
      </c>
      <c r="G1771" s="115">
        <v>0</v>
      </c>
      <c r="H1771" s="115">
        <v>0</v>
      </c>
      <c r="I1771" s="115">
        <v>0</v>
      </c>
      <c r="J1771" s="115">
        <v>0</v>
      </c>
      <c r="K1771" s="115">
        <v>0</v>
      </c>
    </row>
    <row r="1772" spans="1:11" x14ac:dyDescent="0.25">
      <c r="B1772" s="115" t="s">
        <v>1241</v>
      </c>
      <c r="D1772" s="115" t="s">
        <v>8710</v>
      </c>
      <c r="E1772" s="115" t="s">
        <v>1242</v>
      </c>
      <c r="F1772" s="115">
        <v>0</v>
      </c>
      <c r="G1772" s="115">
        <v>0</v>
      </c>
      <c r="H1772" s="115">
        <v>0</v>
      </c>
      <c r="I1772" s="115">
        <v>0</v>
      </c>
      <c r="J1772" s="115">
        <v>0</v>
      </c>
      <c r="K1772" s="115">
        <v>0</v>
      </c>
    </row>
    <row r="1773" spans="1:11" x14ac:dyDescent="0.25">
      <c r="B1773" s="115" t="s">
        <v>1241</v>
      </c>
      <c r="D1773" s="115" t="s">
        <v>8710</v>
      </c>
      <c r="E1773" s="115" t="s">
        <v>1242</v>
      </c>
      <c r="F1773" s="115">
        <v>0</v>
      </c>
      <c r="G1773" s="115">
        <v>0</v>
      </c>
      <c r="H1773" s="115">
        <v>0</v>
      </c>
      <c r="I1773" s="115">
        <v>0</v>
      </c>
      <c r="J1773" s="115">
        <v>0</v>
      </c>
      <c r="K1773" s="115">
        <v>0</v>
      </c>
    </row>
    <row r="1774" spans="1:11" x14ac:dyDescent="0.25">
      <c r="B1774" s="115" t="s">
        <v>1241</v>
      </c>
      <c r="D1774" s="115" t="s">
        <v>8710</v>
      </c>
      <c r="E1774" s="115" t="s">
        <v>1242</v>
      </c>
      <c r="F1774" s="115">
        <v>0</v>
      </c>
      <c r="G1774" s="115">
        <v>0</v>
      </c>
      <c r="H1774" s="115">
        <v>0</v>
      </c>
      <c r="I1774" s="115">
        <v>0</v>
      </c>
      <c r="J1774" s="115">
        <v>0</v>
      </c>
      <c r="K1774" s="115">
        <v>0</v>
      </c>
    </row>
    <row r="1775" spans="1:11" x14ac:dyDescent="0.25">
      <c r="B1775" s="115" t="s">
        <v>1241</v>
      </c>
      <c r="D1775" s="115" t="s">
        <v>8710</v>
      </c>
      <c r="E1775" s="115" t="s">
        <v>1242</v>
      </c>
      <c r="F1775" s="115">
        <v>0</v>
      </c>
      <c r="G1775" s="115">
        <v>0</v>
      </c>
      <c r="H1775" s="115">
        <v>0</v>
      </c>
      <c r="I1775" s="115">
        <v>0</v>
      </c>
      <c r="J1775" s="115">
        <v>0</v>
      </c>
      <c r="K1775" s="115">
        <v>0</v>
      </c>
    </row>
    <row r="1776" spans="1:11" x14ac:dyDescent="0.25">
      <c r="B1776" s="115" t="s">
        <v>1241</v>
      </c>
      <c r="D1776" s="115" t="s">
        <v>8710</v>
      </c>
      <c r="E1776" s="115" t="s">
        <v>1242</v>
      </c>
      <c r="F1776" s="115">
        <v>0</v>
      </c>
      <c r="G1776" s="115">
        <v>0</v>
      </c>
      <c r="H1776" s="115">
        <v>0</v>
      </c>
      <c r="I1776" s="115">
        <v>0</v>
      </c>
      <c r="J1776" s="115">
        <v>0</v>
      </c>
      <c r="K1776" s="115">
        <v>0</v>
      </c>
    </row>
    <row r="1777" spans="2:11" x14ac:dyDescent="0.25">
      <c r="B1777" s="115" t="s">
        <v>1241</v>
      </c>
      <c r="D1777" s="115" t="s">
        <v>8710</v>
      </c>
      <c r="E1777" s="115" t="s">
        <v>1242</v>
      </c>
      <c r="F1777" s="115">
        <v>0</v>
      </c>
      <c r="G1777" s="115">
        <v>0</v>
      </c>
      <c r="H1777" s="115">
        <v>0</v>
      </c>
      <c r="I1777" s="115">
        <v>0</v>
      </c>
      <c r="J1777" s="115">
        <v>0</v>
      </c>
      <c r="K1777" s="115">
        <v>0</v>
      </c>
    </row>
    <row r="1778" spans="2:11" x14ac:dyDescent="0.25">
      <c r="B1778" s="115" t="s">
        <v>1241</v>
      </c>
      <c r="D1778" s="115" t="s">
        <v>8710</v>
      </c>
      <c r="E1778" s="115" t="s">
        <v>1242</v>
      </c>
      <c r="F1778" s="115">
        <v>0</v>
      </c>
      <c r="G1778" s="115">
        <v>0</v>
      </c>
      <c r="H1778" s="115">
        <v>0</v>
      </c>
      <c r="I1778" s="115">
        <v>0</v>
      </c>
      <c r="J1778" s="115">
        <v>0</v>
      </c>
      <c r="K1778" s="115">
        <v>0</v>
      </c>
    </row>
    <row r="1779" spans="2:11" x14ac:dyDescent="0.25">
      <c r="B1779" s="115" t="s">
        <v>1241</v>
      </c>
      <c r="D1779" s="115" t="s">
        <v>8710</v>
      </c>
      <c r="E1779" s="115" t="s">
        <v>1242</v>
      </c>
      <c r="F1779" s="115">
        <v>0</v>
      </c>
      <c r="G1779" s="115">
        <v>0</v>
      </c>
      <c r="H1779" s="115">
        <v>0</v>
      </c>
      <c r="I1779" s="115">
        <v>0</v>
      </c>
      <c r="J1779" s="115">
        <v>0</v>
      </c>
      <c r="K1779" s="115">
        <v>0</v>
      </c>
    </row>
    <row r="1780" spans="2:11" x14ac:dyDescent="0.25">
      <c r="B1780" s="115" t="s">
        <v>1241</v>
      </c>
      <c r="D1780" s="115" t="s">
        <v>8710</v>
      </c>
      <c r="E1780" s="115" t="s">
        <v>1242</v>
      </c>
      <c r="F1780" s="115">
        <v>0</v>
      </c>
      <c r="G1780" s="115">
        <v>0</v>
      </c>
      <c r="H1780" s="115">
        <v>0</v>
      </c>
      <c r="I1780" s="115">
        <v>0</v>
      </c>
      <c r="J1780" s="115">
        <v>0</v>
      </c>
      <c r="K1780" s="115">
        <v>0</v>
      </c>
    </row>
    <row r="1781" spans="2:11" x14ac:dyDescent="0.25">
      <c r="B1781" s="115" t="s">
        <v>1241</v>
      </c>
      <c r="D1781" s="115" t="s">
        <v>8710</v>
      </c>
      <c r="E1781" s="115" t="s">
        <v>1242</v>
      </c>
      <c r="F1781" s="115">
        <v>0</v>
      </c>
      <c r="G1781" s="115">
        <v>0</v>
      </c>
      <c r="H1781" s="115">
        <v>0</v>
      </c>
      <c r="I1781" s="115">
        <v>0</v>
      </c>
      <c r="J1781" s="115">
        <v>0</v>
      </c>
      <c r="K1781" s="115">
        <v>0</v>
      </c>
    </row>
    <row r="1782" spans="2:11" x14ac:dyDescent="0.25">
      <c r="B1782" s="115" t="s">
        <v>1241</v>
      </c>
      <c r="D1782" s="115" t="s">
        <v>8710</v>
      </c>
      <c r="E1782" s="115" t="s">
        <v>1242</v>
      </c>
      <c r="F1782" s="115">
        <v>0</v>
      </c>
      <c r="G1782" s="115">
        <v>0</v>
      </c>
      <c r="H1782" s="115">
        <v>0</v>
      </c>
      <c r="I1782" s="115">
        <v>0</v>
      </c>
      <c r="J1782" s="115">
        <v>0</v>
      </c>
      <c r="K1782" s="115">
        <v>0</v>
      </c>
    </row>
    <row r="1783" spans="2:11" x14ac:dyDescent="0.25">
      <c r="B1783" s="115" t="s">
        <v>1241</v>
      </c>
      <c r="D1783" s="115" t="s">
        <v>8710</v>
      </c>
      <c r="E1783" s="115" t="s">
        <v>1242</v>
      </c>
      <c r="F1783" s="115">
        <v>0</v>
      </c>
      <c r="G1783" s="115">
        <v>0</v>
      </c>
      <c r="H1783" s="115">
        <v>0</v>
      </c>
      <c r="I1783" s="115">
        <v>0</v>
      </c>
      <c r="J1783" s="115">
        <v>0</v>
      </c>
      <c r="K1783" s="115">
        <v>0</v>
      </c>
    </row>
    <row r="1784" spans="2:11" x14ac:dyDescent="0.25">
      <c r="B1784" s="115" t="s">
        <v>1241</v>
      </c>
      <c r="D1784" s="115" t="s">
        <v>8710</v>
      </c>
      <c r="E1784" s="115" t="s">
        <v>1242</v>
      </c>
      <c r="F1784" s="115">
        <v>0</v>
      </c>
      <c r="G1784" s="115">
        <v>0</v>
      </c>
      <c r="H1784" s="115">
        <v>0</v>
      </c>
      <c r="I1784" s="115">
        <v>0</v>
      </c>
      <c r="J1784" s="115">
        <v>0</v>
      </c>
      <c r="K1784" s="115">
        <v>0</v>
      </c>
    </row>
    <row r="1785" spans="2:11" x14ac:dyDescent="0.25">
      <c r="B1785" s="115" t="s">
        <v>1241</v>
      </c>
      <c r="D1785" s="115" t="s">
        <v>8710</v>
      </c>
      <c r="E1785" s="115" t="s">
        <v>1242</v>
      </c>
      <c r="F1785" s="115">
        <v>0</v>
      </c>
      <c r="G1785" s="115">
        <v>0</v>
      </c>
      <c r="H1785" s="115">
        <v>0</v>
      </c>
      <c r="I1785" s="115">
        <v>0</v>
      </c>
      <c r="J1785" s="115">
        <v>0</v>
      </c>
      <c r="K1785" s="115">
        <v>0</v>
      </c>
    </row>
    <row r="1786" spans="2:11" x14ac:dyDescent="0.25">
      <c r="B1786" s="115" t="s">
        <v>1241</v>
      </c>
      <c r="D1786" s="115" t="s">
        <v>8710</v>
      </c>
      <c r="E1786" s="115" t="s">
        <v>1242</v>
      </c>
      <c r="F1786" s="115">
        <v>0</v>
      </c>
      <c r="G1786" s="115">
        <v>0</v>
      </c>
      <c r="H1786" s="115">
        <v>0</v>
      </c>
      <c r="I1786" s="115">
        <v>0</v>
      </c>
      <c r="J1786" s="115">
        <v>0</v>
      </c>
      <c r="K1786" s="115">
        <v>0</v>
      </c>
    </row>
    <row r="1787" spans="2:11" x14ac:dyDescent="0.25">
      <c r="B1787" s="115" t="s">
        <v>1241</v>
      </c>
      <c r="D1787" s="115" t="s">
        <v>8710</v>
      </c>
      <c r="E1787" s="115" t="s">
        <v>1242</v>
      </c>
      <c r="F1787" s="115">
        <v>0</v>
      </c>
      <c r="G1787" s="115">
        <v>0</v>
      </c>
      <c r="H1787" s="115">
        <v>0</v>
      </c>
      <c r="I1787" s="115">
        <v>0</v>
      </c>
      <c r="J1787" s="115">
        <v>0</v>
      </c>
      <c r="K1787" s="115">
        <v>0</v>
      </c>
    </row>
    <row r="1788" spans="2:11" x14ac:dyDescent="0.25">
      <c r="B1788" s="115" t="s">
        <v>1241</v>
      </c>
      <c r="D1788" s="115" t="s">
        <v>8710</v>
      </c>
      <c r="E1788" s="115" t="s">
        <v>1242</v>
      </c>
      <c r="F1788" s="115">
        <v>0</v>
      </c>
      <c r="G1788" s="115">
        <v>0</v>
      </c>
      <c r="H1788" s="115">
        <v>0</v>
      </c>
      <c r="I1788" s="115">
        <v>0</v>
      </c>
      <c r="J1788" s="115">
        <v>0</v>
      </c>
      <c r="K1788" s="115">
        <v>0</v>
      </c>
    </row>
    <row r="1789" spans="2:11" x14ac:dyDescent="0.25">
      <c r="B1789" s="115" t="s">
        <v>1241</v>
      </c>
      <c r="D1789" s="115" t="s">
        <v>8710</v>
      </c>
      <c r="E1789" s="115" t="s">
        <v>1242</v>
      </c>
      <c r="F1789" s="115">
        <v>0</v>
      </c>
      <c r="G1789" s="115">
        <v>0</v>
      </c>
      <c r="H1789" s="115">
        <v>0</v>
      </c>
      <c r="I1789" s="115">
        <v>0</v>
      </c>
      <c r="J1789" s="115">
        <v>0</v>
      </c>
      <c r="K1789" s="115">
        <v>0</v>
      </c>
    </row>
    <row r="1790" spans="2:11" x14ac:dyDescent="0.25">
      <c r="B1790" s="115" t="s">
        <v>1241</v>
      </c>
      <c r="D1790" s="115" t="s">
        <v>8710</v>
      </c>
      <c r="E1790" s="115" t="s">
        <v>1242</v>
      </c>
      <c r="F1790" s="115">
        <v>0</v>
      </c>
      <c r="G1790" s="115">
        <v>0</v>
      </c>
      <c r="H1790" s="115">
        <v>0</v>
      </c>
      <c r="I1790" s="115">
        <v>0</v>
      </c>
      <c r="J1790" s="115">
        <v>0</v>
      </c>
      <c r="K1790" s="115">
        <v>0</v>
      </c>
    </row>
    <row r="1791" spans="2:11" x14ac:dyDescent="0.25">
      <c r="B1791" s="115" t="s">
        <v>1241</v>
      </c>
      <c r="D1791" s="115" t="s">
        <v>8710</v>
      </c>
      <c r="E1791" s="115" t="s">
        <v>1242</v>
      </c>
      <c r="F1791" s="115">
        <v>0</v>
      </c>
      <c r="G1791" s="115">
        <v>0</v>
      </c>
      <c r="H1791" s="115">
        <v>0</v>
      </c>
      <c r="I1791" s="115">
        <v>0</v>
      </c>
      <c r="J1791" s="115">
        <v>0</v>
      </c>
      <c r="K1791" s="115">
        <v>0</v>
      </c>
    </row>
    <row r="1792" spans="2:11" x14ac:dyDescent="0.25">
      <c r="B1792" s="115" t="s">
        <v>1241</v>
      </c>
      <c r="D1792" s="115" t="s">
        <v>8710</v>
      </c>
      <c r="E1792" s="115" t="s">
        <v>1242</v>
      </c>
      <c r="F1792" s="115">
        <v>0</v>
      </c>
      <c r="G1792" s="115">
        <v>0</v>
      </c>
      <c r="H1792" s="115">
        <v>0</v>
      </c>
      <c r="I1792" s="115">
        <v>0</v>
      </c>
      <c r="J1792" s="115">
        <v>0</v>
      </c>
      <c r="K1792" s="115">
        <v>0</v>
      </c>
    </row>
    <row r="1793" spans="2:11" x14ac:dyDescent="0.25">
      <c r="B1793" s="115" t="s">
        <v>1241</v>
      </c>
      <c r="D1793" s="115" t="s">
        <v>8710</v>
      </c>
      <c r="E1793" s="115" t="s">
        <v>1242</v>
      </c>
      <c r="F1793" s="115">
        <v>0</v>
      </c>
      <c r="G1793" s="115">
        <v>0</v>
      </c>
      <c r="H1793" s="115">
        <v>0</v>
      </c>
      <c r="I1793" s="115">
        <v>0</v>
      </c>
      <c r="J1793" s="115">
        <v>0</v>
      </c>
      <c r="K1793" s="115">
        <v>0</v>
      </c>
    </row>
    <row r="1794" spans="2:11" x14ac:dyDescent="0.25">
      <c r="B1794" s="115" t="s">
        <v>1241</v>
      </c>
      <c r="D1794" s="115" t="s">
        <v>8710</v>
      </c>
      <c r="E1794" s="115" t="s">
        <v>1242</v>
      </c>
      <c r="F1794" s="115">
        <v>0</v>
      </c>
      <c r="G1794" s="115">
        <v>0</v>
      </c>
      <c r="H1794" s="115">
        <v>0</v>
      </c>
      <c r="I1794" s="115">
        <v>0</v>
      </c>
      <c r="J1794" s="115">
        <v>0</v>
      </c>
      <c r="K1794" s="115">
        <v>0</v>
      </c>
    </row>
    <row r="1795" spans="2:11" x14ac:dyDescent="0.25">
      <c r="B1795" s="115" t="s">
        <v>1241</v>
      </c>
      <c r="D1795" s="115" t="s">
        <v>8710</v>
      </c>
      <c r="E1795" s="115" t="s">
        <v>1242</v>
      </c>
      <c r="F1795" s="115">
        <v>0</v>
      </c>
      <c r="G1795" s="115">
        <v>0</v>
      </c>
      <c r="H1795" s="115">
        <v>0</v>
      </c>
      <c r="I1795" s="115">
        <v>0</v>
      </c>
      <c r="J1795" s="115">
        <v>0</v>
      </c>
      <c r="K1795" s="115">
        <v>0</v>
      </c>
    </row>
    <row r="1796" spans="2:11" x14ac:dyDescent="0.25">
      <c r="B1796" s="115" t="s">
        <v>1241</v>
      </c>
      <c r="D1796" s="115" t="s">
        <v>8710</v>
      </c>
      <c r="E1796" s="115" t="s">
        <v>1242</v>
      </c>
      <c r="F1796" s="115">
        <v>0</v>
      </c>
      <c r="G1796" s="115">
        <v>0</v>
      </c>
      <c r="H1796" s="115">
        <v>0</v>
      </c>
      <c r="I1796" s="115">
        <v>0</v>
      </c>
      <c r="J1796" s="115">
        <v>0</v>
      </c>
      <c r="K1796" s="115">
        <v>0</v>
      </c>
    </row>
    <row r="1797" spans="2:11" x14ac:dyDescent="0.25">
      <c r="B1797" s="115" t="s">
        <v>1241</v>
      </c>
      <c r="D1797" s="115" t="s">
        <v>8710</v>
      </c>
      <c r="E1797" s="115" t="s">
        <v>1242</v>
      </c>
      <c r="F1797" s="115">
        <v>0</v>
      </c>
      <c r="G1797" s="115">
        <v>0</v>
      </c>
      <c r="H1797" s="115">
        <v>0</v>
      </c>
      <c r="I1797" s="115">
        <v>0</v>
      </c>
      <c r="J1797" s="115">
        <v>0</v>
      </c>
      <c r="K1797" s="115">
        <v>0</v>
      </c>
    </row>
    <row r="1798" spans="2:11" x14ac:dyDescent="0.25">
      <c r="B1798" s="115" t="s">
        <v>1241</v>
      </c>
      <c r="D1798" s="115" t="s">
        <v>8710</v>
      </c>
      <c r="E1798" s="115" t="s">
        <v>1242</v>
      </c>
      <c r="F1798" s="115">
        <v>0</v>
      </c>
      <c r="G1798" s="115">
        <v>0</v>
      </c>
      <c r="H1798" s="115">
        <v>0</v>
      </c>
      <c r="I1798" s="115">
        <v>0</v>
      </c>
      <c r="J1798" s="115">
        <v>0</v>
      </c>
      <c r="K1798" s="115">
        <v>0</v>
      </c>
    </row>
    <row r="1799" spans="2:11" x14ac:dyDescent="0.25">
      <c r="B1799" s="115" t="s">
        <v>1241</v>
      </c>
      <c r="D1799" s="115" t="s">
        <v>8710</v>
      </c>
      <c r="E1799" s="115" t="s">
        <v>1242</v>
      </c>
      <c r="F1799" s="115">
        <v>0</v>
      </c>
      <c r="G1799" s="115">
        <v>0</v>
      </c>
      <c r="H1799" s="115">
        <v>0</v>
      </c>
      <c r="I1799" s="115">
        <v>0</v>
      </c>
      <c r="J1799" s="115">
        <v>0</v>
      </c>
      <c r="K1799" s="115">
        <v>0</v>
      </c>
    </row>
    <row r="1800" spans="2:11" x14ac:dyDescent="0.25">
      <c r="B1800" s="115" t="s">
        <v>1241</v>
      </c>
      <c r="D1800" s="115" t="s">
        <v>8710</v>
      </c>
      <c r="E1800" s="115" t="s">
        <v>1242</v>
      </c>
      <c r="F1800" s="115">
        <v>0</v>
      </c>
      <c r="G1800" s="115">
        <v>0</v>
      </c>
      <c r="H1800" s="115">
        <v>0</v>
      </c>
      <c r="I1800" s="115">
        <v>0</v>
      </c>
      <c r="J1800" s="115">
        <v>0</v>
      </c>
      <c r="K1800" s="115">
        <v>0</v>
      </c>
    </row>
    <row r="1801" spans="2:11" x14ac:dyDescent="0.25">
      <c r="B1801" s="115" t="s">
        <v>1241</v>
      </c>
      <c r="D1801" s="115" t="s">
        <v>8710</v>
      </c>
      <c r="E1801" s="115" t="s">
        <v>1242</v>
      </c>
      <c r="F1801" s="115">
        <v>0</v>
      </c>
      <c r="G1801" s="115">
        <v>0</v>
      </c>
      <c r="H1801" s="115">
        <v>0</v>
      </c>
      <c r="I1801" s="115">
        <v>0</v>
      </c>
      <c r="J1801" s="115">
        <v>0</v>
      </c>
      <c r="K1801" s="115">
        <v>0</v>
      </c>
    </row>
    <row r="1802" spans="2:11" x14ac:dyDescent="0.25">
      <c r="B1802" s="115" t="s">
        <v>1241</v>
      </c>
      <c r="D1802" s="115" t="s">
        <v>8710</v>
      </c>
      <c r="E1802" s="115" t="s">
        <v>1242</v>
      </c>
      <c r="F1802" s="115">
        <v>0</v>
      </c>
      <c r="G1802" s="115">
        <v>0</v>
      </c>
      <c r="H1802" s="115">
        <v>0</v>
      </c>
      <c r="I1802" s="115">
        <v>0</v>
      </c>
      <c r="J1802" s="115">
        <v>0</v>
      </c>
      <c r="K1802" s="115">
        <v>0</v>
      </c>
    </row>
    <row r="1803" spans="2:11" x14ac:dyDescent="0.25">
      <c r="B1803" s="115" t="s">
        <v>1241</v>
      </c>
      <c r="D1803" s="115" t="s">
        <v>8710</v>
      </c>
      <c r="E1803" s="115" t="s">
        <v>1242</v>
      </c>
      <c r="F1803" s="115">
        <v>0</v>
      </c>
      <c r="G1803" s="115">
        <v>0</v>
      </c>
      <c r="H1803" s="115">
        <v>0</v>
      </c>
      <c r="I1803" s="115">
        <v>0</v>
      </c>
      <c r="J1803" s="115">
        <v>0</v>
      </c>
      <c r="K1803" s="115">
        <v>0</v>
      </c>
    </row>
    <row r="1804" spans="2:11" x14ac:dyDescent="0.25">
      <c r="B1804" s="115" t="s">
        <v>1241</v>
      </c>
      <c r="D1804" s="115" t="s">
        <v>8710</v>
      </c>
      <c r="E1804" s="115" t="s">
        <v>1242</v>
      </c>
      <c r="F1804" s="115">
        <v>0</v>
      </c>
      <c r="G1804" s="115">
        <v>0</v>
      </c>
      <c r="H1804" s="115">
        <v>0</v>
      </c>
      <c r="I1804" s="115">
        <v>0</v>
      </c>
      <c r="J1804" s="115">
        <v>0</v>
      </c>
      <c r="K1804" s="115">
        <v>0</v>
      </c>
    </row>
    <row r="1805" spans="2:11" x14ac:dyDescent="0.25">
      <c r="B1805" s="115" t="s">
        <v>1241</v>
      </c>
      <c r="D1805" s="115" t="s">
        <v>8710</v>
      </c>
      <c r="E1805" s="115" t="s">
        <v>1242</v>
      </c>
      <c r="F1805" s="115">
        <v>0</v>
      </c>
      <c r="G1805" s="115">
        <v>0</v>
      </c>
      <c r="H1805" s="115">
        <v>0</v>
      </c>
      <c r="I1805" s="115">
        <v>0</v>
      </c>
      <c r="J1805" s="115">
        <v>0</v>
      </c>
      <c r="K1805" s="115">
        <v>0</v>
      </c>
    </row>
    <row r="1806" spans="2:11" x14ac:dyDescent="0.25">
      <c r="B1806" s="115" t="s">
        <v>1241</v>
      </c>
      <c r="D1806" s="115" t="s">
        <v>8710</v>
      </c>
      <c r="E1806" s="115" t="s">
        <v>1242</v>
      </c>
      <c r="F1806" s="115">
        <v>0</v>
      </c>
      <c r="G1806" s="115">
        <v>0</v>
      </c>
      <c r="H1806" s="115">
        <v>0</v>
      </c>
      <c r="I1806" s="115">
        <v>0</v>
      </c>
      <c r="J1806" s="115">
        <v>0</v>
      </c>
      <c r="K1806" s="115">
        <v>0</v>
      </c>
    </row>
    <row r="1807" spans="2:11" x14ac:dyDescent="0.25">
      <c r="B1807" s="115" t="s">
        <v>1241</v>
      </c>
      <c r="D1807" s="115" t="s">
        <v>8710</v>
      </c>
      <c r="E1807" s="115" t="s">
        <v>1242</v>
      </c>
      <c r="F1807" s="115">
        <v>0</v>
      </c>
      <c r="G1807" s="115">
        <v>0</v>
      </c>
      <c r="H1807" s="115">
        <v>0</v>
      </c>
      <c r="I1807" s="115">
        <v>0</v>
      </c>
      <c r="J1807" s="115">
        <v>0</v>
      </c>
      <c r="K1807" s="115">
        <v>0</v>
      </c>
    </row>
    <row r="1808" spans="2:11" x14ac:dyDescent="0.25">
      <c r="B1808" s="115" t="s">
        <v>1241</v>
      </c>
      <c r="D1808" s="115" t="s">
        <v>8710</v>
      </c>
      <c r="E1808" s="115" t="s">
        <v>1242</v>
      </c>
      <c r="F1808" s="115">
        <v>0</v>
      </c>
      <c r="G1808" s="115">
        <v>0</v>
      </c>
      <c r="H1808" s="115">
        <v>0</v>
      </c>
      <c r="I1808" s="115">
        <v>0</v>
      </c>
      <c r="J1808" s="115">
        <v>0</v>
      </c>
      <c r="K1808" s="115">
        <v>0</v>
      </c>
    </row>
    <row r="1809" spans="1:11" x14ac:dyDescent="0.25">
      <c r="B1809" s="115" t="s">
        <v>1241</v>
      </c>
      <c r="D1809" s="115" t="s">
        <v>8710</v>
      </c>
      <c r="E1809" s="115" t="s">
        <v>1242</v>
      </c>
      <c r="F1809" s="115">
        <v>0</v>
      </c>
      <c r="G1809" s="115">
        <v>0</v>
      </c>
      <c r="H1809" s="115">
        <v>0</v>
      </c>
      <c r="I1809" s="115">
        <v>0</v>
      </c>
      <c r="J1809" s="115">
        <v>0</v>
      </c>
      <c r="K1809" s="115">
        <v>0</v>
      </c>
    </row>
    <row r="1810" spans="1:11" x14ac:dyDescent="0.25">
      <c r="B1810" s="115" t="s">
        <v>1241</v>
      </c>
      <c r="D1810" s="115" t="s">
        <v>8710</v>
      </c>
      <c r="E1810" s="115" t="s">
        <v>1242</v>
      </c>
      <c r="F1810" s="115">
        <v>0</v>
      </c>
      <c r="G1810" s="115">
        <v>0</v>
      </c>
      <c r="H1810" s="115">
        <v>0</v>
      </c>
      <c r="I1810" s="115">
        <v>0</v>
      </c>
      <c r="J1810" s="115">
        <v>0</v>
      </c>
      <c r="K1810" s="115">
        <v>0</v>
      </c>
    </row>
    <row r="1811" spans="1:11" x14ac:dyDescent="0.25">
      <c r="B1811" s="115" t="s">
        <v>1241</v>
      </c>
      <c r="D1811" s="115" t="s">
        <v>8710</v>
      </c>
      <c r="E1811" s="115" t="s">
        <v>1242</v>
      </c>
      <c r="F1811" s="115">
        <v>0</v>
      </c>
      <c r="G1811" s="115">
        <v>0</v>
      </c>
      <c r="H1811" s="115">
        <v>0</v>
      </c>
      <c r="I1811" s="115">
        <v>0</v>
      </c>
      <c r="J1811" s="115">
        <v>0</v>
      </c>
      <c r="K1811" s="115">
        <v>0</v>
      </c>
    </row>
    <row r="1812" spans="1:11" x14ac:dyDescent="0.25">
      <c r="B1812" s="115" t="s">
        <v>1241</v>
      </c>
      <c r="D1812" s="115" t="s">
        <v>8710</v>
      </c>
      <c r="E1812" s="115" t="s">
        <v>1242</v>
      </c>
      <c r="F1812" s="115">
        <v>0</v>
      </c>
      <c r="G1812" s="115">
        <v>0</v>
      </c>
      <c r="H1812" s="115">
        <v>0</v>
      </c>
      <c r="I1812" s="115">
        <v>0</v>
      </c>
      <c r="J1812" s="115">
        <v>0</v>
      </c>
      <c r="K1812" s="115">
        <v>0</v>
      </c>
    </row>
    <row r="1813" spans="1:11" x14ac:dyDescent="0.25">
      <c r="B1813" s="115" t="s">
        <v>1241</v>
      </c>
      <c r="D1813" s="115" t="s">
        <v>8710</v>
      </c>
      <c r="E1813" s="115" t="s">
        <v>1242</v>
      </c>
      <c r="F1813" s="115">
        <v>0</v>
      </c>
      <c r="G1813" s="115">
        <v>0</v>
      </c>
      <c r="H1813" s="115">
        <v>0</v>
      </c>
      <c r="I1813" s="115">
        <v>0</v>
      </c>
      <c r="J1813" s="115">
        <v>0</v>
      </c>
      <c r="K1813" s="115">
        <v>0</v>
      </c>
    </row>
    <row r="1814" spans="1:11" x14ac:dyDescent="0.25">
      <c r="B1814" s="115" t="s">
        <v>1241</v>
      </c>
      <c r="D1814" s="115" t="s">
        <v>8710</v>
      </c>
      <c r="E1814" s="115" t="s">
        <v>1242</v>
      </c>
      <c r="F1814" s="115">
        <v>0</v>
      </c>
      <c r="G1814" s="115">
        <v>0</v>
      </c>
      <c r="H1814" s="115">
        <v>0</v>
      </c>
      <c r="I1814" s="115">
        <v>0</v>
      </c>
      <c r="J1814" s="115">
        <v>0</v>
      </c>
      <c r="K1814" s="115">
        <v>0</v>
      </c>
    </row>
    <row r="1815" spans="1:11" x14ac:dyDescent="0.25">
      <c r="B1815" s="115" t="s">
        <v>1241</v>
      </c>
      <c r="D1815" s="115" t="s">
        <v>9511</v>
      </c>
      <c r="E1815" s="115" t="s">
        <v>2484</v>
      </c>
      <c r="F1815" s="115">
        <v>0</v>
      </c>
      <c r="G1815" s="115">
        <v>0</v>
      </c>
      <c r="H1815" s="115">
        <v>-1265</v>
      </c>
      <c r="I1815" s="115">
        <v>-1687</v>
      </c>
      <c r="J1815" s="115">
        <v>46</v>
      </c>
      <c r="K1815" s="115">
        <v>-985</v>
      </c>
    </row>
    <row r="1816" spans="1:11" x14ac:dyDescent="0.25">
      <c r="A1816" s="115">
        <v>4</v>
      </c>
      <c r="B1816" s="115" t="s">
        <v>2485</v>
      </c>
      <c r="D1816" s="115" t="s">
        <v>9512</v>
      </c>
      <c r="E1816" s="115" t="s">
        <v>2486</v>
      </c>
      <c r="F1816" s="115">
        <v>0</v>
      </c>
      <c r="G1816" s="115">
        <v>0</v>
      </c>
      <c r="H1816" s="115">
        <v>0</v>
      </c>
      <c r="I1816" s="115">
        <v>-234</v>
      </c>
      <c r="J1816" s="115">
        <v>231</v>
      </c>
      <c r="K1816" s="115">
        <v>0</v>
      </c>
    </row>
    <row r="1817" spans="1:11" x14ac:dyDescent="0.25">
      <c r="B1817" s="115" t="s">
        <v>1241</v>
      </c>
      <c r="D1817" s="115" t="s">
        <v>9513</v>
      </c>
      <c r="E1817" s="115" t="s">
        <v>2487</v>
      </c>
      <c r="F1817" s="115">
        <v>0</v>
      </c>
      <c r="G1817" s="115">
        <v>-8</v>
      </c>
      <c r="H1817" s="115">
        <v>0</v>
      </c>
      <c r="I1817" s="115">
        <v>0</v>
      </c>
      <c r="J1817" s="115">
        <v>452</v>
      </c>
      <c r="K1817" s="115">
        <v>0</v>
      </c>
    </row>
    <row r="1818" spans="1:11" x14ac:dyDescent="0.25">
      <c r="A1818" s="115" t="s">
        <v>1239</v>
      </c>
      <c r="B1818" s="115" t="s">
        <v>2488</v>
      </c>
      <c r="D1818" s="115" t="s">
        <v>9514</v>
      </c>
      <c r="E1818" s="115" t="s">
        <v>2489</v>
      </c>
      <c r="F1818" s="115">
        <v>683</v>
      </c>
      <c r="G1818" s="115">
        <v>0</v>
      </c>
      <c r="H1818" s="115">
        <v>384</v>
      </c>
      <c r="I1818" s="115">
        <v>-2167</v>
      </c>
      <c r="J1818" s="115">
        <v>350</v>
      </c>
      <c r="K1818" s="115">
        <v>7161</v>
      </c>
    </row>
    <row r="1819" spans="1:11" x14ac:dyDescent="0.25">
      <c r="B1819" s="115" t="s">
        <v>2490</v>
      </c>
      <c r="D1819" s="115" t="s">
        <v>9515</v>
      </c>
      <c r="E1819" s="115" t="s">
        <v>2491</v>
      </c>
      <c r="F1819" s="115">
        <v>0</v>
      </c>
      <c r="G1819" s="115">
        <v>0</v>
      </c>
      <c r="H1819" s="115">
        <v>0</v>
      </c>
      <c r="I1819" s="115">
        <v>0</v>
      </c>
      <c r="J1819" s="115">
        <v>0</v>
      </c>
      <c r="K1819" s="115">
        <v>-250</v>
      </c>
    </row>
    <row r="1820" spans="1:11" x14ac:dyDescent="0.25">
      <c r="B1820" s="115" t="s">
        <v>1241</v>
      </c>
      <c r="D1820" s="115" t="s">
        <v>9516</v>
      </c>
      <c r="E1820" s="115" t="s">
        <v>2492</v>
      </c>
      <c r="F1820" s="115">
        <v>0</v>
      </c>
      <c r="G1820" s="115">
        <v>178</v>
      </c>
      <c r="H1820" s="115">
        <v>0</v>
      </c>
      <c r="I1820" s="115">
        <v>0</v>
      </c>
      <c r="J1820" s="115">
        <v>0</v>
      </c>
      <c r="K1820" s="115">
        <v>0</v>
      </c>
    </row>
    <row r="1821" spans="1:11" x14ac:dyDescent="0.25">
      <c r="B1821" s="115" t="s">
        <v>2493</v>
      </c>
      <c r="D1821" s="115" t="s">
        <v>9517</v>
      </c>
      <c r="E1821" s="115" t="s">
        <v>2494</v>
      </c>
      <c r="F1821" s="115">
        <v>-2436</v>
      </c>
      <c r="G1821" s="115">
        <v>0</v>
      </c>
      <c r="H1821" s="115">
        <v>0</v>
      </c>
      <c r="I1821" s="115">
        <v>166</v>
      </c>
      <c r="J1821" s="115">
        <v>0</v>
      </c>
      <c r="K1821" s="115">
        <v>0</v>
      </c>
    </row>
    <row r="1822" spans="1:11" x14ac:dyDescent="0.25">
      <c r="A1822" s="115">
        <v>-1</v>
      </c>
      <c r="B1822" s="115" t="s">
        <v>2495</v>
      </c>
      <c r="D1822" s="115" t="s">
        <v>9518</v>
      </c>
      <c r="E1822" s="115" t="s">
        <v>2496</v>
      </c>
      <c r="F1822" s="115">
        <v>0</v>
      </c>
      <c r="G1822" s="115">
        <v>-3550</v>
      </c>
      <c r="H1822" s="115">
        <v>181</v>
      </c>
      <c r="I1822" s="115">
        <v>210</v>
      </c>
      <c r="J1822" s="115">
        <v>0</v>
      </c>
      <c r="K1822" s="115">
        <v>0</v>
      </c>
    </row>
    <row r="1823" spans="1:11" x14ac:dyDescent="0.25">
      <c r="A1823" s="115" t="s">
        <v>1239</v>
      </c>
      <c r="B1823" s="115" t="s">
        <v>2497</v>
      </c>
      <c r="D1823" s="115" t="s">
        <v>9519</v>
      </c>
      <c r="E1823" s="115">
        <f>-207  -1513  -1235  -1016  -1740</f>
        <v>-5711</v>
      </c>
      <c r="F1823" s="115">
        <v>-1926</v>
      </c>
      <c r="G1823" s="115">
        <v>-207</v>
      </c>
      <c r="H1823" s="115">
        <v>-1513</v>
      </c>
      <c r="I1823" s="115">
        <v>-1235</v>
      </c>
      <c r="J1823" s="115">
        <v>-1016</v>
      </c>
      <c r="K1823" s="115">
        <v>-1740</v>
      </c>
    </row>
    <row r="1824" spans="1:11" x14ac:dyDescent="0.25">
      <c r="B1824" s="115" t="s">
        <v>1241</v>
      </c>
      <c r="D1824" s="115" t="s">
        <v>9520</v>
      </c>
      <c r="E1824" s="115" t="s">
        <v>2498</v>
      </c>
      <c r="F1824" s="115">
        <v>0</v>
      </c>
      <c r="G1824" s="115">
        <v>-256</v>
      </c>
      <c r="H1824" s="115">
        <v>0</v>
      </c>
      <c r="I1824" s="115">
        <v>-1952</v>
      </c>
      <c r="J1824" s="115">
        <v>-232</v>
      </c>
      <c r="K1824" s="115">
        <v>1546</v>
      </c>
    </row>
    <row r="1825" spans="1:11" x14ac:dyDescent="0.25">
      <c r="B1825" s="115" t="s">
        <v>2499</v>
      </c>
      <c r="C1825" s="115" t="s">
        <v>1239</v>
      </c>
      <c r="D1825" s="115" t="s">
        <v>9521</v>
      </c>
      <c r="E1825" s="115" t="s">
        <v>2500</v>
      </c>
      <c r="F1825" s="115">
        <v>524</v>
      </c>
      <c r="G1825" s="115">
        <v>425</v>
      </c>
      <c r="H1825" s="115">
        <v>0</v>
      </c>
      <c r="I1825" s="115">
        <v>13018</v>
      </c>
      <c r="J1825" s="115">
        <v>988</v>
      </c>
      <c r="K1825" s="115">
        <v>-1477</v>
      </c>
    </row>
    <row r="1826" spans="1:11" x14ac:dyDescent="0.25">
      <c r="A1826" s="115" t="s">
        <v>1239</v>
      </c>
      <c r="B1826" s="115" t="s">
        <v>2501</v>
      </c>
      <c r="D1826" s="115" t="s">
        <v>9522</v>
      </c>
      <c r="E1826" s="115" t="s">
        <v>2502</v>
      </c>
      <c r="F1826" s="115">
        <v>0</v>
      </c>
      <c r="G1826" s="115">
        <v>0</v>
      </c>
      <c r="H1826" s="115">
        <v>0</v>
      </c>
      <c r="I1826" s="115">
        <v>151</v>
      </c>
      <c r="J1826" s="115">
        <v>-537</v>
      </c>
      <c r="K1826" s="115">
        <v>0</v>
      </c>
    </row>
    <row r="1827" spans="1:11" x14ac:dyDescent="0.25">
      <c r="A1827" s="115" t="s">
        <v>1239</v>
      </c>
      <c r="B1827" s="115" t="s">
        <v>2503</v>
      </c>
      <c r="D1827" s="115" t="s">
        <v>9523</v>
      </c>
      <c r="E1827" s="115" t="s">
        <v>2504</v>
      </c>
      <c r="F1827" s="115">
        <v>0</v>
      </c>
      <c r="G1827" s="115">
        <v>0</v>
      </c>
      <c r="H1827" s="115">
        <v>0</v>
      </c>
      <c r="I1827" s="115">
        <v>0</v>
      </c>
      <c r="J1827" s="115">
        <v>0</v>
      </c>
      <c r="K1827" s="115">
        <v>-533</v>
      </c>
    </row>
    <row r="1828" spans="1:11" x14ac:dyDescent="0.25">
      <c r="B1828" s="115" t="s">
        <v>2505</v>
      </c>
      <c r="D1828" s="115" t="s">
        <v>9524</v>
      </c>
      <c r="E1828" s="115" t="s">
        <v>2506</v>
      </c>
      <c r="F1828" s="115">
        <v>0</v>
      </c>
      <c r="G1828" s="115">
        <v>-129</v>
      </c>
      <c r="H1828" s="115">
        <v>-1544</v>
      </c>
      <c r="I1828" s="115">
        <v>192</v>
      </c>
      <c r="J1828" s="115">
        <v>313</v>
      </c>
      <c r="K1828" s="115">
        <v>330</v>
      </c>
    </row>
    <row r="1829" spans="1:11" x14ac:dyDescent="0.25">
      <c r="A1829" s="115" t="s">
        <v>1239</v>
      </c>
      <c r="B1829" s="115" t="s">
        <v>2507</v>
      </c>
      <c r="D1829" s="115" t="s">
        <v>9525</v>
      </c>
      <c r="E1829" s="115" t="s">
        <v>2508</v>
      </c>
      <c r="F1829" s="115">
        <v>-84</v>
      </c>
      <c r="G1829" s="115">
        <v>0</v>
      </c>
      <c r="H1829" s="115">
        <v>0</v>
      </c>
      <c r="I1829" s="115">
        <v>564</v>
      </c>
      <c r="J1829" s="115">
        <v>-35</v>
      </c>
      <c r="K1829" s="115">
        <v>0</v>
      </c>
    </row>
    <row r="1830" spans="1:11" x14ac:dyDescent="0.25">
      <c r="A1830" s="115" t="s">
        <v>1239</v>
      </c>
      <c r="B1830" s="115" t="s">
        <v>2509</v>
      </c>
      <c r="D1830" s="115" t="s">
        <v>9526</v>
      </c>
      <c r="E1830" s="115" t="s">
        <v>2510</v>
      </c>
      <c r="F1830" s="115">
        <v>0</v>
      </c>
      <c r="G1830" s="115">
        <v>11</v>
      </c>
      <c r="H1830" s="115">
        <v>177</v>
      </c>
      <c r="I1830" s="115">
        <v>409</v>
      </c>
      <c r="J1830" s="115">
        <v>0</v>
      </c>
      <c r="K1830" s="115">
        <v>0</v>
      </c>
    </row>
    <row r="1831" spans="1:11" x14ac:dyDescent="0.25">
      <c r="B1831" s="115" t="s">
        <v>1241</v>
      </c>
      <c r="D1831" s="115" t="s">
        <v>9527</v>
      </c>
      <c r="E1831" s="115" t="s">
        <v>2511</v>
      </c>
      <c r="F1831" s="115">
        <v>0</v>
      </c>
      <c r="G1831" s="115">
        <v>-150</v>
      </c>
      <c r="H1831" s="115">
        <v>-43</v>
      </c>
      <c r="I1831" s="115">
        <v>82</v>
      </c>
      <c r="J1831" s="115">
        <v>0</v>
      </c>
      <c r="K1831" s="115">
        <v>-7767</v>
      </c>
    </row>
    <row r="1832" spans="1:11" x14ac:dyDescent="0.25">
      <c r="A1832" s="115">
        <v>-6</v>
      </c>
      <c r="B1832" s="115" t="s">
        <v>2512</v>
      </c>
      <c r="D1832" s="115" t="s">
        <v>9528</v>
      </c>
      <c r="E1832" s="115" t="s">
        <v>2513</v>
      </c>
      <c r="F1832" s="115">
        <v>0</v>
      </c>
      <c r="G1832" s="115">
        <v>-1644</v>
      </c>
      <c r="H1832" s="115">
        <v>-1427</v>
      </c>
      <c r="I1832" s="115">
        <v>57</v>
      </c>
      <c r="J1832" s="115">
        <v>-420</v>
      </c>
      <c r="K1832" s="115">
        <v>326</v>
      </c>
    </row>
    <row r="1833" spans="1:11" x14ac:dyDescent="0.25">
      <c r="B1833" s="115" t="s">
        <v>1241</v>
      </c>
      <c r="D1833" s="115" t="s">
        <v>9529</v>
      </c>
      <c r="E1833" s="115" t="s">
        <v>2514</v>
      </c>
      <c r="F1833" s="115">
        <v>0</v>
      </c>
      <c r="G1833" s="115">
        <v>0</v>
      </c>
      <c r="H1833" s="115">
        <v>-413</v>
      </c>
      <c r="I1833" s="115">
        <v>397</v>
      </c>
      <c r="J1833" s="115">
        <v>0</v>
      </c>
      <c r="K1833" s="115">
        <v>0</v>
      </c>
    </row>
    <row r="1834" spans="1:11" x14ac:dyDescent="0.25">
      <c r="B1834" s="115" t="s">
        <v>1241</v>
      </c>
      <c r="D1834" s="115" t="s">
        <v>9530</v>
      </c>
      <c r="E1834" s="115" t="s">
        <v>2515</v>
      </c>
      <c r="F1834" s="115">
        <v>-44</v>
      </c>
      <c r="G1834" s="115">
        <v>0</v>
      </c>
      <c r="H1834" s="115">
        <v>0</v>
      </c>
      <c r="I1834" s="115">
        <v>-44</v>
      </c>
      <c r="J1834" s="115">
        <v>0</v>
      </c>
      <c r="K1834" s="115">
        <v>100</v>
      </c>
    </row>
    <row r="1835" spans="1:11" x14ac:dyDescent="0.25">
      <c r="B1835" s="115" t="s">
        <v>1795</v>
      </c>
      <c r="D1835" s="115" t="s">
        <v>9531</v>
      </c>
      <c r="E1835" s="115" t="s">
        <v>2516</v>
      </c>
      <c r="F1835" s="115">
        <v>0</v>
      </c>
      <c r="G1835" s="115">
        <v>594</v>
      </c>
      <c r="H1835" s="115">
        <v>-1367</v>
      </c>
      <c r="I1835" s="115">
        <v>-292</v>
      </c>
      <c r="J1835" s="115">
        <v>1630</v>
      </c>
      <c r="K1835" s="115">
        <v>3840</v>
      </c>
    </row>
    <row r="1836" spans="1:11" x14ac:dyDescent="0.25">
      <c r="A1836" s="115" t="s">
        <v>1239</v>
      </c>
      <c r="B1836" s="115" t="s">
        <v>2517</v>
      </c>
      <c r="D1836" s="115" t="s">
        <v>9532</v>
      </c>
      <c r="E1836" s="115" t="s">
        <v>2518</v>
      </c>
      <c r="F1836" s="115">
        <v>0</v>
      </c>
      <c r="G1836" s="115">
        <v>0</v>
      </c>
      <c r="H1836" s="115">
        <v>0</v>
      </c>
      <c r="I1836" s="115">
        <v>0</v>
      </c>
      <c r="J1836" s="115">
        <v>-522</v>
      </c>
      <c r="K1836" s="115">
        <v>0</v>
      </c>
    </row>
    <row r="1837" spans="1:11" x14ac:dyDescent="0.25">
      <c r="B1837" s="115" t="s">
        <v>1241</v>
      </c>
      <c r="D1837" s="115" t="s">
        <v>9533</v>
      </c>
      <c r="E1837" s="115" t="s">
        <v>1242</v>
      </c>
      <c r="F1837" s="115">
        <v>243</v>
      </c>
      <c r="G1837" s="115">
        <v>0</v>
      </c>
      <c r="H1837" s="115">
        <v>0</v>
      </c>
      <c r="I1837" s="115">
        <v>0</v>
      </c>
      <c r="J1837" s="115">
        <v>0</v>
      </c>
      <c r="K1837" s="115">
        <v>0</v>
      </c>
    </row>
    <row r="1838" spans="1:11" x14ac:dyDescent="0.25">
      <c r="A1838" s="115" t="s">
        <v>1239</v>
      </c>
      <c r="B1838" s="115" t="s">
        <v>2519</v>
      </c>
      <c r="C1838" s="115" t="s">
        <v>1239</v>
      </c>
      <c r="D1838" s="115" t="s">
        <v>9534</v>
      </c>
      <c r="E1838" s="115" t="s">
        <v>2520</v>
      </c>
      <c r="F1838" s="115">
        <v>0</v>
      </c>
      <c r="G1838" s="115">
        <v>0</v>
      </c>
      <c r="H1838" s="115">
        <v>-5009</v>
      </c>
      <c r="I1838" s="115">
        <v>-5815</v>
      </c>
      <c r="J1838" s="115">
        <v>0</v>
      </c>
      <c r="K1838" s="115">
        <v>-3906</v>
      </c>
    </row>
    <row r="1839" spans="1:11" x14ac:dyDescent="0.25">
      <c r="B1839" s="115" t="s">
        <v>1241</v>
      </c>
      <c r="D1839" s="115" t="s">
        <v>9535</v>
      </c>
      <c r="E1839" s="115" t="s">
        <v>2521</v>
      </c>
      <c r="F1839" s="115">
        <v>-12054</v>
      </c>
      <c r="G1839" s="115">
        <v>-624</v>
      </c>
      <c r="H1839" s="115">
        <v>52</v>
      </c>
      <c r="I1839" s="115">
        <v>0</v>
      </c>
      <c r="J1839" s="115">
        <v>0</v>
      </c>
      <c r="K1839" s="115">
        <v>-585</v>
      </c>
    </row>
    <row r="1840" spans="1:11" x14ac:dyDescent="0.25">
      <c r="A1840" s="115" t="s">
        <v>1239</v>
      </c>
      <c r="B1840" s="115" t="s">
        <v>1743</v>
      </c>
      <c r="D1840" s="115" t="s">
        <v>9536</v>
      </c>
      <c r="E1840" s="115" t="s">
        <v>2522</v>
      </c>
      <c r="F1840" s="115">
        <v>-369</v>
      </c>
      <c r="G1840" s="115">
        <v>-2522</v>
      </c>
      <c r="H1840" s="115">
        <v>-5641</v>
      </c>
      <c r="I1840" s="115">
        <v>-2584</v>
      </c>
      <c r="J1840" s="115">
        <v>-3256</v>
      </c>
      <c r="K1840" s="115">
        <v>0</v>
      </c>
    </row>
    <row r="1841" spans="1:11" x14ac:dyDescent="0.25">
      <c r="B1841" s="115" t="s">
        <v>1241</v>
      </c>
      <c r="D1841" s="115" t="s">
        <v>9537</v>
      </c>
      <c r="E1841" s="115" t="s">
        <v>2523</v>
      </c>
      <c r="F1841" s="115">
        <v>5316</v>
      </c>
      <c r="G1841" s="115">
        <v>0</v>
      </c>
      <c r="H1841" s="115">
        <v>6442</v>
      </c>
      <c r="I1841" s="115">
        <v>-441</v>
      </c>
      <c r="J1841" s="115">
        <v>3254</v>
      </c>
      <c r="K1841" s="115">
        <v>0</v>
      </c>
    </row>
    <row r="1842" spans="1:11" x14ac:dyDescent="0.25">
      <c r="A1842" s="115" t="s">
        <v>1239</v>
      </c>
      <c r="B1842" s="115" t="s">
        <v>2524</v>
      </c>
      <c r="D1842" s="115" t="s">
        <v>9538</v>
      </c>
      <c r="E1842" s="115" t="s">
        <v>2525</v>
      </c>
      <c r="F1842" s="115">
        <v>305</v>
      </c>
      <c r="G1842" s="115">
        <v>0</v>
      </c>
      <c r="H1842" s="115">
        <v>121</v>
      </c>
      <c r="I1842" s="115">
        <v>16076</v>
      </c>
      <c r="J1842" s="115">
        <v>-2171</v>
      </c>
      <c r="K1842" s="115">
        <v>-290</v>
      </c>
    </row>
    <row r="1843" spans="1:11" x14ac:dyDescent="0.25">
      <c r="B1843" s="115" t="s">
        <v>2526</v>
      </c>
      <c r="C1843" s="115" t="s">
        <v>1239</v>
      </c>
      <c r="D1843" s="115" t="s">
        <v>9539</v>
      </c>
      <c r="E1843" s="115" t="s">
        <v>2527</v>
      </c>
      <c r="F1843" s="115">
        <v>0</v>
      </c>
      <c r="G1843" s="115">
        <v>0</v>
      </c>
      <c r="H1843" s="115">
        <v>262</v>
      </c>
      <c r="I1843" s="115">
        <v>-369</v>
      </c>
      <c r="J1843" s="115">
        <v>0</v>
      </c>
      <c r="K1843" s="115">
        <v>-162</v>
      </c>
    </row>
    <row r="1844" spans="1:11" x14ac:dyDescent="0.25">
      <c r="A1844" s="115">
        <v>-1</v>
      </c>
      <c r="B1844" s="115" t="s">
        <v>2528</v>
      </c>
      <c r="D1844" s="115" t="s">
        <v>9540</v>
      </c>
      <c r="E1844" s="115" t="s">
        <v>2529</v>
      </c>
      <c r="F1844" s="115">
        <v>0</v>
      </c>
      <c r="G1844" s="115">
        <v>0</v>
      </c>
      <c r="H1844" s="115">
        <v>0</v>
      </c>
      <c r="I1844" s="115">
        <v>0</v>
      </c>
      <c r="J1844" s="115">
        <v>-855</v>
      </c>
      <c r="K1844" s="115">
        <v>0</v>
      </c>
    </row>
    <row r="1845" spans="1:11" x14ac:dyDescent="0.25">
      <c r="A1845" s="115">
        <v>-1</v>
      </c>
      <c r="B1845" s="115" t="s">
        <v>2530</v>
      </c>
      <c r="D1845" s="115" t="s">
        <v>9541</v>
      </c>
      <c r="E1845" s="115" t="s">
        <v>2531</v>
      </c>
      <c r="F1845" s="115">
        <v>605</v>
      </c>
      <c r="G1845" s="115">
        <v>-2018</v>
      </c>
      <c r="H1845" s="115">
        <v>298</v>
      </c>
      <c r="I1845" s="115">
        <v>382</v>
      </c>
      <c r="J1845" s="115">
        <v>258</v>
      </c>
      <c r="K1845" s="115">
        <v>-1622</v>
      </c>
    </row>
    <row r="1846" spans="1:11" x14ac:dyDescent="0.25">
      <c r="A1846" s="115">
        <v>2</v>
      </c>
      <c r="B1846" s="115" t="s">
        <v>2532</v>
      </c>
      <c r="D1846" s="115" t="s">
        <v>9542</v>
      </c>
      <c r="E1846" s="115" t="s">
        <v>2533</v>
      </c>
      <c r="F1846" s="115">
        <v>0</v>
      </c>
      <c r="G1846" s="115">
        <v>0</v>
      </c>
      <c r="H1846" s="115">
        <v>-1259</v>
      </c>
      <c r="I1846" s="115">
        <v>-70</v>
      </c>
      <c r="J1846" s="115">
        <v>0</v>
      </c>
      <c r="K1846" s="115">
        <v>-378</v>
      </c>
    </row>
    <row r="1847" spans="1:11" x14ac:dyDescent="0.25">
      <c r="B1847" s="115" t="s">
        <v>1241</v>
      </c>
      <c r="D1847" s="115" t="s">
        <v>9543</v>
      </c>
      <c r="E1847" s="115" t="s">
        <v>2534</v>
      </c>
      <c r="F1847" s="115">
        <v>-189</v>
      </c>
      <c r="G1847" s="115">
        <v>355</v>
      </c>
      <c r="H1847" s="115">
        <v>603</v>
      </c>
      <c r="I1847" s="115">
        <v>0</v>
      </c>
      <c r="J1847" s="115">
        <v>0</v>
      </c>
      <c r="K1847" s="115">
        <v>0</v>
      </c>
    </row>
    <row r="1848" spans="1:11" x14ac:dyDescent="0.25">
      <c r="B1848" s="115" t="s">
        <v>1241</v>
      </c>
      <c r="C1848" s="115" t="s">
        <v>1239</v>
      </c>
      <c r="D1848" s="115" t="s">
        <v>9544</v>
      </c>
      <c r="E1848" s="115" t="s">
        <v>2535</v>
      </c>
      <c r="F1848" s="115">
        <v>-454</v>
      </c>
      <c r="G1848" s="115">
        <v>113</v>
      </c>
      <c r="H1848" s="115">
        <v>339</v>
      </c>
      <c r="I1848" s="115">
        <v>0</v>
      </c>
      <c r="J1848" s="115">
        <v>-8525</v>
      </c>
      <c r="K1848" s="115">
        <v>-8077</v>
      </c>
    </row>
    <row r="1849" spans="1:11" x14ac:dyDescent="0.25">
      <c r="A1849" s="115">
        <v>1</v>
      </c>
      <c r="B1849" s="115" t="s">
        <v>1415</v>
      </c>
      <c r="D1849" s="115" t="s">
        <v>9545</v>
      </c>
      <c r="E1849" s="115">
        <f>-2122   -761   -410   -631  -1327</f>
        <v>-5251</v>
      </c>
      <c r="F1849" s="115">
        <v>31291</v>
      </c>
      <c r="G1849" s="115">
        <v>-2122</v>
      </c>
      <c r="H1849" s="115">
        <v>-761</v>
      </c>
      <c r="I1849" s="115">
        <v>-410</v>
      </c>
      <c r="J1849" s="115">
        <v>-631</v>
      </c>
      <c r="K1849" s="115">
        <v>-1327</v>
      </c>
    </row>
    <row r="1850" spans="1:11" x14ac:dyDescent="0.25">
      <c r="B1850" s="115" t="s">
        <v>1241</v>
      </c>
      <c r="D1850" s="115" t="s">
        <v>9546</v>
      </c>
      <c r="E1850" s="115" t="s">
        <v>2536</v>
      </c>
      <c r="F1850" s="115">
        <v>0</v>
      </c>
      <c r="G1850" s="115">
        <v>0</v>
      </c>
      <c r="H1850" s="115">
        <v>-81</v>
      </c>
      <c r="I1850" s="115">
        <v>93</v>
      </c>
      <c r="J1850" s="115">
        <v>0</v>
      </c>
      <c r="K1850" s="115">
        <v>0</v>
      </c>
    </row>
    <row r="1851" spans="1:11" x14ac:dyDescent="0.25">
      <c r="B1851" s="115" t="s">
        <v>1241</v>
      </c>
      <c r="D1851" s="115" t="s">
        <v>9547</v>
      </c>
      <c r="E1851" s="115" t="s">
        <v>2537</v>
      </c>
      <c r="F1851" s="115">
        <v>-724</v>
      </c>
      <c r="G1851" s="115">
        <v>0</v>
      </c>
      <c r="H1851" s="115">
        <v>0</v>
      </c>
      <c r="I1851" s="115">
        <v>91</v>
      </c>
      <c r="J1851" s="115">
        <v>0</v>
      </c>
      <c r="K1851" s="115">
        <v>-66</v>
      </c>
    </row>
    <row r="1852" spans="1:11" x14ac:dyDescent="0.25">
      <c r="B1852" s="115" t="s">
        <v>2538</v>
      </c>
      <c r="D1852" s="115" t="s">
        <v>9548</v>
      </c>
      <c r="E1852" s="115" t="s">
        <v>2539</v>
      </c>
      <c r="F1852" s="115">
        <v>0</v>
      </c>
      <c r="G1852" s="115">
        <v>692</v>
      </c>
      <c r="H1852" s="115">
        <v>-1014</v>
      </c>
      <c r="I1852" s="115">
        <v>-582</v>
      </c>
      <c r="J1852" s="115">
        <v>-36</v>
      </c>
      <c r="K1852" s="115">
        <v>-363</v>
      </c>
    </row>
    <row r="1853" spans="1:11" x14ac:dyDescent="0.25">
      <c r="B1853" s="115" t="s">
        <v>1881</v>
      </c>
      <c r="D1853" s="115" t="s">
        <v>9549</v>
      </c>
      <c r="E1853" s="115" t="s">
        <v>2540</v>
      </c>
      <c r="F1853" s="115">
        <v>0</v>
      </c>
      <c r="G1853" s="115">
        <v>0</v>
      </c>
      <c r="H1853" s="115">
        <v>0</v>
      </c>
      <c r="I1853" s="115">
        <v>0</v>
      </c>
      <c r="J1853" s="115">
        <v>-92</v>
      </c>
      <c r="K1853" s="115">
        <v>0</v>
      </c>
    </row>
    <row r="1854" spans="1:11" x14ac:dyDescent="0.25">
      <c r="B1854" s="115" t="s">
        <v>1241</v>
      </c>
      <c r="D1854" s="115" t="s">
        <v>9550</v>
      </c>
      <c r="E1854" s="115" t="s">
        <v>1242</v>
      </c>
      <c r="F1854" s="115">
        <v>189</v>
      </c>
      <c r="G1854" s="115">
        <v>0</v>
      </c>
      <c r="H1854" s="115">
        <v>0</v>
      </c>
      <c r="I1854" s="115">
        <v>0</v>
      </c>
      <c r="J1854" s="115">
        <v>0</v>
      </c>
      <c r="K1854" s="115">
        <v>0</v>
      </c>
    </row>
    <row r="1855" spans="1:11" x14ac:dyDescent="0.25">
      <c r="B1855" s="115" t="s">
        <v>2541</v>
      </c>
      <c r="C1855" s="115" t="s">
        <v>1239</v>
      </c>
      <c r="D1855" s="115" t="s">
        <v>9551</v>
      </c>
      <c r="E1855" s="115" t="s">
        <v>2542</v>
      </c>
      <c r="F1855" s="115">
        <v>0</v>
      </c>
      <c r="G1855" s="115">
        <v>0</v>
      </c>
      <c r="H1855" s="115">
        <v>93</v>
      </c>
      <c r="I1855" s="115">
        <v>-389</v>
      </c>
      <c r="J1855" s="115">
        <v>0</v>
      </c>
      <c r="K1855" s="115">
        <v>646</v>
      </c>
    </row>
    <row r="1856" spans="1:11" x14ac:dyDescent="0.25">
      <c r="B1856" s="115" t="s">
        <v>1241</v>
      </c>
      <c r="D1856" s="115" t="s">
        <v>9552</v>
      </c>
      <c r="E1856" s="115" t="s">
        <v>2543</v>
      </c>
      <c r="F1856" s="115">
        <v>-5636</v>
      </c>
      <c r="G1856" s="115">
        <v>-342</v>
      </c>
      <c r="H1856" s="115">
        <v>-373</v>
      </c>
      <c r="I1856" s="115">
        <v>0</v>
      </c>
      <c r="J1856" s="115">
        <v>0</v>
      </c>
      <c r="K1856" s="115">
        <v>-134</v>
      </c>
    </row>
    <row r="1857" spans="1:11" x14ac:dyDescent="0.25">
      <c r="B1857" s="115" t="s">
        <v>2544</v>
      </c>
      <c r="D1857" s="115" t="s">
        <v>9553</v>
      </c>
      <c r="E1857" s="115" t="s">
        <v>2545</v>
      </c>
      <c r="F1857" s="115">
        <v>27</v>
      </c>
      <c r="G1857" s="115">
        <v>-525</v>
      </c>
      <c r="H1857" s="115">
        <v>-129</v>
      </c>
      <c r="I1857" s="115">
        <v>239</v>
      </c>
      <c r="J1857" s="115">
        <v>75</v>
      </c>
      <c r="K1857" s="115">
        <v>0</v>
      </c>
    </row>
    <row r="1858" spans="1:11" x14ac:dyDescent="0.25">
      <c r="B1858" s="115" t="s">
        <v>1241</v>
      </c>
      <c r="D1858" s="115" t="s">
        <v>9554</v>
      </c>
      <c r="E1858" s="115" t="s">
        <v>2546</v>
      </c>
      <c r="F1858" s="115">
        <v>-1034</v>
      </c>
      <c r="G1858" s="115">
        <v>0</v>
      </c>
      <c r="H1858" s="115">
        <v>-1817</v>
      </c>
      <c r="I1858" s="115">
        <v>-309</v>
      </c>
      <c r="J1858" s="115">
        <v>794</v>
      </c>
      <c r="K1858" s="115">
        <v>0</v>
      </c>
    </row>
    <row r="1859" spans="1:11" x14ac:dyDescent="0.25">
      <c r="A1859" s="115" t="s">
        <v>1239</v>
      </c>
      <c r="B1859" s="115" t="s">
        <v>2547</v>
      </c>
      <c r="D1859" s="115" t="s">
        <v>9555</v>
      </c>
      <c r="E1859" s="115" t="s">
        <v>2548</v>
      </c>
      <c r="F1859" s="115">
        <v>-1852</v>
      </c>
      <c r="G1859" s="115">
        <v>0</v>
      </c>
      <c r="H1859" s="115">
        <v>-1687</v>
      </c>
      <c r="I1859" s="115">
        <v>-2228</v>
      </c>
      <c r="J1859" s="115">
        <v>-7412</v>
      </c>
      <c r="K1859" s="115">
        <v>-81</v>
      </c>
    </row>
    <row r="1860" spans="1:11" x14ac:dyDescent="0.25">
      <c r="B1860" s="115" t="s">
        <v>2549</v>
      </c>
      <c r="D1860" s="115" t="s">
        <v>9556</v>
      </c>
      <c r="E1860" s="115" t="s">
        <v>2550</v>
      </c>
      <c r="F1860" s="115">
        <v>0</v>
      </c>
      <c r="G1860" s="115">
        <v>0</v>
      </c>
      <c r="H1860" s="115">
        <v>61</v>
      </c>
      <c r="I1860" s="115">
        <v>-393</v>
      </c>
      <c r="J1860" s="115">
        <v>0</v>
      </c>
      <c r="K1860" s="115">
        <v>-452</v>
      </c>
    </row>
    <row r="1861" spans="1:11" x14ac:dyDescent="0.25">
      <c r="A1861" s="115" t="s">
        <v>1239</v>
      </c>
      <c r="B1861" s="115" t="s">
        <v>2551</v>
      </c>
      <c r="D1861" s="115" t="s">
        <v>9557</v>
      </c>
      <c r="E1861" s="115" t="s">
        <v>2552</v>
      </c>
      <c r="F1861" s="115">
        <v>0</v>
      </c>
      <c r="G1861" s="115">
        <v>0</v>
      </c>
      <c r="H1861" s="115">
        <v>0</v>
      </c>
      <c r="I1861" s="115">
        <v>0</v>
      </c>
      <c r="J1861" s="115">
        <v>-1019</v>
      </c>
      <c r="K1861" s="115">
        <v>0</v>
      </c>
    </row>
    <row r="1862" spans="1:11" x14ac:dyDescent="0.25">
      <c r="A1862" s="115">
        <v>-1</v>
      </c>
      <c r="B1862" s="115" t="s">
        <v>2553</v>
      </c>
      <c r="D1862" s="115" t="s">
        <v>9558</v>
      </c>
      <c r="E1862" s="115" t="s">
        <v>2554</v>
      </c>
      <c r="F1862" s="115">
        <v>1011</v>
      </c>
      <c r="G1862" s="115">
        <v>-3346</v>
      </c>
      <c r="H1862" s="115">
        <v>340</v>
      </c>
      <c r="I1862" s="115">
        <v>1103</v>
      </c>
      <c r="J1862" s="115">
        <v>-789</v>
      </c>
      <c r="K1862" s="115">
        <v>-379</v>
      </c>
    </row>
    <row r="1863" spans="1:11" x14ac:dyDescent="0.25">
      <c r="B1863" s="115">
        <f>-96   -117</f>
        <v>-213</v>
      </c>
      <c r="D1863" s="115" t="s">
        <v>9559</v>
      </c>
      <c r="E1863" s="115" t="s">
        <v>2555</v>
      </c>
      <c r="F1863" s="115">
        <v>0</v>
      </c>
      <c r="G1863" s="115">
        <v>0</v>
      </c>
      <c r="H1863" s="115">
        <v>711</v>
      </c>
      <c r="I1863" s="115">
        <v>111</v>
      </c>
      <c r="J1863" s="115">
        <v>0</v>
      </c>
      <c r="K1863" s="115">
        <v>-421</v>
      </c>
    </row>
    <row r="1864" spans="1:11" x14ac:dyDescent="0.25">
      <c r="B1864" s="115" t="s">
        <v>1241</v>
      </c>
      <c r="D1864" s="115" t="s">
        <v>9560</v>
      </c>
      <c r="E1864" s="115" t="s">
        <v>2556</v>
      </c>
      <c r="F1864" s="115">
        <v>237</v>
      </c>
      <c r="G1864" s="115">
        <v>518</v>
      </c>
      <c r="H1864" s="115">
        <v>896</v>
      </c>
      <c r="I1864" s="115">
        <v>0</v>
      </c>
      <c r="J1864" s="115">
        <v>0</v>
      </c>
      <c r="K1864" s="115">
        <v>0</v>
      </c>
    </row>
    <row r="1865" spans="1:11" x14ac:dyDescent="0.25">
      <c r="B1865" s="115" t="s">
        <v>1241</v>
      </c>
      <c r="C1865" s="115" t="s">
        <v>1239</v>
      </c>
      <c r="D1865" s="115" t="s">
        <v>9561</v>
      </c>
      <c r="E1865" s="115" t="s">
        <v>2557</v>
      </c>
      <c r="F1865" s="115">
        <v>1983</v>
      </c>
      <c r="G1865" s="115">
        <v>75</v>
      </c>
      <c r="H1865" s="115">
        <v>230</v>
      </c>
      <c r="I1865" s="115">
        <v>0</v>
      </c>
      <c r="J1865" s="115">
        <v>-6870</v>
      </c>
      <c r="K1865" s="115">
        <v>-6124</v>
      </c>
    </row>
    <row r="1866" spans="1:11" x14ac:dyDescent="0.25">
      <c r="A1866" s="115">
        <v>2</v>
      </c>
      <c r="B1866" s="115" t="s">
        <v>2558</v>
      </c>
      <c r="D1866" s="115" t="s">
        <v>9562</v>
      </c>
      <c r="E1866" s="115" t="s">
        <v>2559</v>
      </c>
      <c r="F1866" s="115">
        <v>15707</v>
      </c>
      <c r="G1866" s="115">
        <v>22459</v>
      </c>
      <c r="H1866" s="115">
        <v>-1054</v>
      </c>
      <c r="I1866" s="115">
        <v>809</v>
      </c>
      <c r="J1866" s="115">
        <v>173</v>
      </c>
      <c r="K1866" s="115">
        <v>-455</v>
      </c>
    </row>
    <row r="1867" spans="1:11" x14ac:dyDescent="0.25">
      <c r="A1867" s="115" t="s">
        <v>1239</v>
      </c>
      <c r="B1867" s="115" t="s">
        <v>2560</v>
      </c>
      <c r="D1867" s="115" t="s">
        <v>9563</v>
      </c>
      <c r="E1867" s="115" t="s">
        <v>2561</v>
      </c>
      <c r="F1867" s="115">
        <v>0</v>
      </c>
      <c r="G1867" s="115">
        <v>0</v>
      </c>
      <c r="H1867" s="115">
        <v>0</v>
      </c>
      <c r="I1867" s="115">
        <v>21</v>
      </c>
      <c r="J1867" s="115">
        <v>-70</v>
      </c>
      <c r="K1867" s="115">
        <v>0</v>
      </c>
    </row>
    <row r="1868" spans="1:11" x14ac:dyDescent="0.25">
      <c r="B1868" s="115" t="s">
        <v>1241</v>
      </c>
      <c r="D1868" s="115" t="s">
        <v>9564</v>
      </c>
      <c r="E1868" s="115" t="s">
        <v>2562</v>
      </c>
      <c r="F1868" s="115">
        <v>0</v>
      </c>
      <c r="G1868" s="115">
        <v>-113</v>
      </c>
      <c r="H1868" s="115">
        <v>0</v>
      </c>
      <c r="I1868" s="115">
        <v>0</v>
      </c>
      <c r="J1868" s="115">
        <v>177</v>
      </c>
      <c r="K1868" s="115">
        <v>0</v>
      </c>
    </row>
    <row r="1869" spans="1:11" x14ac:dyDescent="0.25">
      <c r="A1869" s="115" t="s">
        <v>1239</v>
      </c>
      <c r="B1869" s="115" t="s">
        <v>2563</v>
      </c>
      <c r="D1869" s="115" t="s">
        <v>9565</v>
      </c>
      <c r="E1869" s="115" t="s">
        <v>2564</v>
      </c>
      <c r="F1869" s="115">
        <v>84</v>
      </c>
      <c r="G1869" s="115">
        <v>0</v>
      </c>
      <c r="H1869" s="115">
        <v>42</v>
      </c>
      <c r="I1869" s="115">
        <v>627</v>
      </c>
      <c r="J1869" s="115">
        <v>229</v>
      </c>
      <c r="K1869" s="115">
        <v>108</v>
      </c>
    </row>
    <row r="1870" spans="1:11" x14ac:dyDescent="0.25">
      <c r="B1870" s="115" t="s">
        <v>2565</v>
      </c>
      <c r="D1870" s="115" t="s">
        <v>9566</v>
      </c>
      <c r="E1870" s="115" t="s">
        <v>2566</v>
      </c>
      <c r="F1870" s="115">
        <v>0</v>
      </c>
      <c r="G1870" s="115">
        <v>0</v>
      </c>
      <c r="H1870" s="115">
        <v>0</v>
      </c>
      <c r="I1870" s="115">
        <v>0</v>
      </c>
      <c r="J1870" s="115">
        <v>0</v>
      </c>
      <c r="K1870" s="115">
        <v>19</v>
      </c>
    </row>
    <row r="1871" spans="1:11" x14ac:dyDescent="0.25">
      <c r="B1871" s="115" t="s">
        <v>1241</v>
      </c>
      <c r="D1871" s="115" t="s">
        <v>9567</v>
      </c>
      <c r="E1871" s="115" t="s">
        <v>2567</v>
      </c>
      <c r="F1871" s="115">
        <v>0</v>
      </c>
      <c r="G1871" s="115">
        <v>24</v>
      </c>
      <c r="H1871" s="115">
        <v>0</v>
      </c>
      <c r="I1871" s="115">
        <v>0</v>
      </c>
      <c r="J1871" s="115">
        <v>0</v>
      </c>
      <c r="K1871" s="115">
        <v>0</v>
      </c>
    </row>
    <row r="1872" spans="1:11" x14ac:dyDescent="0.25">
      <c r="B1872" s="115" t="s">
        <v>2568</v>
      </c>
      <c r="D1872" s="115" t="s">
        <v>9568</v>
      </c>
      <c r="E1872" s="115" t="s">
        <v>2569</v>
      </c>
      <c r="F1872" s="115">
        <v>-149</v>
      </c>
      <c r="G1872" s="115">
        <v>0</v>
      </c>
      <c r="H1872" s="115">
        <v>0</v>
      </c>
      <c r="I1872" s="115">
        <v>54</v>
      </c>
      <c r="J1872" s="115">
        <v>1010</v>
      </c>
      <c r="K1872" s="115">
        <v>0</v>
      </c>
    </row>
    <row r="1873" spans="1:11" x14ac:dyDescent="0.25">
      <c r="B1873" s="115" t="s">
        <v>2570</v>
      </c>
      <c r="D1873" s="115" t="s">
        <v>9569</v>
      </c>
      <c r="E1873" s="115" t="s">
        <v>2571</v>
      </c>
      <c r="F1873" s="115">
        <v>0</v>
      </c>
      <c r="G1873" s="115">
        <v>-181</v>
      </c>
      <c r="H1873" s="115">
        <v>-5904</v>
      </c>
      <c r="I1873" s="115">
        <v>-1613</v>
      </c>
      <c r="J1873" s="115">
        <v>0</v>
      </c>
      <c r="K1873" s="115">
        <v>0</v>
      </c>
    </row>
    <row r="1874" spans="1:11" x14ac:dyDescent="0.25">
      <c r="B1874" s="115" t="s">
        <v>2572</v>
      </c>
      <c r="D1874" s="115" t="s">
        <v>9570</v>
      </c>
      <c r="E1874" s="115" t="s">
        <v>2573</v>
      </c>
      <c r="F1874" s="115">
        <v>-151</v>
      </c>
      <c r="G1874" s="115">
        <v>51</v>
      </c>
      <c r="H1874" s="115">
        <v>-273</v>
      </c>
      <c r="I1874" s="115">
        <v>278</v>
      </c>
      <c r="J1874" s="115">
        <v>52</v>
      </c>
      <c r="K1874" s="115">
        <v>51</v>
      </c>
    </row>
    <row r="1875" spans="1:11" x14ac:dyDescent="0.25">
      <c r="B1875" s="115" t="s">
        <v>1241</v>
      </c>
      <c r="D1875" s="115" t="s">
        <v>9571</v>
      </c>
      <c r="E1875" s="115" t="s">
        <v>2574</v>
      </c>
      <c r="F1875" s="115">
        <v>0</v>
      </c>
      <c r="G1875" s="115">
        <v>388</v>
      </c>
      <c r="H1875" s="115">
        <v>0</v>
      </c>
      <c r="I1875" s="115">
        <v>248</v>
      </c>
      <c r="J1875" s="115">
        <v>810</v>
      </c>
      <c r="K1875" s="115">
        <v>-384</v>
      </c>
    </row>
    <row r="1876" spans="1:11" x14ac:dyDescent="0.25">
      <c r="B1876" s="115" t="s">
        <v>2575</v>
      </c>
      <c r="D1876" s="115" t="s">
        <v>9572</v>
      </c>
      <c r="E1876" s="115" t="s">
        <v>2576</v>
      </c>
      <c r="F1876" s="115">
        <v>259</v>
      </c>
      <c r="G1876" s="115">
        <v>82</v>
      </c>
      <c r="H1876" s="115">
        <v>0</v>
      </c>
      <c r="I1876" s="115">
        <v>-223</v>
      </c>
      <c r="J1876" s="115">
        <v>-127</v>
      </c>
      <c r="K1876" s="115">
        <v>-99</v>
      </c>
    </row>
    <row r="1877" spans="1:11" x14ac:dyDescent="0.25">
      <c r="A1877" s="115">
        <v>-9</v>
      </c>
      <c r="B1877" s="115" t="s">
        <v>2577</v>
      </c>
      <c r="D1877" s="115" t="s">
        <v>9573</v>
      </c>
      <c r="E1877" s="115" t="s">
        <v>2578</v>
      </c>
      <c r="F1877" s="115">
        <v>0</v>
      </c>
      <c r="G1877" s="115">
        <v>0</v>
      </c>
      <c r="H1877" s="115">
        <v>0</v>
      </c>
      <c r="I1877" s="115">
        <v>44</v>
      </c>
      <c r="J1877" s="115">
        <v>-446</v>
      </c>
      <c r="K1877" s="115">
        <v>0</v>
      </c>
    </row>
    <row r="1878" spans="1:11" x14ac:dyDescent="0.25">
      <c r="A1878" s="115" t="s">
        <v>1239</v>
      </c>
      <c r="B1878" s="115" t="s">
        <v>2579</v>
      </c>
      <c r="D1878" s="115" t="s">
        <v>9574</v>
      </c>
      <c r="E1878" s="115" t="s">
        <v>2580</v>
      </c>
      <c r="F1878" s="115">
        <v>0</v>
      </c>
      <c r="G1878" s="115">
        <v>0</v>
      </c>
      <c r="H1878" s="115">
        <v>0</v>
      </c>
      <c r="I1878" s="115">
        <v>0</v>
      </c>
      <c r="J1878" s="115">
        <v>0</v>
      </c>
      <c r="K1878" s="115">
        <v>-20</v>
      </c>
    </row>
    <row r="1879" spans="1:11" x14ac:dyDescent="0.25">
      <c r="B1879" s="115" t="s">
        <v>2581</v>
      </c>
      <c r="D1879" s="115" t="s">
        <v>9575</v>
      </c>
      <c r="E1879" s="115" t="s">
        <v>2582</v>
      </c>
      <c r="F1879" s="115">
        <v>0</v>
      </c>
      <c r="G1879" s="115">
        <v>773</v>
      </c>
      <c r="H1879" s="115">
        <v>950</v>
      </c>
      <c r="I1879" s="115">
        <v>42</v>
      </c>
      <c r="J1879" s="115">
        <v>462</v>
      </c>
      <c r="K1879" s="115">
        <v>89</v>
      </c>
    </row>
    <row r="1880" spans="1:11" x14ac:dyDescent="0.25">
      <c r="B1880" s="115" t="s">
        <v>2583</v>
      </c>
      <c r="D1880" s="115" t="s">
        <v>9576</v>
      </c>
      <c r="E1880" s="115" t="s">
        <v>2584</v>
      </c>
      <c r="F1880" s="115">
        <v>-5094</v>
      </c>
      <c r="G1880" s="115">
        <v>0</v>
      </c>
      <c r="H1880" s="115">
        <v>0</v>
      </c>
      <c r="I1880" s="115">
        <v>-455</v>
      </c>
      <c r="J1880" s="115">
        <v>-61</v>
      </c>
      <c r="K1880" s="115">
        <v>0</v>
      </c>
    </row>
    <row r="1881" spans="1:11" x14ac:dyDescent="0.25">
      <c r="B1881" s="115" t="s">
        <v>2585</v>
      </c>
      <c r="D1881" s="115" t="s">
        <v>9577</v>
      </c>
      <c r="E1881" s="115" t="s">
        <v>2586</v>
      </c>
      <c r="F1881" s="115">
        <v>0</v>
      </c>
      <c r="G1881" s="115">
        <v>249</v>
      </c>
      <c r="H1881" s="115">
        <v>40</v>
      </c>
      <c r="I1881" s="115">
        <v>51</v>
      </c>
      <c r="J1881" s="115">
        <v>0</v>
      </c>
      <c r="K1881" s="115">
        <v>0</v>
      </c>
    </row>
    <row r="1882" spans="1:11" x14ac:dyDescent="0.25">
      <c r="B1882" s="115" t="s">
        <v>1241</v>
      </c>
      <c r="D1882" s="115" t="s">
        <v>9578</v>
      </c>
      <c r="E1882" s="115" t="s">
        <v>2587</v>
      </c>
      <c r="F1882" s="115">
        <v>0</v>
      </c>
      <c r="G1882" s="115">
        <v>281</v>
      </c>
      <c r="H1882" s="115">
        <v>487</v>
      </c>
      <c r="I1882" s="115">
        <v>-251</v>
      </c>
      <c r="J1882" s="115">
        <v>0</v>
      </c>
      <c r="K1882" s="115">
        <v>-11856</v>
      </c>
    </row>
    <row r="1883" spans="1:11" x14ac:dyDescent="0.25">
      <c r="A1883" s="115">
        <v>-6</v>
      </c>
      <c r="B1883" s="115" t="s">
        <v>2588</v>
      </c>
      <c r="D1883" s="115" t="s">
        <v>9579</v>
      </c>
      <c r="E1883" s="115" t="s">
        <v>2589</v>
      </c>
      <c r="F1883" s="115">
        <v>0</v>
      </c>
      <c r="G1883" s="115">
        <v>3270</v>
      </c>
      <c r="H1883" s="115">
        <v>3908</v>
      </c>
      <c r="I1883" s="115">
        <v>-312</v>
      </c>
      <c r="J1883" s="115">
        <v>-930</v>
      </c>
      <c r="K1883" s="115">
        <v>766</v>
      </c>
    </row>
    <row r="1884" spans="1:11" x14ac:dyDescent="0.25">
      <c r="B1884" s="115" t="s">
        <v>2590</v>
      </c>
      <c r="D1884" s="115" t="s">
        <v>9580</v>
      </c>
      <c r="E1884" s="115" t="s">
        <v>2591</v>
      </c>
      <c r="F1884" s="115">
        <v>0</v>
      </c>
      <c r="G1884" s="115">
        <v>1119</v>
      </c>
      <c r="H1884" s="115">
        <v>0</v>
      </c>
      <c r="I1884" s="115">
        <v>0</v>
      </c>
      <c r="J1884" s="115">
        <v>0</v>
      </c>
      <c r="K1884" s="115">
        <v>7</v>
      </c>
    </row>
    <row r="1885" spans="1:11" x14ac:dyDescent="0.25">
      <c r="B1885" s="115" t="s">
        <v>2592</v>
      </c>
      <c r="D1885" s="115" t="s">
        <v>9581</v>
      </c>
      <c r="E1885" s="115" t="s">
        <v>2593</v>
      </c>
      <c r="F1885" s="115">
        <v>0</v>
      </c>
      <c r="G1885" s="115">
        <v>0</v>
      </c>
      <c r="H1885" s="115">
        <v>0</v>
      </c>
      <c r="I1885" s="115">
        <v>79</v>
      </c>
      <c r="J1885" s="115">
        <v>0</v>
      </c>
      <c r="K1885" s="115">
        <v>0</v>
      </c>
    </row>
    <row r="1886" spans="1:11" x14ac:dyDescent="0.25">
      <c r="B1886" s="115" t="s">
        <v>2594</v>
      </c>
      <c r="D1886" s="115" t="s">
        <v>9582</v>
      </c>
      <c r="E1886" s="115" t="s">
        <v>2595</v>
      </c>
      <c r="F1886" s="115">
        <v>41</v>
      </c>
      <c r="G1886" s="115">
        <v>542</v>
      </c>
      <c r="H1886" s="115">
        <v>108</v>
      </c>
      <c r="I1886" s="115">
        <v>0</v>
      </c>
      <c r="J1886" s="115">
        <v>-89</v>
      </c>
      <c r="K1886" s="115">
        <v>606</v>
      </c>
    </row>
    <row r="1887" spans="1:11" x14ac:dyDescent="0.25">
      <c r="B1887" s="115" t="s">
        <v>2596</v>
      </c>
      <c r="D1887" s="115" t="s">
        <v>9583</v>
      </c>
      <c r="E1887" s="115" t="s">
        <v>2597</v>
      </c>
      <c r="F1887" s="115">
        <v>0</v>
      </c>
      <c r="G1887" s="115">
        <v>973</v>
      </c>
      <c r="H1887" s="115">
        <v>0</v>
      </c>
      <c r="I1887" s="115">
        <v>0</v>
      </c>
      <c r="J1887" s="115">
        <v>0</v>
      </c>
      <c r="K1887" s="115">
        <v>0</v>
      </c>
    </row>
    <row r="1888" spans="1:11" x14ac:dyDescent="0.25">
      <c r="B1888" s="115" t="s">
        <v>2598</v>
      </c>
      <c r="D1888" s="115" t="s">
        <v>9584</v>
      </c>
      <c r="E1888" s="115" t="s">
        <v>2599</v>
      </c>
      <c r="F1888" s="115">
        <v>0</v>
      </c>
      <c r="G1888" s="115">
        <v>26</v>
      </c>
      <c r="H1888" s="115">
        <v>0</v>
      </c>
      <c r="I1888" s="115">
        <v>29</v>
      </c>
      <c r="J1888" s="115">
        <v>0</v>
      </c>
      <c r="K1888" s="115">
        <v>0</v>
      </c>
    </row>
    <row r="1889" spans="1:11" x14ac:dyDescent="0.25">
      <c r="B1889" s="115" t="s">
        <v>1241</v>
      </c>
      <c r="D1889" s="115" t="s">
        <v>9585</v>
      </c>
      <c r="E1889" s="115" t="s">
        <v>2600</v>
      </c>
      <c r="F1889" s="115">
        <v>0</v>
      </c>
      <c r="G1889" s="115">
        <v>368</v>
      </c>
      <c r="H1889" s="115">
        <v>-54</v>
      </c>
      <c r="I1889" s="115">
        <v>0</v>
      </c>
      <c r="J1889" s="115">
        <v>0</v>
      </c>
      <c r="K1889" s="115">
        <v>315</v>
      </c>
    </row>
    <row r="1890" spans="1:11" x14ac:dyDescent="0.25">
      <c r="A1890" s="115">
        <v>1</v>
      </c>
      <c r="B1890" s="115" t="s">
        <v>2427</v>
      </c>
      <c r="D1890" s="115" t="s">
        <v>9586</v>
      </c>
      <c r="E1890" s="115" t="s">
        <v>2601</v>
      </c>
      <c r="F1890" s="115">
        <v>0</v>
      </c>
      <c r="G1890" s="115">
        <v>0</v>
      </c>
      <c r="H1890" s="115">
        <v>0</v>
      </c>
      <c r="I1890" s="115">
        <v>-47</v>
      </c>
      <c r="J1890" s="115">
        <v>-1578</v>
      </c>
      <c r="K1890" s="115">
        <v>-7242</v>
      </c>
    </row>
    <row r="1891" spans="1:11" x14ac:dyDescent="0.25">
      <c r="B1891" s="115" t="s">
        <v>1241</v>
      </c>
      <c r="D1891" s="115" t="s">
        <v>9587</v>
      </c>
      <c r="E1891" s="115" t="s">
        <v>2602</v>
      </c>
      <c r="F1891" s="115">
        <v>0</v>
      </c>
      <c r="G1891" s="115">
        <v>50</v>
      </c>
      <c r="H1891" s="115">
        <v>151</v>
      </c>
      <c r="I1891" s="115">
        <v>180</v>
      </c>
      <c r="J1891" s="115">
        <v>-67</v>
      </c>
      <c r="K1891" s="115">
        <v>34</v>
      </c>
    </row>
    <row r="1892" spans="1:11" x14ac:dyDescent="0.25">
      <c r="B1892" s="115" t="s">
        <v>2603</v>
      </c>
      <c r="D1892" s="115" t="s">
        <v>9588</v>
      </c>
      <c r="E1892" s="115" t="s">
        <v>2604</v>
      </c>
      <c r="F1892" s="115">
        <v>0</v>
      </c>
      <c r="G1892" s="115">
        <v>0</v>
      </c>
      <c r="H1892" s="115">
        <v>0</v>
      </c>
      <c r="I1892" s="115">
        <v>201</v>
      </c>
      <c r="J1892" s="115">
        <v>0</v>
      </c>
      <c r="K1892" s="115">
        <v>210</v>
      </c>
    </row>
    <row r="1893" spans="1:11" x14ac:dyDescent="0.25">
      <c r="B1893" s="115" t="s">
        <v>2605</v>
      </c>
      <c r="D1893" s="115" t="s">
        <v>9589</v>
      </c>
      <c r="E1893" s="115" t="s">
        <v>2606</v>
      </c>
      <c r="F1893" s="115">
        <v>873</v>
      </c>
      <c r="G1893" s="115">
        <v>-118</v>
      </c>
      <c r="H1893" s="115">
        <v>-635</v>
      </c>
      <c r="I1893" s="115">
        <v>-423</v>
      </c>
      <c r="J1893" s="115">
        <v>0</v>
      </c>
      <c r="K1893" s="115">
        <v>-215</v>
      </c>
    </row>
    <row r="1894" spans="1:11" x14ac:dyDescent="0.25">
      <c r="A1894" s="115" t="s">
        <v>1239</v>
      </c>
      <c r="B1894" s="115" t="s">
        <v>2607</v>
      </c>
      <c r="D1894" s="115" t="s">
        <v>9590</v>
      </c>
      <c r="E1894" s="115" t="s">
        <v>2608</v>
      </c>
      <c r="F1894" s="115">
        <v>2748</v>
      </c>
      <c r="G1894" s="115">
        <v>17</v>
      </c>
      <c r="H1894" s="115">
        <v>0</v>
      </c>
      <c r="I1894" s="115">
        <v>0</v>
      </c>
      <c r="J1894" s="115">
        <v>0</v>
      </c>
      <c r="K1894" s="115">
        <v>-38</v>
      </c>
    </row>
    <row r="1895" spans="1:11" x14ac:dyDescent="0.25">
      <c r="A1895" s="115" t="s">
        <v>1239</v>
      </c>
      <c r="B1895" s="115" t="s">
        <v>1448</v>
      </c>
      <c r="D1895" s="115" t="s">
        <v>9591</v>
      </c>
      <c r="E1895" s="115" t="s">
        <v>2609</v>
      </c>
      <c r="F1895" s="115">
        <v>-150</v>
      </c>
      <c r="G1895" s="115">
        <v>-2</v>
      </c>
      <c r="H1895" s="115">
        <v>0</v>
      </c>
      <c r="I1895" s="115">
        <v>0</v>
      </c>
      <c r="J1895" s="115">
        <v>0</v>
      </c>
      <c r="K1895" s="115">
        <v>0</v>
      </c>
    </row>
    <row r="1896" spans="1:11" x14ac:dyDescent="0.25">
      <c r="B1896" s="115" t="s">
        <v>2610</v>
      </c>
      <c r="D1896" s="115" t="s">
        <v>9592</v>
      </c>
      <c r="E1896" s="115" t="s">
        <v>2611</v>
      </c>
      <c r="F1896" s="115">
        <v>125</v>
      </c>
      <c r="G1896" s="115">
        <v>-91</v>
      </c>
      <c r="H1896" s="115">
        <v>0</v>
      </c>
      <c r="I1896" s="115">
        <v>225</v>
      </c>
      <c r="J1896" s="115">
        <v>781</v>
      </c>
      <c r="K1896" s="115">
        <v>-130</v>
      </c>
    </row>
    <row r="1897" spans="1:11" x14ac:dyDescent="0.25">
      <c r="A1897" s="115" t="s">
        <v>1239</v>
      </c>
      <c r="B1897" s="115" t="s">
        <v>2612</v>
      </c>
      <c r="D1897" s="115" t="s">
        <v>9593</v>
      </c>
      <c r="E1897" s="115" t="s">
        <v>2613</v>
      </c>
      <c r="F1897" s="115">
        <v>68</v>
      </c>
      <c r="G1897" s="115">
        <v>0</v>
      </c>
      <c r="H1897" s="115">
        <v>316</v>
      </c>
      <c r="I1897" s="115">
        <v>0</v>
      </c>
      <c r="J1897" s="115">
        <v>0</v>
      </c>
      <c r="K1897" s="115">
        <v>237</v>
      </c>
    </row>
    <row r="1898" spans="1:11" x14ac:dyDescent="0.25">
      <c r="A1898" s="115" t="s">
        <v>1239</v>
      </c>
      <c r="B1898" s="115" t="s">
        <v>1437</v>
      </c>
      <c r="D1898" s="115" t="s">
        <v>9594</v>
      </c>
      <c r="E1898" s="115" t="s">
        <v>2614</v>
      </c>
      <c r="F1898" s="115">
        <v>0</v>
      </c>
      <c r="G1898" s="115">
        <v>-1</v>
      </c>
      <c r="H1898" s="115">
        <v>0</v>
      </c>
      <c r="I1898" s="115">
        <v>-86</v>
      </c>
      <c r="J1898" s="115">
        <v>-103</v>
      </c>
      <c r="K1898" s="115">
        <v>60</v>
      </c>
    </row>
    <row r="1899" spans="1:11" x14ac:dyDescent="0.25">
      <c r="B1899" s="115" t="s">
        <v>1241</v>
      </c>
      <c r="D1899" s="115" t="s">
        <v>9595</v>
      </c>
      <c r="E1899" s="115" t="s">
        <v>2615</v>
      </c>
      <c r="F1899" s="115">
        <v>0</v>
      </c>
      <c r="G1899" s="115">
        <v>-6</v>
      </c>
      <c r="H1899" s="115">
        <v>0</v>
      </c>
      <c r="I1899" s="115">
        <v>246</v>
      </c>
      <c r="J1899" s="115">
        <v>36</v>
      </c>
      <c r="K1899" s="115">
        <v>-190</v>
      </c>
    </row>
    <row r="1900" spans="1:11" x14ac:dyDescent="0.25">
      <c r="B1900" s="115" t="s">
        <v>2616</v>
      </c>
      <c r="C1900" s="115" t="s">
        <v>1239</v>
      </c>
      <c r="D1900" s="115" t="s">
        <v>9596</v>
      </c>
      <c r="E1900" s="115" t="s">
        <v>2617</v>
      </c>
      <c r="F1900" s="115">
        <v>0</v>
      </c>
      <c r="G1900" s="115">
        <v>0</v>
      </c>
      <c r="H1900" s="115">
        <v>0</v>
      </c>
      <c r="I1900" s="115">
        <v>619</v>
      </c>
      <c r="J1900" s="115">
        <v>957</v>
      </c>
      <c r="K1900" s="115">
        <v>-1468</v>
      </c>
    </row>
    <row r="1901" spans="1:11" x14ac:dyDescent="0.25">
      <c r="A1901" s="115">
        <v>22</v>
      </c>
      <c r="B1901" s="115" t="s">
        <v>2618</v>
      </c>
      <c r="D1901" s="115" t="s">
        <v>8710</v>
      </c>
      <c r="E1901" s="115" t="s">
        <v>1242</v>
      </c>
      <c r="F1901" s="115">
        <v>0</v>
      </c>
      <c r="G1901" s="115">
        <v>0</v>
      </c>
      <c r="H1901" s="115">
        <v>0</v>
      </c>
      <c r="I1901" s="115">
        <v>0</v>
      </c>
      <c r="J1901" s="115">
        <v>0</v>
      </c>
      <c r="K1901" s="115">
        <v>0</v>
      </c>
    </row>
    <row r="1902" spans="1:11" x14ac:dyDescent="0.25">
      <c r="B1902" s="115" t="s">
        <v>1241</v>
      </c>
      <c r="D1902" s="115" t="s">
        <v>8710</v>
      </c>
      <c r="E1902" s="115" t="s">
        <v>1242</v>
      </c>
      <c r="F1902" s="115">
        <v>0</v>
      </c>
      <c r="G1902" s="115">
        <v>0</v>
      </c>
      <c r="H1902" s="115">
        <v>0</v>
      </c>
      <c r="I1902" s="115">
        <v>0</v>
      </c>
      <c r="J1902" s="115">
        <v>0</v>
      </c>
      <c r="K1902" s="115">
        <v>0</v>
      </c>
    </row>
    <row r="1903" spans="1:11" x14ac:dyDescent="0.25">
      <c r="B1903" s="115" t="s">
        <v>1241</v>
      </c>
      <c r="D1903" s="115" t="s">
        <v>8710</v>
      </c>
      <c r="E1903" s="115" t="s">
        <v>1242</v>
      </c>
      <c r="F1903" s="115">
        <v>0</v>
      </c>
      <c r="G1903" s="115">
        <v>0</v>
      </c>
      <c r="H1903" s="115">
        <v>0</v>
      </c>
      <c r="I1903" s="115">
        <v>0</v>
      </c>
      <c r="J1903" s="115">
        <v>0</v>
      </c>
      <c r="K1903" s="115">
        <v>0</v>
      </c>
    </row>
    <row r="1904" spans="1:11" x14ac:dyDescent="0.25">
      <c r="B1904" s="115" t="s">
        <v>1241</v>
      </c>
      <c r="D1904" s="115" t="s">
        <v>8710</v>
      </c>
      <c r="E1904" s="115" t="s">
        <v>1242</v>
      </c>
      <c r="F1904" s="115">
        <v>0</v>
      </c>
      <c r="G1904" s="115">
        <v>0</v>
      </c>
      <c r="H1904" s="115">
        <v>0</v>
      </c>
      <c r="I1904" s="115">
        <v>0</v>
      </c>
      <c r="J1904" s="115">
        <v>0</v>
      </c>
      <c r="K1904" s="115">
        <v>0</v>
      </c>
    </row>
    <row r="1905" spans="2:11" x14ac:dyDescent="0.25">
      <c r="B1905" s="115" t="s">
        <v>1241</v>
      </c>
      <c r="D1905" s="115" t="s">
        <v>8710</v>
      </c>
      <c r="E1905" s="115" t="s">
        <v>1242</v>
      </c>
      <c r="F1905" s="115">
        <v>0</v>
      </c>
      <c r="G1905" s="115">
        <v>0</v>
      </c>
      <c r="H1905" s="115">
        <v>0</v>
      </c>
      <c r="I1905" s="115">
        <v>0</v>
      </c>
      <c r="J1905" s="115">
        <v>0</v>
      </c>
      <c r="K1905" s="115">
        <v>0</v>
      </c>
    </row>
    <row r="1906" spans="2:11" x14ac:dyDescent="0.25">
      <c r="B1906" s="115" t="s">
        <v>1241</v>
      </c>
      <c r="D1906" s="115" t="s">
        <v>8710</v>
      </c>
      <c r="E1906" s="115" t="s">
        <v>1242</v>
      </c>
      <c r="F1906" s="115">
        <v>0</v>
      </c>
      <c r="G1906" s="115">
        <v>0</v>
      </c>
      <c r="H1906" s="115">
        <v>0</v>
      </c>
      <c r="I1906" s="115">
        <v>0</v>
      </c>
      <c r="J1906" s="115">
        <v>0</v>
      </c>
      <c r="K1906" s="115">
        <v>0</v>
      </c>
    </row>
    <row r="1907" spans="2:11" x14ac:dyDescent="0.25">
      <c r="B1907" s="115" t="s">
        <v>1241</v>
      </c>
      <c r="D1907" s="115" t="s">
        <v>8710</v>
      </c>
      <c r="E1907" s="115" t="s">
        <v>1242</v>
      </c>
      <c r="F1907" s="115">
        <v>0</v>
      </c>
      <c r="G1907" s="115">
        <v>0</v>
      </c>
      <c r="H1907" s="115">
        <v>0</v>
      </c>
      <c r="I1907" s="115">
        <v>0</v>
      </c>
      <c r="J1907" s="115">
        <v>0</v>
      </c>
      <c r="K1907" s="115">
        <v>0</v>
      </c>
    </row>
    <row r="1908" spans="2:11" x14ac:dyDescent="0.25">
      <c r="B1908" s="115" t="s">
        <v>1241</v>
      </c>
      <c r="D1908" s="115" t="s">
        <v>8710</v>
      </c>
      <c r="E1908" s="115" t="s">
        <v>1242</v>
      </c>
      <c r="F1908" s="115">
        <v>0</v>
      </c>
      <c r="G1908" s="115">
        <v>0</v>
      </c>
      <c r="H1908" s="115">
        <v>0</v>
      </c>
      <c r="I1908" s="115">
        <v>0</v>
      </c>
      <c r="J1908" s="115">
        <v>0</v>
      </c>
      <c r="K1908" s="115">
        <v>0</v>
      </c>
    </row>
    <row r="1909" spans="2:11" x14ac:dyDescent="0.25">
      <c r="B1909" s="115" t="s">
        <v>1241</v>
      </c>
      <c r="D1909" s="115" t="s">
        <v>8710</v>
      </c>
      <c r="E1909" s="115" t="s">
        <v>1242</v>
      </c>
      <c r="F1909" s="115">
        <v>0</v>
      </c>
      <c r="G1909" s="115">
        <v>0</v>
      </c>
      <c r="H1909" s="115">
        <v>0</v>
      </c>
      <c r="I1909" s="115">
        <v>0</v>
      </c>
      <c r="J1909" s="115">
        <v>0</v>
      </c>
      <c r="K1909" s="115">
        <v>0</v>
      </c>
    </row>
    <row r="1910" spans="2:11" x14ac:dyDescent="0.25">
      <c r="B1910" s="115" t="s">
        <v>1241</v>
      </c>
      <c r="D1910" s="115" t="s">
        <v>8710</v>
      </c>
      <c r="E1910" s="115" t="s">
        <v>1242</v>
      </c>
      <c r="F1910" s="115">
        <v>0</v>
      </c>
      <c r="G1910" s="115">
        <v>0</v>
      </c>
      <c r="H1910" s="115">
        <v>0</v>
      </c>
      <c r="I1910" s="115">
        <v>0</v>
      </c>
      <c r="J1910" s="115">
        <v>0</v>
      </c>
      <c r="K1910" s="115">
        <v>0</v>
      </c>
    </row>
    <row r="1911" spans="2:11" x14ac:dyDescent="0.25">
      <c r="B1911" s="115" t="s">
        <v>1241</v>
      </c>
      <c r="D1911" s="115" t="s">
        <v>8710</v>
      </c>
      <c r="E1911" s="115" t="s">
        <v>1242</v>
      </c>
      <c r="F1911" s="115">
        <v>0</v>
      </c>
      <c r="G1911" s="115">
        <v>0</v>
      </c>
      <c r="H1911" s="115">
        <v>0</v>
      </c>
      <c r="I1911" s="115">
        <v>0</v>
      </c>
      <c r="J1911" s="115">
        <v>0</v>
      </c>
      <c r="K1911" s="115">
        <v>0</v>
      </c>
    </row>
    <row r="1912" spans="2:11" x14ac:dyDescent="0.25">
      <c r="B1912" s="115" t="s">
        <v>1241</v>
      </c>
      <c r="D1912" s="115" t="s">
        <v>8710</v>
      </c>
      <c r="E1912" s="115" t="s">
        <v>1242</v>
      </c>
      <c r="F1912" s="115">
        <v>0</v>
      </c>
      <c r="G1912" s="115">
        <v>0</v>
      </c>
      <c r="H1912" s="115">
        <v>0</v>
      </c>
      <c r="I1912" s="115">
        <v>0</v>
      </c>
      <c r="J1912" s="115">
        <v>0</v>
      </c>
      <c r="K1912" s="115">
        <v>0</v>
      </c>
    </row>
    <row r="1913" spans="2:11" x14ac:dyDescent="0.25">
      <c r="B1913" s="115" t="s">
        <v>1241</v>
      </c>
      <c r="D1913" s="115" t="s">
        <v>8710</v>
      </c>
      <c r="E1913" s="115" t="s">
        <v>1242</v>
      </c>
      <c r="F1913" s="115">
        <v>0</v>
      </c>
      <c r="G1913" s="115">
        <v>0</v>
      </c>
      <c r="H1913" s="115">
        <v>0</v>
      </c>
      <c r="I1913" s="115">
        <v>0</v>
      </c>
      <c r="J1913" s="115">
        <v>0</v>
      </c>
      <c r="K1913" s="115">
        <v>0</v>
      </c>
    </row>
    <row r="1914" spans="2:11" x14ac:dyDescent="0.25">
      <c r="B1914" s="115" t="s">
        <v>1241</v>
      </c>
      <c r="D1914" s="115" t="s">
        <v>8710</v>
      </c>
      <c r="E1914" s="115" t="s">
        <v>1242</v>
      </c>
      <c r="F1914" s="115">
        <v>0</v>
      </c>
      <c r="G1914" s="115">
        <v>0</v>
      </c>
      <c r="H1914" s="115">
        <v>0</v>
      </c>
      <c r="I1914" s="115">
        <v>0</v>
      </c>
      <c r="J1914" s="115">
        <v>0</v>
      </c>
      <c r="K1914" s="115">
        <v>0</v>
      </c>
    </row>
    <row r="1915" spans="2:11" x14ac:dyDescent="0.25">
      <c r="B1915" s="115" t="s">
        <v>1241</v>
      </c>
      <c r="D1915" s="115" t="s">
        <v>8710</v>
      </c>
      <c r="E1915" s="115" t="s">
        <v>1242</v>
      </c>
      <c r="F1915" s="115">
        <v>0</v>
      </c>
      <c r="G1915" s="115">
        <v>0</v>
      </c>
      <c r="H1915" s="115">
        <v>0</v>
      </c>
      <c r="I1915" s="115">
        <v>0</v>
      </c>
      <c r="J1915" s="115">
        <v>0</v>
      </c>
      <c r="K1915" s="115">
        <v>0</v>
      </c>
    </row>
    <row r="1916" spans="2:11" x14ac:dyDescent="0.25">
      <c r="B1916" s="115" t="s">
        <v>1241</v>
      </c>
      <c r="D1916" s="115" t="s">
        <v>8710</v>
      </c>
      <c r="E1916" s="115" t="s">
        <v>1242</v>
      </c>
      <c r="F1916" s="115">
        <v>0</v>
      </c>
      <c r="G1916" s="115">
        <v>0</v>
      </c>
      <c r="H1916" s="115">
        <v>0</v>
      </c>
      <c r="I1916" s="115">
        <v>0</v>
      </c>
      <c r="J1916" s="115">
        <v>0</v>
      </c>
      <c r="K1916" s="115">
        <v>0</v>
      </c>
    </row>
    <row r="1917" spans="2:11" x14ac:dyDescent="0.25">
      <c r="B1917" s="115" t="s">
        <v>1241</v>
      </c>
      <c r="D1917" s="115" t="s">
        <v>8710</v>
      </c>
      <c r="E1917" s="115" t="s">
        <v>1242</v>
      </c>
      <c r="F1917" s="115">
        <v>0</v>
      </c>
      <c r="G1917" s="115">
        <v>0</v>
      </c>
      <c r="H1917" s="115">
        <v>0</v>
      </c>
      <c r="I1917" s="115">
        <v>0</v>
      </c>
      <c r="J1917" s="115">
        <v>0</v>
      </c>
      <c r="K1917" s="115">
        <v>0</v>
      </c>
    </row>
    <row r="1918" spans="2:11" x14ac:dyDescent="0.25">
      <c r="B1918" s="115" t="s">
        <v>1241</v>
      </c>
      <c r="D1918" s="115" t="s">
        <v>9597</v>
      </c>
      <c r="E1918" s="115" t="s">
        <v>2619</v>
      </c>
      <c r="F1918" s="115">
        <v>0</v>
      </c>
      <c r="G1918" s="115">
        <v>234</v>
      </c>
      <c r="H1918" s="115">
        <v>-262</v>
      </c>
      <c r="I1918" s="115">
        <v>-75</v>
      </c>
      <c r="J1918" s="115">
        <v>-71</v>
      </c>
      <c r="K1918" s="115">
        <v>-137</v>
      </c>
    </row>
    <row r="1919" spans="2:11" x14ac:dyDescent="0.25">
      <c r="B1919" s="115" t="s">
        <v>1241</v>
      </c>
      <c r="D1919" s="115" t="s">
        <v>9598</v>
      </c>
      <c r="E1919" s="115" t="s">
        <v>2620</v>
      </c>
      <c r="F1919" s="115">
        <v>0</v>
      </c>
      <c r="G1919" s="115">
        <v>0</v>
      </c>
      <c r="H1919" s="115">
        <v>-38</v>
      </c>
      <c r="I1919" s="115">
        <v>-133</v>
      </c>
      <c r="J1919" s="115">
        <v>0</v>
      </c>
      <c r="K1919" s="115">
        <v>0</v>
      </c>
    </row>
    <row r="1920" spans="2:11" x14ac:dyDescent="0.25">
      <c r="B1920" s="115" t="s">
        <v>1241</v>
      </c>
      <c r="D1920" s="115" t="s">
        <v>9599</v>
      </c>
      <c r="E1920" s="115" t="s">
        <v>2621</v>
      </c>
      <c r="F1920" s="115">
        <v>108</v>
      </c>
      <c r="G1920" s="115">
        <v>0</v>
      </c>
      <c r="H1920" s="115">
        <v>0</v>
      </c>
      <c r="I1920" s="115">
        <v>29</v>
      </c>
      <c r="J1920" s="115">
        <v>0</v>
      </c>
      <c r="K1920" s="115">
        <v>-50</v>
      </c>
    </row>
    <row r="1921" spans="1:11" x14ac:dyDescent="0.25">
      <c r="B1921" s="115" t="s">
        <v>2622</v>
      </c>
      <c r="D1921" s="115" t="s">
        <v>9600</v>
      </c>
      <c r="E1921" s="115" t="s">
        <v>2623</v>
      </c>
      <c r="F1921" s="115">
        <v>0</v>
      </c>
      <c r="G1921" s="115">
        <v>59</v>
      </c>
      <c r="H1921" s="115">
        <v>-226</v>
      </c>
      <c r="I1921" s="115">
        <v>1</v>
      </c>
      <c r="J1921" s="115">
        <v>168</v>
      </c>
      <c r="K1921" s="115">
        <v>-333</v>
      </c>
    </row>
    <row r="1922" spans="1:11" x14ac:dyDescent="0.25">
      <c r="B1922" s="115" t="s">
        <v>2624</v>
      </c>
      <c r="D1922" s="115" t="s">
        <v>9601</v>
      </c>
      <c r="E1922" s="115" t="s">
        <v>2625</v>
      </c>
      <c r="F1922" s="115">
        <v>0</v>
      </c>
      <c r="G1922" s="115">
        <v>0</v>
      </c>
      <c r="H1922" s="115">
        <v>0</v>
      </c>
      <c r="I1922" s="115">
        <v>0</v>
      </c>
      <c r="J1922" s="115">
        <v>-13</v>
      </c>
      <c r="K1922" s="115">
        <v>0</v>
      </c>
    </row>
    <row r="1923" spans="1:11" x14ac:dyDescent="0.25">
      <c r="B1923" s="115" t="s">
        <v>1241</v>
      </c>
      <c r="D1923" s="115" t="s">
        <v>9602</v>
      </c>
      <c r="E1923" s="115" t="s">
        <v>1242</v>
      </c>
      <c r="F1923" s="115">
        <v>87</v>
      </c>
      <c r="G1923" s="115">
        <v>0</v>
      </c>
      <c r="H1923" s="115">
        <v>0</v>
      </c>
      <c r="I1923" s="115">
        <v>0</v>
      </c>
      <c r="J1923" s="115">
        <v>0</v>
      </c>
      <c r="K1923" s="115">
        <v>0</v>
      </c>
    </row>
    <row r="1924" spans="1:11" x14ac:dyDescent="0.25">
      <c r="B1924" s="115" t="s">
        <v>2626</v>
      </c>
      <c r="D1924" s="115" t="s">
        <v>9603</v>
      </c>
      <c r="E1924" s="115" t="s">
        <v>2627</v>
      </c>
      <c r="F1924" s="115">
        <v>0</v>
      </c>
      <c r="G1924" s="115">
        <v>0</v>
      </c>
      <c r="H1924" s="115">
        <v>4856</v>
      </c>
      <c r="I1924" s="115">
        <v>3383</v>
      </c>
      <c r="J1924" s="115">
        <v>0</v>
      </c>
      <c r="K1924" s="115">
        <v>-667</v>
      </c>
    </row>
    <row r="1925" spans="1:11" x14ac:dyDescent="0.25">
      <c r="B1925" s="115" t="s">
        <v>1241</v>
      </c>
      <c r="D1925" s="115" t="s">
        <v>9604</v>
      </c>
      <c r="E1925" s="115" t="s">
        <v>2628</v>
      </c>
      <c r="F1925" s="115">
        <v>3689</v>
      </c>
      <c r="G1925" s="115">
        <v>-2756</v>
      </c>
      <c r="H1925" s="115">
        <v>-2051</v>
      </c>
      <c r="I1925" s="115">
        <v>0</v>
      </c>
      <c r="J1925" s="115">
        <v>0</v>
      </c>
      <c r="K1925" s="115">
        <v>609</v>
      </c>
    </row>
    <row r="1926" spans="1:11" x14ac:dyDescent="0.25">
      <c r="B1926" s="115" t="s">
        <v>2629</v>
      </c>
      <c r="D1926" s="115" t="s">
        <v>9605</v>
      </c>
      <c r="E1926" s="115" t="s">
        <v>2630</v>
      </c>
      <c r="F1926" s="115">
        <v>-130</v>
      </c>
      <c r="G1926" s="115">
        <v>-311</v>
      </c>
      <c r="H1926" s="115">
        <v>-1241</v>
      </c>
      <c r="I1926" s="115">
        <v>-260</v>
      </c>
      <c r="J1926" s="115">
        <v>-670</v>
      </c>
      <c r="K1926" s="115">
        <v>0</v>
      </c>
    </row>
    <row r="1927" spans="1:11" x14ac:dyDescent="0.25">
      <c r="B1927" s="115" t="s">
        <v>1241</v>
      </c>
      <c r="D1927" s="115" t="s">
        <v>9606</v>
      </c>
      <c r="E1927" s="115" t="s">
        <v>2631</v>
      </c>
      <c r="F1927" s="115">
        <v>-4996</v>
      </c>
      <c r="G1927" s="115">
        <v>0</v>
      </c>
      <c r="H1927" s="115">
        <v>-4828</v>
      </c>
      <c r="I1927" s="115">
        <v>-1232</v>
      </c>
      <c r="J1927" s="115">
        <v>-560</v>
      </c>
      <c r="K1927" s="115">
        <v>0</v>
      </c>
    </row>
    <row r="1928" spans="1:11" x14ac:dyDescent="0.25">
      <c r="A1928" s="115" t="s">
        <v>1239</v>
      </c>
      <c r="B1928" s="115" t="s">
        <v>2632</v>
      </c>
      <c r="D1928" s="115" t="s">
        <v>9607</v>
      </c>
      <c r="E1928" s="115" t="s">
        <v>2633</v>
      </c>
      <c r="F1928" s="115">
        <v>-247</v>
      </c>
      <c r="G1928" s="115">
        <v>0</v>
      </c>
      <c r="H1928" s="115">
        <v>216</v>
      </c>
      <c r="I1928" s="115">
        <v>-765</v>
      </c>
      <c r="J1928" s="115">
        <v>906</v>
      </c>
      <c r="K1928" s="115">
        <v>-1562</v>
      </c>
    </row>
    <row r="1929" spans="1:11" x14ac:dyDescent="0.25">
      <c r="B1929" s="115" t="s">
        <v>2634</v>
      </c>
      <c r="C1929" s="115">
        <v>1</v>
      </c>
      <c r="D1929" s="115" t="s">
        <v>9608</v>
      </c>
      <c r="E1929" s="115" t="s">
        <v>2635</v>
      </c>
      <c r="F1929" s="115">
        <v>0</v>
      </c>
      <c r="G1929" s="115">
        <v>0</v>
      </c>
      <c r="H1929" s="115">
        <v>6</v>
      </c>
      <c r="I1929" s="115">
        <v>-175</v>
      </c>
      <c r="J1929" s="115">
        <v>0</v>
      </c>
      <c r="K1929" s="115">
        <v>-73</v>
      </c>
    </row>
    <row r="1930" spans="1:11" x14ac:dyDescent="0.25">
      <c r="B1930" s="115">
        <f>-22    -36</f>
        <v>-58</v>
      </c>
      <c r="D1930" s="115" t="s">
        <v>9609</v>
      </c>
      <c r="E1930" s="115" t="s">
        <v>2636</v>
      </c>
      <c r="F1930" s="115">
        <v>0</v>
      </c>
      <c r="G1930" s="115">
        <v>0</v>
      </c>
      <c r="H1930" s="115">
        <v>0</v>
      </c>
      <c r="I1930" s="115">
        <v>0</v>
      </c>
      <c r="J1930" s="115">
        <v>-1376</v>
      </c>
      <c r="K1930" s="115">
        <v>0</v>
      </c>
    </row>
    <row r="1931" spans="1:11" x14ac:dyDescent="0.25">
      <c r="A1931" s="115">
        <v>-1</v>
      </c>
      <c r="B1931" s="115" t="s">
        <v>2637</v>
      </c>
      <c r="D1931" s="115" t="s">
        <v>9610</v>
      </c>
      <c r="E1931" s="115" t="s">
        <v>2638</v>
      </c>
      <c r="F1931" s="115">
        <v>-1841</v>
      </c>
      <c r="G1931" s="115">
        <v>-496</v>
      </c>
      <c r="H1931" s="115">
        <v>-64</v>
      </c>
      <c r="I1931" s="115">
        <v>-54</v>
      </c>
      <c r="J1931" s="115">
        <v>-314</v>
      </c>
      <c r="K1931" s="115">
        <v>119</v>
      </c>
    </row>
    <row r="1932" spans="1:11" x14ac:dyDescent="0.25">
      <c r="B1932" s="115" t="s">
        <v>2639</v>
      </c>
      <c r="D1932" s="115" t="s">
        <v>9611</v>
      </c>
      <c r="E1932" s="115" t="s">
        <v>2640</v>
      </c>
      <c r="F1932" s="115">
        <v>0</v>
      </c>
      <c r="G1932" s="115">
        <v>0</v>
      </c>
      <c r="H1932" s="115">
        <v>16080</v>
      </c>
      <c r="I1932" s="115">
        <v>-284</v>
      </c>
      <c r="J1932" s="115">
        <v>0</v>
      </c>
      <c r="K1932" s="115">
        <v>-23</v>
      </c>
    </row>
    <row r="1933" spans="1:11" x14ac:dyDescent="0.25">
      <c r="B1933" s="115" t="s">
        <v>1241</v>
      </c>
      <c r="D1933" s="115" t="s">
        <v>9612</v>
      </c>
      <c r="E1933" s="115" t="s">
        <v>2641</v>
      </c>
      <c r="F1933" s="115">
        <v>-246</v>
      </c>
      <c r="G1933" s="115">
        <v>-139</v>
      </c>
      <c r="H1933" s="115">
        <v>109</v>
      </c>
      <c r="I1933" s="115">
        <v>0</v>
      </c>
      <c r="J1933" s="115">
        <v>0</v>
      </c>
      <c r="K1933" s="115">
        <v>0</v>
      </c>
    </row>
    <row r="1934" spans="1:11" x14ac:dyDescent="0.25">
      <c r="B1934" s="115" t="s">
        <v>1241</v>
      </c>
      <c r="D1934" s="115" t="s">
        <v>9613</v>
      </c>
      <c r="E1934" s="115" t="s">
        <v>2642</v>
      </c>
      <c r="F1934" s="115">
        <v>-2123</v>
      </c>
      <c r="G1934" s="115">
        <v>-683</v>
      </c>
      <c r="H1934" s="115">
        <v>-342</v>
      </c>
      <c r="I1934" s="115">
        <v>0</v>
      </c>
      <c r="J1934" s="115">
        <v>-16051</v>
      </c>
      <c r="K1934" s="115">
        <v>-15298</v>
      </c>
    </row>
    <row r="1935" spans="1:11" x14ac:dyDescent="0.25">
      <c r="B1935" s="115" t="s">
        <v>2643</v>
      </c>
      <c r="D1935" s="115" t="s">
        <v>9614</v>
      </c>
      <c r="E1935" s="115" t="s">
        <v>2644</v>
      </c>
      <c r="F1935" s="115">
        <v>8062</v>
      </c>
      <c r="G1935" s="115">
        <v>-4122</v>
      </c>
      <c r="H1935" s="115">
        <v>-2612</v>
      </c>
      <c r="I1935" s="115">
        <v>16257</v>
      </c>
      <c r="J1935" s="115">
        <v>7657</v>
      </c>
      <c r="K1935" s="115">
        <v>0</v>
      </c>
    </row>
    <row r="1936" spans="1:11" x14ac:dyDescent="0.25">
      <c r="B1936" s="115" t="s">
        <v>1241</v>
      </c>
      <c r="D1936" s="115" t="s">
        <v>8710</v>
      </c>
      <c r="E1936" s="115" t="s">
        <v>1242</v>
      </c>
      <c r="F1936" s="115">
        <v>0</v>
      </c>
      <c r="G1936" s="115">
        <v>0</v>
      </c>
      <c r="H1936" s="115">
        <v>0</v>
      </c>
      <c r="I1936" s="115">
        <v>0</v>
      </c>
      <c r="J1936" s="115">
        <v>0</v>
      </c>
      <c r="K1936" s="115">
        <v>0</v>
      </c>
    </row>
    <row r="1937" spans="2:11" x14ac:dyDescent="0.25">
      <c r="B1937" s="115" t="s">
        <v>1241</v>
      </c>
      <c r="D1937" s="115" t="s">
        <v>8710</v>
      </c>
      <c r="E1937" s="115" t="s">
        <v>1242</v>
      </c>
      <c r="F1937" s="115">
        <v>0</v>
      </c>
      <c r="G1937" s="115">
        <v>0</v>
      </c>
      <c r="H1937" s="115">
        <v>0</v>
      </c>
      <c r="I1937" s="115">
        <v>0</v>
      </c>
      <c r="J1937" s="115">
        <v>0</v>
      </c>
      <c r="K1937" s="115">
        <v>0</v>
      </c>
    </row>
    <row r="1938" spans="2:11" x14ac:dyDescent="0.25">
      <c r="B1938" s="115" t="s">
        <v>1241</v>
      </c>
      <c r="D1938" s="115" t="s">
        <v>8710</v>
      </c>
      <c r="E1938" s="115" t="s">
        <v>1242</v>
      </c>
      <c r="F1938" s="115">
        <v>0</v>
      </c>
      <c r="G1938" s="115">
        <v>0</v>
      </c>
      <c r="H1938" s="115">
        <v>0</v>
      </c>
      <c r="I1938" s="115">
        <v>0</v>
      </c>
      <c r="J1938" s="115">
        <v>0</v>
      </c>
      <c r="K1938" s="115">
        <v>0</v>
      </c>
    </row>
    <row r="1939" spans="2:11" x14ac:dyDescent="0.25">
      <c r="B1939" s="115" t="s">
        <v>1241</v>
      </c>
      <c r="D1939" s="115" t="s">
        <v>8710</v>
      </c>
      <c r="E1939" s="115" t="s">
        <v>1242</v>
      </c>
      <c r="F1939" s="115">
        <v>0</v>
      </c>
      <c r="G1939" s="115">
        <v>0</v>
      </c>
      <c r="H1939" s="115">
        <v>0</v>
      </c>
      <c r="I1939" s="115">
        <v>0</v>
      </c>
      <c r="J1939" s="115">
        <v>0</v>
      </c>
      <c r="K1939" s="115">
        <v>0</v>
      </c>
    </row>
    <row r="1940" spans="2:11" x14ac:dyDescent="0.25">
      <c r="B1940" s="115" t="s">
        <v>1241</v>
      </c>
      <c r="D1940" s="115" t="s">
        <v>8710</v>
      </c>
      <c r="E1940" s="115" t="s">
        <v>1242</v>
      </c>
      <c r="F1940" s="115">
        <v>0</v>
      </c>
      <c r="G1940" s="115">
        <v>0</v>
      </c>
      <c r="H1940" s="115">
        <v>0</v>
      </c>
      <c r="I1940" s="115">
        <v>0</v>
      </c>
      <c r="J1940" s="115">
        <v>0</v>
      </c>
      <c r="K1940" s="115">
        <v>0</v>
      </c>
    </row>
    <row r="1941" spans="2:11" x14ac:dyDescent="0.25">
      <c r="B1941" s="115" t="s">
        <v>1241</v>
      </c>
      <c r="D1941" s="115" t="s">
        <v>8710</v>
      </c>
      <c r="E1941" s="115" t="s">
        <v>1242</v>
      </c>
      <c r="F1941" s="115">
        <v>0</v>
      </c>
      <c r="G1941" s="115">
        <v>0</v>
      </c>
      <c r="H1941" s="115">
        <v>0</v>
      </c>
      <c r="I1941" s="115">
        <v>0</v>
      </c>
      <c r="J1941" s="115">
        <v>0</v>
      </c>
      <c r="K1941" s="115">
        <v>0</v>
      </c>
    </row>
    <row r="1942" spans="2:11" x14ac:dyDescent="0.25">
      <c r="B1942" s="115" t="s">
        <v>1241</v>
      </c>
      <c r="D1942" s="115" t="s">
        <v>8710</v>
      </c>
      <c r="E1942" s="115" t="s">
        <v>1242</v>
      </c>
      <c r="F1942" s="115">
        <v>0</v>
      </c>
      <c r="G1942" s="115">
        <v>0</v>
      </c>
      <c r="H1942" s="115">
        <v>0</v>
      </c>
      <c r="I1942" s="115">
        <v>0</v>
      </c>
      <c r="J1942" s="115">
        <v>0</v>
      </c>
      <c r="K1942" s="115">
        <v>0</v>
      </c>
    </row>
    <row r="1943" spans="2:11" x14ac:dyDescent="0.25">
      <c r="B1943" s="115" t="s">
        <v>1241</v>
      </c>
      <c r="D1943" s="115" t="s">
        <v>8710</v>
      </c>
      <c r="E1943" s="115" t="s">
        <v>1242</v>
      </c>
      <c r="F1943" s="115">
        <v>0</v>
      </c>
      <c r="G1943" s="115">
        <v>0</v>
      </c>
      <c r="H1943" s="115">
        <v>0</v>
      </c>
      <c r="I1943" s="115">
        <v>0</v>
      </c>
      <c r="J1943" s="115">
        <v>0</v>
      </c>
      <c r="K1943" s="115">
        <v>0</v>
      </c>
    </row>
    <row r="1944" spans="2:11" x14ac:dyDescent="0.25">
      <c r="B1944" s="115" t="s">
        <v>1241</v>
      </c>
      <c r="D1944" s="115" t="s">
        <v>8710</v>
      </c>
      <c r="E1944" s="115" t="s">
        <v>1242</v>
      </c>
      <c r="F1944" s="115">
        <v>0</v>
      </c>
      <c r="G1944" s="115">
        <v>0</v>
      </c>
      <c r="H1944" s="115">
        <v>0</v>
      </c>
      <c r="I1944" s="115">
        <v>0</v>
      </c>
      <c r="J1944" s="115">
        <v>0</v>
      </c>
      <c r="K1944" s="115">
        <v>0</v>
      </c>
    </row>
    <row r="1945" spans="2:11" x14ac:dyDescent="0.25">
      <c r="B1945" s="115" t="s">
        <v>1241</v>
      </c>
      <c r="D1945" s="115" t="s">
        <v>8710</v>
      </c>
      <c r="E1945" s="115" t="s">
        <v>1242</v>
      </c>
      <c r="F1945" s="115">
        <v>0</v>
      </c>
      <c r="G1945" s="115">
        <v>0</v>
      </c>
      <c r="H1945" s="115">
        <v>0</v>
      </c>
      <c r="I1945" s="115">
        <v>0</v>
      </c>
      <c r="J1945" s="115">
        <v>0</v>
      </c>
      <c r="K1945" s="115">
        <v>0</v>
      </c>
    </row>
    <row r="1946" spans="2:11" x14ac:dyDescent="0.25">
      <c r="B1946" s="115" t="s">
        <v>1241</v>
      </c>
      <c r="D1946" s="115" t="s">
        <v>8710</v>
      </c>
      <c r="E1946" s="115" t="s">
        <v>1242</v>
      </c>
      <c r="F1946" s="115">
        <v>0</v>
      </c>
      <c r="G1946" s="115">
        <v>0</v>
      </c>
      <c r="H1946" s="115">
        <v>0</v>
      </c>
      <c r="I1946" s="115">
        <v>0</v>
      </c>
      <c r="J1946" s="115">
        <v>0</v>
      </c>
      <c r="K1946" s="115">
        <v>0</v>
      </c>
    </row>
    <row r="1947" spans="2:11" x14ac:dyDescent="0.25">
      <c r="B1947" s="115" t="s">
        <v>1241</v>
      </c>
      <c r="D1947" s="115" t="s">
        <v>8710</v>
      </c>
      <c r="E1947" s="115" t="s">
        <v>1242</v>
      </c>
      <c r="F1947" s="115">
        <v>0</v>
      </c>
      <c r="G1947" s="115">
        <v>0</v>
      </c>
      <c r="H1947" s="115">
        <v>0</v>
      </c>
      <c r="I1947" s="115">
        <v>0</v>
      </c>
      <c r="J1947" s="115">
        <v>0</v>
      </c>
      <c r="K1947" s="115">
        <v>0</v>
      </c>
    </row>
    <row r="1948" spans="2:11" x14ac:dyDescent="0.25">
      <c r="B1948" s="115" t="s">
        <v>1241</v>
      </c>
      <c r="D1948" s="115" t="s">
        <v>8710</v>
      </c>
      <c r="E1948" s="115" t="s">
        <v>1242</v>
      </c>
      <c r="F1948" s="115">
        <v>0</v>
      </c>
      <c r="G1948" s="115">
        <v>0</v>
      </c>
      <c r="H1948" s="115">
        <v>0</v>
      </c>
      <c r="I1948" s="115">
        <v>0</v>
      </c>
      <c r="J1948" s="115">
        <v>0</v>
      </c>
      <c r="K1948" s="115">
        <v>0</v>
      </c>
    </row>
    <row r="1949" spans="2:11" x14ac:dyDescent="0.25">
      <c r="B1949" s="115" t="s">
        <v>1241</v>
      </c>
      <c r="D1949" s="115" t="s">
        <v>8710</v>
      </c>
      <c r="E1949" s="115" t="s">
        <v>1242</v>
      </c>
      <c r="F1949" s="115">
        <v>0</v>
      </c>
      <c r="G1949" s="115">
        <v>0</v>
      </c>
      <c r="H1949" s="115">
        <v>0</v>
      </c>
      <c r="I1949" s="115">
        <v>0</v>
      </c>
      <c r="J1949" s="115">
        <v>0</v>
      </c>
      <c r="K1949" s="115">
        <v>0</v>
      </c>
    </row>
    <row r="1950" spans="2:11" x14ac:dyDescent="0.25">
      <c r="B1950" s="115" t="s">
        <v>1241</v>
      </c>
      <c r="D1950" s="115" t="s">
        <v>8710</v>
      </c>
      <c r="E1950" s="115" t="s">
        <v>1242</v>
      </c>
      <c r="F1950" s="115">
        <v>0</v>
      </c>
      <c r="G1950" s="115">
        <v>0</v>
      </c>
      <c r="H1950" s="115">
        <v>0</v>
      </c>
      <c r="I1950" s="115">
        <v>0</v>
      </c>
      <c r="J1950" s="115">
        <v>0</v>
      </c>
      <c r="K1950" s="115">
        <v>0</v>
      </c>
    </row>
    <row r="1951" spans="2:11" x14ac:dyDescent="0.25">
      <c r="B1951" s="115" t="s">
        <v>1241</v>
      </c>
      <c r="D1951" s="115" t="s">
        <v>8710</v>
      </c>
      <c r="E1951" s="115" t="s">
        <v>1242</v>
      </c>
      <c r="F1951" s="115">
        <v>0</v>
      </c>
      <c r="G1951" s="115">
        <v>0</v>
      </c>
      <c r="H1951" s="115">
        <v>0</v>
      </c>
      <c r="I1951" s="115">
        <v>0</v>
      </c>
      <c r="J1951" s="115">
        <v>0</v>
      </c>
      <c r="K1951" s="115">
        <v>0</v>
      </c>
    </row>
    <row r="1952" spans="2:11" x14ac:dyDescent="0.25">
      <c r="B1952" s="115" t="s">
        <v>1241</v>
      </c>
      <c r="D1952" s="115" t="s">
        <v>8710</v>
      </c>
      <c r="E1952" s="115" t="s">
        <v>1242</v>
      </c>
      <c r="F1952" s="115">
        <v>0</v>
      </c>
      <c r="G1952" s="115">
        <v>0</v>
      </c>
      <c r="H1952" s="115">
        <v>0</v>
      </c>
      <c r="I1952" s="115">
        <v>0</v>
      </c>
      <c r="J1952" s="115">
        <v>0</v>
      </c>
      <c r="K1952" s="115">
        <v>0</v>
      </c>
    </row>
    <row r="1953" spans="2:11" x14ac:dyDescent="0.25">
      <c r="B1953" s="115" t="s">
        <v>1241</v>
      </c>
      <c r="D1953" s="115" t="s">
        <v>8710</v>
      </c>
      <c r="E1953" s="115" t="s">
        <v>1242</v>
      </c>
      <c r="F1953" s="115">
        <v>0</v>
      </c>
      <c r="G1953" s="115">
        <v>0</v>
      </c>
      <c r="H1953" s="115">
        <v>0</v>
      </c>
      <c r="I1953" s="115">
        <v>0</v>
      </c>
      <c r="J1953" s="115">
        <v>0</v>
      </c>
      <c r="K1953" s="115">
        <v>0</v>
      </c>
    </row>
    <row r="1954" spans="2:11" x14ac:dyDescent="0.25">
      <c r="B1954" s="115" t="s">
        <v>1241</v>
      </c>
      <c r="D1954" s="115" t="s">
        <v>8710</v>
      </c>
      <c r="E1954" s="115" t="s">
        <v>1242</v>
      </c>
      <c r="F1954" s="115">
        <v>0</v>
      </c>
      <c r="G1954" s="115">
        <v>0</v>
      </c>
      <c r="H1954" s="115">
        <v>0</v>
      </c>
      <c r="I1954" s="115">
        <v>0</v>
      </c>
      <c r="J1954" s="115">
        <v>0</v>
      </c>
      <c r="K1954" s="115">
        <v>0</v>
      </c>
    </row>
    <row r="1955" spans="2:11" x14ac:dyDescent="0.25">
      <c r="B1955" s="115" t="s">
        <v>1241</v>
      </c>
      <c r="D1955" s="115" t="s">
        <v>8710</v>
      </c>
      <c r="E1955" s="115" t="s">
        <v>1242</v>
      </c>
      <c r="F1955" s="115">
        <v>0</v>
      </c>
      <c r="G1955" s="115">
        <v>0</v>
      </c>
      <c r="H1955" s="115">
        <v>0</v>
      </c>
      <c r="I1955" s="115">
        <v>0</v>
      </c>
      <c r="J1955" s="115">
        <v>0</v>
      </c>
      <c r="K1955" s="115">
        <v>0</v>
      </c>
    </row>
    <row r="1956" spans="2:11" x14ac:dyDescent="0.25">
      <c r="B1956" s="115" t="s">
        <v>1241</v>
      </c>
      <c r="D1956" s="115" t="s">
        <v>8710</v>
      </c>
      <c r="E1956" s="115" t="s">
        <v>1242</v>
      </c>
      <c r="F1956" s="115">
        <v>0</v>
      </c>
      <c r="G1956" s="115">
        <v>0</v>
      </c>
      <c r="H1956" s="115">
        <v>0</v>
      </c>
      <c r="I1956" s="115">
        <v>0</v>
      </c>
      <c r="J1956" s="115">
        <v>0</v>
      </c>
      <c r="K1956" s="115">
        <v>0</v>
      </c>
    </row>
    <row r="1957" spans="2:11" x14ac:dyDescent="0.25">
      <c r="B1957" s="115" t="s">
        <v>1241</v>
      </c>
      <c r="D1957" s="115" t="s">
        <v>8710</v>
      </c>
      <c r="E1957" s="115" t="s">
        <v>1242</v>
      </c>
      <c r="F1957" s="115">
        <v>0</v>
      </c>
      <c r="G1957" s="115">
        <v>0</v>
      </c>
      <c r="H1957" s="115">
        <v>0</v>
      </c>
      <c r="I1957" s="115">
        <v>0</v>
      </c>
      <c r="J1957" s="115">
        <v>0</v>
      </c>
      <c r="K1957" s="115">
        <v>0</v>
      </c>
    </row>
    <row r="1958" spans="2:11" x14ac:dyDescent="0.25">
      <c r="B1958" s="115" t="s">
        <v>1241</v>
      </c>
      <c r="D1958" s="115" t="s">
        <v>8710</v>
      </c>
      <c r="E1958" s="115" t="s">
        <v>1242</v>
      </c>
      <c r="F1958" s="115">
        <v>0</v>
      </c>
      <c r="G1958" s="115">
        <v>0</v>
      </c>
      <c r="H1958" s="115">
        <v>0</v>
      </c>
      <c r="I1958" s="115">
        <v>0</v>
      </c>
      <c r="J1958" s="115">
        <v>0</v>
      </c>
      <c r="K1958" s="115">
        <v>0</v>
      </c>
    </row>
    <row r="1959" spans="2:11" x14ac:dyDescent="0.25">
      <c r="B1959" s="115" t="s">
        <v>1241</v>
      </c>
      <c r="D1959" s="115" t="s">
        <v>8710</v>
      </c>
      <c r="E1959" s="115" t="s">
        <v>1242</v>
      </c>
      <c r="F1959" s="115">
        <v>0</v>
      </c>
      <c r="G1959" s="115">
        <v>0</v>
      </c>
      <c r="H1959" s="115">
        <v>0</v>
      </c>
      <c r="I1959" s="115">
        <v>0</v>
      </c>
      <c r="J1959" s="115">
        <v>0</v>
      </c>
      <c r="K1959" s="115">
        <v>0</v>
      </c>
    </row>
    <row r="1960" spans="2:11" x14ac:dyDescent="0.25">
      <c r="B1960" s="115" t="s">
        <v>1241</v>
      </c>
      <c r="D1960" s="115" t="s">
        <v>8710</v>
      </c>
      <c r="E1960" s="115" t="s">
        <v>1242</v>
      </c>
      <c r="F1960" s="115">
        <v>0</v>
      </c>
      <c r="G1960" s="115">
        <v>0</v>
      </c>
      <c r="H1960" s="115">
        <v>0</v>
      </c>
      <c r="I1960" s="115">
        <v>0</v>
      </c>
      <c r="J1960" s="115">
        <v>0</v>
      </c>
      <c r="K1960" s="115">
        <v>0</v>
      </c>
    </row>
    <row r="1961" spans="2:11" x14ac:dyDescent="0.25">
      <c r="B1961" s="115" t="s">
        <v>1241</v>
      </c>
      <c r="D1961" s="115" t="s">
        <v>8710</v>
      </c>
      <c r="E1961" s="115" t="s">
        <v>1242</v>
      </c>
      <c r="F1961" s="115">
        <v>0</v>
      </c>
      <c r="G1961" s="115">
        <v>0</v>
      </c>
      <c r="H1961" s="115">
        <v>0</v>
      </c>
      <c r="I1961" s="115">
        <v>0</v>
      </c>
      <c r="J1961" s="115">
        <v>0</v>
      </c>
      <c r="K1961" s="115">
        <v>0</v>
      </c>
    </row>
    <row r="1962" spans="2:11" x14ac:dyDescent="0.25">
      <c r="B1962" s="115" t="s">
        <v>1241</v>
      </c>
      <c r="D1962" s="115" t="s">
        <v>8710</v>
      </c>
      <c r="E1962" s="115" t="s">
        <v>1242</v>
      </c>
      <c r="F1962" s="115">
        <v>0</v>
      </c>
      <c r="G1962" s="115">
        <v>0</v>
      </c>
      <c r="H1962" s="115">
        <v>0</v>
      </c>
      <c r="I1962" s="115">
        <v>0</v>
      </c>
      <c r="J1962" s="115">
        <v>0</v>
      </c>
      <c r="K1962" s="115">
        <v>0</v>
      </c>
    </row>
    <row r="1963" spans="2:11" x14ac:dyDescent="0.25">
      <c r="B1963" s="115" t="s">
        <v>1241</v>
      </c>
      <c r="D1963" s="115" t="s">
        <v>8710</v>
      </c>
      <c r="E1963" s="115" t="s">
        <v>1242</v>
      </c>
      <c r="F1963" s="115">
        <v>0</v>
      </c>
      <c r="G1963" s="115">
        <v>0</v>
      </c>
      <c r="H1963" s="115">
        <v>0</v>
      </c>
      <c r="I1963" s="115">
        <v>0</v>
      </c>
      <c r="J1963" s="115">
        <v>0</v>
      </c>
      <c r="K1963" s="115">
        <v>0</v>
      </c>
    </row>
    <row r="1964" spans="2:11" x14ac:dyDescent="0.25">
      <c r="B1964" s="115" t="s">
        <v>1241</v>
      </c>
      <c r="D1964" s="115" t="s">
        <v>8710</v>
      </c>
      <c r="E1964" s="115" t="s">
        <v>1242</v>
      </c>
      <c r="F1964" s="115">
        <v>0</v>
      </c>
      <c r="G1964" s="115">
        <v>0</v>
      </c>
      <c r="H1964" s="115">
        <v>0</v>
      </c>
      <c r="I1964" s="115">
        <v>0</v>
      </c>
      <c r="J1964" s="115">
        <v>0</v>
      </c>
      <c r="K1964" s="115">
        <v>0</v>
      </c>
    </row>
    <row r="1965" spans="2:11" x14ac:dyDescent="0.25">
      <c r="B1965" s="115" t="s">
        <v>1241</v>
      </c>
      <c r="D1965" s="115" t="s">
        <v>8710</v>
      </c>
      <c r="E1965" s="115" t="s">
        <v>1242</v>
      </c>
      <c r="F1965" s="115">
        <v>0</v>
      </c>
      <c r="G1965" s="115">
        <v>0</v>
      </c>
      <c r="H1965" s="115">
        <v>0</v>
      </c>
      <c r="I1965" s="115">
        <v>0</v>
      </c>
      <c r="J1965" s="115">
        <v>0</v>
      </c>
      <c r="K1965" s="115">
        <v>0</v>
      </c>
    </row>
    <row r="1966" spans="2:11" x14ac:dyDescent="0.25">
      <c r="B1966" s="115" t="s">
        <v>1241</v>
      </c>
      <c r="D1966" s="115" t="s">
        <v>8710</v>
      </c>
      <c r="E1966" s="115" t="s">
        <v>1242</v>
      </c>
      <c r="F1966" s="115">
        <v>0</v>
      </c>
      <c r="G1966" s="115">
        <v>0</v>
      </c>
      <c r="H1966" s="115">
        <v>0</v>
      </c>
      <c r="I1966" s="115">
        <v>0</v>
      </c>
      <c r="J1966" s="115">
        <v>0</v>
      </c>
      <c r="K1966" s="115">
        <v>0</v>
      </c>
    </row>
    <row r="1967" spans="2:11" x14ac:dyDescent="0.25">
      <c r="B1967" s="115" t="s">
        <v>1241</v>
      </c>
      <c r="D1967" s="115" t="s">
        <v>8710</v>
      </c>
      <c r="E1967" s="115" t="s">
        <v>1242</v>
      </c>
      <c r="F1967" s="115">
        <v>0</v>
      </c>
      <c r="G1967" s="115">
        <v>0</v>
      </c>
      <c r="H1967" s="115">
        <v>0</v>
      </c>
      <c r="I1967" s="115">
        <v>0</v>
      </c>
      <c r="J1967" s="115">
        <v>0</v>
      </c>
      <c r="K1967" s="115">
        <v>0</v>
      </c>
    </row>
    <row r="1968" spans="2:11" x14ac:dyDescent="0.25">
      <c r="B1968" s="115" t="s">
        <v>1241</v>
      </c>
      <c r="D1968" s="115" t="s">
        <v>8710</v>
      </c>
      <c r="E1968" s="115" t="s">
        <v>1242</v>
      </c>
      <c r="F1968" s="115">
        <v>0</v>
      </c>
      <c r="G1968" s="115">
        <v>0</v>
      </c>
      <c r="H1968" s="115">
        <v>0</v>
      </c>
      <c r="I1968" s="115">
        <v>0</v>
      </c>
      <c r="J1968" s="115">
        <v>0</v>
      </c>
      <c r="K1968" s="115">
        <v>0</v>
      </c>
    </row>
    <row r="1969" spans="1:11" x14ac:dyDescent="0.25">
      <c r="B1969" s="115" t="s">
        <v>1241</v>
      </c>
      <c r="D1969" s="115" t="s">
        <v>8710</v>
      </c>
      <c r="E1969" s="115" t="s">
        <v>1242</v>
      </c>
      <c r="F1969" s="115">
        <v>0</v>
      </c>
      <c r="G1969" s="115">
        <v>0</v>
      </c>
      <c r="H1969" s="115">
        <v>0</v>
      </c>
      <c r="I1969" s="115">
        <v>0</v>
      </c>
      <c r="J1969" s="115">
        <v>0</v>
      </c>
      <c r="K1969" s="115">
        <v>0</v>
      </c>
    </row>
    <row r="1970" spans="1:11" x14ac:dyDescent="0.25">
      <c r="B1970" s="115" t="s">
        <v>1241</v>
      </c>
      <c r="D1970" s="115" t="s">
        <v>8710</v>
      </c>
      <c r="E1970" s="115" t="s">
        <v>1242</v>
      </c>
      <c r="F1970" s="115">
        <v>0</v>
      </c>
      <c r="G1970" s="115">
        <v>0</v>
      </c>
      <c r="H1970" s="115">
        <v>0</v>
      </c>
      <c r="I1970" s="115">
        <v>0</v>
      </c>
      <c r="J1970" s="115">
        <v>0</v>
      </c>
      <c r="K1970" s="115">
        <v>0</v>
      </c>
    </row>
    <row r="1971" spans="1:11" x14ac:dyDescent="0.25">
      <c r="B1971" s="115" t="s">
        <v>1241</v>
      </c>
      <c r="D1971" s="115" t="s">
        <v>9615</v>
      </c>
      <c r="E1971" s="115" t="s">
        <v>2645</v>
      </c>
      <c r="F1971" s="115">
        <v>89</v>
      </c>
      <c r="G1971" s="115">
        <v>-5</v>
      </c>
      <c r="H1971" s="115">
        <v>-222</v>
      </c>
      <c r="I1971" s="115">
        <v>-376</v>
      </c>
      <c r="J1971" s="115">
        <v>0</v>
      </c>
      <c r="K1971" s="115">
        <v>0</v>
      </c>
    </row>
    <row r="1972" spans="1:11" x14ac:dyDescent="0.25">
      <c r="B1972" s="115" t="s">
        <v>2646</v>
      </c>
      <c r="D1972" s="115" t="s">
        <v>9616</v>
      </c>
      <c r="E1972" s="115" t="s">
        <v>2647</v>
      </c>
      <c r="F1972" s="115">
        <v>-2109</v>
      </c>
      <c r="G1972" s="115">
        <v>255</v>
      </c>
      <c r="H1972" s="115">
        <v>0</v>
      </c>
      <c r="I1972" s="115">
        <v>0</v>
      </c>
      <c r="J1972" s="115">
        <v>0</v>
      </c>
      <c r="K1972" s="115">
        <v>0</v>
      </c>
    </row>
    <row r="1973" spans="1:11" x14ac:dyDescent="0.25">
      <c r="B1973" s="115" t="s">
        <v>1241</v>
      </c>
      <c r="D1973" s="115" t="s">
        <v>9617</v>
      </c>
      <c r="E1973" s="115" t="s">
        <v>2648</v>
      </c>
      <c r="F1973" s="115">
        <v>0</v>
      </c>
      <c r="G1973" s="115">
        <v>7</v>
      </c>
      <c r="H1973" s="115">
        <v>0</v>
      </c>
      <c r="I1973" s="115">
        <v>83</v>
      </c>
      <c r="J1973" s="115">
        <v>0</v>
      </c>
      <c r="K1973" s="115">
        <v>142</v>
      </c>
    </row>
    <row r="1974" spans="1:11" x14ac:dyDescent="0.25">
      <c r="B1974" s="115" t="s">
        <v>2649</v>
      </c>
      <c r="D1974" s="115" t="s">
        <v>9618</v>
      </c>
      <c r="E1974" s="115" t="s">
        <v>2650</v>
      </c>
      <c r="F1974" s="115">
        <v>46</v>
      </c>
      <c r="G1974" s="115">
        <v>13</v>
      </c>
      <c r="H1974" s="115">
        <v>-86</v>
      </c>
      <c r="I1974" s="115">
        <v>-159</v>
      </c>
      <c r="J1974" s="115">
        <v>-343</v>
      </c>
      <c r="K1974" s="115">
        <v>0</v>
      </c>
    </row>
    <row r="1975" spans="1:11" x14ac:dyDescent="0.25">
      <c r="A1975" s="115" t="s">
        <v>1239</v>
      </c>
      <c r="B1975" s="115" t="s">
        <v>2651</v>
      </c>
      <c r="D1975" s="115" t="s">
        <v>9619</v>
      </c>
      <c r="E1975" s="115" t="s">
        <v>2652</v>
      </c>
      <c r="F1975" s="115">
        <v>0</v>
      </c>
      <c r="G1975" s="115">
        <v>0</v>
      </c>
      <c r="H1975" s="115">
        <v>-268</v>
      </c>
      <c r="I1975" s="115">
        <v>0</v>
      </c>
      <c r="J1975" s="115">
        <v>0</v>
      </c>
      <c r="K1975" s="115">
        <v>0</v>
      </c>
    </row>
    <row r="1976" spans="1:11" x14ac:dyDescent="0.25">
      <c r="A1976" s="115" t="s">
        <v>1239</v>
      </c>
      <c r="B1976" s="115" t="s">
        <v>2653</v>
      </c>
      <c r="D1976" s="115" t="s">
        <v>9620</v>
      </c>
      <c r="E1976" s="115" t="s">
        <v>2654</v>
      </c>
      <c r="F1976" s="115">
        <v>0</v>
      </c>
      <c r="G1976" s="115">
        <v>0</v>
      </c>
      <c r="H1976" s="115">
        <v>0</v>
      </c>
      <c r="I1976" s="115">
        <v>0</v>
      </c>
      <c r="J1976" s="115">
        <v>119</v>
      </c>
      <c r="K1976" s="115">
        <v>0</v>
      </c>
    </row>
    <row r="1977" spans="1:11" x14ac:dyDescent="0.25">
      <c r="A1977" s="115" t="s">
        <v>1239</v>
      </c>
      <c r="B1977" s="115" t="s">
        <v>2655</v>
      </c>
      <c r="D1977" s="115" t="s">
        <v>9621</v>
      </c>
      <c r="E1977" s="115" t="s">
        <v>2656</v>
      </c>
      <c r="F1977" s="115">
        <v>528</v>
      </c>
      <c r="G1977" s="115">
        <v>-59</v>
      </c>
      <c r="H1977" s="115">
        <v>0</v>
      </c>
      <c r="I1977" s="115">
        <v>-227</v>
      </c>
      <c r="J1977" s="115">
        <v>0</v>
      </c>
      <c r="K1977" s="115">
        <v>0</v>
      </c>
    </row>
    <row r="1978" spans="1:11" x14ac:dyDescent="0.25">
      <c r="B1978" s="115" t="s">
        <v>1241</v>
      </c>
      <c r="D1978" s="115" t="s">
        <v>9622</v>
      </c>
      <c r="E1978" s="115" t="s">
        <v>2657</v>
      </c>
      <c r="F1978" s="115">
        <v>-18</v>
      </c>
      <c r="G1978" s="115">
        <v>0</v>
      </c>
      <c r="H1978" s="115">
        <v>0</v>
      </c>
      <c r="I1978" s="115">
        <v>-41</v>
      </c>
      <c r="J1978" s="115">
        <v>219</v>
      </c>
      <c r="K1978" s="115">
        <v>0</v>
      </c>
    </row>
    <row r="1979" spans="1:11" x14ac:dyDescent="0.25">
      <c r="B1979" s="115" t="s">
        <v>2658</v>
      </c>
      <c r="D1979" s="115" t="s">
        <v>9623</v>
      </c>
      <c r="E1979" s="115" t="s">
        <v>2659</v>
      </c>
      <c r="F1979" s="115">
        <v>37</v>
      </c>
      <c r="G1979" s="115">
        <v>81</v>
      </c>
      <c r="H1979" s="115">
        <v>-68</v>
      </c>
      <c r="I1979" s="115">
        <v>0</v>
      </c>
      <c r="J1979" s="115">
        <v>0</v>
      </c>
      <c r="K1979" s="115">
        <v>0</v>
      </c>
    </row>
    <row r="1980" spans="1:11" x14ac:dyDescent="0.25">
      <c r="B1980" s="115" t="s">
        <v>1241</v>
      </c>
      <c r="D1980" s="115" t="s">
        <v>9624</v>
      </c>
      <c r="E1980" s="115" t="s">
        <v>2660</v>
      </c>
      <c r="F1980" s="115">
        <v>95</v>
      </c>
      <c r="G1980" s="115">
        <v>-71</v>
      </c>
      <c r="H1980" s="115">
        <v>-204</v>
      </c>
      <c r="I1980" s="115">
        <v>0</v>
      </c>
      <c r="J1980" s="115">
        <v>766</v>
      </c>
      <c r="K1980" s="115">
        <v>38</v>
      </c>
    </row>
    <row r="1981" spans="1:11" x14ac:dyDescent="0.25">
      <c r="A1981" s="115" t="s">
        <v>1239</v>
      </c>
      <c r="B1981" s="115" t="s">
        <v>2661</v>
      </c>
      <c r="D1981" s="115" t="s">
        <v>9625</v>
      </c>
      <c r="E1981" s="115" t="s">
        <v>2662</v>
      </c>
      <c r="F1981" s="115">
        <v>-165</v>
      </c>
      <c r="G1981" s="115">
        <v>-286</v>
      </c>
      <c r="H1981" s="115">
        <v>-853</v>
      </c>
      <c r="I1981" s="115">
        <v>98</v>
      </c>
      <c r="J1981" s="115">
        <v>0</v>
      </c>
      <c r="K1981" s="115">
        <v>-97</v>
      </c>
    </row>
    <row r="1982" spans="1:11" x14ac:dyDescent="0.25">
      <c r="B1982" s="115" t="s">
        <v>2663</v>
      </c>
      <c r="D1982" s="115" t="s">
        <v>9626</v>
      </c>
      <c r="E1982" s="115" t="s">
        <v>2664</v>
      </c>
      <c r="F1982" s="115">
        <v>738</v>
      </c>
      <c r="G1982" s="115">
        <v>-232</v>
      </c>
      <c r="H1982" s="115">
        <v>0</v>
      </c>
      <c r="I1982" s="115">
        <v>-110</v>
      </c>
      <c r="J1982" s="115">
        <v>-38</v>
      </c>
      <c r="K1982" s="115">
        <v>123</v>
      </c>
    </row>
    <row r="1983" spans="1:11" x14ac:dyDescent="0.25">
      <c r="A1983" s="115" t="s">
        <v>1239</v>
      </c>
      <c r="B1983" s="115" t="s">
        <v>2665</v>
      </c>
      <c r="D1983" s="115" t="s">
        <v>9627</v>
      </c>
      <c r="E1983" s="115" t="s">
        <v>2666</v>
      </c>
      <c r="F1983" s="115">
        <v>0</v>
      </c>
      <c r="G1983" s="115">
        <v>0</v>
      </c>
      <c r="H1983" s="115">
        <v>-550</v>
      </c>
      <c r="I1983" s="115">
        <v>0</v>
      </c>
      <c r="J1983" s="115">
        <v>-79</v>
      </c>
      <c r="K1983" s="115">
        <v>-158</v>
      </c>
    </row>
    <row r="1984" spans="1:11" x14ac:dyDescent="0.25">
      <c r="B1984" s="115" t="s">
        <v>2667</v>
      </c>
      <c r="D1984" s="115" t="s">
        <v>9628</v>
      </c>
      <c r="E1984" s="115" t="s">
        <v>2668</v>
      </c>
      <c r="F1984" s="115">
        <v>-44</v>
      </c>
      <c r="G1984" s="115">
        <v>468</v>
      </c>
      <c r="H1984" s="115">
        <v>453</v>
      </c>
      <c r="I1984" s="115">
        <v>63</v>
      </c>
      <c r="J1984" s="115">
        <v>-121</v>
      </c>
      <c r="K1984" s="115">
        <v>-234</v>
      </c>
    </row>
    <row r="1985" spans="2:11" x14ac:dyDescent="0.25">
      <c r="B1985" s="115" t="s">
        <v>2669</v>
      </c>
      <c r="D1985" s="115" t="s">
        <v>9629</v>
      </c>
      <c r="E1985" s="115" t="s">
        <v>2670</v>
      </c>
      <c r="F1985" s="115">
        <v>141</v>
      </c>
      <c r="G1985" s="115">
        <v>8</v>
      </c>
      <c r="H1985" s="115">
        <v>0</v>
      </c>
      <c r="I1985" s="115">
        <v>-3045</v>
      </c>
      <c r="J1985" s="115">
        <v>0</v>
      </c>
      <c r="K1985" s="115">
        <v>0</v>
      </c>
    </row>
    <row r="1986" spans="2:11" x14ac:dyDescent="0.25">
      <c r="B1986" s="115" t="s">
        <v>2671</v>
      </c>
      <c r="D1986" s="115" t="s">
        <v>9630</v>
      </c>
      <c r="E1986" s="115" t="s">
        <v>1242</v>
      </c>
      <c r="F1986" s="115">
        <v>452</v>
      </c>
      <c r="G1986" s="115">
        <v>0</v>
      </c>
      <c r="H1986" s="115">
        <v>0</v>
      </c>
      <c r="I1986" s="115">
        <v>0</v>
      </c>
      <c r="J1986" s="115">
        <v>0</v>
      </c>
      <c r="K1986" s="115">
        <v>0</v>
      </c>
    </row>
    <row r="1987" spans="2:11" x14ac:dyDescent="0.25">
      <c r="B1987" s="115" t="s">
        <v>2672</v>
      </c>
      <c r="D1987" s="115" t="s">
        <v>9631</v>
      </c>
      <c r="E1987" s="115" t="s">
        <v>2673</v>
      </c>
      <c r="F1987" s="115">
        <v>-418</v>
      </c>
      <c r="G1987" s="115">
        <v>0</v>
      </c>
      <c r="H1987" s="115">
        <v>-12434</v>
      </c>
      <c r="I1987" s="115">
        <v>-9825</v>
      </c>
      <c r="J1987" s="115">
        <v>-5609</v>
      </c>
      <c r="K1987" s="115">
        <v>0</v>
      </c>
    </row>
    <row r="1988" spans="2:11" x14ac:dyDescent="0.25">
      <c r="B1988" s="115" t="s">
        <v>1241</v>
      </c>
      <c r="C1988" s="115">
        <v>1</v>
      </c>
      <c r="D1988" s="115" t="s">
        <v>9632</v>
      </c>
      <c r="E1988" s="115" t="s">
        <v>2674</v>
      </c>
      <c r="F1988" s="115">
        <v>16747</v>
      </c>
      <c r="G1988" s="115">
        <v>-4277</v>
      </c>
      <c r="H1988" s="115">
        <v>-277</v>
      </c>
      <c r="I1988" s="115">
        <v>0</v>
      </c>
      <c r="J1988" s="115">
        <v>-712</v>
      </c>
      <c r="K1988" s="115">
        <v>0</v>
      </c>
    </row>
    <row r="1989" spans="2:11" x14ac:dyDescent="0.25">
      <c r="B1989" s="115" t="s">
        <v>1241</v>
      </c>
      <c r="D1989" s="115" t="s">
        <v>8710</v>
      </c>
      <c r="E1989" s="115" t="s">
        <v>1242</v>
      </c>
      <c r="F1989" s="115">
        <v>0</v>
      </c>
      <c r="G1989" s="115">
        <v>0</v>
      </c>
      <c r="H1989" s="115">
        <v>0</v>
      </c>
      <c r="I1989" s="115">
        <v>0</v>
      </c>
      <c r="J1989" s="115">
        <v>0</v>
      </c>
      <c r="K1989" s="115">
        <v>0</v>
      </c>
    </row>
    <row r="1990" spans="2:11" x14ac:dyDescent="0.25">
      <c r="B1990" s="115" t="s">
        <v>1241</v>
      </c>
      <c r="D1990" s="115" t="s">
        <v>8710</v>
      </c>
      <c r="E1990" s="115" t="s">
        <v>1242</v>
      </c>
      <c r="F1990" s="115">
        <v>0</v>
      </c>
      <c r="G1990" s="115">
        <v>0</v>
      </c>
      <c r="H1990" s="115">
        <v>0</v>
      </c>
      <c r="I1990" s="115">
        <v>0</v>
      </c>
      <c r="J1990" s="115">
        <v>0</v>
      </c>
      <c r="K1990" s="115">
        <v>0</v>
      </c>
    </row>
    <row r="1991" spans="2:11" x14ac:dyDescent="0.25">
      <c r="B1991" s="115" t="s">
        <v>1241</v>
      </c>
      <c r="D1991" s="115" t="s">
        <v>8710</v>
      </c>
      <c r="E1991" s="115" t="s">
        <v>1242</v>
      </c>
      <c r="F1991" s="115">
        <v>0</v>
      </c>
      <c r="G1991" s="115">
        <v>0</v>
      </c>
      <c r="H1991" s="115">
        <v>0</v>
      </c>
      <c r="I1991" s="115">
        <v>0</v>
      </c>
      <c r="J1991" s="115">
        <v>0</v>
      </c>
      <c r="K1991" s="115">
        <v>0</v>
      </c>
    </row>
    <row r="1992" spans="2:11" x14ac:dyDescent="0.25">
      <c r="B1992" s="115" t="s">
        <v>1241</v>
      </c>
      <c r="D1992" s="115" t="s">
        <v>8710</v>
      </c>
      <c r="E1992" s="115" t="s">
        <v>1242</v>
      </c>
      <c r="F1992" s="115">
        <v>0</v>
      </c>
      <c r="G1992" s="115">
        <v>0</v>
      </c>
      <c r="H1992" s="115">
        <v>0</v>
      </c>
      <c r="I1992" s="115">
        <v>0</v>
      </c>
      <c r="J1992" s="115">
        <v>0</v>
      </c>
      <c r="K1992" s="115">
        <v>0</v>
      </c>
    </row>
    <row r="1993" spans="2:11" x14ac:dyDescent="0.25">
      <c r="B1993" s="115" t="s">
        <v>1241</v>
      </c>
      <c r="D1993" s="115" t="s">
        <v>8710</v>
      </c>
      <c r="E1993" s="115" t="s">
        <v>1242</v>
      </c>
      <c r="F1993" s="115">
        <v>0</v>
      </c>
      <c r="G1993" s="115">
        <v>0</v>
      </c>
      <c r="H1993" s="115">
        <v>0</v>
      </c>
      <c r="I1993" s="115">
        <v>0</v>
      </c>
      <c r="J1993" s="115">
        <v>0</v>
      </c>
      <c r="K1993" s="115">
        <v>0</v>
      </c>
    </row>
    <row r="1994" spans="2:11" x14ac:dyDescent="0.25">
      <c r="B1994" s="115" t="s">
        <v>1241</v>
      </c>
      <c r="D1994" s="115" t="s">
        <v>8710</v>
      </c>
      <c r="E1994" s="115" t="s">
        <v>1242</v>
      </c>
      <c r="F1994" s="115">
        <v>0</v>
      </c>
      <c r="G1994" s="115">
        <v>0</v>
      </c>
      <c r="H1994" s="115">
        <v>0</v>
      </c>
      <c r="I1994" s="115">
        <v>0</v>
      </c>
      <c r="J1994" s="115">
        <v>0</v>
      </c>
      <c r="K1994" s="115">
        <v>0</v>
      </c>
    </row>
    <row r="1995" spans="2:11" x14ac:dyDescent="0.25">
      <c r="B1995" s="115" t="s">
        <v>1241</v>
      </c>
      <c r="D1995" s="115" t="s">
        <v>8710</v>
      </c>
      <c r="E1995" s="115" t="s">
        <v>1242</v>
      </c>
      <c r="F1995" s="115">
        <v>0</v>
      </c>
      <c r="G1995" s="115">
        <v>0</v>
      </c>
      <c r="H1995" s="115">
        <v>0</v>
      </c>
      <c r="I1995" s="115">
        <v>0</v>
      </c>
      <c r="J1995" s="115">
        <v>0</v>
      </c>
      <c r="K1995" s="115">
        <v>0</v>
      </c>
    </row>
    <row r="1996" spans="2:11" x14ac:dyDescent="0.25">
      <c r="B1996" s="115" t="s">
        <v>1241</v>
      </c>
      <c r="D1996" s="115" t="s">
        <v>8710</v>
      </c>
      <c r="E1996" s="115" t="s">
        <v>1242</v>
      </c>
      <c r="F1996" s="115">
        <v>0</v>
      </c>
      <c r="G1996" s="115">
        <v>0</v>
      </c>
      <c r="H1996" s="115">
        <v>0</v>
      </c>
      <c r="I1996" s="115">
        <v>0</v>
      </c>
      <c r="J1996" s="115">
        <v>0</v>
      </c>
      <c r="K1996" s="115">
        <v>0</v>
      </c>
    </row>
    <row r="1997" spans="2:11" x14ac:dyDescent="0.25">
      <c r="B1997" s="115" t="s">
        <v>1241</v>
      </c>
      <c r="D1997" s="115" t="s">
        <v>8710</v>
      </c>
      <c r="E1997" s="115" t="s">
        <v>1242</v>
      </c>
      <c r="F1997" s="115">
        <v>0</v>
      </c>
      <c r="G1997" s="115">
        <v>0</v>
      </c>
      <c r="H1997" s="115">
        <v>0</v>
      </c>
      <c r="I1997" s="115">
        <v>0</v>
      </c>
      <c r="J1997" s="115">
        <v>0</v>
      </c>
      <c r="K1997" s="115">
        <v>0</v>
      </c>
    </row>
    <row r="1998" spans="2:11" x14ac:dyDescent="0.25">
      <c r="B1998" s="115" t="s">
        <v>1241</v>
      </c>
      <c r="D1998" s="115" t="s">
        <v>8710</v>
      </c>
      <c r="E1998" s="115" t="s">
        <v>1242</v>
      </c>
      <c r="F1998" s="115">
        <v>0</v>
      </c>
      <c r="G1998" s="115">
        <v>0</v>
      </c>
      <c r="H1998" s="115">
        <v>0</v>
      </c>
      <c r="I1998" s="115">
        <v>0</v>
      </c>
      <c r="J1998" s="115">
        <v>0</v>
      </c>
      <c r="K1998" s="115">
        <v>0</v>
      </c>
    </row>
    <row r="1999" spans="2:11" x14ac:dyDescent="0.25">
      <c r="B1999" s="115" t="s">
        <v>1241</v>
      </c>
      <c r="D1999" s="115" t="s">
        <v>8710</v>
      </c>
      <c r="E1999" s="115" t="s">
        <v>1242</v>
      </c>
      <c r="F1999" s="115">
        <v>0</v>
      </c>
      <c r="G1999" s="115">
        <v>0</v>
      </c>
      <c r="H1999" s="115">
        <v>0</v>
      </c>
      <c r="I1999" s="115">
        <v>0</v>
      </c>
      <c r="J1999" s="115">
        <v>0</v>
      </c>
      <c r="K1999" s="115">
        <v>0</v>
      </c>
    </row>
    <row r="2000" spans="2:11" x14ac:dyDescent="0.25">
      <c r="B2000" s="115" t="s">
        <v>1241</v>
      </c>
      <c r="D2000" s="115" t="s">
        <v>8710</v>
      </c>
      <c r="E2000" s="115" t="s">
        <v>1242</v>
      </c>
      <c r="F2000" s="115">
        <v>0</v>
      </c>
      <c r="G2000" s="115">
        <v>0</v>
      </c>
      <c r="H2000" s="115">
        <v>0</v>
      </c>
      <c r="I2000" s="115">
        <v>0</v>
      </c>
      <c r="J2000" s="115">
        <v>0</v>
      </c>
      <c r="K2000" s="115">
        <v>0</v>
      </c>
    </row>
    <row r="2001" spans="1:11" x14ac:dyDescent="0.25">
      <c r="B2001" s="115" t="s">
        <v>1241</v>
      </c>
      <c r="D2001" s="115" t="s">
        <v>8710</v>
      </c>
      <c r="E2001" s="115" t="s">
        <v>1242</v>
      </c>
      <c r="F2001" s="115">
        <v>0</v>
      </c>
      <c r="G2001" s="115">
        <v>0</v>
      </c>
      <c r="H2001" s="115">
        <v>0</v>
      </c>
      <c r="I2001" s="115">
        <v>0</v>
      </c>
      <c r="J2001" s="115">
        <v>0</v>
      </c>
      <c r="K2001" s="115">
        <v>0</v>
      </c>
    </row>
    <row r="2002" spans="1:11" x14ac:dyDescent="0.25">
      <c r="B2002" s="115" t="s">
        <v>1241</v>
      </c>
      <c r="D2002" s="115" t="s">
        <v>8710</v>
      </c>
      <c r="E2002" s="115" t="s">
        <v>1242</v>
      </c>
      <c r="F2002" s="115">
        <v>0</v>
      </c>
      <c r="G2002" s="115">
        <v>0</v>
      </c>
      <c r="H2002" s="115">
        <v>0</v>
      </c>
      <c r="I2002" s="115">
        <v>0</v>
      </c>
      <c r="J2002" s="115">
        <v>0</v>
      </c>
      <c r="K2002" s="115">
        <v>0</v>
      </c>
    </row>
    <row r="2003" spans="1:11" x14ac:dyDescent="0.25">
      <c r="B2003" s="115" t="s">
        <v>1241</v>
      </c>
      <c r="D2003" s="115" t="s">
        <v>8710</v>
      </c>
      <c r="E2003" s="115" t="s">
        <v>1242</v>
      </c>
      <c r="F2003" s="115">
        <v>0</v>
      </c>
      <c r="G2003" s="115">
        <v>0</v>
      </c>
      <c r="H2003" s="115">
        <v>0</v>
      </c>
      <c r="I2003" s="115">
        <v>0</v>
      </c>
      <c r="J2003" s="115">
        <v>0</v>
      </c>
      <c r="K2003" s="115">
        <v>0</v>
      </c>
    </row>
    <row r="2004" spans="1:11" x14ac:dyDescent="0.25">
      <c r="B2004" s="115" t="s">
        <v>1241</v>
      </c>
      <c r="D2004" s="115" t="s">
        <v>8710</v>
      </c>
      <c r="E2004" s="115" t="s">
        <v>1242</v>
      </c>
      <c r="F2004" s="115">
        <v>0</v>
      </c>
      <c r="G2004" s="115">
        <v>0</v>
      </c>
      <c r="H2004" s="115">
        <v>0</v>
      </c>
      <c r="I2004" s="115">
        <v>0</v>
      </c>
      <c r="J2004" s="115">
        <v>0</v>
      </c>
      <c r="K2004" s="115">
        <v>0</v>
      </c>
    </row>
    <row r="2005" spans="1:11" x14ac:dyDescent="0.25">
      <c r="B2005" s="115" t="s">
        <v>1241</v>
      </c>
      <c r="D2005" s="115" t="s">
        <v>8710</v>
      </c>
      <c r="E2005" s="115" t="s">
        <v>1242</v>
      </c>
      <c r="F2005" s="115">
        <v>0</v>
      </c>
      <c r="G2005" s="115">
        <v>0</v>
      </c>
      <c r="H2005" s="115">
        <v>0</v>
      </c>
      <c r="I2005" s="115">
        <v>0</v>
      </c>
      <c r="J2005" s="115">
        <v>0</v>
      </c>
      <c r="K2005" s="115">
        <v>0</v>
      </c>
    </row>
    <row r="2006" spans="1:11" x14ac:dyDescent="0.25">
      <c r="B2006" s="115" t="s">
        <v>1241</v>
      </c>
      <c r="D2006" s="115" t="s">
        <v>8710</v>
      </c>
      <c r="E2006" s="115" t="s">
        <v>1242</v>
      </c>
      <c r="F2006" s="115">
        <v>0</v>
      </c>
      <c r="G2006" s="115">
        <v>0</v>
      </c>
      <c r="H2006" s="115">
        <v>0</v>
      </c>
      <c r="I2006" s="115">
        <v>0</v>
      </c>
      <c r="J2006" s="115">
        <v>0</v>
      </c>
      <c r="K2006" s="115">
        <v>0</v>
      </c>
    </row>
    <row r="2007" spans="1:11" x14ac:dyDescent="0.25">
      <c r="A2007" s="115" t="s">
        <v>1239</v>
      </c>
      <c r="B2007" s="115" t="s">
        <v>2675</v>
      </c>
      <c r="D2007" s="115" t="s">
        <v>9633</v>
      </c>
      <c r="E2007" s="115" t="s">
        <v>2676</v>
      </c>
      <c r="F2007" s="115">
        <v>-66</v>
      </c>
      <c r="G2007" s="115">
        <v>0</v>
      </c>
      <c r="H2007" s="115">
        <v>0</v>
      </c>
      <c r="I2007" s="115">
        <v>-15</v>
      </c>
      <c r="J2007" s="115">
        <v>0</v>
      </c>
      <c r="K2007" s="115">
        <v>0</v>
      </c>
    </row>
    <row r="2008" spans="1:11" x14ac:dyDescent="0.25">
      <c r="B2008" s="115" t="s">
        <v>2677</v>
      </c>
      <c r="D2008" s="115" t="s">
        <v>9634</v>
      </c>
      <c r="E2008" s="115" t="s">
        <v>2678</v>
      </c>
      <c r="F2008" s="115">
        <v>0</v>
      </c>
      <c r="G2008" s="115">
        <v>0</v>
      </c>
      <c r="H2008" s="115">
        <v>0</v>
      </c>
      <c r="I2008" s="115">
        <v>0</v>
      </c>
      <c r="J2008" s="115">
        <v>0</v>
      </c>
      <c r="K2008" s="115">
        <v>-48</v>
      </c>
    </row>
    <row r="2009" spans="1:11" x14ac:dyDescent="0.25">
      <c r="B2009" s="115" t="s">
        <v>1241</v>
      </c>
      <c r="D2009" s="115" t="s">
        <v>9635</v>
      </c>
      <c r="E2009" s="115" t="s">
        <v>2679</v>
      </c>
      <c r="F2009" s="115">
        <v>289</v>
      </c>
      <c r="G2009" s="115">
        <v>0</v>
      </c>
      <c r="H2009" s="115">
        <v>391</v>
      </c>
      <c r="I2009" s="115">
        <v>47</v>
      </c>
      <c r="J2009" s="115">
        <v>-42</v>
      </c>
      <c r="K2009" s="115">
        <v>0</v>
      </c>
    </row>
    <row r="2010" spans="1:11" x14ac:dyDescent="0.25">
      <c r="B2010" s="115" t="s">
        <v>2680</v>
      </c>
      <c r="D2010" s="115" t="s">
        <v>9636</v>
      </c>
      <c r="E2010" s="115" t="s">
        <v>2681</v>
      </c>
      <c r="F2010" s="115">
        <v>-205</v>
      </c>
      <c r="G2010" s="115">
        <v>-305</v>
      </c>
      <c r="H2010" s="115">
        <v>0</v>
      </c>
      <c r="I2010" s="115">
        <v>-72</v>
      </c>
      <c r="J2010" s="115">
        <v>0</v>
      </c>
      <c r="K2010" s="115">
        <v>0</v>
      </c>
    </row>
    <row r="2011" spans="1:11" x14ac:dyDescent="0.25">
      <c r="B2011" s="115" t="s">
        <v>1241</v>
      </c>
      <c r="D2011" s="115" t="s">
        <v>9637</v>
      </c>
      <c r="E2011" s="115" t="s">
        <v>2682</v>
      </c>
      <c r="F2011" s="115">
        <v>0</v>
      </c>
      <c r="G2011" s="115">
        <v>0</v>
      </c>
      <c r="H2011" s="115">
        <v>0</v>
      </c>
      <c r="I2011" s="115">
        <v>-368</v>
      </c>
      <c r="J2011" s="115">
        <v>0</v>
      </c>
      <c r="K2011" s="115">
        <v>-125</v>
      </c>
    </row>
    <row r="2012" spans="1:11" x14ac:dyDescent="0.25">
      <c r="B2012" s="115" t="s">
        <v>1241</v>
      </c>
      <c r="D2012" s="115" t="s">
        <v>9638</v>
      </c>
      <c r="E2012" s="115" t="s">
        <v>2683</v>
      </c>
      <c r="F2012" s="115">
        <v>0</v>
      </c>
      <c r="G2012" s="115">
        <v>-81</v>
      </c>
      <c r="H2012" s="115">
        <v>0</v>
      </c>
      <c r="I2012" s="115">
        <v>46</v>
      </c>
      <c r="J2012" s="115">
        <v>-168</v>
      </c>
      <c r="K2012" s="115">
        <v>0</v>
      </c>
    </row>
    <row r="2013" spans="1:11" x14ac:dyDescent="0.25">
      <c r="B2013" s="115" t="s">
        <v>2684</v>
      </c>
      <c r="D2013" s="115" t="s">
        <v>9639</v>
      </c>
      <c r="E2013" s="115" t="s">
        <v>2685</v>
      </c>
      <c r="F2013" s="115">
        <v>-616</v>
      </c>
      <c r="G2013" s="115">
        <v>0</v>
      </c>
      <c r="H2013" s="115">
        <v>0</v>
      </c>
      <c r="I2013" s="115">
        <v>0</v>
      </c>
      <c r="J2013" s="115">
        <v>0</v>
      </c>
      <c r="K2013" s="115">
        <v>-596</v>
      </c>
    </row>
    <row r="2014" spans="1:11" x14ac:dyDescent="0.25">
      <c r="A2014" s="115" t="s">
        <v>1239</v>
      </c>
      <c r="B2014" s="115" t="s">
        <v>2686</v>
      </c>
      <c r="D2014" s="115" t="s">
        <v>9640</v>
      </c>
      <c r="E2014" s="115" t="s">
        <v>2687</v>
      </c>
      <c r="F2014" s="115">
        <v>-162</v>
      </c>
      <c r="G2014" s="115">
        <v>221</v>
      </c>
      <c r="H2014" s="115">
        <v>0</v>
      </c>
      <c r="I2014" s="115">
        <v>140</v>
      </c>
      <c r="J2014" s="115">
        <v>-4803</v>
      </c>
      <c r="K2014" s="115">
        <v>235</v>
      </c>
    </row>
    <row r="2015" spans="1:11" x14ac:dyDescent="0.25">
      <c r="A2015" s="115">
        <v>-1</v>
      </c>
      <c r="B2015" s="115" t="s">
        <v>2688</v>
      </c>
      <c r="D2015" s="115" t="s">
        <v>9641</v>
      </c>
      <c r="E2015" s="115" t="s">
        <v>2689</v>
      </c>
      <c r="F2015" s="115">
        <v>0</v>
      </c>
      <c r="G2015" s="115">
        <v>0</v>
      </c>
      <c r="H2015" s="115">
        <v>0</v>
      </c>
      <c r="I2015" s="115">
        <v>0</v>
      </c>
      <c r="J2015" s="115">
        <v>0</v>
      </c>
      <c r="K2015" s="115">
        <v>-1041</v>
      </c>
    </row>
    <row r="2016" spans="1:11" x14ac:dyDescent="0.25">
      <c r="B2016" s="115" t="s">
        <v>2690</v>
      </c>
      <c r="C2016" s="115" t="s">
        <v>1239</v>
      </c>
      <c r="D2016" s="115" t="s">
        <v>9642</v>
      </c>
      <c r="E2016" s="115" t="s">
        <v>2691</v>
      </c>
      <c r="F2016" s="115">
        <v>0</v>
      </c>
      <c r="G2016" s="115">
        <v>312</v>
      </c>
      <c r="H2016" s="115">
        <v>1248</v>
      </c>
      <c r="I2016" s="115">
        <v>253</v>
      </c>
      <c r="J2016" s="115">
        <v>50</v>
      </c>
      <c r="K2016" s="115">
        <v>1295</v>
      </c>
    </row>
    <row r="2017" spans="1:11" x14ac:dyDescent="0.25">
      <c r="B2017" s="115" t="s">
        <v>2692</v>
      </c>
      <c r="D2017" s="115" t="s">
        <v>9643</v>
      </c>
      <c r="E2017" s="115" t="s">
        <v>2693</v>
      </c>
      <c r="F2017" s="115">
        <v>-393</v>
      </c>
      <c r="G2017" s="115">
        <v>0</v>
      </c>
      <c r="H2017" s="115">
        <v>-6</v>
      </c>
      <c r="I2017" s="115">
        <v>2</v>
      </c>
      <c r="J2017" s="115">
        <v>0</v>
      </c>
      <c r="K2017" s="115">
        <v>0</v>
      </c>
    </row>
    <row r="2018" spans="1:11" x14ac:dyDescent="0.25">
      <c r="B2018" s="115" t="s">
        <v>2694</v>
      </c>
      <c r="C2018" s="115" t="s">
        <v>1239</v>
      </c>
      <c r="D2018" s="115" t="s">
        <v>9644</v>
      </c>
      <c r="E2018" s="115" t="s">
        <v>2695</v>
      </c>
      <c r="F2018" s="115">
        <v>-524</v>
      </c>
      <c r="G2018" s="115">
        <v>-111</v>
      </c>
      <c r="H2018" s="115">
        <v>-80</v>
      </c>
      <c r="I2018" s="115">
        <v>-18</v>
      </c>
      <c r="J2018" s="115">
        <v>0</v>
      </c>
      <c r="K2018" s="115">
        <v>0</v>
      </c>
    </row>
    <row r="2019" spans="1:11" x14ac:dyDescent="0.25">
      <c r="B2019" s="115" t="s">
        <v>1241</v>
      </c>
      <c r="D2019" s="115" t="s">
        <v>9645</v>
      </c>
      <c r="E2019" s="115" t="s">
        <v>2696</v>
      </c>
      <c r="F2019" s="115">
        <v>0</v>
      </c>
      <c r="G2019" s="115">
        <v>-341</v>
      </c>
      <c r="H2019" s="115">
        <v>140</v>
      </c>
      <c r="I2019" s="115">
        <v>-240</v>
      </c>
      <c r="J2019" s="115">
        <v>0</v>
      </c>
      <c r="K2019" s="115">
        <v>-9</v>
      </c>
    </row>
    <row r="2020" spans="1:11" x14ac:dyDescent="0.25">
      <c r="A2020" s="115">
        <v>1</v>
      </c>
      <c r="B2020" s="115" t="s">
        <v>2697</v>
      </c>
      <c r="D2020" s="115" t="s">
        <v>9646</v>
      </c>
      <c r="E2020" s="115" t="s">
        <v>2698</v>
      </c>
      <c r="F2020" s="115">
        <v>115</v>
      </c>
      <c r="G2020" s="115">
        <v>-119</v>
      </c>
      <c r="H2020" s="115">
        <v>175</v>
      </c>
      <c r="I2020" s="115">
        <v>0</v>
      </c>
      <c r="J2020" s="115">
        <v>-230</v>
      </c>
      <c r="K2020" s="115">
        <v>0</v>
      </c>
    </row>
    <row r="2021" spans="1:11" x14ac:dyDescent="0.25">
      <c r="B2021" s="115" t="s">
        <v>2699</v>
      </c>
      <c r="D2021" s="115" t="s">
        <v>9647</v>
      </c>
      <c r="E2021" s="115" t="s">
        <v>2700</v>
      </c>
      <c r="F2021" s="115">
        <v>-916</v>
      </c>
      <c r="G2021" s="115">
        <v>0</v>
      </c>
      <c r="H2021" s="115">
        <v>0</v>
      </c>
      <c r="I2021" s="115">
        <v>-144</v>
      </c>
      <c r="J2021" s="115">
        <v>0</v>
      </c>
      <c r="K2021" s="115">
        <v>-97</v>
      </c>
    </row>
    <row r="2022" spans="1:11" x14ac:dyDescent="0.25">
      <c r="B2022" s="115">
        <f>-19    -69</f>
        <v>-88</v>
      </c>
      <c r="D2022" s="115" t="s">
        <v>9648</v>
      </c>
      <c r="E2022" s="115" t="s">
        <v>2701</v>
      </c>
      <c r="F2022" s="115">
        <v>0</v>
      </c>
      <c r="G2022" s="115">
        <v>0</v>
      </c>
      <c r="H2022" s="115">
        <v>0</v>
      </c>
      <c r="I2022" s="115">
        <v>-82</v>
      </c>
      <c r="J2022" s="115">
        <v>0</v>
      </c>
      <c r="K2022" s="115">
        <v>-92</v>
      </c>
    </row>
    <row r="2023" spans="1:11" x14ac:dyDescent="0.25">
      <c r="B2023" s="115">
        <f>-90   -441</f>
        <v>-531</v>
      </c>
      <c r="D2023" s="115" t="s">
        <v>9649</v>
      </c>
      <c r="E2023" s="115" t="s">
        <v>2702</v>
      </c>
      <c r="F2023" s="115">
        <v>-3647</v>
      </c>
      <c r="G2023" s="115">
        <v>-7839</v>
      </c>
      <c r="H2023" s="115">
        <v>0</v>
      </c>
      <c r="I2023" s="115">
        <v>0</v>
      </c>
      <c r="J2023" s="115">
        <v>0</v>
      </c>
      <c r="K2023" s="115">
        <v>8582</v>
      </c>
    </row>
    <row r="2024" spans="1:11" x14ac:dyDescent="0.25">
      <c r="A2024" s="115">
        <v>10</v>
      </c>
      <c r="B2024" s="115" t="s">
        <v>2703</v>
      </c>
      <c r="D2024" s="115" t="s">
        <v>9650</v>
      </c>
      <c r="E2024" s="115" t="s">
        <v>2704</v>
      </c>
      <c r="F2024" s="115">
        <v>0</v>
      </c>
      <c r="G2024" s="115">
        <v>930</v>
      </c>
      <c r="H2024" s="115">
        <v>0</v>
      </c>
      <c r="I2024" s="115">
        <v>0</v>
      </c>
      <c r="J2024" s="115">
        <v>25157</v>
      </c>
      <c r="K2024" s="115">
        <v>0</v>
      </c>
    </row>
    <row r="2025" spans="1:11" x14ac:dyDescent="0.25">
      <c r="B2025" s="115" t="s">
        <v>1241</v>
      </c>
      <c r="D2025" s="115" t="s">
        <v>8710</v>
      </c>
      <c r="E2025" s="115" t="s">
        <v>1242</v>
      </c>
      <c r="F2025" s="115">
        <v>0</v>
      </c>
      <c r="G2025" s="115">
        <v>0</v>
      </c>
      <c r="H2025" s="115">
        <v>0</v>
      </c>
      <c r="I2025" s="115">
        <v>0</v>
      </c>
      <c r="J2025" s="115">
        <v>0</v>
      </c>
      <c r="K2025" s="115">
        <v>0</v>
      </c>
    </row>
    <row r="2026" spans="1:11" x14ac:dyDescent="0.25">
      <c r="B2026" s="115" t="s">
        <v>1241</v>
      </c>
      <c r="D2026" s="115" t="s">
        <v>8710</v>
      </c>
      <c r="E2026" s="115" t="s">
        <v>1242</v>
      </c>
      <c r="F2026" s="115">
        <v>0</v>
      </c>
      <c r="G2026" s="115">
        <v>0</v>
      </c>
      <c r="H2026" s="115">
        <v>0</v>
      </c>
      <c r="I2026" s="115">
        <v>0</v>
      </c>
      <c r="J2026" s="115">
        <v>0</v>
      </c>
      <c r="K2026" s="115">
        <v>0</v>
      </c>
    </row>
    <row r="2027" spans="1:11" x14ac:dyDescent="0.25">
      <c r="B2027" s="115" t="s">
        <v>1241</v>
      </c>
      <c r="D2027" s="115" t="s">
        <v>8710</v>
      </c>
      <c r="E2027" s="115" t="s">
        <v>1242</v>
      </c>
      <c r="F2027" s="115">
        <v>0</v>
      </c>
      <c r="G2027" s="115">
        <v>0</v>
      </c>
      <c r="H2027" s="115">
        <v>0</v>
      </c>
      <c r="I2027" s="115">
        <v>0</v>
      </c>
      <c r="J2027" s="115">
        <v>0</v>
      </c>
      <c r="K2027" s="115">
        <v>0</v>
      </c>
    </row>
    <row r="2028" spans="1:11" x14ac:dyDescent="0.25">
      <c r="B2028" s="115" t="s">
        <v>1241</v>
      </c>
      <c r="D2028" s="115" t="s">
        <v>8710</v>
      </c>
      <c r="E2028" s="115" t="s">
        <v>1242</v>
      </c>
      <c r="F2028" s="115">
        <v>0</v>
      </c>
      <c r="G2028" s="115">
        <v>0</v>
      </c>
      <c r="H2028" s="115">
        <v>0</v>
      </c>
      <c r="I2028" s="115">
        <v>0</v>
      </c>
      <c r="J2028" s="115">
        <v>0</v>
      </c>
      <c r="K2028" s="115">
        <v>0</v>
      </c>
    </row>
    <row r="2029" spans="1:11" x14ac:dyDescent="0.25">
      <c r="B2029" s="115" t="s">
        <v>1241</v>
      </c>
      <c r="D2029" s="115" t="s">
        <v>8710</v>
      </c>
      <c r="E2029" s="115" t="s">
        <v>1242</v>
      </c>
      <c r="F2029" s="115">
        <v>0</v>
      </c>
      <c r="G2029" s="115">
        <v>0</v>
      </c>
      <c r="H2029" s="115">
        <v>0</v>
      </c>
      <c r="I2029" s="115">
        <v>0</v>
      </c>
      <c r="J2029" s="115">
        <v>0</v>
      </c>
      <c r="K2029" s="115">
        <v>0</v>
      </c>
    </row>
    <row r="2030" spans="1:11" x14ac:dyDescent="0.25">
      <c r="B2030" s="115" t="s">
        <v>1241</v>
      </c>
      <c r="D2030" s="115" t="s">
        <v>8710</v>
      </c>
      <c r="E2030" s="115" t="s">
        <v>1242</v>
      </c>
      <c r="F2030" s="115">
        <v>0</v>
      </c>
      <c r="G2030" s="115">
        <v>0</v>
      </c>
      <c r="H2030" s="115">
        <v>0</v>
      </c>
      <c r="I2030" s="115">
        <v>0</v>
      </c>
      <c r="J2030" s="115">
        <v>0</v>
      </c>
      <c r="K2030" s="115">
        <v>0</v>
      </c>
    </row>
    <row r="2031" spans="1:11" x14ac:dyDescent="0.25">
      <c r="B2031" s="115" t="s">
        <v>1241</v>
      </c>
      <c r="D2031" s="115" t="s">
        <v>8710</v>
      </c>
      <c r="E2031" s="115" t="s">
        <v>1242</v>
      </c>
      <c r="F2031" s="115">
        <v>0</v>
      </c>
      <c r="G2031" s="115">
        <v>0</v>
      </c>
      <c r="H2031" s="115">
        <v>0</v>
      </c>
      <c r="I2031" s="115">
        <v>0</v>
      </c>
      <c r="J2031" s="115">
        <v>0</v>
      </c>
      <c r="K2031" s="115">
        <v>0</v>
      </c>
    </row>
    <row r="2032" spans="1:11" x14ac:dyDescent="0.25">
      <c r="B2032" s="115" t="s">
        <v>1241</v>
      </c>
      <c r="D2032" s="115" t="s">
        <v>8710</v>
      </c>
      <c r="E2032" s="115" t="s">
        <v>1242</v>
      </c>
      <c r="F2032" s="115">
        <v>0</v>
      </c>
      <c r="G2032" s="115">
        <v>0</v>
      </c>
      <c r="H2032" s="115">
        <v>0</v>
      </c>
      <c r="I2032" s="115">
        <v>0</v>
      </c>
      <c r="J2032" s="115">
        <v>0</v>
      </c>
      <c r="K2032" s="115">
        <v>0</v>
      </c>
    </row>
    <row r="2033" spans="2:11" x14ac:dyDescent="0.25">
      <c r="B2033" s="115" t="s">
        <v>1241</v>
      </c>
      <c r="D2033" s="115" t="s">
        <v>8710</v>
      </c>
      <c r="E2033" s="115" t="s">
        <v>1242</v>
      </c>
      <c r="F2033" s="115">
        <v>0</v>
      </c>
      <c r="G2033" s="115">
        <v>0</v>
      </c>
      <c r="H2033" s="115">
        <v>0</v>
      </c>
      <c r="I2033" s="115">
        <v>0</v>
      </c>
      <c r="J2033" s="115">
        <v>0</v>
      </c>
      <c r="K2033" s="115">
        <v>0</v>
      </c>
    </row>
    <row r="2034" spans="2:11" x14ac:dyDescent="0.25">
      <c r="B2034" s="115" t="s">
        <v>1241</v>
      </c>
      <c r="D2034" s="115" t="s">
        <v>8710</v>
      </c>
      <c r="E2034" s="115" t="s">
        <v>1242</v>
      </c>
      <c r="F2034" s="115">
        <v>0</v>
      </c>
      <c r="G2034" s="115">
        <v>0</v>
      </c>
      <c r="H2034" s="115">
        <v>0</v>
      </c>
      <c r="I2034" s="115">
        <v>0</v>
      </c>
      <c r="J2034" s="115">
        <v>0</v>
      </c>
      <c r="K2034" s="115">
        <v>0</v>
      </c>
    </row>
    <row r="2035" spans="2:11" x14ac:dyDescent="0.25">
      <c r="B2035" s="115" t="s">
        <v>1241</v>
      </c>
      <c r="D2035" s="115" t="s">
        <v>8710</v>
      </c>
      <c r="E2035" s="115" t="s">
        <v>1242</v>
      </c>
      <c r="F2035" s="115">
        <v>0</v>
      </c>
      <c r="G2035" s="115">
        <v>0</v>
      </c>
      <c r="H2035" s="115">
        <v>0</v>
      </c>
      <c r="I2035" s="115">
        <v>0</v>
      </c>
      <c r="J2035" s="115">
        <v>0</v>
      </c>
      <c r="K2035" s="115">
        <v>0</v>
      </c>
    </row>
    <row r="2036" spans="2:11" x14ac:dyDescent="0.25">
      <c r="B2036" s="115" t="s">
        <v>1241</v>
      </c>
      <c r="D2036" s="115" t="s">
        <v>8710</v>
      </c>
      <c r="E2036" s="115" t="s">
        <v>1242</v>
      </c>
      <c r="F2036" s="115">
        <v>0</v>
      </c>
      <c r="G2036" s="115">
        <v>0</v>
      </c>
      <c r="H2036" s="115">
        <v>0</v>
      </c>
      <c r="I2036" s="115">
        <v>0</v>
      </c>
      <c r="J2036" s="115">
        <v>0</v>
      </c>
      <c r="K2036" s="115">
        <v>0</v>
      </c>
    </row>
    <row r="2037" spans="2:11" x14ac:dyDescent="0.25">
      <c r="B2037" s="115" t="s">
        <v>1241</v>
      </c>
      <c r="D2037" s="115" t="s">
        <v>8710</v>
      </c>
      <c r="E2037" s="115" t="s">
        <v>1242</v>
      </c>
      <c r="F2037" s="115">
        <v>0</v>
      </c>
      <c r="G2037" s="115">
        <v>0</v>
      </c>
      <c r="H2037" s="115">
        <v>0</v>
      </c>
      <c r="I2037" s="115">
        <v>0</v>
      </c>
      <c r="J2037" s="115">
        <v>0</v>
      </c>
      <c r="K2037" s="115">
        <v>0</v>
      </c>
    </row>
    <row r="2038" spans="2:11" x14ac:dyDescent="0.25">
      <c r="B2038" s="115" t="s">
        <v>1241</v>
      </c>
      <c r="D2038" s="115" t="s">
        <v>8710</v>
      </c>
      <c r="E2038" s="115" t="s">
        <v>1242</v>
      </c>
      <c r="F2038" s="115">
        <v>0</v>
      </c>
      <c r="G2038" s="115">
        <v>0</v>
      </c>
      <c r="H2038" s="115">
        <v>0</v>
      </c>
      <c r="I2038" s="115">
        <v>0</v>
      </c>
      <c r="J2038" s="115">
        <v>0</v>
      </c>
      <c r="K2038" s="115">
        <v>0</v>
      </c>
    </row>
    <row r="2039" spans="2:11" x14ac:dyDescent="0.25">
      <c r="B2039" s="115" t="s">
        <v>1241</v>
      </c>
      <c r="D2039" s="115" t="s">
        <v>8710</v>
      </c>
      <c r="E2039" s="115" t="s">
        <v>1242</v>
      </c>
      <c r="F2039" s="115">
        <v>0</v>
      </c>
      <c r="G2039" s="115">
        <v>0</v>
      </c>
      <c r="H2039" s="115">
        <v>0</v>
      </c>
      <c r="I2039" s="115">
        <v>0</v>
      </c>
      <c r="J2039" s="115">
        <v>0</v>
      </c>
      <c r="K2039" s="115">
        <v>0</v>
      </c>
    </row>
    <row r="2040" spans="2:11" x14ac:dyDescent="0.25">
      <c r="B2040" s="115" t="s">
        <v>1241</v>
      </c>
      <c r="D2040" s="115" t="s">
        <v>8710</v>
      </c>
      <c r="E2040" s="115" t="s">
        <v>1242</v>
      </c>
      <c r="F2040" s="115">
        <v>0</v>
      </c>
      <c r="G2040" s="115">
        <v>0</v>
      </c>
      <c r="H2040" s="115">
        <v>0</v>
      </c>
      <c r="I2040" s="115">
        <v>0</v>
      </c>
      <c r="J2040" s="115">
        <v>0</v>
      </c>
      <c r="K2040" s="115">
        <v>0</v>
      </c>
    </row>
    <row r="2041" spans="2:11" x14ac:dyDescent="0.25">
      <c r="B2041" s="115" t="s">
        <v>1241</v>
      </c>
      <c r="D2041" s="115" t="s">
        <v>8710</v>
      </c>
      <c r="E2041" s="115" t="s">
        <v>1242</v>
      </c>
      <c r="F2041" s="115">
        <v>0</v>
      </c>
      <c r="G2041" s="115">
        <v>0</v>
      </c>
      <c r="H2041" s="115">
        <v>0</v>
      </c>
      <c r="I2041" s="115">
        <v>0</v>
      </c>
      <c r="J2041" s="115">
        <v>0</v>
      </c>
      <c r="K2041" s="115">
        <v>0</v>
      </c>
    </row>
    <row r="2042" spans="2:11" x14ac:dyDescent="0.25">
      <c r="B2042" s="115" t="s">
        <v>1241</v>
      </c>
      <c r="D2042" s="115" t="s">
        <v>8710</v>
      </c>
      <c r="E2042" s="115" t="s">
        <v>1242</v>
      </c>
      <c r="F2042" s="115">
        <v>0</v>
      </c>
      <c r="G2042" s="115">
        <v>0</v>
      </c>
      <c r="H2042" s="115">
        <v>0</v>
      </c>
      <c r="I2042" s="115">
        <v>0</v>
      </c>
      <c r="J2042" s="115">
        <v>0</v>
      </c>
      <c r="K2042" s="115">
        <v>0</v>
      </c>
    </row>
    <row r="2043" spans="2:11" x14ac:dyDescent="0.25">
      <c r="B2043" s="115" t="s">
        <v>2705</v>
      </c>
      <c r="D2043" s="115" t="s">
        <v>9651</v>
      </c>
      <c r="E2043" s="115" t="s">
        <v>2706</v>
      </c>
      <c r="F2043" s="115">
        <v>107</v>
      </c>
      <c r="G2043" s="115">
        <v>126</v>
      </c>
      <c r="H2043" s="115">
        <v>0</v>
      </c>
      <c r="I2043" s="115">
        <v>0</v>
      </c>
      <c r="J2043" s="115">
        <v>78</v>
      </c>
      <c r="K2043" s="115">
        <v>0</v>
      </c>
    </row>
    <row r="2044" spans="2:11" x14ac:dyDescent="0.25">
      <c r="B2044" s="115" t="s">
        <v>1241</v>
      </c>
      <c r="D2044" s="115" t="s">
        <v>9652</v>
      </c>
      <c r="E2044" s="115" t="s">
        <v>1242</v>
      </c>
      <c r="F2044" s="115">
        <v>0</v>
      </c>
      <c r="G2044" s="115">
        <v>0</v>
      </c>
      <c r="H2044" s="115">
        <v>0</v>
      </c>
      <c r="I2044" s="115">
        <v>0</v>
      </c>
      <c r="J2044" s="115">
        <v>0</v>
      </c>
      <c r="K2044" s="115">
        <v>0</v>
      </c>
    </row>
    <row r="2045" spans="2:11" x14ac:dyDescent="0.25">
      <c r="B2045" s="115" t="s">
        <v>2707</v>
      </c>
      <c r="D2045" s="115" t="s">
        <v>9653</v>
      </c>
      <c r="E2045" s="115" t="s">
        <v>2708</v>
      </c>
      <c r="F2045" s="115">
        <v>0</v>
      </c>
      <c r="G2045" s="115">
        <v>321</v>
      </c>
      <c r="H2045" s="115">
        <v>0</v>
      </c>
      <c r="I2045" s="115">
        <v>260</v>
      </c>
      <c r="J2045" s="115">
        <v>-514</v>
      </c>
      <c r="K2045" s="115">
        <v>66</v>
      </c>
    </row>
    <row r="2046" spans="2:11" x14ac:dyDescent="0.25">
      <c r="B2046" s="115" t="s">
        <v>2709</v>
      </c>
      <c r="D2046" s="115" t="s">
        <v>9654</v>
      </c>
      <c r="E2046" s="115" t="s">
        <v>2710</v>
      </c>
      <c r="F2046" s="115">
        <v>-237</v>
      </c>
      <c r="G2046" s="115">
        <v>-257</v>
      </c>
      <c r="H2046" s="115">
        <v>-332</v>
      </c>
      <c r="I2046" s="115">
        <v>0</v>
      </c>
      <c r="J2046" s="115">
        <v>-67</v>
      </c>
      <c r="K2046" s="115">
        <v>0</v>
      </c>
    </row>
    <row r="2047" spans="2:11" x14ac:dyDescent="0.25">
      <c r="B2047" s="115" t="s">
        <v>1241</v>
      </c>
      <c r="D2047" s="115" t="s">
        <v>9655</v>
      </c>
      <c r="E2047" s="115" t="s">
        <v>2711</v>
      </c>
      <c r="F2047" s="115">
        <v>-103</v>
      </c>
      <c r="G2047" s="115">
        <v>0</v>
      </c>
      <c r="H2047" s="115">
        <v>0</v>
      </c>
      <c r="I2047" s="115">
        <v>0</v>
      </c>
      <c r="J2047" s="115">
        <v>-172</v>
      </c>
      <c r="K2047" s="115">
        <v>0</v>
      </c>
    </row>
    <row r="2048" spans="2:11" x14ac:dyDescent="0.25">
      <c r="B2048" s="115" t="s">
        <v>2629</v>
      </c>
      <c r="D2048" s="115" t="s">
        <v>9656</v>
      </c>
      <c r="E2048" s="115" t="s">
        <v>2712</v>
      </c>
      <c r="F2048" s="115">
        <v>0</v>
      </c>
      <c r="G2048" s="115">
        <v>0</v>
      </c>
      <c r="H2048" s="115">
        <v>-80</v>
      </c>
      <c r="I2048" s="115">
        <v>0</v>
      </c>
      <c r="J2048" s="115">
        <v>20</v>
      </c>
      <c r="K2048" s="115">
        <v>40</v>
      </c>
    </row>
    <row r="2049" spans="1:11" x14ac:dyDescent="0.25">
      <c r="B2049" s="115" t="s">
        <v>1241</v>
      </c>
      <c r="D2049" s="115" t="s">
        <v>9657</v>
      </c>
      <c r="E2049" s="115" t="s">
        <v>2713</v>
      </c>
      <c r="F2049" s="115">
        <v>0</v>
      </c>
      <c r="G2049" s="115">
        <v>-245</v>
      </c>
      <c r="H2049" s="115">
        <v>0</v>
      </c>
      <c r="I2049" s="115">
        <v>0</v>
      </c>
      <c r="J2049" s="115">
        <v>0</v>
      </c>
      <c r="K2049" s="115">
        <v>0</v>
      </c>
    </row>
    <row r="2050" spans="1:11" x14ac:dyDescent="0.25">
      <c r="A2050" s="115" t="s">
        <v>1239</v>
      </c>
      <c r="B2050" s="115" t="s">
        <v>2714</v>
      </c>
      <c r="D2050" s="115" t="s">
        <v>9658</v>
      </c>
      <c r="E2050" s="115" t="s">
        <v>2715</v>
      </c>
      <c r="F2050" s="115">
        <v>0</v>
      </c>
      <c r="G2050" s="115">
        <v>-138</v>
      </c>
      <c r="H2050" s="115">
        <v>271</v>
      </c>
      <c r="I2050" s="115">
        <v>0</v>
      </c>
      <c r="J2050" s="115">
        <v>328</v>
      </c>
      <c r="K2050" s="115">
        <v>-1669</v>
      </c>
    </row>
    <row r="2051" spans="1:11" x14ac:dyDescent="0.25">
      <c r="B2051" s="115" t="s">
        <v>2716</v>
      </c>
      <c r="D2051" s="115" t="s">
        <v>9659</v>
      </c>
      <c r="E2051" s="115" t="s">
        <v>1242</v>
      </c>
      <c r="F2051" s="115">
        <v>66</v>
      </c>
      <c r="G2051" s="115">
        <v>0</v>
      </c>
      <c r="H2051" s="115">
        <v>0</v>
      </c>
      <c r="I2051" s="115">
        <v>0</v>
      </c>
      <c r="J2051" s="115">
        <v>0</v>
      </c>
      <c r="K2051" s="115">
        <v>0</v>
      </c>
    </row>
    <row r="2052" spans="1:11" x14ac:dyDescent="0.25">
      <c r="A2052" s="115" t="s">
        <v>1239</v>
      </c>
      <c r="B2052" s="115" t="s">
        <v>2717</v>
      </c>
      <c r="D2052" s="115" t="s">
        <v>9660</v>
      </c>
      <c r="E2052" s="115" t="s">
        <v>2718</v>
      </c>
      <c r="F2052" s="115">
        <v>-12</v>
      </c>
      <c r="G2052" s="115">
        <v>0</v>
      </c>
      <c r="H2052" s="115">
        <v>470</v>
      </c>
      <c r="I2052" s="115">
        <v>1451</v>
      </c>
      <c r="J2052" s="115">
        <v>-68</v>
      </c>
      <c r="K2052" s="115">
        <v>-41</v>
      </c>
    </row>
    <row r="2053" spans="1:11" x14ac:dyDescent="0.25">
      <c r="A2053" s="115" t="s">
        <v>1239</v>
      </c>
      <c r="B2053" s="115" t="s">
        <v>2719</v>
      </c>
      <c r="D2053" s="115" t="s">
        <v>9661</v>
      </c>
      <c r="E2053" s="115" t="s">
        <v>2720</v>
      </c>
      <c r="F2053" s="115">
        <v>-726</v>
      </c>
      <c r="G2053" s="115">
        <v>-406</v>
      </c>
      <c r="H2053" s="115">
        <v>0</v>
      </c>
      <c r="I2053" s="115">
        <v>-18</v>
      </c>
      <c r="J2053" s="115">
        <v>36</v>
      </c>
      <c r="K2053" s="115">
        <v>0</v>
      </c>
    </row>
    <row r="2054" spans="1:11" x14ac:dyDescent="0.25">
      <c r="B2054" s="115" t="s">
        <v>1241</v>
      </c>
      <c r="D2054" s="115" t="s">
        <v>9662</v>
      </c>
      <c r="E2054" s="115" t="s">
        <v>2721</v>
      </c>
      <c r="F2054" s="115">
        <v>0</v>
      </c>
      <c r="G2054" s="115">
        <v>-1645</v>
      </c>
      <c r="H2054" s="115">
        <v>-188</v>
      </c>
      <c r="I2054" s="115">
        <v>-78</v>
      </c>
      <c r="J2054" s="115">
        <v>-87</v>
      </c>
      <c r="K2054" s="115">
        <v>0</v>
      </c>
    </row>
    <row r="2055" spans="1:11" x14ac:dyDescent="0.25">
      <c r="B2055" s="115" t="s">
        <v>1241</v>
      </c>
      <c r="D2055" s="115" t="s">
        <v>9663</v>
      </c>
      <c r="E2055" s="115" t="s">
        <v>2722</v>
      </c>
      <c r="F2055" s="115">
        <v>-557</v>
      </c>
      <c r="G2055" s="115">
        <v>0</v>
      </c>
      <c r="H2055" s="115">
        <v>-327</v>
      </c>
      <c r="I2055" s="115">
        <v>130</v>
      </c>
      <c r="J2055" s="115">
        <v>573</v>
      </c>
      <c r="K2055" s="115">
        <v>0</v>
      </c>
    </row>
    <row r="2056" spans="1:11" x14ac:dyDescent="0.25">
      <c r="B2056" s="115" t="s">
        <v>2723</v>
      </c>
      <c r="D2056" s="115" t="s">
        <v>9664</v>
      </c>
      <c r="E2056" s="115" t="s">
        <v>2724</v>
      </c>
      <c r="F2056" s="115">
        <v>-75</v>
      </c>
      <c r="G2056" s="115">
        <v>32</v>
      </c>
      <c r="H2056" s="115">
        <v>-143</v>
      </c>
      <c r="I2056" s="115">
        <v>-11</v>
      </c>
      <c r="J2056" s="115">
        <v>0</v>
      </c>
      <c r="K2056" s="115">
        <v>-192</v>
      </c>
    </row>
    <row r="2057" spans="1:11" x14ac:dyDescent="0.25">
      <c r="B2057" s="115" t="s">
        <v>1241</v>
      </c>
      <c r="D2057" s="115" t="s">
        <v>9665</v>
      </c>
      <c r="E2057" s="115" t="s">
        <v>2725</v>
      </c>
      <c r="F2057" s="115">
        <v>0</v>
      </c>
      <c r="G2057" s="115">
        <v>-746</v>
      </c>
      <c r="H2057" s="115">
        <v>0</v>
      </c>
      <c r="I2057" s="115">
        <v>0</v>
      </c>
      <c r="J2057" s="115">
        <v>275</v>
      </c>
      <c r="K2057" s="115">
        <v>0</v>
      </c>
    </row>
    <row r="2058" spans="1:11" x14ac:dyDescent="0.25">
      <c r="A2058" s="115" t="s">
        <v>1239</v>
      </c>
      <c r="B2058" s="115" t="s">
        <v>2726</v>
      </c>
      <c r="D2058" s="115" t="s">
        <v>9666</v>
      </c>
      <c r="E2058" s="115" t="s">
        <v>2727</v>
      </c>
      <c r="F2058" s="115">
        <v>0</v>
      </c>
      <c r="G2058" s="115">
        <v>0</v>
      </c>
      <c r="H2058" s="115">
        <v>0</v>
      </c>
      <c r="I2058" s="115">
        <v>0</v>
      </c>
      <c r="J2058" s="115">
        <v>-140</v>
      </c>
      <c r="K2058" s="115">
        <v>0</v>
      </c>
    </row>
    <row r="2059" spans="1:11" x14ac:dyDescent="0.25">
      <c r="A2059" s="115" t="s">
        <v>1239</v>
      </c>
      <c r="B2059" s="115" t="s">
        <v>2728</v>
      </c>
      <c r="D2059" s="115" t="s">
        <v>9667</v>
      </c>
      <c r="E2059" s="115" t="s">
        <v>2729</v>
      </c>
      <c r="F2059" s="115">
        <v>-7093</v>
      </c>
      <c r="G2059" s="115">
        <v>-3431</v>
      </c>
      <c r="H2059" s="115">
        <v>4614</v>
      </c>
      <c r="I2059" s="115">
        <v>0</v>
      </c>
      <c r="J2059" s="115">
        <v>0</v>
      </c>
      <c r="K2059" s="115">
        <v>0</v>
      </c>
    </row>
    <row r="2060" spans="1:11" x14ac:dyDescent="0.25">
      <c r="A2060" s="115">
        <v>8</v>
      </c>
      <c r="B2060" s="115" t="s">
        <v>2730</v>
      </c>
      <c r="D2060" s="115" t="s">
        <v>9668</v>
      </c>
      <c r="E2060" s="115" t="s">
        <v>2731</v>
      </c>
      <c r="F2060" s="115">
        <v>978</v>
      </c>
      <c r="G2060" s="115">
        <v>0</v>
      </c>
      <c r="H2060" s="115">
        <v>272</v>
      </c>
      <c r="I2060" s="115">
        <v>0</v>
      </c>
      <c r="J2060" s="115">
        <v>0</v>
      </c>
      <c r="K2060" s="115">
        <v>23816</v>
      </c>
    </row>
    <row r="2061" spans="1:11" x14ac:dyDescent="0.25">
      <c r="B2061" s="115" t="s">
        <v>2732</v>
      </c>
      <c r="D2061" s="115" t="s">
        <v>8710</v>
      </c>
      <c r="E2061" s="115" t="s">
        <v>1242</v>
      </c>
      <c r="F2061" s="115">
        <v>0</v>
      </c>
      <c r="G2061" s="115">
        <v>0</v>
      </c>
      <c r="H2061" s="115">
        <v>0</v>
      </c>
      <c r="I2061" s="115">
        <v>0</v>
      </c>
      <c r="J2061" s="115">
        <v>0</v>
      </c>
      <c r="K2061" s="115">
        <v>0</v>
      </c>
    </row>
    <row r="2062" spans="1:11" x14ac:dyDescent="0.25">
      <c r="B2062" s="115" t="s">
        <v>1241</v>
      </c>
      <c r="D2062" s="115" t="s">
        <v>8710</v>
      </c>
      <c r="E2062" s="115" t="s">
        <v>1242</v>
      </c>
      <c r="F2062" s="115">
        <v>0</v>
      </c>
      <c r="G2062" s="115">
        <v>0</v>
      </c>
      <c r="H2062" s="115">
        <v>0</v>
      </c>
      <c r="I2062" s="115">
        <v>0</v>
      </c>
      <c r="J2062" s="115">
        <v>0</v>
      </c>
      <c r="K2062" s="115">
        <v>0</v>
      </c>
    </row>
    <row r="2063" spans="1:11" x14ac:dyDescent="0.25">
      <c r="B2063" s="115" t="s">
        <v>1241</v>
      </c>
      <c r="D2063" s="115" t="s">
        <v>8710</v>
      </c>
      <c r="E2063" s="115" t="s">
        <v>1242</v>
      </c>
      <c r="F2063" s="115">
        <v>0</v>
      </c>
      <c r="G2063" s="115">
        <v>0</v>
      </c>
      <c r="H2063" s="115">
        <v>0</v>
      </c>
      <c r="I2063" s="115">
        <v>0</v>
      </c>
      <c r="J2063" s="115">
        <v>0</v>
      </c>
      <c r="K2063" s="115">
        <v>0</v>
      </c>
    </row>
    <row r="2064" spans="1:11" x14ac:dyDescent="0.25">
      <c r="B2064" s="115" t="s">
        <v>1241</v>
      </c>
      <c r="D2064" s="115" t="s">
        <v>8710</v>
      </c>
      <c r="E2064" s="115" t="s">
        <v>1242</v>
      </c>
      <c r="F2064" s="115">
        <v>0</v>
      </c>
      <c r="G2064" s="115">
        <v>0</v>
      </c>
      <c r="H2064" s="115">
        <v>0</v>
      </c>
      <c r="I2064" s="115">
        <v>0</v>
      </c>
      <c r="J2064" s="115">
        <v>0</v>
      </c>
      <c r="K2064" s="115">
        <v>0</v>
      </c>
    </row>
    <row r="2065" spans="2:11" x14ac:dyDescent="0.25">
      <c r="B2065" s="115" t="s">
        <v>1241</v>
      </c>
      <c r="D2065" s="115" t="s">
        <v>8710</v>
      </c>
      <c r="E2065" s="115" t="s">
        <v>1242</v>
      </c>
      <c r="F2065" s="115">
        <v>0</v>
      </c>
      <c r="G2065" s="115">
        <v>0</v>
      </c>
      <c r="H2065" s="115">
        <v>0</v>
      </c>
      <c r="I2065" s="115">
        <v>0</v>
      </c>
      <c r="J2065" s="115">
        <v>0</v>
      </c>
      <c r="K2065" s="115">
        <v>0</v>
      </c>
    </row>
    <row r="2066" spans="2:11" x14ac:dyDescent="0.25">
      <c r="B2066" s="115" t="s">
        <v>1241</v>
      </c>
      <c r="D2066" s="115" t="s">
        <v>8710</v>
      </c>
      <c r="E2066" s="115" t="s">
        <v>1242</v>
      </c>
      <c r="F2066" s="115">
        <v>0</v>
      </c>
      <c r="G2066" s="115">
        <v>0</v>
      </c>
      <c r="H2066" s="115">
        <v>0</v>
      </c>
      <c r="I2066" s="115">
        <v>0</v>
      </c>
      <c r="J2066" s="115">
        <v>0</v>
      </c>
      <c r="K2066" s="115">
        <v>0</v>
      </c>
    </row>
    <row r="2067" spans="2:11" x14ac:dyDescent="0.25">
      <c r="B2067" s="115" t="s">
        <v>1241</v>
      </c>
      <c r="D2067" s="115" t="s">
        <v>8710</v>
      </c>
      <c r="E2067" s="115" t="s">
        <v>1242</v>
      </c>
      <c r="F2067" s="115">
        <v>0</v>
      </c>
      <c r="G2067" s="115">
        <v>0</v>
      </c>
      <c r="H2067" s="115">
        <v>0</v>
      </c>
      <c r="I2067" s="115">
        <v>0</v>
      </c>
      <c r="J2067" s="115">
        <v>0</v>
      </c>
      <c r="K2067" s="115">
        <v>0</v>
      </c>
    </row>
    <row r="2068" spans="2:11" x14ac:dyDescent="0.25">
      <c r="B2068" s="115" t="s">
        <v>1241</v>
      </c>
      <c r="D2068" s="115" t="s">
        <v>8710</v>
      </c>
      <c r="E2068" s="115" t="s">
        <v>1242</v>
      </c>
      <c r="F2068" s="115">
        <v>0</v>
      </c>
      <c r="G2068" s="115">
        <v>0</v>
      </c>
      <c r="H2068" s="115">
        <v>0</v>
      </c>
      <c r="I2068" s="115">
        <v>0</v>
      </c>
      <c r="J2068" s="115">
        <v>0</v>
      </c>
      <c r="K2068" s="115">
        <v>0</v>
      </c>
    </row>
    <row r="2069" spans="2:11" x14ac:dyDescent="0.25">
      <c r="B2069" s="115" t="s">
        <v>1241</v>
      </c>
      <c r="D2069" s="115" t="s">
        <v>8710</v>
      </c>
      <c r="E2069" s="115" t="s">
        <v>1242</v>
      </c>
      <c r="F2069" s="115">
        <v>0</v>
      </c>
      <c r="G2069" s="115">
        <v>0</v>
      </c>
      <c r="H2069" s="115">
        <v>0</v>
      </c>
      <c r="I2069" s="115">
        <v>0</v>
      </c>
      <c r="J2069" s="115">
        <v>0</v>
      </c>
      <c r="K2069" s="115">
        <v>0</v>
      </c>
    </row>
    <row r="2070" spans="2:11" x14ac:dyDescent="0.25">
      <c r="B2070" s="115" t="s">
        <v>1241</v>
      </c>
      <c r="D2070" s="115" t="s">
        <v>8710</v>
      </c>
      <c r="E2070" s="115" t="s">
        <v>1242</v>
      </c>
      <c r="F2070" s="115">
        <v>0</v>
      </c>
      <c r="G2070" s="115">
        <v>0</v>
      </c>
      <c r="H2070" s="115">
        <v>0</v>
      </c>
      <c r="I2070" s="115">
        <v>0</v>
      </c>
      <c r="J2070" s="115">
        <v>0</v>
      </c>
      <c r="K2070" s="115">
        <v>0</v>
      </c>
    </row>
    <row r="2071" spans="2:11" x14ac:dyDescent="0.25">
      <c r="B2071" s="115" t="s">
        <v>1241</v>
      </c>
      <c r="D2071" s="115" t="s">
        <v>8710</v>
      </c>
      <c r="E2071" s="115" t="s">
        <v>1242</v>
      </c>
      <c r="F2071" s="115">
        <v>0</v>
      </c>
      <c r="G2071" s="115">
        <v>0</v>
      </c>
      <c r="H2071" s="115">
        <v>0</v>
      </c>
      <c r="I2071" s="115">
        <v>0</v>
      </c>
      <c r="J2071" s="115">
        <v>0</v>
      </c>
      <c r="K2071" s="115">
        <v>0</v>
      </c>
    </row>
    <row r="2072" spans="2:11" x14ac:dyDescent="0.25">
      <c r="B2072" s="115" t="s">
        <v>1241</v>
      </c>
      <c r="D2072" s="115" t="s">
        <v>8710</v>
      </c>
      <c r="E2072" s="115" t="s">
        <v>1242</v>
      </c>
      <c r="F2072" s="115">
        <v>0</v>
      </c>
      <c r="G2072" s="115">
        <v>0</v>
      </c>
      <c r="H2072" s="115">
        <v>0</v>
      </c>
      <c r="I2072" s="115">
        <v>0</v>
      </c>
      <c r="J2072" s="115">
        <v>0</v>
      </c>
      <c r="K2072" s="115">
        <v>0</v>
      </c>
    </row>
    <row r="2073" spans="2:11" x14ac:dyDescent="0.25">
      <c r="B2073" s="115" t="s">
        <v>1241</v>
      </c>
      <c r="D2073" s="115" t="s">
        <v>8710</v>
      </c>
      <c r="E2073" s="115" t="s">
        <v>1242</v>
      </c>
      <c r="F2073" s="115">
        <v>0</v>
      </c>
      <c r="G2073" s="115">
        <v>0</v>
      </c>
      <c r="H2073" s="115">
        <v>0</v>
      </c>
      <c r="I2073" s="115">
        <v>0</v>
      </c>
      <c r="J2073" s="115">
        <v>0</v>
      </c>
      <c r="K2073" s="115">
        <v>0</v>
      </c>
    </row>
    <row r="2074" spans="2:11" x14ac:dyDescent="0.25">
      <c r="B2074" s="115" t="s">
        <v>1241</v>
      </c>
      <c r="D2074" s="115" t="s">
        <v>8710</v>
      </c>
      <c r="E2074" s="115" t="s">
        <v>1242</v>
      </c>
      <c r="F2074" s="115">
        <v>0</v>
      </c>
      <c r="G2074" s="115">
        <v>0</v>
      </c>
      <c r="H2074" s="115">
        <v>0</v>
      </c>
      <c r="I2074" s="115">
        <v>0</v>
      </c>
      <c r="J2074" s="115">
        <v>0</v>
      </c>
      <c r="K2074" s="115">
        <v>0</v>
      </c>
    </row>
    <row r="2075" spans="2:11" x14ac:dyDescent="0.25">
      <c r="B2075" s="115" t="s">
        <v>1241</v>
      </c>
      <c r="D2075" s="115" t="s">
        <v>8710</v>
      </c>
      <c r="E2075" s="115" t="s">
        <v>1242</v>
      </c>
      <c r="F2075" s="115">
        <v>0</v>
      </c>
      <c r="G2075" s="115">
        <v>0</v>
      </c>
      <c r="H2075" s="115">
        <v>0</v>
      </c>
      <c r="I2075" s="115">
        <v>0</v>
      </c>
      <c r="J2075" s="115">
        <v>0</v>
      </c>
      <c r="K2075" s="115">
        <v>0</v>
      </c>
    </row>
    <row r="2076" spans="2:11" x14ac:dyDescent="0.25">
      <c r="B2076" s="115" t="s">
        <v>1241</v>
      </c>
      <c r="D2076" s="115" t="s">
        <v>8710</v>
      </c>
      <c r="E2076" s="115" t="s">
        <v>1242</v>
      </c>
      <c r="F2076" s="115">
        <v>0</v>
      </c>
      <c r="G2076" s="115">
        <v>0</v>
      </c>
      <c r="H2076" s="115">
        <v>0</v>
      </c>
      <c r="I2076" s="115">
        <v>0</v>
      </c>
      <c r="J2076" s="115">
        <v>0</v>
      </c>
      <c r="K2076" s="115">
        <v>0</v>
      </c>
    </row>
    <row r="2077" spans="2:11" x14ac:dyDescent="0.25">
      <c r="B2077" s="115" t="s">
        <v>1241</v>
      </c>
      <c r="D2077" s="115" t="s">
        <v>8710</v>
      </c>
      <c r="E2077" s="115" t="s">
        <v>1242</v>
      </c>
      <c r="F2077" s="115">
        <v>0</v>
      </c>
      <c r="G2077" s="115">
        <v>0</v>
      </c>
      <c r="H2077" s="115">
        <v>0</v>
      </c>
      <c r="I2077" s="115">
        <v>0</v>
      </c>
      <c r="J2077" s="115">
        <v>0</v>
      </c>
      <c r="K2077" s="115">
        <v>0</v>
      </c>
    </row>
    <row r="2078" spans="2:11" x14ac:dyDescent="0.25">
      <c r="B2078" s="115" t="s">
        <v>1241</v>
      </c>
      <c r="D2078" s="115" t="s">
        <v>8710</v>
      </c>
      <c r="E2078" s="115" t="s">
        <v>1242</v>
      </c>
      <c r="F2078" s="115">
        <v>0</v>
      </c>
      <c r="G2078" s="115">
        <v>0</v>
      </c>
      <c r="H2078" s="115">
        <v>0</v>
      </c>
      <c r="I2078" s="115">
        <v>0</v>
      </c>
      <c r="J2078" s="115">
        <v>0</v>
      </c>
      <c r="K2078" s="115">
        <v>0</v>
      </c>
    </row>
    <row r="2079" spans="2:11" x14ac:dyDescent="0.25">
      <c r="B2079" s="115" t="s">
        <v>1241</v>
      </c>
      <c r="D2079" s="115" t="s">
        <v>8710</v>
      </c>
      <c r="E2079" s="115" t="s">
        <v>1242</v>
      </c>
      <c r="F2079" s="115">
        <v>0</v>
      </c>
      <c r="G2079" s="115">
        <v>0</v>
      </c>
      <c r="H2079" s="115">
        <v>0</v>
      </c>
      <c r="I2079" s="115">
        <v>0</v>
      </c>
      <c r="J2079" s="115">
        <v>0</v>
      </c>
      <c r="K2079" s="115">
        <v>0</v>
      </c>
    </row>
    <row r="2080" spans="2:11" x14ac:dyDescent="0.25">
      <c r="B2080" s="115" t="s">
        <v>1241</v>
      </c>
      <c r="D2080" s="115" t="s">
        <v>8710</v>
      </c>
      <c r="E2080" s="115" t="s">
        <v>1242</v>
      </c>
      <c r="F2080" s="115">
        <v>0</v>
      </c>
      <c r="G2080" s="115">
        <v>0</v>
      </c>
      <c r="H2080" s="115">
        <v>0</v>
      </c>
      <c r="I2080" s="115">
        <v>0</v>
      </c>
      <c r="J2080" s="115">
        <v>0</v>
      </c>
      <c r="K2080" s="115">
        <v>0</v>
      </c>
    </row>
    <row r="2081" spans="2:11" x14ac:dyDescent="0.25">
      <c r="B2081" s="115" t="s">
        <v>1241</v>
      </c>
      <c r="D2081" s="115" t="s">
        <v>8710</v>
      </c>
      <c r="E2081" s="115" t="s">
        <v>1242</v>
      </c>
      <c r="F2081" s="115">
        <v>0</v>
      </c>
      <c r="G2081" s="115">
        <v>0</v>
      </c>
      <c r="H2081" s="115">
        <v>0</v>
      </c>
      <c r="I2081" s="115">
        <v>0</v>
      </c>
      <c r="J2081" s="115">
        <v>0</v>
      </c>
      <c r="K2081" s="115">
        <v>0</v>
      </c>
    </row>
    <row r="2082" spans="2:11" x14ac:dyDescent="0.25">
      <c r="B2082" s="115" t="s">
        <v>1241</v>
      </c>
      <c r="D2082" s="115" t="s">
        <v>8710</v>
      </c>
      <c r="E2082" s="115" t="s">
        <v>1242</v>
      </c>
      <c r="F2082" s="115">
        <v>0</v>
      </c>
      <c r="G2082" s="115">
        <v>0</v>
      </c>
      <c r="H2082" s="115">
        <v>0</v>
      </c>
      <c r="I2082" s="115">
        <v>0</v>
      </c>
      <c r="J2082" s="115">
        <v>0</v>
      </c>
      <c r="K2082" s="115">
        <v>0</v>
      </c>
    </row>
    <row r="2083" spans="2:11" x14ac:dyDescent="0.25">
      <c r="B2083" s="115" t="s">
        <v>1241</v>
      </c>
      <c r="D2083" s="115" t="s">
        <v>8710</v>
      </c>
      <c r="E2083" s="115" t="s">
        <v>1242</v>
      </c>
      <c r="F2083" s="115">
        <v>0</v>
      </c>
      <c r="G2083" s="115">
        <v>0</v>
      </c>
      <c r="H2083" s="115">
        <v>0</v>
      </c>
      <c r="I2083" s="115">
        <v>0</v>
      </c>
      <c r="J2083" s="115">
        <v>0</v>
      </c>
      <c r="K2083" s="115">
        <v>0</v>
      </c>
    </row>
    <row r="2084" spans="2:11" x14ac:dyDescent="0.25">
      <c r="B2084" s="115" t="s">
        <v>1241</v>
      </c>
      <c r="D2084" s="115" t="s">
        <v>8710</v>
      </c>
      <c r="E2084" s="115" t="s">
        <v>1242</v>
      </c>
      <c r="F2084" s="115">
        <v>0</v>
      </c>
      <c r="G2084" s="115">
        <v>0</v>
      </c>
      <c r="H2084" s="115">
        <v>0</v>
      </c>
      <c r="I2084" s="115">
        <v>0</v>
      </c>
      <c r="J2084" s="115">
        <v>0</v>
      </c>
      <c r="K2084" s="115">
        <v>0</v>
      </c>
    </row>
    <row r="2085" spans="2:11" x14ac:dyDescent="0.25">
      <c r="B2085" s="115" t="s">
        <v>1241</v>
      </c>
      <c r="D2085" s="115" t="s">
        <v>8710</v>
      </c>
      <c r="E2085" s="115" t="s">
        <v>1242</v>
      </c>
      <c r="F2085" s="115">
        <v>0</v>
      </c>
      <c r="G2085" s="115">
        <v>0</v>
      </c>
      <c r="H2085" s="115">
        <v>0</v>
      </c>
      <c r="I2085" s="115">
        <v>0</v>
      </c>
      <c r="J2085" s="115">
        <v>0</v>
      </c>
      <c r="K2085" s="115">
        <v>0</v>
      </c>
    </row>
    <row r="2086" spans="2:11" x14ac:dyDescent="0.25">
      <c r="B2086" s="115" t="s">
        <v>1241</v>
      </c>
      <c r="D2086" s="115" t="s">
        <v>8710</v>
      </c>
      <c r="E2086" s="115" t="s">
        <v>1242</v>
      </c>
      <c r="F2086" s="115">
        <v>0</v>
      </c>
      <c r="G2086" s="115">
        <v>0</v>
      </c>
      <c r="H2086" s="115">
        <v>0</v>
      </c>
      <c r="I2086" s="115">
        <v>0</v>
      </c>
      <c r="J2086" s="115">
        <v>0</v>
      </c>
      <c r="K2086" s="115">
        <v>0</v>
      </c>
    </row>
    <row r="2087" spans="2:11" x14ac:dyDescent="0.25">
      <c r="B2087" s="115" t="s">
        <v>1241</v>
      </c>
      <c r="D2087" s="115" t="s">
        <v>8710</v>
      </c>
      <c r="E2087" s="115" t="s">
        <v>1242</v>
      </c>
      <c r="F2087" s="115">
        <v>0</v>
      </c>
      <c r="G2087" s="115">
        <v>0</v>
      </c>
      <c r="H2087" s="115">
        <v>0</v>
      </c>
      <c r="I2087" s="115">
        <v>0</v>
      </c>
      <c r="J2087" s="115">
        <v>0</v>
      </c>
      <c r="K2087" s="115">
        <v>0</v>
      </c>
    </row>
    <row r="2088" spans="2:11" x14ac:dyDescent="0.25">
      <c r="B2088" s="115" t="s">
        <v>1241</v>
      </c>
      <c r="D2088" s="115" t="s">
        <v>8710</v>
      </c>
      <c r="E2088" s="115" t="s">
        <v>1242</v>
      </c>
      <c r="F2088" s="115">
        <v>0</v>
      </c>
      <c r="G2088" s="115">
        <v>0</v>
      </c>
      <c r="H2088" s="115">
        <v>0</v>
      </c>
      <c r="I2088" s="115">
        <v>0</v>
      </c>
      <c r="J2088" s="115">
        <v>0</v>
      </c>
      <c r="K2088" s="115">
        <v>0</v>
      </c>
    </row>
    <row r="2089" spans="2:11" x14ac:dyDescent="0.25">
      <c r="B2089" s="115" t="s">
        <v>1241</v>
      </c>
      <c r="D2089" s="115" t="s">
        <v>8710</v>
      </c>
      <c r="E2089" s="115" t="s">
        <v>1242</v>
      </c>
      <c r="F2089" s="115">
        <v>0</v>
      </c>
      <c r="G2089" s="115">
        <v>0</v>
      </c>
      <c r="H2089" s="115">
        <v>0</v>
      </c>
      <c r="I2089" s="115">
        <v>0</v>
      </c>
      <c r="J2089" s="115">
        <v>0</v>
      </c>
      <c r="K2089" s="115">
        <v>0</v>
      </c>
    </row>
    <row r="2090" spans="2:11" x14ac:dyDescent="0.25">
      <c r="B2090" s="115" t="s">
        <v>1241</v>
      </c>
      <c r="D2090" s="115" t="s">
        <v>8710</v>
      </c>
      <c r="E2090" s="115" t="s">
        <v>1242</v>
      </c>
      <c r="F2090" s="115">
        <v>0</v>
      </c>
      <c r="G2090" s="115">
        <v>0</v>
      </c>
      <c r="H2090" s="115">
        <v>0</v>
      </c>
      <c r="I2090" s="115">
        <v>0</v>
      </c>
      <c r="J2090" s="115">
        <v>0</v>
      </c>
      <c r="K2090" s="115">
        <v>0</v>
      </c>
    </row>
    <row r="2091" spans="2:11" x14ac:dyDescent="0.25">
      <c r="B2091" s="115" t="s">
        <v>1241</v>
      </c>
      <c r="D2091" s="115" t="s">
        <v>8710</v>
      </c>
      <c r="E2091" s="115" t="s">
        <v>1242</v>
      </c>
      <c r="F2091" s="115">
        <v>0</v>
      </c>
      <c r="G2091" s="115">
        <v>0</v>
      </c>
      <c r="H2091" s="115">
        <v>0</v>
      </c>
      <c r="I2091" s="115">
        <v>0</v>
      </c>
      <c r="J2091" s="115">
        <v>0</v>
      </c>
      <c r="K2091" s="115">
        <v>0</v>
      </c>
    </row>
    <row r="2092" spans="2:11" x14ac:dyDescent="0.25">
      <c r="B2092" s="115" t="s">
        <v>1241</v>
      </c>
      <c r="D2092" s="115" t="s">
        <v>8710</v>
      </c>
      <c r="E2092" s="115" t="s">
        <v>1242</v>
      </c>
      <c r="F2092" s="115">
        <v>0</v>
      </c>
      <c r="G2092" s="115">
        <v>0</v>
      </c>
      <c r="H2092" s="115">
        <v>0</v>
      </c>
      <c r="I2092" s="115">
        <v>0</v>
      </c>
      <c r="J2092" s="115">
        <v>0</v>
      </c>
      <c r="K2092" s="115">
        <v>0</v>
      </c>
    </row>
    <row r="2093" spans="2:11" x14ac:dyDescent="0.25">
      <c r="B2093" s="115" t="s">
        <v>1241</v>
      </c>
      <c r="D2093" s="115" t="s">
        <v>8710</v>
      </c>
      <c r="E2093" s="115" t="s">
        <v>1242</v>
      </c>
      <c r="F2093" s="115">
        <v>0</v>
      </c>
      <c r="G2093" s="115">
        <v>0</v>
      </c>
      <c r="H2093" s="115">
        <v>0</v>
      </c>
      <c r="I2093" s="115">
        <v>0</v>
      </c>
      <c r="J2093" s="115">
        <v>0</v>
      </c>
      <c r="K2093" s="115">
        <v>0</v>
      </c>
    </row>
    <row r="2094" spans="2:11" x14ac:dyDescent="0.25">
      <c r="B2094" s="115" t="s">
        <v>1241</v>
      </c>
      <c r="D2094" s="115" t="s">
        <v>8710</v>
      </c>
      <c r="E2094" s="115" t="s">
        <v>1242</v>
      </c>
      <c r="F2094" s="115">
        <v>0</v>
      </c>
      <c r="G2094" s="115">
        <v>0</v>
      </c>
      <c r="H2094" s="115">
        <v>0</v>
      </c>
      <c r="I2094" s="115">
        <v>0</v>
      </c>
      <c r="J2094" s="115">
        <v>0</v>
      </c>
      <c r="K2094" s="115">
        <v>0</v>
      </c>
    </row>
    <row r="2095" spans="2:11" x14ac:dyDescent="0.25">
      <c r="B2095" s="115" t="s">
        <v>1241</v>
      </c>
      <c r="D2095" s="115" t="s">
        <v>8710</v>
      </c>
      <c r="E2095" s="115" t="s">
        <v>1242</v>
      </c>
      <c r="F2095" s="115">
        <v>0</v>
      </c>
      <c r="G2095" s="115">
        <v>0</v>
      </c>
      <c r="H2095" s="115">
        <v>0</v>
      </c>
      <c r="I2095" s="115">
        <v>0</v>
      </c>
      <c r="J2095" s="115">
        <v>0</v>
      </c>
      <c r="K2095" s="115">
        <v>0</v>
      </c>
    </row>
    <row r="2096" spans="2:11" x14ac:dyDescent="0.25">
      <c r="B2096" s="115" t="s">
        <v>1241</v>
      </c>
      <c r="D2096" s="115" t="s">
        <v>8710</v>
      </c>
      <c r="E2096" s="115" t="s">
        <v>1242</v>
      </c>
      <c r="F2096" s="115">
        <v>0</v>
      </c>
      <c r="G2096" s="115">
        <v>0</v>
      </c>
      <c r="H2096" s="115">
        <v>0</v>
      </c>
      <c r="I2096" s="115">
        <v>0</v>
      </c>
      <c r="J2096" s="115">
        <v>0</v>
      </c>
      <c r="K2096" s="115">
        <v>0</v>
      </c>
    </row>
    <row r="2097" spans="2:11" x14ac:dyDescent="0.25">
      <c r="B2097" s="115" t="s">
        <v>1241</v>
      </c>
      <c r="D2097" s="115" t="s">
        <v>8710</v>
      </c>
      <c r="E2097" s="115" t="s">
        <v>1242</v>
      </c>
      <c r="F2097" s="115">
        <v>0</v>
      </c>
      <c r="G2097" s="115">
        <v>0</v>
      </c>
      <c r="H2097" s="115">
        <v>0</v>
      </c>
      <c r="I2097" s="115">
        <v>0</v>
      </c>
      <c r="J2097" s="115">
        <v>0</v>
      </c>
      <c r="K2097" s="115">
        <v>0</v>
      </c>
    </row>
    <row r="2098" spans="2:11" x14ac:dyDescent="0.25">
      <c r="B2098" s="115" t="s">
        <v>1241</v>
      </c>
      <c r="D2098" s="115" t="s">
        <v>8710</v>
      </c>
      <c r="E2098" s="115" t="s">
        <v>1242</v>
      </c>
      <c r="F2098" s="115">
        <v>0</v>
      </c>
      <c r="G2098" s="115">
        <v>0</v>
      </c>
      <c r="H2098" s="115">
        <v>0</v>
      </c>
      <c r="I2098" s="115">
        <v>0</v>
      </c>
      <c r="J2098" s="115">
        <v>0</v>
      </c>
      <c r="K2098" s="115">
        <v>0</v>
      </c>
    </row>
    <row r="2099" spans="2:11" x14ac:dyDescent="0.25">
      <c r="B2099" s="115" t="s">
        <v>1241</v>
      </c>
      <c r="D2099" s="115" t="s">
        <v>8710</v>
      </c>
      <c r="E2099" s="115" t="s">
        <v>1242</v>
      </c>
      <c r="F2099" s="115">
        <v>0</v>
      </c>
      <c r="G2099" s="115">
        <v>0</v>
      </c>
      <c r="H2099" s="115">
        <v>0</v>
      </c>
      <c r="I2099" s="115">
        <v>0</v>
      </c>
      <c r="J2099" s="115">
        <v>0</v>
      </c>
      <c r="K2099" s="115">
        <v>0</v>
      </c>
    </row>
    <row r="2100" spans="2:11" x14ac:dyDescent="0.25">
      <c r="B2100" s="115" t="s">
        <v>1241</v>
      </c>
      <c r="D2100" s="115" t="s">
        <v>8710</v>
      </c>
      <c r="E2100" s="115" t="s">
        <v>1242</v>
      </c>
      <c r="F2100" s="115">
        <v>0</v>
      </c>
      <c r="G2100" s="115">
        <v>0</v>
      </c>
      <c r="H2100" s="115">
        <v>0</v>
      </c>
      <c r="I2100" s="115">
        <v>0</v>
      </c>
      <c r="J2100" s="115">
        <v>0</v>
      </c>
      <c r="K2100" s="115">
        <v>0</v>
      </c>
    </row>
    <row r="2101" spans="2:11" x14ac:dyDescent="0.25">
      <c r="B2101" s="115" t="s">
        <v>1241</v>
      </c>
      <c r="D2101" s="115" t="s">
        <v>8710</v>
      </c>
      <c r="E2101" s="115" t="s">
        <v>1242</v>
      </c>
      <c r="F2101" s="115">
        <v>0</v>
      </c>
      <c r="G2101" s="115">
        <v>0</v>
      </c>
      <c r="H2101" s="115">
        <v>0</v>
      </c>
      <c r="I2101" s="115">
        <v>0</v>
      </c>
      <c r="J2101" s="115">
        <v>0</v>
      </c>
      <c r="K2101" s="115">
        <v>0</v>
      </c>
    </row>
    <row r="2102" spans="2:11" x14ac:dyDescent="0.25">
      <c r="B2102" s="115" t="s">
        <v>1241</v>
      </c>
      <c r="D2102" s="115" t="s">
        <v>8710</v>
      </c>
      <c r="E2102" s="115" t="s">
        <v>1242</v>
      </c>
      <c r="F2102" s="115">
        <v>0</v>
      </c>
      <c r="G2102" s="115">
        <v>0</v>
      </c>
      <c r="H2102" s="115">
        <v>0</v>
      </c>
      <c r="I2102" s="115">
        <v>0</v>
      </c>
      <c r="J2102" s="115">
        <v>0</v>
      </c>
      <c r="K2102" s="115">
        <v>0</v>
      </c>
    </row>
    <row r="2103" spans="2:11" x14ac:dyDescent="0.25">
      <c r="B2103" s="115" t="s">
        <v>1241</v>
      </c>
      <c r="D2103" s="115" t="s">
        <v>8710</v>
      </c>
      <c r="E2103" s="115" t="s">
        <v>1242</v>
      </c>
      <c r="F2103" s="115">
        <v>0</v>
      </c>
      <c r="G2103" s="115">
        <v>0</v>
      </c>
      <c r="H2103" s="115">
        <v>0</v>
      </c>
      <c r="I2103" s="115">
        <v>0</v>
      </c>
      <c r="J2103" s="115">
        <v>0</v>
      </c>
      <c r="K2103" s="115">
        <v>0</v>
      </c>
    </row>
    <row r="2104" spans="2:11" x14ac:dyDescent="0.25">
      <c r="B2104" s="115" t="s">
        <v>1241</v>
      </c>
      <c r="D2104" s="115" t="s">
        <v>8710</v>
      </c>
      <c r="E2104" s="115" t="s">
        <v>1242</v>
      </c>
      <c r="F2104" s="115">
        <v>0</v>
      </c>
      <c r="G2104" s="115">
        <v>0</v>
      </c>
      <c r="H2104" s="115">
        <v>0</v>
      </c>
      <c r="I2104" s="115">
        <v>0</v>
      </c>
      <c r="J2104" s="115">
        <v>0</v>
      </c>
      <c r="K2104" s="115">
        <v>0</v>
      </c>
    </row>
    <row r="2105" spans="2:11" x14ac:dyDescent="0.25">
      <c r="B2105" s="115" t="s">
        <v>1241</v>
      </c>
      <c r="D2105" s="115" t="s">
        <v>8710</v>
      </c>
      <c r="E2105" s="115" t="s">
        <v>1242</v>
      </c>
      <c r="F2105" s="115">
        <v>0</v>
      </c>
      <c r="G2105" s="115">
        <v>0</v>
      </c>
      <c r="H2105" s="115">
        <v>0</v>
      </c>
      <c r="I2105" s="115">
        <v>0</v>
      </c>
      <c r="J2105" s="115">
        <v>0</v>
      </c>
      <c r="K2105" s="115">
        <v>0</v>
      </c>
    </row>
    <row r="2106" spans="2:11" x14ac:dyDescent="0.25">
      <c r="B2106" s="115" t="s">
        <v>1241</v>
      </c>
      <c r="D2106" s="115" t="s">
        <v>8710</v>
      </c>
      <c r="E2106" s="115" t="s">
        <v>1242</v>
      </c>
      <c r="F2106" s="115">
        <v>0</v>
      </c>
      <c r="G2106" s="115">
        <v>0</v>
      </c>
      <c r="H2106" s="115">
        <v>0</v>
      </c>
      <c r="I2106" s="115">
        <v>0</v>
      </c>
      <c r="J2106" s="115">
        <v>0</v>
      </c>
      <c r="K2106" s="115">
        <v>0</v>
      </c>
    </row>
    <row r="2107" spans="2:11" x14ac:dyDescent="0.25">
      <c r="B2107" s="115" t="s">
        <v>1241</v>
      </c>
      <c r="D2107" s="115" t="s">
        <v>8710</v>
      </c>
      <c r="E2107" s="115" t="s">
        <v>1242</v>
      </c>
      <c r="F2107" s="115">
        <v>0</v>
      </c>
      <c r="G2107" s="115">
        <v>0</v>
      </c>
      <c r="H2107" s="115">
        <v>0</v>
      </c>
      <c r="I2107" s="115">
        <v>0</v>
      </c>
      <c r="J2107" s="115">
        <v>0</v>
      </c>
      <c r="K2107" s="115">
        <v>0</v>
      </c>
    </row>
    <row r="2108" spans="2:11" x14ac:dyDescent="0.25">
      <c r="B2108" s="115" t="s">
        <v>1241</v>
      </c>
      <c r="D2108" s="115" t="s">
        <v>8710</v>
      </c>
      <c r="E2108" s="115" t="s">
        <v>1242</v>
      </c>
      <c r="F2108" s="115">
        <v>0</v>
      </c>
      <c r="G2108" s="115">
        <v>0</v>
      </c>
      <c r="H2108" s="115">
        <v>0</v>
      </c>
      <c r="I2108" s="115">
        <v>0</v>
      </c>
      <c r="J2108" s="115">
        <v>0</v>
      </c>
      <c r="K2108" s="115">
        <v>0</v>
      </c>
    </row>
    <row r="2109" spans="2:11" x14ac:dyDescent="0.25">
      <c r="B2109" s="115" t="s">
        <v>1241</v>
      </c>
      <c r="D2109" s="115" t="s">
        <v>8710</v>
      </c>
      <c r="E2109" s="115" t="s">
        <v>1242</v>
      </c>
      <c r="F2109" s="115">
        <v>0</v>
      </c>
      <c r="G2109" s="115">
        <v>0</v>
      </c>
      <c r="H2109" s="115">
        <v>0</v>
      </c>
      <c r="I2109" s="115">
        <v>0</v>
      </c>
      <c r="J2109" s="115">
        <v>0</v>
      </c>
      <c r="K2109" s="115">
        <v>0</v>
      </c>
    </row>
    <row r="2110" spans="2:11" x14ac:dyDescent="0.25">
      <c r="B2110" s="115" t="s">
        <v>1241</v>
      </c>
      <c r="D2110" s="115" t="s">
        <v>8710</v>
      </c>
      <c r="E2110" s="115" t="s">
        <v>1242</v>
      </c>
      <c r="F2110" s="115">
        <v>0</v>
      </c>
      <c r="G2110" s="115">
        <v>0</v>
      </c>
      <c r="H2110" s="115">
        <v>0</v>
      </c>
      <c r="I2110" s="115">
        <v>0</v>
      </c>
      <c r="J2110" s="115">
        <v>0</v>
      </c>
      <c r="K2110" s="115">
        <v>0</v>
      </c>
    </row>
    <row r="2111" spans="2:11" x14ac:dyDescent="0.25">
      <c r="B2111" s="115" t="s">
        <v>1241</v>
      </c>
      <c r="D2111" s="115" t="s">
        <v>8710</v>
      </c>
      <c r="E2111" s="115" t="s">
        <v>1242</v>
      </c>
      <c r="F2111" s="115">
        <v>0</v>
      </c>
      <c r="G2111" s="115">
        <v>0</v>
      </c>
      <c r="H2111" s="115">
        <v>0</v>
      </c>
      <c r="I2111" s="115">
        <v>0</v>
      </c>
      <c r="J2111" s="115">
        <v>0</v>
      </c>
      <c r="K2111" s="115">
        <v>0</v>
      </c>
    </row>
    <row r="2112" spans="2:11" x14ac:dyDescent="0.25">
      <c r="B2112" s="115" t="s">
        <v>1241</v>
      </c>
      <c r="D2112" s="115" t="s">
        <v>8710</v>
      </c>
      <c r="E2112" s="115" t="s">
        <v>1242</v>
      </c>
      <c r="F2112" s="115">
        <v>0</v>
      </c>
      <c r="G2112" s="115">
        <v>0</v>
      </c>
      <c r="H2112" s="115">
        <v>0</v>
      </c>
      <c r="I2112" s="115">
        <v>0</v>
      </c>
      <c r="J2112" s="115">
        <v>0</v>
      </c>
      <c r="K2112" s="115">
        <v>0</v>
      </c>
    </row>
    <row r="2113" spans="2:11" x14ac:dyDescent="0.25">
      <c r="B2113" s="115" t="s">
        <v>1241</v>
      </c>
      <c r="D2113" s="115" t="s">
        <v>8710</v>
      </c>
      <c r="E2113" s="115" t="s">
        <v>1242</v>
      </c>
      <c r="F2113" s="115">
        <v>0</v>
      </c>
      <c r="G2113" s="115">
        <v>0</v>
      </c>
      <c r="H2113" s="115">
        <v>0</v>
      </c>
      <c r="I2113" s="115">
        <v>0</v>
      </c>
      <c r="J2113" s="115">
        <v>0</v>
      </c>
      <c r="K2113" s="115">
        <v>0</v>
      </c>
    </row>
    <row r="2114" spans="2:11" x14ac:dyDescent="0.25">
      <c r="B2114" s="115" t="s">
        <v>1241</v>
      </c>
      <c r="D2114" s="115" t="s">
        <v>8710</v>
      </c>
      <c r="E2114" s="115" t="s">
        <v>1242</v>
      </c>
      <c r="F2114" s="115">
        <v>0</v>
      </c>
      <c r="G2114" s="115">
        <v>0</v>
      </c>
      <c r="H2114" s="115">
        <v>0</v>
      </c>
      <c r="I2114" s="115">
        <v>0</v>
      </c>
      <c r="J2114" s="115">
        <v>0</v>
      </c>
      <c r="K2114" s="115">
        <v>0</v>
      </c>
    </row>
    <row r="2115" spans="2:11" x14ac:dyDescent="0.25">
      <c r="B2115" s="115" t="s">
        <v>1241</v>
      </c>
      <c r="D2115" s="115" t="s">
        <v>8710</v>
      </c>
      <c r="E2115" s="115" t="s">
        <v>1242</v>
      </c>
      <c r="F2115" s="115">
        <v>0</v>
      </c>
      <c r="G2115" s="115">
        <v>0</v>
      </c>
      <c r="H2115" s="115">
        <v>0</v>
      </c>
      <c r="I2115" s="115">
        <v>0</v>
      </c>
      <c r="J2115" s="115">
        <v>0</v>
      </c>
      <c r="K2115" s="115">
        <v>0</v>
      </c>
    </row>
    <row r="2116" spans="2:11" x14ac:dyDescent="0.25">
      <c r="B2116" s="115" t="s">
        <v>1241</v>
      </c>
      <c r="D2116" s="115" t="s">
        <v>8710</v>
      </c>
      <c r="E2116" s="115" t="s">
        <v>1242</v>
      </c>
      <c r="F2116" s="115">
        <v>0</v>
      </c>
      <c r="G2116" s="115">
        <v>0</v>
      </c>
      <c r="H2116" s="115">
        <v>0</v>
      </c>
      <c r="I2116" s="115">
        <v>0</v>
      </c>
      <c r="J2116" s="115">
        <v>0</v>
      </c>
      <c r="K2116" s="115">
        <v>0</v>
      </c>
    </row>
    <row r="2117" spans="2:11" x14ac:dyDescent="0.25">
      <c r="B2117" s="115" t="s">
        <v>1241</v>
      </c>
      <c r="D2117" s="115" t="s">
        <v>8710</v>
      </c>
      <c r="E2117" s="115" t="s">
        <v>1242</v>
      </c>
      <c r="F2117" s="115">
        <v>0</v>
      </c>
      <c r="G2117" s="115">
        <v>0</v>
      </c>
      <c r="H2117" s="115">
        <v>0</v>
      </c>
      <c r="I2117" s="115">
        <v>0</v>
      </c>
      <c r="J2117" s="115">
        <v>0</v>
      </c>
      <c r="K2117" s="115">
        <v>0</v>
      </c>
    </row>
    <row r="2118" spans="2:11" x14ac:dyDescent="0.25">
      <c r="B2118" s="115" t="s">
        <v>1241</v>
      </c>
      <c r="D2118" s="115" t="s">
        <v>8710</v>
      </c>
      <c r="E2118" s="115" t="s">
        <v>1242</v>
      </c>
      <c r="F2118" s="115">
        <v>0</v>
      </c>
      <c r="G2118" s="115">
        <v>0</v>
      </c>
      <c r="H2118" s="115">
        <v>0</v>
      </c>
      <c r="I2118" s="115">
        <v>0</v>
      </c>
      <c r="J2118" s="115">
        <v>0</v>
      </c>
      <c r="K2118" s="115">
        <v>0</v>
      </c>
    </row>
    <row r="2119" spans="2:11" x14ac:dyDescent="0.25">
      <c r="B2119" s="115" t="s">
        <v>1241</v>
      </c>
      <c r="D2119" s="115" t="s">
        <v>8710</v>
      </c>
      <c r="E2119" s="115" t="s">
        <v>1242</v>
      </c>
      <c r="F2119" s="115">
        <v>0</v>
      </c>
      <c r="G2119" s="115">
        <v>0</v>
      </c>
      <c r="H2119" s="115">
        <v>0</v>
      </c>
      <c r="I2119" s="115">
        <v>0</v>
      </c>
      <c r="J2119" s="115">
        <v>0</v>
      </c>
      <c r="K2119" s="115">
        <v>0</v>
      </c>
    </row>
    <row r="2120" spans="2:11" x14ac:dyDescent="0.25">
      <c r="B2120" s="115" t="s">
        <v>1241</v>
      </c>
      <c r="D2120" s="115" t="s">
        <v>8710</v>
      </c>
      <c r="E2120" s="115" t="s">
        <v>1242</v>
      </c>
      <c r="F2120" s="115">
        <v>0</v>
      </c>
      <c r="G2120" s="115">
        <v>0</v>
      </c>
      <c r="H2120" s="115">
        <v>0</v>
      </c>
      <c r="I2120" s="115">
        <v>0</v>
      </c>
      <c r="J2120" s="115">
        <v>0</v>
      </c>
      <c r="K2120" s="115">
        <v>0</v>
      </c>
    </row>
    <row r="2121" spans="2:11" x14ac:dyDescent="0.25">
      <c r="B2121" s="115" t="s">
        <v>1241</v>
      </c>
      <c r="D2121" s="115" t="s">
        <v>8710</v>
      </c>
      <c r="E2121" s="115" t="s">
        <v>1242</v>
      </c>
      <c r="F2121" s="115">
        <v>0</v>
      </c>
      <c r="G2121" s="115">
        <v>0</v>
      </c>
      <c r="H2121" s="115">
        <v>0</v>
      </c>
      <c r="I2121" s="115">
        <v>0</v>
      </c>
      <c r="J2121" s="115">
        <v>0</v>
      </c>
      <c r="K2121" s="115">
        <v>0</v>
      </c>
    </row>
    <row r="2122" spans="2:11" x14ac:dyDescent="0.25">
      <c r="B2122" s="115" t="s">
        <v>1241</v>
      </c>
      <c r="D2122" s="115" t="s">
        <v>8710</v>
      </c>
      <c r="E2122" s="115" t="s">
        <v>1242</v>
      </c>
      <c r="F2122" s="115">
        <v>0</v>
      </c>
      <c r="G2122" s="115">
        <v>0</v>
      </c>
      <c r="H2122" s="115">
        <v>0</v>
      </c>
      <c r="I2122" s="115">
        <v>0</v>
      </c>
      <c r="J2122" s="115">
        <v>0</v>
      </c>
      <c r="K2122" s="115">
        <v>0</v>
      </c>
    </row>
    <row r="2123" spans="2:11" x14ac:dyDescent="0.25">
      <c r="B2123" s="115" t="s">
        <v>1241</v>
      </c>
      <c r="D2123" s="115" t="s">
        <v>8710</v>
      </c>
      <c r="E2123" s="115" t="s">
        <v>1242</v>
      </c>
      <c r="F2123" s="115">
        <v>0</v>
      </c>
      <c r="G2123" s="115">
        <v>0</v>
      </c>
      <c r="H2123" s="115">
        <v>0</v>
      </c>
      <c r="I2123" s="115">
        <v>0</v>
      </c>
      <c r="J2123" s="115">
        <v>0</v>
      </c>
      <c r="K2123" s="115">
        <v>0</v>
      </c>
    </row>
    <row r="2124" spans="2:11" x14ac:dyDescent="0.25">
      <c r="B2124" s="115" t="s">
        <v>1241</v>
      </c>
      <c r="D2124" s="115" t="s">
        <v>8710</v>
      </c>
      <c r="E2124" s="115" t="s">
        <v>1242</v>
      </c>
      <c r="F2124" s="115">
        <v>0</v>
      </c>
      <c r="G2124" s="115">
        <v>0</v>
      </c>
      <c r="H2124" s="115">
        <v>0</v>
      </c>
      <c r="I2124" s="115">
        <v>0</v>
      </c>
      <c r="J2124" s="115">
        <v>0</v>
      </c>
      <c r="K2124" s="115">
        <v>0</v>
      </c>
    </row>
    <row r="2125" spans="2:11" x14ac:dyDescent="0.25">
      <c r="B2125" s="115" t="s">
        <v>1241</v>
      </c>
      <c r="D2125" s="115" t="s">
        <v>8710</v>
      </c>
      <c r="E2125" s="115" t="s">
        <v>1242</v>
      </c>
      <c r="F2125" s="115">
        <v>0</v>
      </c>
      <c r="G2125" s="115">
        <v>0</v>
      </c>
      <c r="H2125" s="115">
        <v>0</v>
      </c>
      <c r="I2125" s="115">
        <v>0</v>
      </c>
      <c r="J2125" s="115">
        <v>0</v>
      </c>
      <c r="K2125" s="115">
        <v>0</v>
      </c>
    </row>
    <row r="2126" spans="2:11" x14ac:dyDescent="0.25">
      <c r="B2126" s="115" t="s">
        <v>1241</v>
      </c>
      <c r="D2126" s="115" t="s">
        <v>8710</v>
      </c>
      <c r="E2126" s="115" t="s">
        <v>1242</v>
      </c>
      <c r="F2126" s="115">
        <v>0</v>
      </c>
      <c r="G2126" s="115">
        <v>0</v>
      </c>
      <c r="H2126" s="115">
        <v>0</v>
      </c>
      <c r="I2126" s="115">
        <v>0</v>
      </c>
      <c r="J2126" s="115">
        <v>0</v>
      </c>
      <c r="K2126" s="115">
        <v>0</v>
      </c>
    </row>
    <row r="2127" spans="2:11" x14ac:dyDescent="0.25">
      <c r="B2127" s="115" t="s">
        <v>1241</v>
      </c>
      <c r="D2127" s="115" t="s">
        <v>8710</v>
      </c>
      <c r="E2127" s="115" t="s">
        <v>1242</v>
      </c>
      <c r="F2127" s="115">
        <v>0</v>
      </c>
      <c r="G2127" s="115">
        <v>0</v>
      </c>
      <c r="H2127" s="115">
        <v>0</v>
      </c>
      <c r="I2127" s="115">
        <v>0</v>
      </c>
      <c r="J2127" s="115">
        <v>0</v>
      </c>
      <c r="K2127" s="115">
        <v>0</v>
      </c>
    </row>
    <row r="2128" spans="2:11" x14ac:dyDescent="0.25">
      <c r="B2128" s="115" t="s">
        <v>1241</v>
      </c>
      <c r="D2128" s="115" t="s">
        <v>8710</v>
      </c>
      <c r="E2128" s="115" t="s">
        <v>1242</v>
      </c>
      <c r="F2128" s="115">
        <v>0</v>
      </c>
      <c r="G2128" s="115">
        <v>0</v>
      </c>
      <c r="H2128" s="115">
        <v>0</v>
      </c>
      <c r="I2128" s="115">
        <v>0</v>
      </c>
      <c r="J2128" s="115">
        <v>0</v>
      </c>
      <c r="K2128" s="115">
        <v>0</v>
      </c>
    </row>
    <row r="2129" spans="2:11" x14ac:dyDescent="0.25">
      <c r="B2129" s="115" t="s">
        <v>1241</v>
      </c>
      <c r="D2129" s="115" t="s">
        <v>8710</v>
      </c>
      <c r="E2129" s="115" t="s">
        <v>1242</v>
      </c>
      <c r="F2129" s="115">
        <v>0</v>
      </c>
      <c r="G2129" s="115">
        <v>0</v>
      </c>
      <c r="H2129" s="115">
        <v>0</v>
      </c>
      <c r="I2129" s="115">
        <v>0</v>
      </c>
      <c r="J2129" s="115">
        <v>0</v>
      </c>
      <c r="K2129" s="115">
        <v>0</v>
      </c>
    </row>
    <row r="2130" spans="2:11" x14ac:dyDescent="0.25">
      <c r="B2130" s="115" t="s">
        <v>1241</v>
      </c>
      <c r="D2130" s="115" t="s">
        <v>8710</v>
      </c>
      <c r="E2130" s="115" t="s">
        <v>1242</v>
      </c>
      <c r="F2130" s="115">
        <v>0</v>
      </c>
      <c r="G2130" s="115">
        <v>0</v>
      </c>
      <c r="H2130" s="115">
        <v>0</v>
      </c>
      <c r="I2130" s="115">
        <v>0</v>
      </c>
      <c r="J2130" s="115">
        <v>0</v>
      </c>
      <c r="K2130" s="115">
        <v>0</v>
      </c>
    </row>
    <row r="2131" spans="2:11" x14ac:dyDescent="0.25">
      <c r="B2131" s="115" t="s">
        <v>1241</v>
      </c>
      <c r="D2131" s="115" t="s">
        <v>8710</v>
      </c>
      <c r="E2131" s="115" t="s">
        <v>1242</v>
      </c>
      <c r="F2131" s="115">
        <v>0</v>
      </c>
      <c r="G2131" s="115">
        <v>0</v>
      </c>
      <c r="H2131" s="115">
        <v>0</v>
      </c>
      <c r="I2131" s="115">
        <v>0</v>
      </c>
      <c r="J2131" s="115">
        <v>0</v>
      </c>
      <c r="K2131" s="115">
        <v>0</v>
      </c>
    </row>
    <row r="2132" spans="2:11" x14ac:dyDescent="0.25">
      <c r="B2132" s="115" t="s">
        <v>1241</v>
      </c>
      <c r="D2132" s="115" t="s">
        <v>8710</v>
      </c>
      <c r="E2132" s="115" t="s">
        <v>1242</v>
      </c>
      <c r="F2132" s="115">
        <v>0</v>
      </c>
      <c r="G2132" s="115">
        <v>0</v>
      </c>
      <c r="H2132" s="115">
        <v>0</v>
      </c>
      <c r="I2132" s="115">
        <v>0</v>
      </c>
      <c r="J2132" s="115">
        <v>0</v>
      </c>
      <c r="K2132" s="115">
        <v>0</v>
      </c>
    </row>
    <row r="2133" spans="2:11" x14ac:dyDescent="0.25">
      <c r="B2133" s="115" t="s">
        <v>1241</v>
      </c>
      <c r="D2133" s="115" t="s">
        <v>8710</v>
      </c>
      <c r="E2133" s="115" t="s">
        <v>1242</v>
      </c>
      <c r="F2133" s="115">
        <v>0</v>
      </c>
      <c r="G2133" s="115">
        <v>0</v>
      </c>
      <c r="H2133" s="115">
        <v>0</v>
      </c>
      <c r="I2133" s="115">
        <v>0</v>
      </c>
      <c r="J2133" s="115">
        <v>0</v>
      </c>
      <c r="K2133" s="115">
        <v>0</v>
      </c>
    </row>
    <row r="2134" spans="2:11" x14ac:dyDescent="0.25">
      <c r="B2134" s="115" t="s">
        <v>1241</v>
      </c>
      <c r="D2134" s="115" t="s">
        <v>8710</v>
      </c>
      <c r="E2134" s="115" t="s">
        <v>1242</v>
      </c>
      <c r="F2134" s="115">
        <v>0</v>
      </c>
      <c r="G2134" s="115">
        <v>0</v>
      </c>
      <c r="H2134" s="115">
        <v>0</v>
      </c>
      <c r="I2134" s="115">
        <v>0</v>
      </c>
      <c r="J2134" s="115">
        <v>0</v>
      </c>
      <c r="K2134" s="115">
        <v>0</v>
      </c>
    </row>
    <row r="2135" spans="2:11" x14ac:dyDescent="0.25">
      <c r="B2135" s="115" t="s">
        <v>1241</v>
      </c>
      <c r="D2135" s="115" t="s">
        <v>8710</v>
      </c>
      <c r="E2135" s="115" t="s">
        <v>1242</v>
      </c>
      <c r="F2135" s="115">
        <v>0</v>
      </c>
      <c r="G2135" s="115">
        <v>0</v>
      </c>
      <c r="H2135" s="115">
        <v>0</v>
      </c>
      <c r="I2135" s="115">
        <v>0</v>
      </c>
      <c r="J2135" s="115">
        <v>0</v>
      </c>
      <c r="K2135" s="115">
        <v>0</v>
      </c>
    </row>
    <row r="2136" spans="2:11" x14ac:dyDescent="0.25">
      <c r="B2136" s="115" t="s">
        <v>1241</v>
      </c>
      <c r="D2136" s="115" t="s">
        <v>8710</v>
      </c>
      <c r="E2136" s="115" t="s">
        <v>1242</v>
      </c>
      <c r="F2136" s="115">
        <v>0</v>
      </c>
      <c r="G2136" s="115">
        <v>0</v>
      </c>
      <c r="H2136" s="115">
        <v>0</v>
      </c>
      <c r="I2136" s="115">
        <v>0</v>
      </c>
      <c r="J2136" s="115">
        <v>0</v>
      </c>
      <c r="K2136" s="115">
        <v>0</v>
      </c>
    </row>
    <row r="2137" spans="2:11" x14ac:dyDescent="0.25">
      <c r="B2137" s="115" t="s">
        <v>1241</v>
      </c>
      <c r="D2137" s="115" t="s">
        <v>8710</v>
      </c>
      <c r="E2137" s="115" t="s">
        <v>1242</v>
      </c>
      <c r="F2137" s="115">
        <v>0</v>
      </c>
      <c r="G2137" s="115">
        <v>0</v>
      </c>
      <c r="H2137" s="115">
        <v>0</v>
      </c>
      <c r="I2137" s="115">
        <v>0</v>
      </c>
      <c r="J2137" s="115">
        <v>0</v>
      </c>
      <c r="K2137" s="115">
        <v>0</v>
      </c>
    </row>
    <row r="2138" spans="2:11" x14ac:dyDescent="0.25">
      <c r="B2138" s="115" t="s">
        <v>1241</v>
      </c>
      <c r="D2138" s="115" t="s">
        <v>8710</v>
      </c>
      <c r="E2138" s="115" t="s">
        <v>1242</v>
      </c>
      <c r="F2138" s="115">
        <v>0</v>
      </c>
      <c r="G2138" s="115">
        <v>0</v>
      </c>
      <c r="H2138" s="115">
        <v>0</v>
      </c>
      <c r="I2138" s="115">
        <v>0</v>
      </c>
      <c r="J2138" s="115">
        <v>0</v>
      </c>
      <c r="K2138" s="115">
        <v>0</v>
      </c>
    </row>
    <row r="2139" spans="2:11" x14ac:dyDescent="0.25">
      <c r="B2139" s="115" t="s">
        <v>1241</v>
      </c>
      <c r="D2139" s="115" t="s">
        <v>8710</v>
      </c>
      <c r="E2139" s="115" t="s">
        <v>1242</v>
      </c>
      <c r="F2139" s="115">
        <v>0</v>
      </c>
      <c r="G2139" s="115">
        <v>0</v>
      </c>
      <c r="H2139" s="115">
        <v>0</v>
      </c>
      <c r="I2139" s="115">
        <v>0</v>
      </c>
      <c r="J2139" s="115">
        <v>0</v>
      </c>
      <c r="K2139" s="115">
        <v>0</v>
      </c>
    </row>
    <row r="2140" spans="2:11" x14ac:dyDescent="0.25">
      <c r="B2140" s="115" t="s">
        <v>1241</v>
      </c>
      <c r="D2140" s="115" t="s">
        <v>8710</v>
      </c>
      <c r="E2140" s="115" t="s">
        <v>1242</v>
      </c>
      <c r="F2140" s="115">
        <v>0</v>
      </c>
      <c r="G2140" s="115">
        <v>0</v>
      </c>
      <c r="H2140" s="115">
        <v>0</v>
      </c>
      <c r="I2140" s="115">
        <v>0</v>
      </c>
      <c r="J2140" s="115">
        <v>0</v>
      </c>
      <c r="K2140" s="115">
        <v>0</v>
      </c>
    </row>
    <row r="2141" spans="2:11" x14ac:dyDescent="0.25">
      <c r="B2141" s="115" t="s">
        <v>1241</v>
      </c>
      <c r="D2141" s="115" t="s">
        <v>8710</v>
      </c>
      <c r="E2141" s="115" t="s">
        <v>1242</v>
      </c>
      <c r="F2141" s="115">
        <v>0</v>
      </c>
      <c r="G2141" s="115">
        <v>0</v>
      </c>
      <c r="H2141" s="115">
        <v>0</v>
      </c>
      <c r="I2141" s="115">
        <v>0</v>
      </c>
      <c r="J2141" s="115">
        <v>0</v>
      </c>
      <c r="K2141" s="115">
        <v>0</v>
      </c>
    </row>
    <row r="2142" spans="2:11" x14ac:dyDescent="0.25">
      <c r="B2142" s="115" t="s">
        <v>1241</v>
      </c>
      <c r="D2142" s="115" t="s">
        <v>8710</v>
      </c>
      <c r="E2142" s="115" t="s">
        <v>1242</v>
      </c>
      <c r="F2142" s="115">
        <v>0</v>
      </c>
      <c r="G2142" s="115">
        <v>0</v>
      </c>
      <c r="H2142" s="115">
        <v>0</v>
      </c>
      <c r="I2142" s="115">
        <v>0</v>
      </c>
      <c r="J2142" s="115">
        <v>0</v>
      </c>
      <c r="K2142" s="115">
        <v>0</v>
      </c>
    </row>
    <row r="2143" spans="2:11" x14ac:dyDescent="0.25">
      <c r="B2143" s="115" t="s">
        <v>1241</v>
      </c>
      <c r="D2143" s="115" t="s">
        <v>8710</v>
      </c>
      <c r="E2143" s="115" t="s">
        <v>1242</v>
      </c>
      <c r="F2143" s="115">
        <v>0</v>
      </c>
      <c r="G2143" s="115">
        <v>0</v>
      </c>
      <c r="H2143" s="115">
        <v>0</v>
      </c>
      <c r="I2143" s="115">
        <v>0</v>
      </c>
      <c r="J2143" s="115">
        <v>0</v>
      </c>
      <c r="K2143" s="115">
        <v>0</v>
      </c>
    </row>
    <row r="2144" spans="2:11" x14ac:dyDescent="0.25">
      <c r="B2144" s="115" t="s">
        <v>1241</v>
      </c>
      <c r="D2144" s="115" t="s">
        <v>8710</v>
      </c>
      <c r="E2144" s="115" t="s">
        <v>1242</v>
      </c>
      <c r="F2144" s="115">
        <v>0</v>
      </c>
      <c r="G2144" s="115">
        <v>0</v>
      </c>
      <c r="H2144" s="115">
        <v>0</v>
      </c>
      <c r="I2144" s="115">
        <v>0</v>
      </c>
      <c r="J2144" s="115">
        <v>0</v>
      </c>
      <c r="K2144" s="115">
        <v>0</v>
      </c>
    </row>
    <row r="2145" spans="2:11" x14ac:dyDescent="0.25">
      <c r="B2145" s="115" t="s">
        <v>1241</v>
      </c>
      <c r="D2145" s="115" t="s">
        <v>8710</v>
      </c>
      <c r="E2145" s="115" t="s">
        <v>1242</v>
      </c>
      <c r="F2145" s="115">
        <v>0</v>
      </c>
      <c r="G2145" s="115">
        <v>0</v>
      </c>
      <c r="H2145" s="115">
        <v>0</v>
      </c>
      <c r="I2145" s="115">
        <v>0</v>
      </c>
      <c r="J2145" s="115">
        <v>0</v>
      </c>
      <c r="K2145" s="115">
        <v>0</v>
      </c>
    </row>
    <row r="2146" spans="2:11" x14ac:dyDescent="0.25">
      <c r="B2146" s="115" t="s">
        <v>1241</v>
      </c>
      <c r="D2146" s="115" t="s">
        <v>8710</v>
      </c>
      <c r="E2146" s="115" t="s">
        <v>1242</v>
      </c>
      <c r="F2146" s="115">
        <v>0</v>
      </c>
      <c r="G2146" s="115">
        <v>0</v>
      </c>
      <c r="H2146" s="115">
        <v>0</v>
      </c>
      <c r="I2146" s="115">
        <v>0</v>
      </c>
      <c r="J2146" s="115">
        <v>0</v>
      </c>
      <c r="K2146" s="115">
        <v>0</v>
      </c>
    </row>
    <row r="2147" spans="2:11" x14ac:dyDescent="0.25">
      <c r="B2147" s="115" t="s">
        <v>1241</v>
      </c>
      <c r="D2147" s="115" t="s">
        <v>8710</v>
      </c>
      <c r="E2147" s="115" t="s">
        <v>1242</v>
      </c>
      <c r="F2147" s="115">
        <v>0</v>
      </c>
      <c r="G2147" s="115">
        <v>0</v>
      </c>
      <c r="H2147" s="115">
        <v>0</v>
      </c>
      <c r="I2147" s="115">
        <v>0</v>
      </c>
      <c r="J2147" s="115">
        <v>0</v>
      </c>
      <c r="K2147" s="115">
        <v>0</v>
      </c>
    </row>
    <row r="2148" spans="2:11" x14ac:dyDescent="0.25">
      <c r="B2148" s="115" t="s">
        <v>1241</v>
      </c>
      <c r="D2148" s="115" t="s">
        <v>8710</v>
      </c>
      <c r="E2148" s="115" t="s">
        <v>1242</v>
      </c>
      <c r="F2148" s="115">
        <v>0</v>
      </c>
      <c r="G2148" s="115">
        <v>0</v>
      </c>
      <c r="H2148" s="115">
        <v>0</v>
      </c>
      <c r="I2148" s="115">
        <v>0</v>
      </c>
      <c r="J2148" s="115">
        <v>0</v>
      </c>
      <c r="K2148" s="115">
        <v>0</v>
      </c>
    </row>
    <row r="2149" spans="2:11" x14ac:dyDescent="0.25">
      <c r="B2149" s="115" t="s">
        <v>1241</v>
      </c>
      <c r="D2149" s="115" t="s">
        <v>8710</v>
      </c>
      <c r="E2149" s="115" t="s">
        <v>1242</v>
      </c>
      <c r="F2149" s="115">
        <v>0</v>
      </c>
      <c r="G2149" s="115">
        <v>0</v>
      </c>
      <c r="H2149" s="115">
        <v>0</v>
      </c>
      <c r="I2149" s="115">
        <v>0</v>
      </c>
      <c r="J2149" s="115">
        <v>0</v>
      </c>
      <c r="K2149" s="115">
        <v>0</v>
      </c>
    </row>
    <row r="2150" spans="2:11" x14ac:dyDescent="0.25">
      <c r="B2150" s="115" t="s">
        <v>1241</v>
      </c>
      <c r="D2150" s="115" t="s">
        <v>8710</v>
      </c>
      <c r="E2150" s="115" t="s">
        <v>1242</v>
      </c>
      <c r="F2150" s="115">
        <v>0</v>
      </c>
      <c r="G2150" s="115">
        <v>0</v>
      </c>
      <c r="H2150" s="115">
        <v>0</v>
      </c>
      <c r="I2150" s="115">
        <v>0</v>
      </c>
      <c r="J2150" s="115">
        <v>0</v>
      </c>
      <c r="K2150" s="115">
        <v>0</v>
      </c>
    </row>
    <row r="2151" spans="2:11" x14ac:dyDescent="0.25">
      <c r="B2151" s="115" t="s">
        <v>1241</v>
      </c>
      <c r="D2151" s="115" t="s">
        <v>8710</v>
      </c>
      <c r="E2151" s="115" t="s">
        <v>1242</v>
      </c>
      <c r="F2151" s="115">
        <v>0</v>
      </c>
      <c r="G2151" s="115">
        <v>0</v>
      </c>
      <c r="H2151" s="115">
        <v>0</v>
      </c>
      <c r="I2151" s="115">
        <v>0</v>
      </c>
      <c r="J2151" s="115">
        <v>0</v>
      </c>
      <c r="K2151" s="115">
        <v>0</v>
      </c>
    </row>
    <row r="2152" spans="2:11" x14ac:dyDescent="0.25">
      <c r="B2152" s="115" t="s">
        <v>1241</v>
      </c>
      <c r="D2152" s="115" t="s">
        <v>8710</v>
      </c>
      <c r="E2152" s="115" t="s">
        <v>1242</v>
      </c>
      <c r="F2152" s="115">
        <v>0</v>
      </c>
      <c r="G2152" s="115">
        <v>0</v>
      </c>
      <c r="H2152" s="115">
        <v>0</v>
      </c>
      <c r="I2152" s="115">
        <v>0</v>
      </c>
      <c r="J2152" s="115">
        <v>0</v>
      </c>
      <c r="K2152" s="115">
        <v>0</v>
      </c>
    </row>
    <row r="2153" spans="2:11" x14ac:dyDescent="0.25">
      <c r="B2153" s="115" t="s">
        <v>1241</v>
      </c>
      <c r="D2153" s="115" t="s">
        <v>8710</v>
      </c>
      <c r="E2153" s="115" t="s">
        <v>1242</v>
      </c>
      <c r="F2153" s="115">
        <v>0</v>
      </c>
      <c r="G2153" s="115">
        <v>0</v>
      </c>
      <c r="H2153" s="115">
        <v>0</v>
      </c>
      <c r="I2153" s="115">
        <v>0</v>
      </c>
      <c r="J2153" s="115">
        <v>0</v>
      </c>
      <c r="K2153" s="115">
        <v>0</v>
      </c>
    </row>
    <row r="2154" spans="2:11" x14ac:dyDescent="0.25">
      <c r="B2154" s="115" t="s">
        <v>1241</v>
      </c>
      <c r="D2154" s="115" t="s">
        <v>8710</v>
      </c>
      <c r="E2154" s="115" t="s">
        <v>1242</v>
      </c>
      <c r="F2154" s="115">
        <v>0</v>
      </c>
      <c r="G2154" s="115">
        <v>0</v>
      </c>
      <c r="H2154" s="115">
        <v>0</v>
      </c>
      <c r="I2154" s="115">
        <v>0</v>
      </c>
      <c r="J2154" s="115">
        <v>0</v>
      </c>
      <c r="K2154" s="115">
        <v>0</v>
      </c>
    </row>
    <row r="2155" spans="2:11" x14ac:dyDescent="0.25">
      <c r="B2155" s="115" t="s">
        <v>1241</v>
      </c>
      <c r="D2155" s="115" t="s">
        <v>8710</v>
      </c>
      <c r="E2155" s="115" t="s">
        <v>1242</v>
      </c>
      <c r="F2155" s="115">
        <v>0</v>
      </c>
      <c r="G2155" s="115">
        <v>0</v>
      </c>
      <c r="H2155" s="115">
        <v>0</v>
      </c>
      <c r="I2155" s="115">
        <v>0</v>
      </c>
      <c r="J2155" s="115">
        <v>0</v>
      </c>
      <c r="K2155" s="115">
        <v>0</v>
      </c>
    </row>
    <row r="2156" spans="2:11" x14ac:dyDescent="0.25">
      <c r="B2156" s="115" t="s">
        <v>1241</v>
      </c>
      <c r="D2156" s="115" t="s">
        <v>8710</v>
      </c>
      <c r="E2156" s="115" t="s">
        <v>1242</v>
      </c>
      <c r="F2156" s="115">
        <v>0</v>
      </c>
      <c r="G2156" s="115">
        <v>0</v>
      </c>
      <c r="H2156" s="115">
        <v>0</v>
      </c>
      <c r="I2156" s="115">
        <v>0</v>
      </c>
      <c r="J2156" s="115">
        <v>0</v>
      </c>
      <c r="K2156" s="115">
        <v>0</v>
      </c>
    </row>
    <row r="2157" spans="2:11" x14ac:dyDescent="0.25">
      <c r="B2157" s="115" t="s">
        <v>1241</v>
      </c>
      <c r="D2157" s="115" t="s">
        <v>8710</v>
      </c>
      <c r="E2157" s="115" t="s">
        <v>1242</v>
      </c>
      <c r="F2157" s="115">
        <v>0</v>
      </c>
      <c r="G2157" s="115">
        <v>0</v>
      </c>
      <c r="H2157" s="115">
        <v>0</v>
      </c>
      <c r="I2157" s="115">
        <v>0</v>
      </c>
      <c r="J2157" s="115">
        <v>0</v>
      </c>
      <c r="K2157" s="115">
        <v>0</v>
      </c>
    </row>
    <row r="2158" spans="2:11" x14ac:dyDescent="0.25">
      <c r="B2158" s="115" t="s">
        <v>1241</v>
      </c>
      <c r="D2158" s="115" t="s">
        <v>8710</v>
      </c>
      <c r="E2158" s="115" t="s">
        <v>1242</v>
      </c>
      <c r="F2158" s="115">
        <v>0</v>
      </c>
      <c r="G2158" s="115">
        <v>0</v>
      </c>
      <c r="H2158" s="115">
        <v>0</v>
      </c>
      <c r="I2158" s="115">
        <v>0</v>
      </c>
      <c r="J2158" s="115">
        <v>0</v>
      </c>
      <c r="K2158" s="115">
        <v>0</v>
      </c>
    </row>
    <row r="2159" spans="2:11" x14ac:dyDescent="0.25">
      <c r="B2159" s="115" t="s">
        <v>1241</v>
      </c>
      <c r="D2159" s="115" t="s">
        <v>8710</v>
      </c>
      <c r="E2159" s="115" t="s">
        <v>1242</v>
      </c>
      <c r="F2159" s="115">
        <v>0</v>
      </c>
      <c r="G2159" s="115">
        <v>0</v>
      </c>
      <c r="H2159" s="115">
        <v>0</v>
      </c>
      <c r="I2159" s="115">
        <v>0</v>
      </c>
      <c r="J2159" s="115">
        <v>0</v>
      </c>
      <c r="K2159" s="115">
        <v>0</v>
      </c>
    </row>
    <row r="2160" spans="2:11" x14ac:dyDescent="0.25">
      <c r="B2160" s="115" t="s">
        <v>1241</v>
      </c>
      <c r="D2160" s="115" t="s">
        <v>8710</v>
      </c>
      <c r="E2160" s="115" t="s">
        <v>1242</v>
      </c>
      <c r="F2160" s="115">
        <v>0</v>
      </c>
      <c r="G2160" s="115">
        <v>0</v>
      </c>
      <c r="H2160" s="115">
        <v>0</v>
      </c>
      <c r="I2160" s="115">
        <v>0</v>
      </c>
      <c r="J2160" s="115">
        <v>0</v>
      </c>
      <c r="K2160" s="115">
        <v>0</v>
      </c>
    </row>
    <row r="2161" spans="2:11" x14ac:dyDescent="0.25">
      <c r="B2161" s="115" t="s">
        <v>1241</v>
      </c>
      <c r="D2161" s="115" t="s">
        <v>8710</v>
      </c>
      <c r="E2161" s="115" t="s">
        <v>1242</v>
      </c>
      <c r="F2161" s="115">
        <v>0</v>
      </c>
      <c r="G2161" s="115">
        <v>0</v>
      </c>
      <c r="H2161" s="115">
        <v>0</v>
      </c>
      <c r="I2161" s="115">
        <v>0</v>
      </c>
      <c r="J2161" s="115">
        <v>0</v>
      </c>
      <c r="K2161" s="115">
        <v>0</v>
      </c>
    </row>
    <row r="2162" spans="2:11" x14ac:dyDescent="0.25">
      <c r="B2162" s="115" t="s">
        <v>1241</v>
      </c>
      <c r="D2162" s="115" t="s">
        <v>8710</v>
      </c>
      <c r="E2162" s="115" t="s">
        <v>1242</v>
      </c>
      <c r="F2162" s="115">
        <v>0</v>
      </c>
      <c r="G2162" s="115">
        <v>0</v>
      </c>
      <c r="H2162" s="115">
        <v>0</v>
      </c>
      <c r="I2162" s="115">
        <v>0</v>
      </c>
      <c r="J2162" s="115">
        <v>0</v>
      </c>
      <c r="K2162" s="115">
        <v>0</v>
      </c>
    </row>
    <row r="2163" spans="2:11" x14ac:dyDescent="0.25">
      <c r="B2163" s="115" t="s">
        <v>1241</v>
      </c>
      <c r="D2163" s="115" t="s">
        <v>8710</v>
      </c>
      <c r="E2163" s="115" t="s">
        <v>1242</v>
      </c>
      <c r="F2163" s="115">
        <v>0</v>
      </c>
      <c r="G2163" s="115">
        <v>0</v>
      </c>
      <c r="H2163" s="115">
        <v>0</v>
      </c>
      <c r="I2163" s="115">
        <v>0</v>
      </c>
      <c r="J2163" s="115">
        <v>0</v>
      </c>
      <c r="K2163" s="115">
        <v>0</v>
      </c>
    </row>
    <row r="2164" spans="2:11" x14ac:dyDescent="0.25">
      <c r="B2164" s="115" t="s">
        <v>1241</v>
      </c>
      <c r="D2164" s="115" t="s">
        <v>8710</v>
      </c>
      <c r="E2164" s="115" t="s">
        <v>1242</v>
      </c>
      <c r="F2164" s="115">
        <v>0</v>
      </c>
      <c r="G2164" s="115">
        <v>0</v>
      </c>
      <c r="H2164" s="115">
        <v>0</v>
      </c>
      <c r="I2164" s="115">
        <v>0</v>
      </c>
      <c r="J2164" s="115">
        <v>0</v>
      </c>
      <c r="K2164" s="115">
        <v>0</v>
      </c>
    </row>
    <row r="2165" spans="2:11" x14ac:dyDescent="0.25">
      <c r="B2165" s="115" t="s">
        <v>1241</v>
      </c>
      <c r="D2165" s="115" t="s">
        <v>8710</v>
      </c>
      <c r="E2165" s="115" t="s">
        <v>1242</v>
      </c>
      <c r="F2165" s="115">
        <v>0</v>
      </c>
      <c r="G2165" s="115">
        <v>0</v>
      </c>
      <c r="H2165" s="115">
        <v>0</v>
      </c>
      <c r="I2165" s="115">
        <v>0</v>
      </c>
      <c r="J2165" s="115">
        <v>0</v>
      </c>
      <c r="K2165" s="115">
        <v>0</v>
      </c>
    </row>
    <row r="2166" spans="2:11" x14ac:dyDescent="0.25">
      <c r="B2166" s="115" t="s">
        <v>1241</v>
      </c>
      <c r="D2166" s="115" t="s">
        <v>8710</v>
      </c>
      <c r="E2166" s="115" t="s">
        <v>1242</v>
      </c>
      <c r="F2166" s="115">
        <v>0</v>
      </c>
      <c r="G2166" s="115">
        <v>0</v>
      </c>
      <c r="H2166" s="115">
        <v>0</v>
      </c>
      <c r="I2166" s="115">
        <v>0</v>
      </c>
      <c r="J2166" s="115">
        <v>0</v>
      </c>
      <c r="K2166" s="115">
        <v>0</v>
      </c>
    </row>
    <row r="2167" spans="2:11" x14ac:dyDescent="0.25">
      <c r="B2167" s="115" t="s">
        <v>1241</v>
      </c>
      <c r="D2167" s="115" t="s">
        <v>8710</v>
      </c>
      <c r="E2167" s="115" t="s">
        <v>1242</v>
      </c>
      <c r="F2167" s="115">
        <v>0</v>
      </c>
      <c r="G2167" s="115">
        <v>0</v>
      </c>
      <c r="H2167" s="115">
        <v>0</v>
      </c>
      <c r="I2167" s="115">
        <v>0</v>
      </c>
      <c r="J2167" s="115">
        <v>0</v>
      </c>
      <c r="K2167" s="115">
        <v>0</v>
      </c>
    </row>
    <row r="2168" spans="2:11" x14ac:dyDescent="0.25">
      <c r="B2168" s="115" t="s">
        <v>1241</v>
      </c>
      <c r="D2168" s="115" t="s">
        <v>8710</v>
      </c>
      <c r="E2168" s="115" t="s">
        <v>1242</v>
      </c>
      <c r="F2168" s="115">
        <v>0</v>
      </c>
      <c r="G2168" s="115">
        <v>0</v>
      </c>
      <c r="H2168" s="115">
        <v>0</v>
      </c>
      <c r="I2168" s="115">
        <v>0</v>
      </c>
      <c r="J2168" s="115">
        <v>0</v>
      </c>
      <c r="K2168" s="115">
        <v>0</v>
      </c>
    </row>
    <row r="2169" spans="2:11" x14ac:dyDescent="0.25">
      <c r="B2169" s="115" t="s">
        <v>1241</v>
      </c>
      <c r="D2169" s="115" t="s">
        <v>8710</v>
      </c>
      <c r="E2169" s="115" t="s">
        <v>1242</v>
      </c>
      <c r="F2169" s="115">
        <v>0</v>
      </c>
      <c r="G2169" s="115">
        <v>0</v>
      </c>
      <c r="H2169" s="115">
        <v>0</v>
      </c>
      <c r="I2169" s="115">
        <v>0</v>
      </c>
      <c r="J2169" s="115">
        <v>0</v>
      </c>
      <c r="K2169" s="115">
        <v>0</v>
      </c>
    </row>
    <row r="2170" spans="2:11" x14ac:dyDescent="0.25">
      <c r="B2170" s="115" t="s">
        <v>1241</v>
      </c>
      <c r="D2170" s="115" t="s">
        <v>8710</v>
      </c>
      <c r="E2170" s="115" t="s">
        <v>1242</v>
      </c>
      <c r="F2170" s="115">
        <v>0</v>
      </c>
      <c r="G2170" s="115">
        <v>0</v>
      </c>
      <c r="H2170" s="115">
        <v>0</v>
      </c>
      <c r="I2170" s="115">
        <v>0</v>
      </c>
      <c r="J2170" s="115">
        <v>0</v>
      </c>
      <c r="K2170" s="115">
        <v>0</v>
      </c>
    </row>
    <row r="2171" spans="2:11" x14ac:dyDescent="0.25">
      <c r="B2171" s="115" t="s">
        <v>1241</v>
      </c>
      <c r="D2171" s="115" t="s">
        <v>8710</v>
      </c>
      <c r="E2171" s="115" t="s">
        <v>1242</v>
      </c>
      <c r="F2171" s="115">
        <v>0</v>
      </c>
      <c r="G2171" s="115">
        <v>0</v>
      </c>
      <c r="H2171" s="115">
        <v>0</v>
      </c>
      <c r="I2171" s="115">
        <v>0</v>
      </c>
      <c r="J2171" s="115">
        <v>0</v>
      </c>
      <c r="K2171" s="115">
        <v>0</v>
      </c>
    </row>
    <row r="2172" spans="2:11" x14ac:dyDescent="0.25">
      <c r="B2172" s="115" t="s">
        <v>1241</v>
      </c>
      <c r="D2172" s="115" t="s">
        <v>8710</v>
      </c>
      <c r="E2172" s="115" t="s">
        <v>1242</v>
      </c>
      <c r="F2172" s="115">
        <v>0</v>
      </c>
      <c r="G2172" s="115">
        <v>0</v>
      </c>
      <c r="H2172" s="115">
        <v>0</v>
      </c>
      <c r="I2172" s="115">
        <v>0</v>
      </c>
      <c r="J2172" s="115">
        <v>0</v>
      </c>
      <c r="K2172" s="115">
        <v>0</v>
      </c>
    </row>
    <row r="2173" spans="2:11" x14ac:dyDescent="0.25">
      <c r="B2173" s="115" t="s">
        <v>1241</v>
      </c>
      <c r="D2173" s="115" t="s">
        <v>8710</v>
      </c>
      <c r="E2173" s="115" t="s">
        <v>1242</v>
      </c>
      <c r="F2173" s="115">
        <v>0</v>
      </c>
      <c r="G2173" s="115">
        <v>0</v>
      </c>
      <c r="H2173" s="115">
        <v>0</v>
      </c>
      <c r="I2173" s="115">
        <v>0</v>
      </c>
      <c r="J2173" s="115">
        <v>0</v>
      </c>
      <c r="K2173" s="115">
        <v>0</v>
      </c>
    </row>
    <row r="2174" spans="2:11" x14ac:dyDescent="0.25">
      <c r="B2174" s="115" t="s">
        <v>1241</v>
      </c>
      <c r="D2174" s="115" t="s">
        <v>8710</v>
      </c>
      <c r="E2174" s="115" t="s">
        <v>1242</v>
      </c>
      <c r="F2174" s="115">
        <v>0</v>
      </c>
      <c r="G2174" s="115">
        <v>0</v>
      </c>
      <c r="H2174" s="115">
        <v>0</v>
      </c>
      <c r="I2174" s="115">
        <v>0</v>
      </c>
      <c r="J2174" s="115">
        <v>0</v>
      </c>
      <c r="K2174" s="115">
        <v>0</v>
      </c>
    </row>
    <row r="2175" spans="2:11" x14ac:dyDescent="0.25">
      <c r="B2175" s="115" t="s">
        <v>1241</v>
      </c>
      <c r="D2175" s="115" t="s">
        <v>8710</v>
      </c>
      <c r="E2175" s="115" t="s">
        <v>1242</v>
      </c>
      <c r="F2175" s="115">
        <v>0</v>
      </c>
      <c r="G2175" s="115">
        <v>0</v>
      </c>
      <c r="H2175" s="115">
        <v>0</v>
      </c>
      <c r="I2175" s="115">
        <v>0</v>
      </c>
      <c r="J2175" s="115">
        <v>0</v>
      </c>
      <c r="K2175" s="115">
        <v>0</v>
      </c>
    </row>
    <row r="2176" spans="2:11" x14ac:dyDescent="0.25">
      <c r="B2176" s="115" t="s">
        <v>1241</v>
      </c>
      <c r="D2176" s="115" t="s">
        <v>8710</v>
      </c>
      <c r="E2176" s="115" t="s">
        <v>1242</v>
      </c>
      <c r="F2176" s="115">
        <v>0</v>
      </c>
      <c r="G2176" s="115">
        <v>0</v>
      </c>
      <c r="H2176" s="115">
        <v>0</v>
      </c>
      <c r="I2176" s="115">
        <v>0</v>
      </c>
      <c r="J2176" s="115">
        <v>0</v>
      </c>
      <c r="K2176" s="115">
        <v>0</v>
      </c>
    </row>
    <row r="2177" spans="2:11" x14ac:dyDescent="0.25">
      <c r="B2177" s="115" t="s">
        <v>1241</v>
      </c>
      <c r="D2177" s="115" t="s">
        <v>8710</v>
      </c>
      <c r="E2177" s="115" t="s">
        <v>1242</v>
      </c>
      <c r="F2177" s="115">
        <v>0</v>
      </c>
      <c r="G2177" s="115">
        <v>0</v>
      </c>
      <c r="H2177" s="115">
        <v>0</v>
      </c>
      <c r="I2177" s="115">
        <v>0</v>
      </c>
      <c r="J2177" s="115">
        <v>0</v>
      </c>
      <c r="K2177" s="115">
        <v>0</v>
      </c>
    </row>
    <row r="2178" spans="2:11" x14ac:dyDescent="0.25">
      <c r="B2178" s="115" t="s">
        <v>1241</v>
      </c>
      <c r="D2178" s="115" t="s">
        <v>8710</v>
      </c>
      <c r="E2178" s="115" t="s">
        <v>1242</v>
      </c>
      <c r="F2178" s="115">
        <v>0</v>
      </c>
      <c r="G2178" s="115">
        <v>0</v>
      </c>
      <c r="H2178" s="115">
        <v>0</v>
      </c>
      <c r="I2178" s="115">
        <v>0</v>
      </c>
      <c r="J2178" s="115">
        <v>0</v>
      </c>
      <c r="K2178" s="115">
        <v>0</v>
      </c>
    </row>
    <row r="2179" spans="2:11" x14ac:dyDescent="0.25">
      <c r="B2179" s="115" t="s">
        <v>1241</v>
      </c>
      <c r="D2179" s="115" t="s">
        <v>8710</v>
      </c>
      <c r="E2179" s="115" t="s">
        <v>1242</v>
      </c>
      <c r="F2179" s="115">
        <v>0</v>
      </c>
      <c r="G2179" s="115">
        <v>0</v>
      </c>
      <c r="H2179" s="115">
        <v>0</v>
      </c>
      <c r="I2179" s="115">
        <v>0</v>
      </c>
      <c r="J2179" s="115">
        <v>0</v>
      </c>
      <c r="K2179" s="115">
        <v>0</v>
      </c>
    </row>
    <row r="2180" spans="2:11" x14ac:dyDescent="0.25">
      <c r="B2180" s="115" t="s">
        <v>1241</v>
      </c>
      <c r="D2180" s="115" t="s">
        <v>8710</v>
      </c>
      <c r="E2180" s="115" t="s">
        <v>1242</v>
      </c>
      <c r="F2180" s="115">
        <v>0</v>
      </c>
      <c r="G2180" s="115">
        <v>0</v>
      </c>
      <c r="H2180" s="115">
        <v>0</v>
      </c>
      <c r="I2180" s="115">
        <v>0</v>
      </c>
      <c r="J2180" s="115">
        <v>0</v>
      </c>
      <c r="K2180" s="115">
        <v>0</v>
      </c>
    </row>
    <row r="2181" spans="2:11" x14ac:dyDescent="0.25">
      <c r="B2181" s="115" t="s">
        <v>1241</v>
      </c>
      <c r="D2181" s="115" t="s">
        <v>8710</v>
      </c>
      <c r="E2181" s="115" t="s">
        <v>1242</v>
      </c>
      <c r="F2181" s="115">
        <v>0</v>
      </c>
      <c r="G2181" s="115">
        <v>0</v>
      </c>
      <c r="H2181" s="115">
        <v>0</v>
      </c>
      <c r="I2181" s="115">
        <v>0</v>
      </c>
      <c r="J2181" s="115">
        <v>0</v>
      </c>
      <c r="K2181" s="115">
        <v>0</v>
      </c>
    </row>
    <row r="2182" spans="2:11" x14ac:dyDescent="0.25">
      <c r="B2182" s="115" t="s">
        <v>1241</v>
      </c>
      <c r="D2182" s="115" t="s">
        <v>8710</v>
      </c>
      <c r="E2182" s="115" t="s">
        <v>1242</v>
      </c>
      <c r="F2182" s="115">
        <v>0</v>
      </c>
      <c r="G2182" s="115">
        <v>0</v>
      </c>
      <c r="H2182" s="115">
        <v>0</v>
      </c>
      <c r="I2182" s="115">
        <v>0</v>
      </c>
      <c r="J2182" s="115">
        <v>0</v>
      </c>
      <c r="K2182" s="115">
        <v>0</v>
      </c>
    </row>
    <row r="2183" spans="2:11" x14ac:dyDescent="0.25">
      <c r="B2183" s="115" t="s">
        <v>1241</v>
      </c>
      <c r="D2183" s="115" t="s">
        <v>8710</v>
      </c>
      <c r="E2183" s="115" t="s">
        <v>1242</v>
      </c>
      <c r="F2183" s="115">
        <v>0</v>
      </c>
      <c r="G2183" s="115">
        <v>0</v>
      </c>
      <c r="H2183" s="115">
        <v>0</v>
      </c>
      <c r="I2183" s="115">
        <v>0</v>
      </c>
      <c r="J2183" s="115">
        <v>0</v>
      </c>
      <c r="K2183" s="115">
        <v>0</v>
      </c>
    </row>
    <row r="2184" spans="2:11" x14ac:dyDescent="0.25">
      <c r="B2184" s="115" t="s">
        <v>1241</v>
      </c>
      <c r="D2184" s="115" t="s">
        <v>8710</v>
      </c>
      <c r="E2184" s="115" t="s">
        <v>1242</v>
      </c>
      <c r="F2184" s="115">
        <v>0</v>
      </c>
      <c r="G2184" s="115">
        <v>0</v>
      </c>
      <c r="H2184" s="115">
        <v>0</v>
      </c>
      <c r="I2184" s="115">
        <v>0</v>
      </c>
      <c r="J2184" s="115">
        <v>0</v>
      </c>
      <c r="K2184" s="115">
        <v>0</v>
      </c>
    </row>
    <row r="2185" spans="2:11" x14ac:dyDescent="0.25">
      <c r="B2185" s="115" t="s">
        <v>1241</v>
      </c>
      <c r="D2185" s="115" t="s">
        <v>8710</v>
      </c>
      <c r="E2185" s="115" t="s">
        <v>1242</v>
      </c>
      <c r="F2185" s="115">
        <v>0</v>
      </c>
      <c r="G2185" s="115">
        <v>0</v>
      </c>
      <c r="H2185" s="115">
        <v>0</v>
      </c>
      <c r="I2185" s="115">
        <v>0</v>
      </c>
      <c r="J2185" s="115">
        <v>0</v>
      </c>
      <c r="K2185" s="115">
        <v>0</v>
      </c>
    </row>
    <row r="2186" spans="2:11" x14ac:dyDescent="0.25">
      <c r="B2186" s="115" t="s">
        <v>1241</v>
      </c>
      <c r="D2186" s="115" t="s">
        <v>8710</v>
      </c>
      <c r="E2186" s="115" t="s">
        <v>1242</v>
      </c>
      <c r="F2186" s="115">
        <v>0</v>
      </c>
      <c r="G2186" s="115">
        <v>0</v>
      </c>
      <c r="H2186" s="115">
        <v>0</v>
      </c>
      <c r="I2186" s="115">
        <v>0</v>
      </c>
      <c r="J2186" s="115">
        <v>0</v>
      </c>
      <c r="K2186" s="115">
        <v>0</v>
      </c>
    </row>
    <row r="2187" spans="2:11" x14ac:dyDescent="0.25">
      <c r="B2187" s="115" t="s">
        <v>1241</v>
      </c>
      <c r="D2187" s="115" t="s">
        <v>8710</v>
      </c>
      <c r="E2187" s="115" t="s">
        <v>1242</v>
      </c>
      <c r="F2187" s="115">
        <v>0</v>
      </c>
      <c r="G2187" s="115">
        <v>0</v>
      </c>
      <c r="H2187" s="115">
        <v>0</v>
      </c>
      <c r="I2187" s="115">
        <v>0</v>
      </c>
      <c r="J2187" s="115">
        <v>0</v>
      </c>
      <c r="K2187" s="115">
        <v>0</v>
      </c>
    </row>
    <row r="2188" spans="2:11" x14ac:dyDescent="0.25">
      <c r="B2188" s="115" t="s">
        <v>1241</v>
      </c>
      <c r="D2188" s="115" t="s">
        <v>8710</v>
      </c>
      <c r="E2188" s="115" t="s">
        <v>1242</v>
      </c>
      <c r="F2188" s="115">
        <v>0</v>
      </c>
      <c r="G2188" s="115">
        <v>0</v>
      </c>
      <c r="H2188" s="115">
        <v>0</v>
      </c>
      <c r="I2188" s="115">
        <v>0</v>
      </c>
      <c r="J2188" s="115">
        <v>0</v>
      </c>
      <c r="K2188" s="115">
        <v>0</v>
      </c>
    </row>
    <row r="2189" spans="2:11" x14ac:dyDescent="0.25">
      <c r="B2189" s="115" t="s">
        <v>1241</v>
      </c>
      <c r="D2189" s="115" t="s">
        <v>8710</v>
      </c>
      <c r="E2189" s="115" t="s">
        <v>1242</v>
      </c>
      <c r="F2189" s="115">
        <v>0</v>
      </c>
      <c r="G2189" s="115">
        <v>0</v>
      </c>
      <c r="H2189" s="115">
        <v>0</v>
      </c>
      <c r="I2189" s="115">
        <v>0</v>
      </c>
      <c r="J2189" s="115">
        <v>0</v>
      </c>
      <c r="K2189" s="115">
        <v>0</v>
      </c>
    </row>
    <row r="2190" spans="2:11" x14ac:dyDescent="0.25">
      <c r="B2190" s="115" t="s">
        <v>1241</v>
      </c>
      <c r="D2190" s="115" t="s">
        <v>8710</v>
      </c>
      <c r="E2190" s="115" t="s">
        <v>1242</v>
      </c>
      <c r="F2190" s="115">
        <v>0</v>
      </c>
      <c r="G2190" s="115">
        <v>0</v>
      </c>
      <c r="H2190" s="115">
        <v>0</v>
      </c>
      <c r="I2190" s="115">
        <v>0</v>
      </c>
      <c r="J2190" s="115">
        <v>0</v>
      </c>
      <c r="K2190" s="115">
        <v>0</v>
      </c>
    </row>
    <row r="2191" spans="2:11" x14ac:dyDescent="0.25">
      <c r="B2191" s="115" t="s">
        <v>1241</v>
      </c>
      <c r="D2191" s="115" t="s">
        <v>8710</v>
      </c>
      <c r="E2191" s="115" t="s">
        <v>1242</v>
      </c>
      <c r="F2191" s="115">
        <v>0</v>
      </c>
      <c r="G2191" s="115">
        <v>0</v>
      </c>
      <c r="H2191" s="115">
        <v>0</v>
      </c>
      <c r="I2191" s="115">
        <v>0</v>
      </c>
      <c r="J2191" s="115">
        <v>0</v>
      </c>
      <c r="K2191" s="115">
        <v>0</v>
      </c>
    </row>
    <row r="2192" spans="2:11" x14ac:dyDescent="0.25">
      <c r="B2192" s="115" t="s">
        <v>1241</v>
      </c>
      <c r="D2192" s="115" t="s">
        <v>8710</v>
      </c>
      <c r="E2192" s="115" t="s">
        <v>1242</v>
      </c>
      <c r="F2192" s="115">
        <v>0</v>
      </c>
      <c r="G2192" s="115">
        <v>0</v>
      </c>
      <c r="H2192" s="115">
        <v>0</v>
      </c>
      <c r="I2192" s="115">
        <v>0</v>
      </c>
      <c r="J2192" s="115">
        <v>0</v>
      </c>
      <c r="K2192" s="115">
        <v>0</v>
      </c>
    </row>
    <row r="2193" spans="2:11" x14ac:dyDescent="0.25">
      <c r="B2193" s="115" t="s">
        <v>1241</v>
      </c>
      <c r="D2193" s="115" t="s">
        <v>8710</v>
      </c>
      <c r="E2193" s="115" t="s">
        <v>1242</v>
      </c>
      <c r="F2193" s="115">
        <v>0</v>
      </c>
      <c r="G2193" s="115">
        <v>0</v>
      </c>
      <c r="H2193" s="115">
        <v>0</v>
      </c>
      <c r="I2193" s="115">
        <v>0</v>
      </c>
      <c r="J2193" s="115">
        <v>0</v>
      </c>
      <c r="K2193" s="115">
        <v>0</v>
      </c>
    </row>
    <row r="2194" spans="2:11" x14ac:dyDescent="0.25">
      <c r="B2194" s="115" t="s">
        <v>1241</v>
      </c>
      <c r="D2194" s="115" t="s">
        <v>8710</v>
      </c>
      <c r="E2194" s="115" t="s">
        <v>1242</v>
      </c>
      <c r="F2194" s="115">
        <v>0</v>
      </c>
      <c r="G2194" s="115">
        <v>0</v>
      </c>
      <c r="H2194" s="115">
        <v>0</v>
      </c>
      <c r="I2194" s="115">
        <v>0</v>
      </c>
      <c r="J2194" s="115">
        <v>0</v>
      </c>
      <c r="K2194" s="115">
        <v>0</v>
      </c>
    </row>
    <row r="2195" spans="2:11" x14ac:dyDescent="0.25">
      <c r="B2195" s="115" t="s">
        <v>1241</v>
      </c>
      <c r="D2195" s="115" t="s">
        <v>8710</v>
      </c>
      <c r="E2195" s="115" t="s">
        <v>1242</v>
      </c>
      <c r="F2195" s="115">
        <v>0</v>
      </c>
      <c r="G2195" s="115">
        <v>0</v>
      </c>
      <c r="H2195" s="115">
        <v>0</v>
      </c>
      <c r="I2195" s="115">
        <v>0</v>
      </c>
      <c r="J2195" s="115">
        <v>0</v>
      </c>
      <c r="K2195" s="115">
        <v>0</v>
      </c>
    </row>
    <row r="2196" spans="2:11" x14ac:dyDescent="0.25">
      <c r="B2196" s="115" t="s">
        <v>1241</v>
      </c>
      <c r="D2196" s="115" t="s">
        <v>8710</v>
      </c>
      <c r="E2196" s="115" t="s">
        <v>1242</v>
      </c>
      <c r="F2196" s="115">
        <v>0</v>
      </c>
      <c r="G2196" s="115">
        <v>0</v>
      </c>
      <c r="H2196" s="115">
        <v>0</v>
      </c>
      <c r="I2196" s="115">
        <v>0</v>
      </c>
      <c r="J2196" s="115">
        <v>0</v>
      </c>
      <c r="K2196" s="115">
        <v>0</v>
      </c>
    </row>
    <row r="2197" spans="2:11" x14ac:dyDescent="0.25">
      <c r="B2197" s="115" t="s">
        <v>1241</v>
      </c>
      <c r="D2197" s="115" t="s">
        <v>8710</v>
      </c>
      <c r="E2197" s="115" t="s">
        <v>1242</v>
      </c>
      <c r="F2197" s="115">
        <v>0</v>
      </c>
      <c r="G2197" s="115">
        <v>0</v>
      </c>
      <c r="H2197" s="115">
        <v>0</v>
      </c>
      <c r="I2197" s="115">
        <v>0</v>
      </c>
      <c r="J2197" s="115">
        <v>0</v>
      </c>
      <c r="K2197" s="115">
        <v>0</v>
      </c>
    </row>
    <row r="2198" spans="2:11" x14ac:dyDescent="0.25">
      <c r="B2198" s="115" t="s">
        <v>1241</v>
      </c>
      <c r="D2198" s="115" t="s">
        <v>8710</v>
      </c>
      <c r="E2198" s="115" t="s">
        <v>1242</v>
      </c>
      <c r="F2198" s="115">
        <v>0</v>
      </c>
      <c r="G2198" s="115">
        <v>0</v>
      </c>
      <c r="H2198" s="115">
        <v>0</v>
      </c>
      <c r="I2198" s="115">
        <v>0</v>
      </c>
      <c r="J2198" s="115">
        <v>0</v>
      </c>
      <c r="K2198" s="115">
        <v>0</v>
      </c>
    </row>
    <row r="2199" spans="2:11" x14ac:dyDescent="0.25">
      <c r="B2199" s="115" t="s">
        <v>1241</v>
      </c>
      <c r="D2199" s="115" t="s">
        <v>8710</v>
      </c>
      <c r="E2199" s="115" t="s">
        <v>1242</v>
      </c>
      <c r="F2199" s="115">
        <v>0</v>
      </c>
      <c r="G2199" s="115">
        <v>0</v>
      </c>
      <c r="H2199" s="115">
        <v>0</v>
      </c>
      <c r="I2199" s="115">
        <v>0</v>
      </c>
      <c r="J2199" s="115">
        <v>0</v>
      </c>
      <c r="K2199" s="115">
        <v>0</v>
      </c>
    </row>
    <row r="2200" spans="2:11" x14ac:dyDescent="0.25">
      <c r="B2200" s="115" t="s">
        <v>1241</v>
      </c>
      <c r="D2200" s="115" t="s">
        <v>8710</v>
      </c>
      <c r="E2200" s="115" t="s">
        <v>1242</v>
      </c>
      <c r="F2200" s="115">
        <v>0</v>
      </c>
      <c r="G2200" s="115">
        <v>0</v>
      </c>
      <c r="H2200" s="115">
        <v>0</v>
      </c>
      <c r="I2200" s="115">
        <v>0</v>
      </c>
      <c r="J2200" s="115">
        <v>0</v>
      </c>
      <c r="K2200" s="115">
        <v>0</v>
      </c>
    </row>
    <row r="2201" spans="2:11" x14ac:dyDescent="0.25">
      <c r="B2201" s="115" t="s">
        <v>1241</v>
      </c>
      <c r="D2201" s="115" t="s">
        <v>8710</v>
      </c>
      <c r="E2201" s="115" t="s">
        <v>1242</v>
      </c>
      <c r="F2201" s="115">
        <v>0</v>
      </c>
      <c r="G2201" s="115">
        <v>0</v>
      </c>
      <c r="H2201" s="115">
        <v>0</v>
      </c>
      <c r="I2201" s="115">
        <v>0</v>
      </c>
      <c r="J2201" s="115">
        <v>0</v>
      </c>
      <c r="K2201" s="115">
        <v>0</v>
      </c>
    </row>
    <row r="2202" spans="2:11" x14ac:dyDescent="0.25">
      <c r="B2202" s="115" t="s">
        <v>1241</v>
      </c>
      <c r="D2202" s="115" t="s">
        <v>8710</v>
      </c>
      <c r="E2202" s="115" t="s">
        <v>1242</v>
      </c>
      <c r="F2202" s="115">
        <v>0</v>
      </c>
      <c r="G2202" s="115">
        <v>0</v>
      </c>
      <c r="H2202" s="115">
        <v>0</v>
      </c>
      <c r="I2202" s="115">
        <v>0</v>
      </c>
      <c r="J2202" s="115">
        <v>0</v>
      </c>
      <c r="K2202" s="115">
        <v>0</v>
      </c>
    </row>
    <row r="2203" spans="2:11" x14ac:dyDescent="0.25">
      <c r="B2203" s="115" t="s">
        <v>1241</v>
      </c>
      <c r="D2203" s="115" t="s">
        <v>8710</v>
      </c>
      <c r="E2203" s="115" t="s">
        <v>1242</v>
      </c>
      <c r="F2203" s="115">
        <v>0</v>
      </c>
      <c r="G2203" s="115">
        <v>0</v>
      </c>
      <c r="H2203" s="115">
        <v>0</v>
      </c>
      <c r="I2203" s="115">
        <v>0</v>
      </c>
      <c r="J2203" s="115">
        <v>0</v>
      </c>
      <c r="K2203" s="115">
        <v>0</v>
      </c>
    </row>
    <row r="2204" spans="2:11" x14ac:dyDescent="0.25">
      <c r="B2204" s="115" t="s">
        <v>1241</v>
      </c>
      <c r="D2204" s="115" t="s">
        <v>8710</v>
      </c>
      <c r="E2204" s="115" t="s">
        <v>1242</v>
      </c>
      <c r="F2204" s="115">
        <v>0</v>
      </c>
      <c r="G2204" s="115">
        <v>0</v>
      </c>
      <c r="H2204" s="115">
        <v>0</v>
      </c>
      <c r="I2204" s="115">
        <v>0</v>
      </c>
      <c r="J2204" s="115">
        <v>0</v>
      </c>
      <c r="K2204" s="115">
        <v>0</v>
      </c>
    </row>
    <row r="2205" spans="2:11" x14ac:dyDescent="0.25">
      <c r="B2205" s="115" t="s">
        <v>1241</v>
      </c>
      <c r="D2205" s="115" t="s">
        <v>8710</v>
      </c>
      <c r="E2205" s="115" t="s">
        <v>1242</v>
      </c>
      <c r="F2205" s="115">
        <v>0</v>
      </c>
      <c r="G2205" s="115">
        <v>0</v>
      </c>
      <c r="H2205" s="115">
        <v>0</v>
      </c>
      <c r="I2205" s="115">
        <v>0</v>
      </c>
      <c r="J2205" s="115">
        <v>0</v>
      </c>
      <c r="K2205" s="115">
        <v>0</v>
      </c>
    </row>
    <row r="2206" spans="2:11" x14ac:dyDescent="0.25">
      <c r="B2206" s="115" t="s">
        <v>1241</v>
      </c>
      <c r="D2206" s="115" t="s">
        <v>8710</v>
      </c>
      <c r="E2206" s="115" t="s">
        <v>1242</v>
      </c>
      <c r="F2206" s="115">
        <v>0</v>
      </c>
      <c r="G2206" s="115">
        <v>0</v>
      </c>
      <c r="H2206" s="115">
        <v>0</v>
      </c>
      <c r="I2206" s="115">
        <v>0</v>
      </c>
      <c r="J2206" s="115">
        <v>0</v>
      </c>
      <c r="K2206" s="115">
        <v>0</v>
      </c>
    </row>
    <row r="2207" spans="2:11" x14ac:dyDescent="0.25">
      <c r="B2207" s="115" t="s">
        <v>1241</v>
      </c>
      <c r="D2207" s="115" t="s">
        <v>8710</v>
      </c>
      <c r="E2207" s="115" t="s">
        <v>1242</v>
      </c>
      <c r="F2207" s="115">
        <v>0</v>
      </c>
      <c r="G2207" s="115">
        <v>0</v>
      </c>
      <c r="H2207" s="115">
        <v>0</v>
      </c>
      <c r="I2207" s="115">
        <v>0</v>
      </c>
      <c r="J2207" s="115">
        <v>0</v>
      </c>
      <c r="K2207" s="115">
        <v>0</v>
      </c>
    </row>
    <row r="2208" spans="2:11" x14ac:dyDescent="0.25">
      <c r="B2208" s="115" t="s">
        <v>1241</v>
      </c>
      <c r="D2208" s="115" t="s">
        <v>8710</v>
      </c>
      <c r="E2208" s="115" t="s">
        <v>1242</v>
      </c>
      <c r="F2208" s="115">
        <v>0</v>
      </c>
      <c r="G2208" s="115">
        <v>0</v>
      </c>
      <c r="H2208" s="115">
        <v>0</v>
      </c>
      <c r="I2208" s="115">
        <v>0</v>
      </c>
      <c r="J2208" s="115">
        <v>0</v>
      </c>
      <c r="K2208" s="115">
        <v>0</v>
      </c>
    </row>
    <row r="2209" spans="1:11" x14ac:dyDescent="0.25">
      <c r="B2209" s="115" t="s">
        <v>1241</v>
      </c>
      <c r="D2209" s="115" t="s">
        <v>8710</v>
      </c>
      <c r="E2209" s="115" t="s">
        <v>1242</v>
      </c>
      <c r="F2209" s="115">
        <v>0</v>
      </c>
      <c r="G2209" s="115">
        <v>0</v>
      </c>
      <c r="H2209" s="115">
        <v>0</v>
      </c>
      <c r="I2209" s="115">
        <v>0</v>
      </c>
      <c r="J2209" s="115">
        <v>0</v>
      </c>
      <c r="K2209" s="115">
        <v>0</v>
      </c>
    </row>
    <row r="2210" spans="1:11" x14ac:dyDescent="0.25">
      <c r="B2210" s="115" t="s">
        <v>1241</v>
      </c>
      <c r="D2210" s="115" t="s">
        <v>9669</v>
      </c>
      <c r="E2210" s="115" t="s">
        <v>2733</v>
      </c>
      <c r="F2210" s="115">
        <v>0</v>
      </c>
      <c r="G2210" s="115">
        <v>499</v>
      </c>
      <c r="H2210" s="115">
        <v>-320</v>
      </c>
      <c r="I2210" s="115">
        <v>-721</v>
      </c>
      <c r="J2210" s="115">
        <v>-477</v>
      </c>
      <c r="K2210" s="115">
        <v>-764</v>
      </c>
    </row>
    <row r="2211" spans="1:11" x14ac:dyDescent="0.25">
      <c r="B2211" s="115" t="s">
        <v>1241</v>
      </c>
      <c r="D2211" s="115" t="s">
        <v>9670</v>
      </c>
      <c r="E2211" s="115" t="s">
        <v>2734</v>
      </c>
      <c r="F2211" s="115">
        <v>0</v>
      </c>
      <c r="G2211" s="115">
        <v>0</v>
      </c>
      <c r="H2211" s="115">
        <v>111</v>
      </c>
      <c r="I2211" s="115">
        <v>-215</v>
      </c>
      <c r="J2211" s="115">
        <v>0</v>
      </c>
      <c r="K2211" s="115">
        <v>0</v>
      </c>
    </row>
    <row r="2212" spans="1:11" x14ac:dyDescent="0.25">
      <c r="B2212" s="115" t="s">
        <v>1241</v>
      </c>
      <c r="D2212" s="115" t="s">
        <v>9671</v>
      </c>
      <c r="E2212" s="115" t="s">
        <v>2735</v>
      </c>
      <c r="F2212" s="115">
        <v>81</v>
      </c>
      <c r="G2212" s="115">
        <v>0</v>
      </c>
      <c r="H2212" s="115">
        <v>0</v>
      </c>
      <c r="I2212" s="115">
        <v>262</v>
      </c>
      <c r="J2212" s="115">
        <v>0</v>
      </c>
      <c r="K2212" s="115">
        <v>75</v>
      </c>
    </row>
    <row r="2213" spans="1:11" x14ac:dyDescent="0.25">
      <c r="B2213" s="115" t="s">
        <v>2736</v>
      </c>
      <c r="D2213" s="115" t="s">
        <v>9672</v>
      </c>
      <c r="E2213" s="115" t="s">
        <v>2737</v>
      </c>
      <c r="F2213" s="115">
        <v>0</v>
      </c>
      <c r="G2213" s="115">
        <v>753</v>
      </c>
      <c r="H2213" s="115">
        <v>-97</v>
      </c>
      <c r="I2213" s="115">
        <v>-233</v>
      </c>
      <c r="J2213" s="115">
        <v>-532</v>
      </c>
      <c r="K2213" s="115">
        <v>-464</v>
      </c>
    </row>
    <row r="2214" spans="1:11" x14ac:dyDescent="0.25">
      <c r="A2214" s="115" t="s">
        <v>1239</v>
      </c>
      <c r="B2214" s="115" t="s">
        <v>2738</v>
      </c>
      <c r="D2214" s="115" t="s">
        <v>9673</v>
      </c>
      <c r="E2214" s="115" t="s">
        <v>2739</v>
      </c>
      <c r="F2214" s="115">
        <v>0</v>
      </c>
      <c r="G2214" s="115">
        <v>0</v>
      </c>
      <c r="H2214" s="115">
        <v>0</v>
      </c>
      <c r="I2214" s="115">
        <v>0</v>
      </c>
      <c r="J2214" s="115">
        <v>-43</v>
      </c>
      <c r="K2214" s="115">
        <v>0</v>
      </c>
    </row>
    <row r="2215" spans="1:11" x14ac:dyDescent="0.25">
      <c r="B2215" s="115" t="s">
        <v>1241</v>
      </c>
      <c r="D2215" s="115" t="s">
        <v>9674</v>
      </c>
      <c r="E2215" s="115" t="s">
        <v>1242</v>
      </c>
      <c r="F2215" s="115">
        <v>-68</v>
      </c>
      <c r="G2215" s="115">
        <v>0</v>
      </c>
      <c r="H2215" s="115">
        <v>0</v>
      </c>
      <c r="I2215" s="115">
        <v>0</v>
      </c>
      <c r="J2215" s="115">
        <v>0</v>
      </c>
      <c r="K2215" s="115">
        <v>0</v>
      </c>
    </row>
    <row r="2216" spans="1:11" x14ac:dyDescent="0.25">
      <c r="B2216" s="115" t="s">
        <v>2740</v>
      </c>
      <c r="D2216" s="115" t="s">
        <v>9675</v>
      </c>
      <c r="E2216" s="115" t="s">
        <v>2741</v>
      </c>
      <c r="F2216" s="115">
        <v>0</v>
      </c>
      <c r="G2216" s="115">
        <v>0</v>
      </c>
      <c r="H2216" s="115">
        <v>1568</v>
      </c>
      <c r="I2216" s="115">
        <v>-947</v>
      </c>
      <c r="J2216" s="115">
        <v>0</v>
      </c>
      <c r="K2216" s="115">
        <v>606</v>
      </c>
    </row>
    <row r="2217" spans="1:11" x14ac:dyDescent="0.25">
      <c r="B2217" s="115" t="s">
        <v>1241</v>
      </c>
      <c r="D2217" s="115" t="s">
        <v>9676</v>
      </c>
      <c r="E2217" s="115" t="s">
        <v>2742</v>
      </c>
      <c r="F2217" s="115">
        <v>-1365</v>
      </c>
      <c r="G2217" s="115">
        <v>-228</v>
      </c>
      <c r="H2217" s="115">
        <v>50</v>
      </c>
      <c r="I2217" s="115">
        <v>0</v>
      </c>
      <c r="J2217" s="115">
        <v>0</v>
      </c>
      <c r="K2217" s="115">
        <v>865</v>
      </c>
    </row>
    <row r="2218" spans="1:11" x14ac:dyDescent="0.25">
      <c r="B2218" s="115" t="s">
        <v>2743</v>
      </c>
      <c r="D2218" s="115" t="s">
        <v>9677</v>
      </c>
      <c r="E2218" s="115" t="s">
        <v>2744</v>
      </c>
      <c r="F2218" s="115">
        <v>234</v>
      </c>
      <c r="G2218" s="115">
        <v>-431</v>
      </c>
      <c r="H2218" s="115">
        <v>121</v>
      </c>
      <c r="I2218" s="115">
        <v>674</v>
      </c>
      <c r="J2218" s="115">
        <v>527</v>
      </c>
      <c r="K2218" s="115">
        <v>0</v>
      </c>
    </row>
    <row r="2219" spans="1:11" x14ac:dyDescent="0.25">
      <c r="B2219" s="115" t="s">
        <v>1241</v>
      </c>
      <c r="D2219" s="115" t="s">
        <v>9678</v>
      </c>
      <c r="E2219" s="115" t="s">
        <v>2745</v>
      </c>
      <c r="F2219" s="115">
        <v>2502</v>
      </c>
      <c r="G2219" s="115">
        <v>0</v>
      </c>
      <c r="H2219" s="115">
        <v>1226</v>
      </c>
      <c r="I2219" s="115">
        <v>375</v>
      </c>
      <c r="J2219" s="115">
        <v>-496</v>
      </c>
      <c r="K2219" s="115">
        <v>0</v>
      </c>
    </row>
    <row r="2220" spans="1:11" x14ac:dyDescent="0.25">
      <c r="A2220" s="115">
        <v>-2</v>
      </c>
      <c r="B2220" s="115" t="s">
        <v>2746</v>
      </c>
      <c r="D2220" s="115" t="s">
        <v>9679</v>
      </c>
      <c r="E2220" s="115" t="s">
        <v>2747</v>
      </c>
      <c r="F2220" s="115">
        <v>-440</v>
      </c>
      <c r="G2220" s="115">
        <v>0</v>
      </c>
      <c r="H2220" s="115">
        <v>-547</v>
      </c>
      <c r="I2220" s="115">
        <v>-1039</v>
      </c>
      <c r="J2220" s="115">
        <v>-836</v>
      </c>
      <c r="K2220" s="115">
        <v>327</v>
      </c>
    </row>
    <row r="2221" spans="1:11" x14ac:dyDescent="0.25">
      <c r="B2221" s="115" t="s">
        <v>2748</v>
      </c>
      <c r="C2221" s="115" t="s">
        <v>1239</v>
      </c>
      <c r="D2221" s="115" t="s">
        <v>9680</v>
      </c>
      <c r="E2221" s="115" t="s">
        <v>2749</v>
      </c>
      <c r="F2221" s="115">
        <v>0</v>
      </c>
      <c r="G2221" s="115">
        <v>0</v>
      </c>
      <c r="H2221" s="115">
        <v>57</v>
      </c>
      <c r="I2221" s="115">
        <v>-389</v>
      </c>
      <c r="J2221" s="115">
        <v>0</v>
      </c>
      <c r="K2221" s="115">
        <v>-611</v>
      </c>
    </row>
    <row r="2222" spans="1:11" x14ac:dyDescent="0.25">
      <c r="A2222" s="115" t="s">
        <v>1239</v>
      </c>
      <c r="B2222" s="115" t="s">
        <v>2750</v>
      </c>
      <c r="D2222" s="115" t="s">
        <v>9681</v>
      </c>
      <c r="E2222" s="115" t="s">
        <v>2751</v>
      </c>
      <c r="F2222" s="115">
        <v>0</v>
      </c>
      <c r="G2222" s="115">
        <v>0</v>
      </c>
      <c r="H2222" s="115">
        <v>0</v>
      </c>
      <c r="I2222" s="115">
        <v>0</v>
      </c>
      <c r="J2222" s="115">
        <v>7081</v>
      </c>
      <c r="K2222" s="115">
        <v>0</v>
      </c>
    </row>
    <row r="2223" spans="1:11" x14ac:dyDescent="0.25">
      <c r="A2223" s="115">
        <v>-4</v>
      </c>
      <c r="B2223" s="115" t="s">
        <v>2752</v>
      </c>
      <c r="D2223" s="115" t="s">
        <v>9682</v>
      </c>
      <c r="E2223" s="115" t="s">
        <v>2753</v>
      </c>
      <c r="F2223" s="115">
        <v>-4901</v>
      </c>
      <c r="G2223" s="115">
        <v>2679</v>
      </c>
      <c r="H2223" s="115">
        <v>-684</v>
      </c>
      <c r="I2223" s="115">
        <v>-804</v>
      </c>
      <c r="J2223" s="115">
        <v>-748</v>
      </c>
      <c r="K2223" s="115">
        <v>-354</v>
      </c>
    </row>
    <row r="2224" spans="1:11" x14ac:dyDescent="0.25">
      <c r="A2224" s="115" t="s">
        <v>1239</v>
      </c>
      <c r="B2224" s="115" t="s">
        <v>2754</v>
      </c>
      <c r="D2224" s="115" t="s">
        <v>9683</v>
      </c>
      <c r="E2224" s="115" t="s">
        <v>2755</v>
      </c>
      <c r="F2224" s="115">
        <v>0</v>
      </c>
      <c r="G2224" s="115">
        <v>0</v>
      </c>
      <c r="H2224" s="115">
        <v>-2331</v>
      </c>
      <c r="I2224" s="115">
        <v>580</v>
      </c>
      <c r="J2224" s="115">
        <v>0</v>
      </c>
      <c r="K2224" s="115">
        <v>-214</v>
      </c>
    </row>
    <row r="2225" spans="1:11" x14ac:dyDescent="0.25">
      <c r="B2225" s="115" t="s">
        <v>1241</v>
      </c>
      <c r="D2225" s="115" t="s">
        <v>9684</v>
      </c>
      <c r="E2225" s="115" t="s">
        <v>2756</v>
      </c>
      <c r="F2225" s="115">
        <v>-256</v>
      </c>
      <c r="G2225" s="115">
        <v>153</v>
      </c>
      <c r="H2225" s="115">
        <v>-84</v>
      </c>
      <c r="I2225" s="115">
        <v>0</v>
      </c>
      <c r="J2225" s="115">
        <v>0</v>
      </c>
      <c r="K2225" s="115">
        <v>0</v>
      </c>
    </row>
    <row r="2226" spans="1:11" x14ac:dyDescent="0.25">
      <c r="B2226" s="115" t="s">
        <v>1241</v>
      </c>
      <c r="D2226" s="115" t="s">
        <v>9685</v>
      </c>
      <c r="E2226" s="115" t="s">
        <v>2757</v>
      </c>
      <c r="F2226" s="115">
        <v>-3284</v>
      </c>
      <c r="G2226" s="115">
        <v>237</v>
      </c>
      <c r="H2226" s="115">
        <v>45</v>
      </c>
      <c r="I2226" s="115">
        <v>0</v>
      </c>
      <c r="J2226" s="115">
        <v>-77928</v>
      </c>
      <c r="K2226" s="115">
        <v>699</v>
      </c>
    </row>
    <row r="2227" spans="1:11" x14ac:dyDescent="0.25">
      <c r="A2227" s="115">
        <v>1</v>
      </c>
      <c r="B2227" s="115" t="s">
        <v>2758</v>
      </c>
      <c r="D2227" s="115" t="s">
        <v>9686</v>
      </c>
      <c r="E2227" s="115" t="s">
        <v>2759</v>
      </c>
      <c r="F2227" s="115">
        <v>1803</v>
      </c>
      <c r="G2227" s="115">
        <v>2986</v>
      </c>
      <c r="H2227" s="115">
        <v>1190</v>
      </c>
      <c r="I2227" s="115">
        <v>-1028</v>
      </c>
      <c r="J2227" s="115">
        <v>-989</v>
      </c>
      <c r="K2227" s="115">
        <v>0</v>
      </c>
    </row>
    <row r="2228" spans="1:11" x14ac:dyDescent="0.25">
      <c r="A2228" s="115">
        <v>-10</v>
      </c>
      <c r="B2228" s="115" t="s">
        <v>2760</v>
      </c>
      <c r="D2228" s="115" t="s">
        <v>9687</v>
      </c>
      <c r="E2228" s="115" t="s">
        <v>2761</v>
      </c>
      <c r="F2228" s="115">
        <v>0</v>
      </c>
      <c r="G2228" s="115">
        <v>1681</v>
      </c>
      <c r="H2228" s="115">
        <v>0</v>
      </c>
      <c r="I2228" s="115">
        <v>2064</v>
      </c>
      <c r="J2228" s="115">
        <v>0</v>
      </c>
      <c r="K2228" s="115">
        <v>0</v>
      </c>
    </row>
    <row r="2229" spans="1:11" x14ac:dyDescent="0.25">
      <c r="B2229" s="115" t="s">
        <v>1241</v>
      </c>
      <c r="D2229" s="115" t="s">
        <v>8710</v>
      </c>
      <c r="E2229" s="115" t="s">
        <v>1242</v>
      </c>
      <c r="F2229" s="115">
        <v>0</v>
      </c>
      <c r="G2229" s="115">
        <v>0</v>
      </c>
      <c r="H2229" s="115">
        <v>0</v>
      </c>
      <c r="I2229" s="115">
        <v>0</v>
      </c>
      <c r="J2229" s="115">
        <v>0</v>
      </c>
      <c r="K2229" s="115">
        <v>0</v>
      </c>
    </row>
    <row r="2230" spans="1:11" x14ac:dyDescent="0.25">
      <c r="B2230" s="115" t="s">
        <v>1241</v>
      </c>
      <c r="D2230" s="115" t="s">
        <v>8710</v>
      </c>
      <c r="E2230" s="115" t="s">
        <v>1242</v>
      </c>
      <c r="F2230" s="115">
        <v>0</v>
      </c>
      <c r="G2230" s="115">
        <v>0</v>
      </c>
      <c r="H2230" s="115">
        <v>0</v>
      </c>
      <c r="I2230" s="115">
        <v>0</v>
      </c>
      <c r="J2230" s="115">
        <v>0</v>
      </c>
      <c r="K2230" s="115">
        <v>0</v>
      </c>
    </row>
    <row r="2231" spans="1:11" x14ac:dyDescent="0.25">
      <c r="B2231" s="115" t="s">
        <v>1241</v>
      </c>
      <c r="D2231" s="115" t="s">
        <v>8710</v>
      </c>
      <c r="E2231" s="115" t="s">
        <v>1242</v>
      </c>
      <c r="F2231" s="115">
        <v>0</v>
      </c>
      <c r="G2231" s="115">
        <v>0</v>
      </c>
      <c r="H2231" s="115">
        <v>0</v>
      </c>
      <c r="I2231" s="115">
        <v>0</v>
      </c>
      <c r="J2231" s="115">
        <v>0</v>
      </c>
      <c r="K2231" s="115">
        <v>0</v>
      </c>
    </row>
    <row r="2232" spans="1:11" x14ac:dyDescent="0.25">
      <c r="B2232" s="115" t="s">
        <v>1241</v>
      </c>
      <c r="D2232" s="115" t="s">
        <v>8710</v>
      </c>
      <c r="E2232" s="115" t="s">
        <v>1242</v>
      </c>
      <c r="F2232" s="115">
        <v>0</v>
      </c>
      <c r="G2232" s="115">
        <v>0</v>
      </c>
      <c r="H2232" s="115">
        <v>0</v>
      </c>
      <c r="I2232" s="115">
        <v>0</v>
      </c>
      <c r="J2232" s="115">
        <v>0</v>
      </c>
      <c r="K2232" s="115">
        <v>0</v>
      </c>
    </row>
    <row r="2233" spans="1:11" x14ac:dyDescent="0.25">
      <c r="B2233" s="115" t="s">
        <v>1241</v>
      </c>
      <c r="D2233" s="115" t="s">
        <v>8710</v>
      </c>
      <c r="E2233" s="115" t="s">
        <v>1242</v>
      </c>
      <c r="F2233" s="115">
        <v>0</v>
      </c>
      <c r="G2233" s="115">
        <v>0</v>
      </c>
      <c r="H2233" s="115">
        <v>0</v>
      </c>
      <c r="I2233" s="115">
        <v>0</v>
      </c>
      <c r="J2233" s="115">
        <v>0</v>
      </c>
      <c r="K2233" s="115">
        <v>0</v>
      </c>
    </row>
    <row r="2234" spans="1:11" x14ac:dyDescent="0.25">
      <c r="B2234" s="115" t="s">
        <v>1241</v>
      </c>
      <c r="D2234" s="115" t="s">
        <v>8710</v>
      </c>
      <c r="E2234" s="115" t="s">
        <v>1242</v>
      </c>
      <c r="F2234" s="115">
        <v>0</v>
      </c>
      <c r="G2234" s="115">
        <v>0</v>
      </c>
      <c r="H2234" s="115">
        <v>0</v>
      </c>
      <c r="I2234" s="115">
        <v>0</v>
      </c>
      <c r="J2234" s="115">
        <v>0</v>
      </c>
      <c r="K2234" s="115">
        <v>0</v>
      </c>
    </row>
    <row r="2235" spans="1:11" x14ac:dyDescent="0.25">
      <c r="B2235" s="115" t="s">
        <v>1241</v>
      </c>
      <c r="D2235" s="115" t="s">
        <v>8710</v>
      </c>
      <c r="E2235" s="115" t="s">
        <v>1242</v>
      </c>
      <c r="F2235" s="115">
        <v>0</v>
      </c>
      <c r="G2235" s="115">
        <v>0</v>
      </c>
      <c r="H2235" s="115">
        <v>0</v>
      </c>
      <c r="I2235" s="115">
        <v>0</v>
      </c>
      <c r="J2235" s="115">
        <v>0</v>
      </c>
      <c r="K2235" s="115">
        <v>0</v>
      </c>
    </row>
    <row r="2236" spans="1:11" x14ac:dyDescent="0.25">
      <c r="B2236" s="115" t="s">
        <v>1241</v>
      </c>
      <c r="D2236" s="115" t="s">
        <v>8710</v>
      </c>
      <c r="E2236" s="115" t="s">
        <v>1242</v>
      </c>
      <c r="F2236" s="115">
        <v>0</v>
      </c>
      <c r="G2236" s="115">
        <v>0</v>
      </c>
      <c r="H2236" s="115">
        <v>0</v>
      </c>
      <c r="I2236" s="115">
        <v>0</v>
      </c>
      <c r="J2236" s="115">
        <v>0</v>
      </c>
      <c r="K2236" s="115">
        <v>0</v>
      </c>
    </row>
    <row r="2237" spans="1:11" x14ac:dyDescent="0.25">
      <c r="B2237" s="115" t="s">
        <v>1241</v>
      </c>
      <c r="D2237" s="115" t="s">
        <v>8710</v>
      </c>
      <c r="E2237" s="115" t="s">
        <v>1242</v>
      </c>
      <c r="F2237" s="115">
        <v>0</v>
      </c>
      <c r="G2237" s="115">
        <v>0</v>
      </c>
      <c r="H2237" s="115">
        <v>0</v>
      </c>
      <c r="I2237" s="115">
        <v>0</v>
      </c>
      <c r="J2237" s="115">
        <v>0</v>
      </c>
      <c r="K2237" s="115">
        <v>0</v>
      </c>
    </row>
    <row r="2238" spans="1:11" x14ac:dyDescent="0.25">
      <c r="B2238" s="115" t="s">
        <v>1241</v>
      </c>
      <c r="D2238" s="115" t="s">
        <v>8710</v>
      </c>
      <c r="E2238" s="115" t="s">
        <v>1242</v>
      </c>
      <c r="F2238" s="115">
        <v>0</v>
      </c>
      <c r="G2238" s="115">
        <v>0</v>
      </c>
      <c r="H2238" s="115">
        <v>0</v>
      </c>
      <c r="I2238" s="115">
        <v>0</v>
      </c>
      <c r="J2238" s="115">
        <v>0</v>
      </c>
      <c r="K2238" s="115">
        <v>0</v>
      </c>
    </row>
    <row r="2239" spans="1:11" x14ac:dyDescent="0.25">
      <c r="B2239" s="115" t="s">
        <v>1241</v>
      </c>
      <c r="D2239" s="115" t="s">
        <v>8710</v>
      </c>
      <c r="E2239" s="115" t="s">
        <v>1242</v>
      </c>
      <c r="F2239" s="115">
        <v>0</v>
      </c>
      <c r="G2239" s="115">
        <v>0</v>
      </c>
      <c r="H2239" s="115">
        <v>0</v>
      </c>
      <c r="I2239" s="115">
        <v>0</v>
      </c>
      <c r="J2239" s="115">
        <v>0</v>
      </c>
      <c r="K2239" s="115">
        <v>0</v>
      </c>
    </row>
    <row r="2240" spans="1:11" x14ac:dyDescent="0.25">
      <c r="B2240" s="115" t="s">
        <v>1241</v>
      </c>
      <c r="D2240" s="115" t="s">
        <v>8710</v>
      </c>
      <c r="E2240" s="115" t="s">
        <v>1242</v>
      </c>
      <c r="F2240" s="115">
        <v>0</v>
      </c>
      <c r="G2240" s="115">
        <v>0</v>
      </c>
      <c r="H2240" s="115">
        <v>0</v>
      </c>
      <c r="I2240" s="115">
        <v>0</v>
      </c>
      <c r="J2240" s="115">
        <v>0</v>
      </c>
      <c r="K2240" s="115">
        <v>0</v>
      </c>
    </row>
    <row r="2241" spans="1:11" x14ac:dyDescent="0.25">
      <c r="B2241" s="115" t="s">
        <v>1241</v>
      </c>
      <c r="D2241" s="115" t="s">
        <v>8710</v>
      </c>
      <c r="E2241" s="115" t="s">
        <v>1242</v>
      </c>
      <c r="F2241" s="115">
        <v>0</v>
      </c>
      <c r="G2241" s="115">
        <v>0</v>
      </c>
      <c r="H2241" s="115">
        <v>0</v>
      </c>
      <c r="I2241" s="115">
        <v>0</v>
      </c>
      <c r="J2241" s="115">
        <v>0</v>
      </c>
      <c r="K2241" s="115">
        <v>0</v>
      </c>
    </row>
    <row r="2242" spans="1:11" x14ac:dyDescent="0.25">
      <c r="B2242" s="115" t="s">
        <v>1241</v>
      </c>
      <c r="D2242" s="115" t="s">
        <v>8710</v>
      </c>
      <c r="E2242" s="115" t="s">
        <v>1242</v>
      </c>
      <c r="F2242" s="115">
        <v>0</v>
      </c>
      <c r="G2242" s="115">
        <v>0</v>
      </c>
      <c r="H2242" s="115">
        <v>0</v>
      </c>
      <c r="I2242" s="115">
        <v>0</v>
      </c>
      <c r="J2242" s="115">
        <v>0</v>
      </c>
      <c r="K2242" s="115">
        <v>0</v>
      </c>
    </row>
    <row r="2243" spans="1:11" x14ac:dyDescent="0.25">
      <c r="B2243" s="115" t="s">
        <v>1241</v>
      </c>
      <c r="D2243" s="115" t="s">
        <v>8710</v>
      </c>
      <c r="E2243" s="115" t="s">
        <v>1242</v>
      </c>
      <c r="F2243" s="115">
        <v>0</v>
      </c>
      <c r="G2243" s="115">
        <v>0</v>
      </c>
      <c r="H2243" s="115">
        <v>0</v>
      </c>
      <c r="I2243" s="115">
        <v>0</v>
      </c>
      <c r="J2243" s="115">
        <v>0</v>
      </c>
      <c r="K2243" s="115">
        <v>0</v>
      </c>
    </row>
    <row r="2244" spans="1:11" x14ac:dyDescent="0.25">
      <c r="B2244" s="115" t="s">
        <v>1241</v>
      </c>
      <c r="D2244" s="115" t="s">
        <v>8710</v>
      </c>
      <c r="E2244" s="115" t="s">
        <v>1242</v>
      </c>
      <c r="F2244" s="115">
        <v>0</v>
      </c>
      <c r="G2244" s="115">
        <v>0</v>
      </c>
      <c r="H2244" s="115">
        <v>0</v>
      </c>
      <c r="I2244" s="115">
        <v>0</v>
      </c>
      <c r="J2244" s="115">
        <v>0</v>
      </c>
      <c r="K2244" s="115">
        <v>0</v>
      </c>
    </row>
    <row r="2245" spans="1:11" x14ac:dyDescent="0.25">
      <c r="B2245" s="115" t="s">
        <v>1241</v>
      </c>
      <c r="D2245" s="115" t="s">
        <v>8710</v>
      </c>
      <c r="E2245" s="115" t="s">
        <v>1242</v>
      </c>
      <c r="F2245" s="115">
        <v>0</v>
      </c>
      <c r="G2245" s="115">
        <v>0</v>
      </c>
      <c r="H2245" s="115">
        <v>0</v>
      </c>
      <c r="I2245" s="115">
        <v>0</v>
      </c>
      <c r="J2245" s="115">
        <v>0</v>
      </c>
      <c r="K2245" s="115">
        <v>0</v>
      </c>
    </row>
    <row r="2246" spans="1:11" x14ac:dyDescent="0.25">
      <c r="B2246" s="115" t="s">
        <v>1241</v>
      </c>
      <c r="D2246" s="115" t="s">
        <v>8710</v>
      </c>
      <c r="E2246" s="115" t="s">
        <v>1242</v>
      </c>
      <c r="F2246" s="115">
        <v>0</v>
      </c>
      <c r="G2246" s="115">
        <v>0</v>
      </c>
      <c r="H2246" s="115">
        <v>0</v>
      </c>
      <c r="I2246" s="115">
        <v>0</v>
      </c>
      <c r="J2246" s="115">
        <v>0</v>
      </c>
      <c r="K2246" s="115">
        <v>0</v>
      </c>
    </row>
    <row r="2247" spans="1:11" x14ac:dyDescent="0.25">
      <c r="B2247" s="115" t="s">
        <v>1241</v>
      </c>
      <c r="D2247" s="115" t="s">
        <v>8710</v>
      </c>
      <c r="E2247" s="115" t="s">
        <v>1242</v>
      </c>
      <c r="F2247" s="115">
        <v>0</v>
      </c>
      <c r="G2247" s="115">
        <v>0</v>
      </c>
      <c r="H2247" s="115">
        <v>0</v>
      </c>
      <c r="I2247" s="115">
        <v>0</v>
      </c>
      <c r="J2247" s="115">
        <v>0</v>
      </c>
      <c r="K2247" s="115">
        <v>0</v>
      </c>
    </row>
    <row r="2248" spans="1:11" x14ac:dyDescent="0.25">
      <c r="B2248" s="115" t="s">
        <v>1241</v>
      </c>
      <c r="D2248" s="115" t="s">
        <v>9688</v>
      </c>
      <c r="E2248" s="115" t="s">
        <v>2762</v>
      </c>
      <c r="F2248" s="115">
        <v>0</v>
      </c>
      <c r="G2248" s="115">
        <v>0</v>
      </c>
      <c r="H2248" s="115">
        <v>0</v>
      </c>
      <c r="I2248" s="115">
        <v>0</v>
      </c>
      <c r="J2248" s="115">
        <v>312</v>
      </c>
      <c r="K2248" s="115">
        <v>-1703</v>
      </c>
    </row>
    <row r="2249" spans="1:11" x14ac:dyDescent="0.25">
      <c r="B2249" s="115" t="s">
        <v>2763</v>
      </c>
      <c r="D2249" s="115" t="s">
        <v>9689</v>
      </c>
      <c r="E2249" s="115" t="s">
        <v>2764</v>
      </c>
      <c r="F2249" s="115">
        <v>0</v>
      </c>
      <c r="G2249" s="115">
        <v>259</v>
      </c>
      <c r="H2249" s="115">
        <v>0</v>
      </c>
      <c r="I2249" s="115">
        <v>0</v>
      </c>
      <c r="J2249" s="115">
        <v>0</v>
      </c>
      <c r="K2249" s="115">
        <v>-13</v>
      </c>
    </row>
    <row r="2250" spans="1:11" x14ac:dyDescent="0.25">
      <c r="B2250" s="115" t="s">
        <v>2765</v>
      </c>
      <c r="D2250" s="115" t="s">
        <v>9690</v>
      </c>
      <c r="E2250" s="115" t="s">
        <v>2766</v>
      </c>
      <c r="F2250" s="115">
        <v>0</v>
      </c>
      <c r="G2250" s="115">
        <v>0</v>
      </c>
      <c r="H2250" s="115">
        <v>0</v>
      </c>
      <c r="I2250" s="115">
        <v>471</v>
      </c>
      <c r="J2250" s="115">
        <v>0</v>
      </c>
      <c r="K2250" s="115">
        <v>0</v>
      </c>
    </row>
    <row r="2251" spans="1:11" x14ac:dyDescent="0.25">
      <c r="B2251" s="115" t="s">
        <v>2767</v>
      </c>
      <c r="D2251" s="115" t="s">
        <v>9691</v>
      </c>
      <c r="E2251" s="115" t="s">
        <v>2768</v>
      </c>
      <c r="F2251" s="115">
        <v>-822</v>
      </c>
      <c r="G2251" s="115">
        <v>-494</v>
      </c>
      <c r="H2251" s="115">
        <v>329</v>
      </c>
      <c r="I2251" s="115">
        <v>0</v>
      </c>
      <c r="J2251" s="115">
        <v>34</v>
      </c>
      <c r="K2251" s="115">
        <v>-1145</v>
      </c>
    </row>
    <row r="2252" spans="1:11" x14ac:dyDescent="0.25">
      <c r="B2252" s="115" t="s">
        <v>2769</v>
      </c>
      <c r="D2252" s="115" t="s">
        <v>9692</v>
      </c>
      <c r="E2252" s="115" t="s">
        <v>2770</v>
      </c>
      <c r="F2252" s="115">
        <v>0</v>
      </c>
      <c r="G2252" s="115">
        <v>37</v>
      </c>
      <c r="H2252" s="115">
        <v>0</v>
      </c>
      <c r="I2252" s="115">
        <v>0</v>
      </c>
      <c r="J2252" s="115">
        <v>0</v>
      </c>
      <c r="K2252" s="115">
        <v>0</v>
      </c>
    </row>
    <row r="2253" spans="1:11" x14ac:dyDescent="0.25">
      <c r="B2253" s="115" t="s">
        <v>2326</v>
      </c>
      <c r="D2253" s="115" t="s">
        <v>9693</v>
      </c>
      <c r="E2253" s="115" t="s">
        <v>2771</v>
      </c>
      <c r="F2253" s="115">
        <v>0</v>
      </c>
      <c r="G2253" s="115">
        <v>-2</v>
      </c>
      <c r="H2253" s="115">
        <v>0</v>
      </c>
      <c r="I2253" s="115">
        <v>9</v>
      </c>
      <c r="J2253" s="115">
        <v>0</v>
      </c>
      <c r="K2253" s="115">
        <v>0</v>
      </c>
    </row>
    <row r="2254" spans="1:11" x14ac:dyDescent="0.25">
      <c r="B2254" s="115" t="s">
        <v>1241</v>
      </c>
      <c r="D2254" s="115" t="s">
        <v>9694</v>
      </c>
      <c r="E2254" s="115" t="s">
        <v>2772</v>
      </c>
      <c r="F2254" s="115">
        <v>0</v>
      </c>
      <c r="G2254" s="115">
        <v>-1017</v>
      </c>
      <c r="H2254" s="115">
        <v>-116</v>
      </c>
      <c r="I2254" s="115">
        <v>0</v>
      </c>
      <c r="J2254" s="115">
        <v>0</v>
      </c>
      <c r="K2254" s="115">
        <v>1117</v>
      </c>
    </row>
    <row r="2255" spans="1:11" x14ac:dyDescent="0.25">
      <c r="A2255" s="115">
        <v>1</v>
      </c>
      <c r="B2255" s="115" t="s">
        <v>1505</v>
      </c>
      <c r="D2255" s="115" t="s">
        <v>9695</v>
      </c>
      <c r="E2255" s="115" t="s">
        <v>2773</v>
      </c>
      <c r="F2255" s="115">
        <v>0</v>
      </c>
      <c r="G2255" s="115">
        <v>0</v>
      </c>
      <c r="H2255" s="115">
        <v>0</v>
      </c>
      <c r="I2255" s="115">
        <v>-421</v>
      </c>
      <c r="J2255" s="115">
        <v>484</v>
      </c>
      <c r="K2255" s="115">
        <v>334</v>
      </c>
    </row>
    <row r="2256" spans="1:11" x14ac:dyDescent="0.25">
      <c r="B2256" s="115" t="s">
        <v>1241</v>
      </c>
      <c r="D2256" s="115" t="s">
        <v>9696</v>
      </c>
      <c r="E2256" s="115" t="s">
        <v>2774</v>
      </c>
      <c r="F2256" s="115">
        <v>0</v>
      </c>
      <c r="G2256" s="115">
        <v>110</v>
      </c>
      <c r="H2256" s="115">
        <v>291</v>
      </c>
      <c r="I2256" s="115">
        <v>-14</v>
      </c>
      <c r="J2256" s="115">
        <v>269</v>
      </c>
      <c r="K2256" s="115">
        <v>400</v>
      </c>
    </row>
    <row r="2257" spans="1:11" x14ac:dyDescent="0.25">
      <c r="B2257" s="115" t="s">
        <v>2775</v>
      </c>
      <c r="D2257" s="115" t="s">
        <v>9697</v>
      </c>
      <c r="E2257" s="115" t="s">
        <v>2776</v>
      </c>
      <c r="F2257" s="115">
        <v>0</v>
      </c>
      <c r="G2257" s="115">
        <v>0</v>
      </c>
      <c r="H2257" s="115">
        <v>0</v>
      </c>
      <c r="I2257" s="115">
        <v>-894</v>
      </c>
      <c r="J2257" s="115">
        <v>0</v>
      </c>
      <c r="K2257" s="115">
        <v>329</v>
      </c>
    </row>
    <row r="2258" spans="1:11" x14ac:dyDescent="0.25">
      <c r="B2258" s="115" t="s">
        <v>2777</v>
      </c>
      <c r="D2258" s="115" t="s">
        <v>9698</v>
      </c>
      <c r="E2258" s="115" t="s">
        <v>2778</v>
      </c>
      <c r="F2258" s="115">
        <v>5036</v>
      </c>
      <c r="G2258" s="115">
        <v>-172</v>
      </c>
      <c r="H2258" s="115">
        <v>234</v>
      </c>
      <c r="I2258" s="115">
        <v>-82</v>
      </c>
      <c r="J2258" s="115">
        <v>0</v>
      </c>
      <c r="K2258" s="115">
        <v>-370</v>
      </c>
    </row>
    <row r="2259" spans="1:11" x14ac:dyDescent="0.25">
      <c r="A2259" s="115" t="s">
        <v>1239</v>
      </c>
      <c r="B2259" s="115" t="s">
        <v>2779</v>
      </c>
      <c r="D2259" s="115" t="s">
        <v>9699</v>
      </c>
      <c r="E2259" s="115" t="s">
        <v>2780</v>
      </c>
      <c r="F2259" s="115">
        <v>122</v>
      </c>
      <c r="G2259" s="115">
        <v>-883</v>
      </c>
      <c r="H2259" s="115">
        <v>0</v>
      </c>
      <c r="I2259" s="115">
        <v>0</v>
      </c>
      <c r="J2259" s="115">
        <v>0</v>
      </c>
      <c r="K2259" s="115">
        <v>121</v>
      </c>
    </row>
    <row r="2260" spans="1:11" x14ac:dyDescent="0.25">
      <c r="A2260" s="115" t="s">
        <v>1239</v>
      </c>
      <c r="B2260" s="115" t="s">
        <v>2781</v>
      </c>
      <c r="D2260" s="115" t="s">
        <v>9700</v>
      </c>
      <c r="E2260" s="115" t="s">
        <v>2782</v>
      </c>
      <c r="F2260" s="115">
        <v>99</v>
      </c>
      <c r="G2260" s="115">
        <v>-62</v>
      </c>
      <c r="H2260" s="115">
        <v>0</v>
      </c>
      <c r="I2260" s="115">
        <v>0</v>
      </c>
      <c r="J2260" s="115">
        <v>0</v>
      </c>
      <c r="K2260" s="115">
        <v>0</v>
      </c>
    </row>
    <row r="2261" spans="1:11" x14ac:dyDescent="0.25">
      <c r="B2261" s="115" t="s">
        <v>2783</v>
      </c>
      <c r="D2261" s="115" t="s">
        <v>9701</v>
      </c>
      <c r="E2261" s="115" t="s">
        <v>2784</v>
      </c>
      <c r="F2261" s="115">
        <v>202</v>
      </c>
      <c r="G2261" s="115">
        <v>-161</v>
      </c>
      <c r="H2261" s="115">
        <v>0</v>
      </c>
      <c r="I2261" s="115">
        <v>-2584</v>
      </c>
      <c r="J2261" s="115">
        <v>3313</v>
      </c>
      <c r="K2261" s="115">
        <v>-16</v>
      </c>
    </row>
    <row r="2262" spans="1:11" x14ac:dyDescent="0.25">
      <c r="B2262" s="115" t="s">
        <v>2785</v>
      </c>
      <c r="D2262" s="115" t="s">
        <v>9702</v>
      </c>
      <c r="E2262" s="115" t="s">
        <v>2786</v>
      </c>
      <c r="F2262" s="115">
        <v>-153</v>
      </c>
      <c r="G2262" s="115">
        <v>0</v>
      </c>
      <c r="H2262" s="115">
        <v>20</v>
      </c>
      <c r="I2262" s="115">
        <v>0</v>
      </c>
      <c r="J2262" s="115">
        <v>0</v>
      </c>
      <c r="K2262" s="115">
        <v>-1912</v>
      </c>
    </row>
    <row r="2263" spans="1:11" x14ac:dyDescent="0.25">
      <c r="A2263" s="115" t="s">
        <v>1239</v>
      </c>
      <c r="B2263" s="115" t="s">
        <v>2787</v>
      </c>
      <c r="D2263" s="115" t="s">
        <v>9703</v>
      </c>
      <c r="E2263" s="115" t="s">
        <v>2788</v>
      </c>
      <c r="F2263" s="115">
        <v>0</v>
      </c>
      <c r="G2263" s="115">
        <v>103</v>
      </c>
      <c r="H2263" s="115">
        <v>0</v>
      </c>
      <c r="I2263" s="115">
        <v>86</v>
      </c>
      <c r="J2263" s="115">
        <v>109</v>
      </c>
      <c r="K2263" s="115">
        <v>62</v>
      </c>
    </row>
    <row r="2264" spans="1:11" x14ac:dyDescent="0.25">
      <c r="B2264" s="115" t="s">
        <v>1241</v>
      </c>
      <c r="D2264" s="115" t="s">
        <v>9704</v>
      </c>
      <c r="E2264" s="115" t="s">
        <v>2789</v>
      </c>
      <c r="F2264" s="115">
        <v>0</v>
      </c>
      <c r="G2264" s="115">
        <v>3191</v>
      </c>
      <c r="H2264" s="115">
        <v>0</v>
      </c>
      <c r="I2264" s="115">
        <v>-2260</v>
      </c>
      <c r="J2264" s="115">
        <v>154</v>
      </c>
      <c r="K2264" s="115">
        <v>-264</v>
      </c>
    </row>
    <row r="2265" spans="1:11" x14ac:dyDescent="0.25">
      <c r="B2265" s="115" t="s">
        <v>2790</v>
      </c>
      <c r="C2265" s="115">
        <v>-4</v>
      </c>
      <c r="D2265" s="115" t="s">
        <v>9705</v>
      </c>
      <c r="E2265" s="115" t="s">
        <v>2791</v>
      </c>
      <c r="F2265" s="115">
        <v>0</v>
      </c>
      <c r="G2265" s="115">
        <v>0</v>
      </c>
      <c r="H2265" s="115">
        <v>0</v>
      </c>
      <c r="I2265" s="115">
        <v>2466</v>
      </c>
      <c r="J2265" s="115">
        <v>2616</v>
      </c>
      <c r="K2265" s="115">
        <v>476</v>
      </c>
    </row>
    <row r="2266" spans="1:11" x14ac:dyDescent="0.25">
      <c r="A2266" s="115">
        <v>-2</v>
      </c>
      <c r="B2266" s="115" t="s">
        <v>2792</v>
      </c>
      <c r="D2266" s="115" t="s">
        <v>9706</v>
      </c>
      <c r="E2266" s="115" t="s">
        <v>2793</v>
      </c>
      <c r="F2266" s="115">
        <v>0</v>
      </c>
      <c r="G2266" s="115">
        <v>0</v>
      </c>
      <c r="H2266" s="115">
        <v>1520</v>
      </c>
      <c r="I2266" s="115">
        <v>0</v>
      </c>
      <c r="J2266" s="115">
        <v>2765</v>
      </c>
      <c r="K2266" s="115">
        <v>0</v>
      </c>
    </row>
    <row r="2267" spans="1:11" x14ac:dyDescent="0.25">
      <c r="A2267" s="115">
        <v>3</v>
      </c>
      <c r="B2267" s="115" t="s">
        <v>2794</v>
      </c>
      <c r="D2267" s="115" t="s">
        <v>9707</v>
      </c>
      <c r="E2267" s="115" t="s">
        <v>2795</v>
      </c>
      <c r="F2267" s="115">
        <v>0</v>
      </c>
      <c r="G2267" s="115">
        <v>0</v>
      </c>
      <c r="H2267" s="115">
        <v>0</v>
      </c>
      <c r="I2267" s="115">
        <v>0</v>
      </c>
      <c r="J2267" s="115">
        <v>0</v>
      </c>
      <c r="K2267" s="115">
        <v>2217</v>
      </c>
    </row>
    <row r="2268" spans="1:11" x14ac:dyDescent="0.25">
      <c r="B2268" s="115" t="s">
        <v>2796</v>
      </c>
      <c r="D2268" s="115" t="s">
        <v>9708</v>
      </c>
      <c r="E2268" s="115" t="s">
        <v>2797</v>
      </c>
      <c r="F2268" s="115">
        <v>-4</v>
      </c>
      <c r="G2268" s="115">
        <v>-84</v>
      </c>
      <c r="H2268" s="115">
        <v>0</v>
      </c>
      <c r="I2268" s="115">
        <v>0</v>
      </c>
      <c r="J2268" s="115">
        <v>-277</v>
      </c>
      <c r="K2268" s="115">
        <v>0</v>
      </c>
    </row>
    <row r="2269" spans="1:11" x14ac:dyDescent="0.25">
      <c r="B2269" s="115" t="s">
        <v>1241</v>
      </c>
      <c r="D2269" s="115" t="s">
        <v>9709</v>
      </c>
      <c r="E2269" s="115" t="s">
        <v>1242</v>
      </c>
      <c r="F2269" s="115">
        <v>0</v>
      </c>
      <c r="G2269" s="115">
        <v>0</v>
      </c>
      <c r="H2269" s="115">
        <v>0</v>
      </c>
      <c r="I2269" s="115">
        <v>0</v>
      </c>
      <c r="J2269" s="115">
        <v>0</v>
      </c>
      <c r="K2269" s="115">
        <v>0</v>
      </c>
    </row>
    <row r="2270" spans="1:11" x14ac:dyDescent="0.25">
      <c r="B2270" s="115" t="s">
        <v>2798</v>
      </c>
      <c r="D2270" s="115" t="s">
        <v>9710</v>
      </c>
      <c r="E2270" s="115" t="s">
        <v>2799</v>
      </c>
      <c r="F2270" s="115">
        <v>0</v>
      </c>
      <c r="G2270" s="115">
        <v>38</v>
      </c>
      <c r="H2270" s="115">
        <v>0</v>
      </c>
      <c r="I2270" s="115">
        <v>22</v>
      </c>
      <c r="J2270" s="115">
        <v>-4548</v>
      </c>
      <c r="K2270" s="115">
        <v>604</v>
      </c>
    </row>
    <row r="2271" spans="1:11" x14ac:dyDescent="0.25">
      <c r="B2271" s="115" t="s">
        <v>2800</v>
      </c>
      <c r="D2271" s="115" t="s">
        <v>9711</v>
      </c>
      <c r="E2271" s="115" t="s">
        <v>2801</v>
      </c>
      <c r="F2271" s="115">
        <v>-28</v>
      </c>
      <c r="G2271" s="115">
        <v>176</v>
      </c>
      <c r="H2271" s="115">
        <v>28</v>
      </c>
      <c r="I2271" s="115">
        <v>0</v>
      </c>
      <c r="J2271" s="115">
        <v>-1</v>
      </c>
      <c r="K2271" s="115">
        <v>0</v>
      </c>
    </row>
    <row r="2272" spans="1:11" x14ac:dyDescent="0.25">
      <c r="B2272" s="115" t="s">
        <v>1241</v>
      </c>
      <c r="D2272" s="115" t="s">
        <v>9712</v>
      </c>
      <c r="E2272" s="115" t="s">
        <v>2802</v>
      </c>
      <c r="F2272" s="115">
        <v>62</v>
      </c>
      <c r="G2272" s="115">
        <v>0</v>
      </c>
      <c r="H2272" s="115">
        <v>0</v>
      </c>
      <c r="I2272" s="115">
        <v>0</v>
      </c>
      <c r="J2272" s="115">
        <v>50</v>
      </c>
      <c r="K2272" s="115">
        <v>0</v>
      </c>
    </row>
    <row r="2273" spans="2:11" x14ac:dyDescent="0.25">
      <c r="B2273" s="115" t="s">
        <v>2803</v>
      </c>
      <c r="D2273" s="115" t="s">
        <v>9713</v>
      </c>
      <c r="E2273" s="115" t="s">
        <v>2804</v>
      </c>
      <c r="F2273" s="115">
        <v>0</v>
      </c>
      <c r="G2273" s="115">
        <v>0</v>
      </c>
      <c r="H2273" s="115">
        <v>2</v>
      </c>
      <c r="I2273" s="115">
        <v>0</v>
      </c>
      <c r="J2273" s="115">
        <v>-168</v>
      </c>
      <c r="K2273" s="115">
        <v>134</v>
      </c>
    </row>
    <row r="2274" spans="2:11" x14ac:dyDescent="0.25">
      <c r="B2274" s="115" t="s">
        <v>1241</v>
      </c>
      <c r="D2274" s="115" t="s">
        <v>9714</v>
      </c>
      <c r="E2274" s="115" t="s">
        <v>2805</v>
      </c>
      <c r="F2274" s="115">
        <v>0</v>
      </c>
      <c r="G2274" s="115">
        <v>43</v>
      </c>
      <c r="H2274" s="115">
        <v>0</v>
      </c>
      <c r="I2274" s="115">
        <v>0</v>
      </c>
      <c r="J2274" s="115">
        <v>0</v>
      </c>
      <c r="K2274" s="115">
        <v>0</v>
      </c>
    </row>
    <row r="2275" spans="2:11" x14ac:dyDescent="0.25">
      <c r="B2275" s="115" t="s">
        <v>2806</v>
      </c>
      <c r="D2275" s="115" t="s">
        <v>9715</v>
      </c>
      <c r="E2275" s="115" t="s">
        <v>2807</v>
      </c>
      <c r="F2275" s="115">
        <v>0</v>
      </c>
      <c r="G2275" s="115">
        <v>-44</v>
      </c>
      <c r="H2275" s="115">
        <v>44</v>
      </c>
      <c r="I2275" s="115">
        <v>0</v>
      </c>
      <c r="J2275" s="115">
        <v>215</v>
      </c>
      <c r="K2275" s="115">
        <v>311</v>
      </c>
    </row>
    <row r="2276" spans="2:11" x14ac:dyDescent="0.25">
      <c r="B2276" s="115" t="s">
        <v>2808</v>
      </c>
      <c r="D2276" s="115" t="s">
        <v>9716</v>
      </c>
      <c r="E2276" s="115" t="s">
        <v>1242</v>
      </c>
      <c r="F2276" s="115">
        <v>59</v>
      </c>
      <c r="G2276" s="115">
        <v>0</v>
      </c>
      <c r="H2276" s="115">
        <v>0</v>
      </c>
      <c r="I2276" s="115">
        <v>0</v>
      </c>
      <c r="J2276" s="115">
        <v>0</v>
      </c>
      <c r="K2276" s="115">
        <v>0</v>
      </c>
    </row>
    <row r="2277" spans="2:11" x14ac:dyDescent="0.25">
      <c r="B2277" s="115" t="s">
        <v>2809</v>
      </c>
      <c r="D2277" s="115" t="s">
        <v>9717</v>
      </c>
      <c r="E2277" s="115" t="s">
        <v>2810</v>
      </c>
      <c r="F2277" s="115">
        <v>656</v>
      </c>
      <c r="G2277" s="115">
        <v>0</v>
      </c>
      <c r="H2277" s="115">
        <v>429</v>
      </c>
      <c r="I2277" s="115">
        <v>1944</v>
      </c>
      <c r="J2277" s="115">
        <v>179</v>
      </c>
      <c r="K2277" s="115">
        <v>248</v>
      </c>
    </row>
    <row r="2278" spans="2:11" x14ac:dyDescent="0.25">
      <c r="B2278" s="115" t="s">
        <v>2811</v>
      </c>
      <c r="D2278" s="115" t="s">
        <v>9718</v>
      </c>
      <c r="E2278" s="115" t="s">
        <v>2812</v>
      </c>
      <c r="F2278" s="115">
        <v>160</v>
      </c>
      <c r="G2278" s="115">
        <v>764</v>
      </c>
      <c r="H2278" s="115">
        <v>0</v>
      </c>
      <c r="I2278" s="115">
        <v>-260</v>
      </c>
      <c r="J2278" s="115">
        <v>-785</v>
      </c>
      <c r="K2278" s="115">
        <v>0</v>
      </c>
    </row>
    <row r="2279" spans="2:11" x14ac:dyDescent="0.25">
      <c r="B2279" s="115" t="s">
        <v>1241</v>
      </c>
      <c r="D2279" s="115" t="s">
        <v>9719</v>
      </c>
      <c r="E2279" s="115" t="s">
        <v>2813</v>
      </c>
      <c r="F2279" s="115">
        <v>0</v>
      </c>
      <c r="G2279" s="115">
        <v>208</v>
      </c>
      <c r="H2279" s="115">
        <v>99</v>
      </c>
      <c r="I2279" s="115">
        <v>75</v>
      </c>
      <c r="J2279" s="115">
        <v>68</v>
      </c>
      <c r="K2279" s="115">
        <v>0</v>
      </c>
    </row>
    <row r="2280" spans="2:11" x14ac:dyDescent="0.25">
      <c r="B2280" s="115" t="s">
        <v>1241</v>
      </c>
      <c r="D2280" s="115" t="s">
        <v>9720</v>
      </c>
      <c r="E2280" s="115" t="s">
        <v>2814</v>
      </c>
      <c r="F2280" s="115">
        <v>326</v>
      </c>
      <c r="G2280" s="115">
        <v>0</v>
      </c>
      <c r="H2280" s="115">
        <v>600</v>
      </c>
      <c r="I2280" s="115">
        <v>-7988</v>
      </c>
      <c r="J2280" s="115">
        <v>1096</v>
      </c>
      <c r="K2280" s="115">
        <v>0</v>
      </c>
    </row>
    <row r="2281" spans="2:11" x14ac:dyDescent="0.25">
      <c r="B2281" s="115" t="s">
        <v>2815</v>
      </c>
      <c r="D2281" s="115" t="s">
        <v>9721</v>
      </c>
      <c r="E2281" s="115" t="s">
        <v>2816</v>
      </c>
      <c r="F2281" s="115">
        <v>46</v>
      </c>
      <c r="G2281" s="115">
        <v>-189</v>
      </c>
      <c r="H2281" s="115">
        <v>-163</v>
      </c>
      <c r="I2281" s="115">
        <v>202</v>
      </c>
      <c r="J2281" s="115">
        <v>0</v>
      </c>
      <c r="K2281" s="115">
        <v>464</v>
      </c>
    </row>
    <row r="2282" spans="2:11" x14ac:dyDescent="0.25">
      <c r="B2282" s="115" t="s">
        <v>1241</v>
      </c>
      <c r="D2282" s="115" t="s">
        <v>9722</v>
      </c>
      <c r="E2282" s="115" t="s">
        <v>2817</v>
      </c>
      <c r="F2282" s="115">
        <v>0</v>
      </c>
      <c r="G2282" s="115">
        <v>82</v>
      </c>
      <c r="H2282" s="115">
        <v>0</v>
      </c>
      <c r="I2282" s="115">
        <v>0</v>
      </c>
      <c r="J2282" s="115">
        <v>42</v>
      </c>
      <c r="K2282" s="115">
        <v>0</v>
      </c>
    </row>
    <row r="2283" spans="2:11" x14ac:dyDescent="0.25">
      <c r="B2283" s="115" t="s">
        <v>2818</v>
      </c>
      <c r="D2283" s="115" t="s">
        <v>9723</v>
      </c>
      <c r="E2283" s="115" t="s">
        <v>2819</v>
      </c>
      <c r="F2283" s="115">
        <v>0</v>
      </c>
      <c r="G2283" s="115">
        <v>0</v>
      </c>
      <c r="H2283" s="115">
        <v>0</v>
      </c>
      <c r="I2283" s="115">
        <v>0</v>
      </c>
      <c r="J2283" s="115">
        <v>38</v>
      </c>
      <c r="K2283" s="115">
        <v>0</v>
      </c>
    </row>
    <row r="2284" spans="2:11" x14ac:dyDescent="0.25">
      <c r="B2284" s="115" t="s">
        <v>2820</v>
      </c>
      <c r="D2284" s="115" t="s">
        <v>9724</v>
      </c>
      <c r="E2284" s="115" t="s">
        <v>2821</v>
      </c>
      <c r="F2284" s="115">
        <v>-6099</v>
      </c>
      <c r="G2284" s="115">
        <v>-1425</v>
      </c>
      <c r="H2284" s="115">
        <v>345</v>
      </c>
      <c r="I2284" s="115">
        <v>0</v>
      </c>
      <c r="J2284" s="115">
        <v>0</v>
      </c>
      <c r="K2284" s="115">
        <v>0</v>
      </c>
    </row>
    <row r="2285" spans="2:11" x14ac:dyDescent="0.25">
      <c r="B2285" s="115" t="s">
        <v>2822</v>
      </c>
      <c r="D2285" s="115" t="s">
        <v>9725</v>
      </c>
      <c r="E2285" s="115" t="s">
        <v>2823</v>
      </c>
      <c r="F2285" s="115">
        <v>-2587</v>
      </c>
      <c r="G2285" s="115">
        <v>0</v>
      </c>
      <c r="H2285" s="115">
        <v>4528</v>
      </c>
      <c r="I2285" s="115">
        <v>0</v>
      </c>
      <c r="J2285" s="115">
        <v>0</v>
      </c>
      <c r="K2285" s="115">
        <v>1151</v>
      </c>
    </row>
    <row r="2286" spans="2:11" x14ac:dyDescent="0.25">
      <c r="B2286" s="115" t="s">
        <v>2824</v>
      </c>
      <c r="D2286" s="115" t="s">
        <v>9726</v>
      </c>
      <c r="E2286" s="115" t="s">
        <v>1242</v>
      </c>
      <c r="F2286" s="115">
        <v>0</v>
      </c>
      <c r="G2286" s="115">
        <v>0</v>
      </c>
      <c r="H2286" s="115">
        <v>0</v>
      </c>
      <c r="I2286" s="115">
        <v>0</v>
      </c>
      <c r="J2286" s="115">
        <v>0</v>
      </c>
      <c r="K2286" s="115">
        <v>0</v>
      </c>
    </row>
    <row r="2287" spans="2:11" x14ac:dyDescent="0.25">
      <c r="B2287" s="115" t="s">
        <v>1241</v>
      </c>
      <c r="C2287" s="115" t="s">
        <v>1239</v>
      </c>
      <c r="D2287" s="115" t="s">
        <v>9727</v>
      </c>
      <c r="E2287" s="115" t="s">
        <v>2825</v>
      </c>
      <c r="F2287" s="115">
        <v>-2316</v>
      </c>
      <c r="G2287" s="115">
        <v>1750</v>
      </c>
      <c r="H2287" s="115">
        <v>679</v>
      </c>
      <c r="I2287" s="115">
        <v>-233</v>
      </c>
      <c r="J2287" s="115">
        <v>-37</v>
      </c>
      <c r="K2287" s="115">
        <v>218</v>
      </c>
    </row>
    <row r="2288" spans="2:11" x14ac:dyDescent="0.25">
      <c r="B2288" s="115" t="s">
        <v>1241</v>
      </c>
      <c r="D2288" s="115" t="s">
        <v>9728</v>
      </c>
      <c r="E2288" s="115" t="s">
        <v>2826</v>
      </c>
      <c r="F2288" s="115">
        <v>0</v>
      </c>
      <c r="G2288" s="115">
        <v>0</v>
      </c>
      <c r="H2288" s="115">
        <v>-128</v>
      </c>
      <c r="I2288" s="115">
        <v>-14</v>
      </c>
      <c r="J2288" s="115">
        <v>0</v>
      </c>
      <c r="K2288" s="115">
        <v>0</v>
      </c>
    </row>
    <row r="2289" spans="1:11" x14ac:dyDescent="0.25">
      <c r="B2289" s="115" t="s">
        <v>1241</v>
      </c>
      <c r="D2289" s="115" t="s">
        <v>9729</v>
      </c>
      <c r="E2289" s="115" t="s">
        <v>2827</v>
      </c>
      <c r="F2289" s="115">
        <v>-5</v>
      </c>
      <c r="G2289" s="115">
        <v>0</v>
      </c>
      <c r="H2289" s="115">
        <v>0</v>
      </c>
      <c r="I2289" s="115">
        <v>108</v>
      </c>
      <c r="J2289" s="115">
        <v>0</v>
      </c>
      <c r="K2289" s="115">
        <v>-138</v>
      </c>
    </row>
    <row r="2290" spans="1:11" x14ac:dyDescent="0.25">
      <c r="B2290" s="115" t="s">
        <v>2828</v>
      </c>
      <c r="D2290" s="115" t="s">
        <v>9730</v>
      </c>
      <c r="E2290" s="115" t="s">
        <v>2829</v>
      </c>
      <c r="F2290" s="115">
        <v>0</v>
      </c>
      <c r="G2290" s="115">
        <v>33</v>
      </c>
      <c r="H2290" s="115">
        <v>337</v>
      </c>
      <c r="I2290" s="115">
        <v>9</v>
      </c>
      <c r="J2290" s="115">
        <v>-163</v>
      </c>
      <c r="K2290" s="115">
        <v>-82</v>
      </c>
    </row>
    <row r="2291" spans="1:11" x14ac:dyDescent="0.25">
      <c r="B2291" s="115" t="s">
        <v>2830</v>
      </c>
      <c r="D2291" s="115" t="s">
        <v>9731</v>
      </c>
      <c r="E2291" s="115" t="s">
        <v>2831</v>
      </c>
      <c r="F2291" s="115">
        <v>0</v>
      </c>
      <c r="G2291" s="115">
        <v>0</v>
      </c>
      <c r="H2291" s="115">
        <v>0</v>
      </c>
      <c r="I2291" s="115">
        <v>0</v>
      </c>
      <c r="J2291" s="115">
        <v>-68</v>
      </c>
      <c r="K2291" s="115">
        <v>0</v>
      </c>
    </row>
    <row r="2292" spans="1:11" x14ac:dyDescent="0.25">
      <c r="B2292" s="115" t="s">
        <v>1241</v>
      </c>
      <c r="D2292" s="115" t="s">
        <v>9732</v>
      </c>
      <c r="E2292" s="115" t="s">
        <v>1242</v>
      </c>
      <c r="F2292" s="115">
        <v>3</v>
      </c>
      <c r="G2292" s="115">
        <v>0</v>
      </c>
      <c r="H2292" s="115">
        <v>0</v>
      </c>
      <c r="I2292" s="115">
        <v>0</v>
      </c>
      <c r="J2292" s="115">
        <v>0</v>
      </c>
      <c r="K2292" s="115">
        <v>0</v>
      </c>
    </row>
    <row r="2293" spans="1:11" x14ac:dyDescent="0.25">
      <c r="B2293" s="115" t="s">
        <v>2832</v>
      </c>
      <c r="D2293" s="115" t="s">
        <v>9733</v>
      </c>
      <c r="E2293" s="115" t="s">
        <v>2833</v>
      </c>
      <c r="F2293" s="115">
        <v>0</v>
      </c>
      <c r="G2293" s="115">
        <v>0</v>
      </c>
      <c r="H2293" s="115">
        <v>196</v>
      </c>
      <c r="I2293" s="115">
        <v>785</v>
      </c>
      <c r="J2293" s="115">
        <v>0</v>
      </c>
      <c r="K2293" s="115">
        <v>-161</v>
      </c>
    </row>
    <row r="2294" spans="1:11" x14ac:dyDescent="0.25">
      <c r="B2294" s="115" t="s">
        <v>1241</v>
      </c>
      <c r="D2294" s="115" t="s">
        <v>9734</v>
      </c>
      <c r="E2294" s="115" t="s">
        <v>2834</v>
      </c>
      <c r="F2294" s="115">
        <v>859</v>
      </c>
      <c r="G2294" s="115">
        <v>-422</v>
      </c>
      <c r="H2294" s="115">
        <v>-272</v>
      </c>
      <c r="I2294" s="115">
        <v>0</v>
      </c>
      <c r="J2294" s="115">
        <v>0</v>
      </c>
      <c r="K2294" s="115">
        <v>-107</v>
      </c>
    </row>
    <row r="2295" spans="1:11" x14ac:dyDescent="0.25">
      <c r="B2295" s="115" t="s">
        <v>2667</v>
      </c>
      <c r="D2295" s="115" t="s">
        <v>9735</v>
      </c>
      <c r="E2295" s="115" t="s">
        <v>2835</v>
      </c>
      <c r="F2295" s="115">
        <v>107</v>
      </c>
      <c r="G2295" s="115">
        <v>334</v>
      </c>
      <c r="H2295" s="115">
        <v>62</v>
      </c>
      <c r="I2295" s="115">
        <v>-190</v>
      </c>
      <c r="J2295" s="115">
        <v>-241</v>
      </c>
      <c r="K2295" s="115">
        <v>0</v>
      </c>
    </row>
    <row r="2296" spans="1:11" x14ac:dyDescent="0.25">
      <c r="B2296" s="115" t="s">
        <v>1241</v>
      </c>
      <c r="D2296" s="115" t="s">
        <v>9736</v>
      </c>
      <c r="E2296" s="115" t="s">
        <v>2836</v>
      </c>
      <c r="F2296" s="115">
        <v>436</v>
      </c>
      <c r="G2296" s="115">
        <v>0</v>
      </c>
      <c r="H2296" s="115">
        <v>277</v>
      </c>
      <c r="I2296" s="115">
        <v>867</v>
      </c>
      <c r="J2296" s="115">
        <v>-6021</v>
      </c>
      <c r="K2296" s="115">
        <v>0</v>
      </c>
    </row>
    <row r="2297" spans="1:11" x14ac:dyDescent="0.25">
      <c r="B2297" s="115" t="s">
        <v>2837</v>
      </c>
      <c r="D2297" s="115" t="s">
        <v>9737</v>
      </c>
      <c r="E2297" s="115" t="s">
        <v>2838</v>
      </c>
      <c r="F2297" s="115">
        <v>1</v>
      </c>
      <c r="G2297" s="115">
        <v>0</v>
      </c>
      <c r="H2297" s="115">
        <v>614</v>
      </c>
      <c r="I2297" s="115">
        <v>1487</v>
      </c>
      <c r="J2297" s="115">
        <v>1890</v>
      </c>
      <c r="K2297" s="115">
        <v>-500</v>
      </c>
    </row>
    <row r="2298" spans="1:11" x14ac:dyDescent="0.25">
      <c r="B2298" s="115" t="s">
        <v>2839</v>
      </c>
      <c r="D2298" s="115" t="s">
        <v>9738</v>
      </c>
      <c r="E2298" s="115" t="s">
        <v>2840</v>
      </c>
      <c r="F2298" s="115">
        <v>0</v>
      </c>
      <c r="G2298" s="115">
        <v>0</v>
      </c>
      <c r="H2298" s="115">
        <v>57</v>
      </c>
      <c r="I2298" s="115">
        <v>-49</v>
      </c>
      <c r="J2298" s="115">
        <v>0</v>
      </c>
      <c r="K2298" s="115">
        <v>649</v>
      </c>
    </row>
    <row r="2299" spans="1:11" x14ac:dyDescent="0.25">
      <c r="B2299" s="115" t="s">
        <v>2841</v>
      </c>
      <c r="D2299" s="115" t="s">
        <v>9739</v>
      </c>
      <c r="E2299" s="115" t="s">
        <v>2842</v>
      </c>
      <c r="F2299" s="115">
        <v>0</v>
      </c>
      <c r="G2299" s="115">
        <v>0</v>
      </c>
      <c r="H2299" s="115">
        <v>0</v>
      </c>
      <c r="I2299" s="115">
        <v>0</v>
      </c>
      <c r="J2299" s="115">
        <v>74</v>
      </c>
      <c r="K2299" s="115">
        <v>0</v>
      </c>
    </row>
    <row r="2300" spans="1:11" x14ac:dyDescent="0.25">
      <c r="A2300" s="115" t="s">
        <v>1239</v>
      </c>
      <c r="B2300" s="115" t="s">
        <v>2843</v>
      </c>
      <c r="C2300" s="115" t="s">
        <v>1239</v>
      </c>
      <c r="D2300" s="115" t="s">
        <v>9740</v>
      </c>
      <c r="E2300" s="115" t="s">
        <v>2844</v>
      </c>
      <c r="F2300" s="115">
        <v>229</v>
      </c>
      <c r="G2300" s="115">
        <v>1191</v>
      </c>
      <c r="H2300" s="115">
        <v>-222</v>
      </c>
      <c r="I2300" s="115">
        <v>-241</v>
      </c>
      <c r="J2300" s="115">
        <v>-182</v>
      </c>
      <c r="K2300" s="115">
        <v>-94</v>
      </c>
    </row>
    <row r="2301" spans="1:11" x14ac:dyDescent="0.25">
      <c r="A2301" s="115" t="s">
        <v>1239</v>
      </c>
      <c r="B2301" s="115" t="s">
        <v>2845</v>
      </c>
      <c r="D2301" s="115" t="s">
        <v>9741</v>
      </c>
      <c r="E2301" s="115" t="s">
        <v>2846</v>
      </c>
      <c r="F2301" s="115">
        <v>0</v>
      </c>
      <c r="G2301" s="115">
        <v>0</v>
      </c>
      <c r="H2301" s="115">
        <v>-264</v>
      </c>
      <c r="I2301" s="115">
        <v>87</v>
      </c>
      <c r="J2301" s="115">
        <v>0</v>
      </c>
      <c r="K2301" s="115">
        <v>-217</v>
      </c>
    </row>
    <row r="2302" spans="1:11" x14ac:dyDescent="0.25">
      <c r="B2302" s="115" t="s">
        <v>1241</v>
      </c>
      <c r="D2302" s="115" t="s">
        <v>9742</v>
      </c>
      <c r="E2302" s="115" t="s">
        <v>2847</v>
      </c>
      <c r="F2302" s="115">
        <v>234</v>
      </c>
      <c r="G2302" s="115">
        <v>-85</v>
      </c>
      <c r="H2302" s="115">
        <v>-139</v>
      </c>
      <c r="I2302" s="115">
        <v>0</v>
      </c>
      <c r="J2302" s="115">
        <v>0</v>
      </c>
      <c r="K2302" s="115">
        <v>0</v>
      </c>
    </row>
    <row r="2303" spans="1:11" x14ac:dyDescent="0.25">
      <c r="B2303" s="115" t="s">
        <v>1241</v>
      </c>
      <c r="D2303" s="115" t="s">
        <v>9743</v>
      </c>
      <c r="E2303" s="115" t="s">
        <v>2848</v>
      </c>
      <c r="F2303" s="115">
        <v>-454</v>
      </c>
      <c r="G2303" s="115">
        <v>788</v>
      </c>
      <c r="H2303" s="115">
        <v>-4438</v>
      </c>
      <c r="I2303" s="115">
        <v>0</v>
      </c>
      <c r="J2303" s="115">
        <v>-13170</v>
      </c>
      <c r="K2303" s="115">
        <v>-9615</v>
      </c>
    </row>
    <row r="2304" spans="1:11" x14ac:dyDescent="0.25">
      <c r="A2304" s="115">
        <v>1</v>
      </c>
      <c r="B2304" s="115" t="s">
        <v>2849</v>
      </c>
      <c r="D2304" s="115" t="s">
        <v>9744</v>
      </c>
      <c r="E2304" s="115" t="s">
        <v>2850</v>
      </c>
      <c r="F2304" s="115">
        <v>-8911</v>
      </c>
      <c r="G2304" s="115">
        <v>-13516</v>
      </c>
      <c r="H2304" s="115">
        <v>-17328</v>
      </c>
      <c r="I2304" s="115">
        <v>6916</v>
      </c>
      <c r="J2304" s="115">
        <v>4837</v>
      </c>
      <c r="K2304" s="115">
        <v>0</v>
      </c>
    </row>
    <row r="2305" spans="1:11" x14ac:dyDescent="0.25">
      <c r="A2305" s="115">
        <v>7</v>
      </c>
      <c r="B2305" s="115" t="s">
        <v>1870</v>
      </c>
      <c r="D2305" s="115" t="s">
        <v>9745</v>
      </c>
      <c r="E2305" s="115" t="s">
        <v>2851</v>
      </c>
      <c r="F2305" s="115">
        <v>0</v>
      </c>
      <c r="G2305" s="115">
        <v>4299</v>
      </c>
      <c r="H2305" s="115">
        <v>0</v>
      </c>
      <c r="I2305" s="115">
        <v>-4681</v>
      </c>
      <c r="J2305" s="115">
        <v>0</v>
      </c>
      <c r="K2305" s="115">
        <v>0</v>
      </c>
    </row>
    <row r="2306" spans="1:11" x14ac:dyDescent="0.25">
      <c r="B2306" s="115" t="s">
        <v>1241</v>
      </c>
      <c r="D2306" s="115" t="s">
        <v>9746</v>
      </c>
      <c r="E2306" s="115" t="s">
        <v>2852</v>
      </c>
      <c r="F2306" s="115">
        <v>0</v>
      </c>
      <c r="G2306" s="115">
        <v>0</v>
      </c>
      <c r="H2306" s="115">
        <v>1798</v>
      </c>
      <c r="I2306" s="115">
        <v>0</v>
      </c>
      <c r="J2306" s="115">
        <v>3413</v>
      </c>
      <c r="K2306" s="115">
        <v>-8964</v>
      </c>
    </row>
    <row r="2307" spans="1:11" x14ac:dyDescent="0.25">
      <c r="B2307" s="115" t="s">
        <v>1241</v>
      </c>
      <c r="D2307" s="115" t="s">
        <v>8710</v>
      </c>
      <c r="E2307" s="115" t="s">
        <v>1242</v>
      </c>
      <c r="F2307" s="115">
        <v>0</v>
      </c>
      <c r="G2307" s="115">
        <v>0</v>
      </c>
      <c r="H2307" s="115">
        <v>0</v>
      </c>
      <c r="I2307" s="115">
        <v>0</v>
      </c>
      <c r="J2307" s="115">
        <v>0</v>
      </c>
      <c r="K2307" s="115">
        <v>0</v>
      </c>
    </row>
    <row r="2308" spans="1:11" x14ac:dyDescent="0.25">
      <c r="B2308" s="115" t="s">
        <v>1241</v>
      </c>
      <c r="D2308" s="115" t="s">
        <v>8710</v>
      </c>
      <c r="E2308" s="115" t="s">
        <v>1242</v>
      </c>
      <c r="F2308" s="115">
        <v>0</v>
      </c>
      <c r="G2308" s="115">
        <v>0</v>
      </c>
      <c r="H2308" s="115">
        <v>0</v>
      </c>
      <c r="I2308" s="115">
        <v>0</v>
      </c>
      <c r="J2308" s="115">
        <v>0</v>
      </c>
      <c r="K2308" s="115">
        <v>0</v>
      </c>
    </row>
    <row r="2309" spans="1:11" x14ac:dyDescent="0.25">
      <c r="B2309" s="115" t="s">
        <v>1241</v>
      </c>
      <c r="D2309" s="115" t="s">
        <v>8710</v>
      </c>
      <c r="E2309" s="115" t="s">
        <v>1242</v>
      </c>
      <c r="F2309" s="115">
        <v>0</v>
      </c>
      <c r="G2309" s="115">
        <v>0</v>
      </c>
      <c r="H2309" s="115">
        <v>0</v>
      </c>
      <c r="I2309" s="115">
        <v>0</v>
      </c>
      <c r="J2309" s="115">
        <v>0</v>
      </c>
      <c r="K2309" s="115">
        <v>0</v>
      </c>
    </row>
    <row r="2310" spans="1:11" x14ac:dyDescent="0.25">
      <c r="B2310" s="115" t="s">
        <v>1241</v>
      </c>
      <c r="D2310" s="115" t="s">
        <v>8710</v>
      </c>
      <c r="E2310" s="115" t="s">
        <v>1242</v>
      </c>
      <c r="F2310" s="115">
        <v>0</v>
      </c>
      <c r="G2310" s="115">
        <v>0</v>
      </c>
      <c r="H2310" s="115">
        <v>0</v>
      </c>
      <c r="I2310" s="115">
        <v>0</v>
      </c>
      <c r="J2310" s="115">
        <v>0</v>
      </c>
      <c r="K2310" s="115">
        <v>0</v>
      </c>
    </row>
    <row r="2311" spans="1:11" x14ac:dyDescent="0.25">
      <c r="B2311" s="115" t="s">
        <v>1241</v>
      </c>
      <c r="D2311" s="115" t="s">
        <v>8710</v>
      </c>
      <c r="E2311" s="115" t="s">
        <v>1242</v>
      </c>
      <c r="F2311" s="115">
        <v>0</v>
      </c>
      <c r="G2311" s="115">
        <v>0</v>
      </c>
      <c r="H2311" s="115">
        <v>0</v>
      </c>
      <c r="I2311" s="115">
        <v>0</v>
      </c>
      <c r="J2311" s="115">
        <v>0</v>
      </c>
      <c r="K2311" s="115">
        <v>0</v>
      </c>
    </row>
    <row r="2312" spans="1:11" x14ac:dyDescent="0.25">
      <c r="B2312" s="115" t="s">
        <v>1241</v>
      </c>
      <c r="D2312" s="115" t="s">
        <v>8710</v>
      </c>
      <c r="E2312" s="115" t="s">
        <v>1242</v>
      </c>
      <c r="F2312" s="115">
        <v>0</v>
      </c>
      <c r="G2312" s="115">
        <v>0</v>
      </c>
      <c r="H2312" s="115">
        <v>0</v>
      </c>
      <c r="I2312" s="115">
        <v>0</v>
      </c>
      <c r="J2312" s="115">
        <v>0</v>
      </c>
      <c r="K2312" s="115">
        <v>0</v>
      </c>
    </row>
    <row r="2313" spans="1:11" x14ac:dyDescent="0.25">
      <c r="B2313" s="115" t="s">
        <v>1241</v>
      </c>
      <c r="D2313" s="115" t="s">
        <v>8710</v>
      </c>
      <c r="E2313" s="115" t="s">
        <v>1242</v>
      </c>
      <c r="F2313" s="115">
        <v>0</v>
      </c>
      <c r="G2313" s="115">
        <v>0</v>
      </c>
      <c r="H2313" s="115">
        <v>0</v>
      </c>
      <c r="I2313" s="115">
        <v>0</v>
      </c>
      <c r="J2313" s="115">
        <v>0</v>
      </c>
      <c r="K2313" s="115">
        <v>0</v>
      </c>
    </row>
    <row r="2314" spans="1:11" x14ac:dyDescent="0.25">
      <c r="B2314" s="115" t="s">
        <v>1241</v>
      </c>
      <c r="D2314" s="115" t="s">
        <v>8710</v>
      </c>
      <c r="E2314" s="115" t="s">
        <v>1242</v>
      </c>
      <c r="F2314" s="115">
        <v>0</v>
      </c>
      <c r="G2314" s="115">
        <v>0</v>
      </c>
      <c r="H2314" s="115">
        <v>0</v>
      </c>
      <c r="I2314" s="115">
        <v>0</v>
      </c>
      <c r="J2314" s="115">
        <v>0</v>
      </c>
      <c r="K2314" s="115">
        <v>0</v>
      </c>
    </row>
    <row r="2315" spans="1:11" x14ac:dyDescent="0.25">
      <c r="B2315" s="115" t="s">
        <v>1241</v>
      </c>
      <c r="D2315" s="115" t="s">
        <v>8710</v>
      </c>
      <c r="E2315" s="115" t="s">
        <v>1242</v>
      </c>
      <c r="F2315" s="115">
        <v>0</v>
      </c>
      <c r="G2315" s="115">
        <v>0</v>
      </c>
      <c r="H2315" s="115">
        <v>0</v>
      </c>
      <c r="I2315" s="115">
        <v>0</v>
      </c>
      <c r="J2315" s="115">
        <v>0</v>
      </c>
      <c r="K2315" s="115">
        <v>0</v>
      </c>
    </row>
    <row r="2316" spans="1:11" x14ac:dyDescent="0.25">
      <c r="B2316" s="115" t="s">
        <v>1241</v>
      </c>
      <c r="D2316" s="115" t="s">
        <v>8710</v>
      </c>
      <c r="E2316" s="115" t="s">
        <v>1242</v>
      </c>
      <c r="F2316" s="115">
        <v>0</v>
      </c>
      <c r="G2316" s="115">
        <v>0</v>
      </c>
      <c r="H2316" s="115">
        <v>0</v>
      </c>
      <c r="I2316" s="115">
        <v>0</v>
      </c>
      <c r="J2316" s="115">
        <v>0</v>
      </c>
      <c r="K2316" s="115">
        <v>0</v>
      </c>
    </row>
    <row r="2317" spans="1:11" x14ac:dyDescent="0.25">
      <c r="B2317" s="115" t="s">
        <v>1241</v>
      </c>
      <c r="D2317" s="115" t="s">
        <v>8710</v>
      </c>
      <c r="E2317" s="115" t="s">
        <v>1242</v>
      </c>
      <c r="F2317" s="115">
        <v>0</v>
      </c>
      <c r="G2317" s="115">
        <v>0</v>
      </c>
      <c r="H2317" s="115">
        <v>0</v>
      </c>
      <c r="I2317" s="115">
        <v>0</v>
      </c>
      <c r="J2317" s="115">
        <v>0</v>
      </c>
      <c r="K2317" s="115">
        <v>0</v>
      </c>
    </row>
    <row r="2318" spans="1:11" x14ac:dyDescent="0.25">
      <c r="B2318" s="115" t="s">
        <v>1241</v>
      </c>
      <c r="D2318" s="115" t="s">
        <v>8710</v>
      </c>
      <c r="E2318" s="115" t="s">
        <v>1242</v>
      </c>
      <c r="F2318" s="115">
        <v>0</v>
      </c>
      <c r="G2318" s="115">
        <v>0</v>
      </c>
      <c r="H2318" s="115">
        <v>0</v>
      </c>
      <c r="I2318" s="115">
        <v>0</v>
      </c>
      <c r="J2318" s="115">
        <v>0</v>
      </c>
      <c r="K2318" s="115">
        <v>0</v>
      </c>
    </row>
    <row r="2319" spans="1:11" x14ac:dyDescent="0.25">
      <c r="B2319" s="115" t="s">
        <v>1241</v>
      </c>
      <c r="D2319" s="115" t="s">
        <v>8710</v>
      </c>
      <c r="E2319" s="115" t="s">
        <v>1242</v>
      </c>
      <c r="F2319" s="115">
        <v>0</v>
      </c>
      <c r="G2319" s="115">
        <v>0</v>
      </c>
      <c r="H2319" s="115">
        <v>0</v>
      </c>
      <c r="I2319" s="115">
        <v>0</v>
      </c>
      <c r="J2319" s="115">
        <v>0</v>
      </c>
      <c r="K2319" s="115">
        <v>0</v>
      </c>
    </row>
    <row r="2320" spans="1:11" x14ac:dyDescent="0.25">
      <c r="B2320" s="115" t="s">
        <v>1241</v>
      </c>
      <c r="D2320" s="115" t="s">
        <v>8710</v>
      </c>
      <c r="E2320" s="115" t="s">
        <v>1242</v>
      </c>
      <c r="F2320" s="115">
        <v>0</v>
      </c>
      <c r="G2320" s="115">
        <v>0</v>
      </c>
      <c r="H2320" s="115">
        <v>0</v>
      </c>
      <c r="I2320" s="115">
        <v>0</v>
      </c>
      <c r="J2320" s="115">
        <v>0</v>
      </c>
      <c r="K2320" s="115">
        <v>0</v>
      </c>
    </row>
    <row r="2321" spans="1:11" x14ac:dyDescent="0.25">
      <c r="B2321" s="115" t="s">
        <v>1241</v>
      </c>
      <c r="D2321" s="115" t="s">
        <v>8710</v>
      </c>
      <c r="E2321" s="115" t="s">
        <v>1242</v>
      </c>
      <c r="F2321" s="115">
        <v>0</v>
      </c>
      <c r="G2321" s="115">
        <v>0</v>
      </c>
      <c r="H2321" s="115">
        <v>0</v>
      </c>
      <c r="I2321" s="115">
        <v>0</v>
      </c>
      <c r="J2321" s="115">
        <v>0</v>
      </c>
      <c r="K2321" s="115">
        <v>0</v>
      </c>
    </row>
    <row r="2322" spans="1:11" x14ac:dyDescent="0.25">
      <c r="B2322" s="115" t="s">
        <v>1241</v>
      </c>
      <c r="D2322" s="115" t="s">
        <v>8710</v>
      </c>
      <c r="E2322" s="115" t="s">
        <v>1242</v>
      </c>
      <c r="F2322" s="115">
        <v>0</v>
      </c>
      <c r="G2322" s="115">
        <v>0</v>
      </c>
      <c r="H2322" s="115">
        <v>0</v>
      </c>
      <c r="I2322" s="115">
        <v>0</v>
      </c>
      <c r="J2322" s="115">
        <v>0</v>
      </c>
      <c r="K2322" s="115">
        <v>0</v>
      </c>
    </row>
    <row r="2323" spans="1:11" x14ac:dyDescent="0.25">
      <c r="B2323" s="115" t="s">
        <v>1241</v>
      </c>
      <c r="D2323" s="115" t="s">
        <v>8710</v>
      </c>
      <c r="E2323" s="115" t="s">
        <v>1242</v>
      </c>
      <c r="F2323" s="115">
        <v>0</v>
      </c>
      <c r="G2323" s="115">
        <v>0</v>
      </c>
      <c r="H2323" s="115">
        <v>0</v>
      </c>
      <c r="I2323" s="115">
        <v>0</v>
      </c>
      <c r="J2323" s="115">
        <v>0</v>
      </c>
      <c r="K2323" s="115">
        <v>0</v>
      </c>
    </row>
    <row r="2324" spans="1:11" x14ac:dyDescent="0.25">
      <c r="B2324" s="115" t="s">
        <v>1241</v>
      </c>
      <c r="D2324" s="115" t="s">
        <v>8710</v>
      </c>
      <c r="E2324" s="115" t="s">
        <v>1242</v>
      </c>
      <c r="F2324" s="115">
        <v>0</v>
      </c>
      <c r="G2324" s="115">
        <v>0</v>
      </c>
      <c r="H2324" s="115">
        <v>0</v>
      </c>
      <c r="I2324" s="115">
        <v>0</v>
      </c>
      <c r="J2324" s="115">
        <v>0</v>
      </c>
      <c r="K2324" s="115">
        <v>0</v>
      </c>
    </row>
    <row r="2325" spans="1:11" x14ac:dyDescent="0.25">
      <c r="B2325" s="115" t="s">
        <v>1241</v>
      </c>
      <c r="D2325" s="115" t="s">
        <v>8710</v>
      </c>
      <c r="E2325" s="115" t="s">
        <v>1242</v>
      </c>
      <c r="F2325" s="115">
        <v>0</v>
      </c>
      <c r="G2325" s="115">
        <v>0</v>
      </c>
      <c r="H2325" s="115">
        <v>0</v>
      </c>
      <c r="I2325" s="115">
        <v>0</v>
      </c>
      <c r="J2325" s="115">
        <v>0</v>
      </c>
      <c r="K2325" s="115">
        <v>0</v>
      </c>
    </row>
    <row r="2326" spans="1:11" x14ac:dyDescent="0.25">
      <c r="B2326" s="115" t="s">
        <v>1241</v>
      </c>
      <c r="D2326" s="115" t="s">
        <v>9747</v>
      </c>
      <c r="E2326" s="115" t="s">
        <v>2853</v>
      </c>
      <c r="F2326" s="115">
        <v>0</v>
      </c>
      <c r="G2326" s="115">
        <v>0</v>
      </c>
      <c r="H2326" s="115">
        <v>1067</v>
      </c>
      <c r="I2326" s="115">
        <v>-226</v>
      </c>
      <c r="J2326" s="115">
        <v>1383</v>
      </c>
      <c r="K2326" s="115">
        <v>755</v>
      </c>
    </row>
    <row r="2327" spans="1:11" x14ac:dyDescent="0.25">
      <c r="B2327" s="115" t="s">
        <v>2854</v>
      </c>
      <c r="D2327" s="115" t="s">
        <v>9748</v>
      </c>
      <c r="E2327" s="115" t="s">
        <v>2855</v>
      </c>
      <c r="F2327" s="115">
        <v>0</v>
      </c>
      <c r="G2327" s="115">
        <v>0</v>
      </c>
      <c r="H2327" s="115">
        <v>0</v>
      </c>
      <c r="I2327" s="115">
        <v>-226</v>
      </c>
      <c r="J2327" s="115">
        <v>31</v>
      </c>
      <c r="K2327" s="115">
        <v>0</v>
      </c>
    </row>
    <row r="2328" spans="1:11" x14ac:dyDescent="0.25">
      <c r="B2328" s="115" t="s">
        <v>1241</v>
      </c>
      <c r="D2328" s="115" t="s">
        <v>9749</v>
      </c>
      <c r="E2328" s="115" t="s">
        <v>2856</v>
      </c>
      <c r="F2328" s="115">
        <v>0</v>
      </c>
      <c r="G2328" s="115">
        <v>470</v>
      </c>
      <c r="H2328" s="115">
        <v>0</v>
      </c>
      <c r="I2328" s="115">
        <v>0</v>
      </c>
      <c r="J2328" s="115">
        <v>-195</v>
      </c>
      <c r="K2328" s="115">
        <v>0</v>
      </c>
    </row>
    <row r="2329" spans="1:11" x14ac:dyDescent="0.25">
      <c r="A2329" s="115" t="s">
        <v>1239</v>
      </c>
      <c r="B2329" s="115" t="s">
        <v>2857</v>
      </c>
      <c r="D2329" s="115" t="s">
        <v>9750</v>
      </c>
      <c r="E2329" s="115" t="s">
        <v>2858</v>
      </c>
      <c r="F2329" s="115">
        <v>183</v>
      </c>
      <c r="G2329" s="115">
        <v>0</v>
      </c>
      <c r="H2329" s="115">
        <v>152</v>
      </c>
      <c r="I2329" s="115">
        <v>-842</v>
      </c>
      <c r="J2329" s="115">
        <v>165</v>
      </c>
      <c r="K2329" s="115">
        <v>1064</v>
      </c>
    </row>
    <row r="2330" spans="1:11" x14ac:dyDescent="0.25">
      <c r="A2330" s="115">
        <v>2</v>
      </c>
      <c r="B2330" s="115" t="s">
        <v>2859</v>
      </c>
      <c r="D2330" s="115" t="s">
        <v>9751</v>
      </c>
      <c r="E2330" s="115" t="s">
        <v>2860</v>
      </c>
      <c r="F2330" s="115">
        <v>0</v>
      </c>
      <c r="G2330" s="115">
        <v>0</v>
      </c>
      <c r="H2330" s="115">
        <v>0</v>
      </c>
      <c r="I2330" s="115">
        <v>0</v>
      </c>
      <c r="J2330" s="115">
        <v>0</v>
      </c>
      <c r="K2330" s="115">
        <v>-58</v>
      </c>
    </row>
    <row r="2331" spans="1:11" x14ac:dyDescent="0.25">
      <c r="B2331" s="115" t="s">
        <v>1241</v>
      </c>
      <c r="D2331" s="115" t="s">
        <v>9752</v>
      </c>
      <c r="E2331" s="115" t="s">
        <v>2861</v>
      </c>
      <c r="F2331" s="115">
        <v>0</v>
      </c>
      <c r="G2331" s="115">
        <v>-132</v>
      </c>
      <c r="H2331" s="115">
        <v>0</v>
      </c>
      <c r="I2331" s="115">
        <v>0</v>
      </c>
      <c r="J2331" s="115">
        <v>0</v>
      </c>
      <c r="K2331" s="115">
        <v>0</v>
      </c>
    </row>
    <row r="2332" spans="1:11" x14ac:dyDescent="0.25">
      <c r="B2332" s="115" t="s">
        <v>2862</v>
      </c>
      <c r="D2332" s="115" t="s">
        <v>9753</v>
      </c>
      <c r="E2332" s="115" t="s">
        <v>2863</v>
      </c>
      <c r="F2332" s="115">
        <v>-1872</v>
      </c>
      <c r="G2332" s="115">
        <v>0</v>
      </c>
      <c r="H2332" s="115">
        <v>0</v>
      </c>
      <c r="I2332" s="115">
        <v>5623</v>
      </c>
      <c r="J2332" s="115">
        <v>246</v>
      </c>
      <c r="K2332" s="115">
        <v>0</v>
      </c>
    </row>
    <row r="2333" spans="1:11" x14ac:dyDescent="0.25">
      <c r="A2333" s="115">
        <v>1</v>
      </c>
      <c r="B2333" s="115" t="s">
        <v>2864</v>
      </c>
      <c r="D2333" s="115" t="s">
        <v>9754</v>
      </c>
      <c r="E2333" s="115" t="s">
        <v>2865</v>
      </c>
      <c r="F2333" s="115">
        <v>0</v>
      </c>
      <c r="G2333" s="115">
        <v>1719</v>
      </c>
      <c r="H2333" s="115">
        <v>70</v>
      </c>
      <c r="I2333" s="115">
        <v>77</v>
      </c>
      <c r="J2333" s="115">
        <v>0</v>
      </c>
      <c r="K2333" s="115">
        <v>0</v>
      </c>
    </row>
    <row r="2334" spans="1:11" x14ac:dyDescent="0.25">
      <c r="A2334" s="115" t="s">
        <v>1239</v>
      </c>
      <c r="B2334" s="115" t="s">
        <v>2866</v>
      </c>
      <c r="D2334" s="115" t="s">
        <v>9755</v>
      </c>
      <c r="E2334" s="115" t="s">
        <v>2867</v>
      </c>
      <c r="F2334" s="115">
        <v>436</v>
      </c>
      <c r="G2334" s="115">
        <v>-29</v>
      </c>
      <c r="H2334" s="115">
        <v>353</v>
      </c>
      <c r="I2334" s="115">
        <v>-57</v>
      </c>
      <c r="J2334" s="115">
        <v>-372</v>
      </c>
      <c r="K2334" s="115">
        <v>312</v>
      </c>
    </row>
    <row r="2335" spans="1:11" x14ac:dyDescent="0.25">
      <c r="B2335" s="115" t="s">
        <v>1241</v>
      </c>
      <c r="D2335" s="115" t="s">
        <v>9756</v>
      </c>
      <c r="E2335" s="115" t="s">
        <v>2868</v>
      </c>
      <c r="F2335" s="115">
        <v>0</v>
      </c>
      <c r="G2335" s="115">
        <v>-385</v>
      </c>
      <c r="H2335" s="115">
        <v>0</v>
      </c>
      <c r="I2335" s="115">
        <v>-2382</v>
      </c>
      <c r="J2335" s="115">
        <v>-583</v>
      </c>
      <c r="K2335" s="115">
        <v>173</v>
      </c>
    </row>
    <row r="2336" spans="1:11" x14ac:dyDescent="0.25">
      <c r="B2336" s="115" t="s">
        <v>2869</v>
      </c>
      <c r="C2336" s="115" t="s">
        <v>1239</v>
      </c>
      <c r="D2336" s="115" t="s">
        <v>9757</v>
      </c>
      <c r="E2336" s="115" t="s">
        <v>2870</v>
      </c>
      <c r="F2336" s="115">
        <v>2099</v>
      </c>
      <c r="G2336" s="115">
        <v>1806</v>
      </c>
      <c r="H2336" s="115">
        <v>0</v>
      </c>
      <c r="I2336" s="115">
        <v>343</v>
      </c>
      <c r="J2336" s="115">
        <v>-143</v>
      </c>
      <c r="K2336" s="115">
        <v>969</v>
      </c>
    </row>
    <row r="2337" spans="1:11" x14ac:dyDescent="0.25">
      <c r="A2337" s="115" t="s">
        <v>1239</v>
      </c>
      <c r="B2337" s="115" t="s">
        <v>2871</v>
      </c>
      <c r="D2337" s="115" t="s">
        <v>9758</v>
      </c>
      <c r="E2337" s="115" t="s">
        <v>2872</v>
      </c>
      <c r="F2337" s="115">
        <v>0</v>
      </c>
      <c r="G2337" s="115">
        <v>0</v>
      </c>
      <c r="H2337" s="115">
        <v>0</v>
      </c>
      <c r="I2337" s="115">
        <v>53</v>
      </c>
      <c r="J2337" s="115">
        <v>117</v>
      </c>
      <c r="K2337" s="115">
        <v>0</v>
      </c>
    </row>
    <row r="2338" spans="1:11" x14ac:dyDescent="0.25">
      <c r="B2338" s="115" t="s">
        <v>2873</v>
      </c>
      <c r="D2338" s="115" t="s">
        <v>9759</v>
      </c>
      <c r="E2338" s="115" t="s">
        <v>2874</v>
      </c>
      <c r="F2338" s="115">
        <v>0</v>
      </c>
      <c r="G2338" s="115">
        <v>0</v>
      </c>
      <c r="H2338" s="115">
        <v>0</v>
      </c>
      <c r="I2338" s="115">
        <v>0</v>
      </c>
      <c r="J2338" s="115">
        <v>0</v>
      </c>
      <c r="K2338" s="115">
        <v>-4969</v>
      </c>
    </row>
    <row r="2339" spans="1:11" x14ac:dyDescent="0.25">
      <c r="B2339" s="115" t="s">
        <v>2875</v>
      </c>
      <c r="D2339" s="115" t="s">
        <v>9760</v>
      </c>
      <c r="E2339" s="115" t="s">
        <v>2876</v>
      </c>
      <c r="F2339" s="115">
        <v>0</v>
      </c>
      <c r="G2339" s="115">
        <v>7866</v>
      </c>
      <c r="H2339" s="115">
        <v>-5335</v>
      </c>
      <c r="I2339" s="115">
        <v>847</v>
      </c>
      <c r="J2339" s="115">
        <v>1650</v>
      </c>
      <c r="K2339" s="115">
        <v>1371</v>
      </c>
    </row>
    <row r="2340" spans="1:11" x14ac:dyDescent="0.25">
      <c r="A2340" s="115" t="s">
        <v>1239</v>
      </c>
      <c r="B2340" s="115" t="s">
        <v>2877</v>
      </c>
      <c r="D2340" s="115" t="s">
        <v>9761</v>
      </c>
      <c r="E2340" s="115" t="s">
        <v>2878</v>
      </c>
      <c r="F2340" s="115">
        <v>-82</v>
      </c>
      <c r="G2340" s="115">
        <v>0</v>
      </c>
      <c r="H2340" s="115">
        <v>0</v>
      </c>
      <c r="I2340" s="115">
        <v>1469</v>
      </c>
      <c r="J2340" s="115">
        <v>-437</v>
      </c>
      <c r="K2340" s="115">
        <v>0</v>
      </c>
    </row>
    <row r="2341" spans="1:11" x14ac:dyDescent="0.25">
      <c r="B2341" s="115" t="s">
        <v>2879</v>
      </c>
      <c r="D2341" s="115" t="s">
        <v>9762</v>
      </c>
      <c r="E2341" s="115" t="s">
        <v>2880</v>
      </c>
      <c r="F2341" s="115">
        <v>0</v>
      </c>
      <c r="G2341" s="115">
        <v>36</v>
      </c>
      <c r="H2341" s="115">
        <v>-299</v>
      </c>
      <c r="I2341" s="115">
        <v>-35</v>
      </c>
      <c r="J2341" s="115">
        <v>0</v>
      </c>
      <c r="K2341" s="115">
        <v>0</v>
      </c>
    </row>
    <row r="2342" spans="1:11" x14ac:dyDescent="0.25">
      <c r="B2342" s="115" t="s">
        <v>1241</v>
      </c>
      <c r="D2342" s="115" t="s">
        <v>9763</v>
      </c>
      <c r="E2342" s="115" t="s">
        <v>2881</v>
      </c>
      <c r="F2342" s="115">
        <v>0</v>
      </c>
      <c r="G2342" s="115">
        <v>4833</v>
      </c>
      <c r="H2342" s="115">
        <v>-382</v>
      </c>
      <c r="I2342" s="115">
        <v>352</v>
      </c>
      <c r="J2342" s="115">
        <v>0</v>
      </c>
      <c r="K2342" s="115">
        <v>9323</v>
      </c>
    </row>
    <row r="2343" spans="1:11" x14ac:dyDescent="0.25">
      <c r="A2343" s="115">
        <v>-4</v>
      </c>
      <c r="B2343" s="115" t="s">
        <v>2882</v>
      </c>
      <c r="D2343" s="115" t="s">
        <v>9764</v>
      </c>
      <c r="E2343" s="115" t="s">
        <v>2883</v>
      </c>
      <c r="F2343" s="115">
        <v>0</v>
      </c>
      <c r="G2343" s="115">
        <v>-530</v>
      </c>
      <c r="H2343" s="115">
        <v>-1640</v>
      </c>
      <c r="I2343" s="115">
        <v>251</v>
      </c>
      <c r="J2343" s="115">
        <v>317</v>
      </c>
      <c r="K2343" s="115">
        <v>344</v>
      </c>
    </row>
    <row r="2344" spans="1:11" x14ac:dyDescent="0.25">
      <c r="B2344" s="115" t="s">
        <v>2884</v>
      </c>
      <c r="D2344" s="115" t="s">
        <v>9765</v>
      </c>
      <c r="E2344" s="115" t="s">
        <v>2885</v>
      </c>
      <c r="F2344" s="115">
        <v>526</v>
      </c>
      <c r="G2344" s="115">
        <v>0</v>
      </c>
      <c r="H2344" s="115">
        <v>271</v>
      </c>
      <c r="I2344" s="115">
        <v>0</v>
      </c>
      <c r="J2344" s="115">
        <v>341</v>
      </c>
      <c r="K2344" s="115">
        <v>0</v>
      </c>
    </row>
    <row r="2345" spans="1:11" x14ac:dyDescent="0.25">
      <c r="B2345" s="115" t="s">
        <v>1241</v>
      </c>
      <c r="D2345" s="115" t="s">
        <v>9766</v>
      </c>
      <c r="E2345" s="115" t="s">
        <v>2886</v>
      </c>
      <c r="F2345" s="115">
        <v>0</v>
      </c>
      <c r="G2345" s="115">
        <v>0</v>
      </c>
      <c r="H2345" s="115">
        <v>0</v>
      </c>
      <c r="I2345" s="115">
        <v>-3634</v>
      </c>
      <c r="J2345" s="115">
        <v>0</v>
      </c>
      <c r="K2345" s="115">
        <v>4365</v>
      </c>
    </row>
    <row r="2346" spans="1:11" x14ac:dyDescent="0.25">
      <c r="B2346" s="115" t="s">
        <v>2887</v>
      </c>
      <c r="D2346" s="115" t="s">
        <v>9767</v>
      </c>
      <c r="E2346" s="115" t="s">
        <v>2888</v>
      </c>
      <c r="F2346" s="115">
        <v>34083</v>
      </c>
      <c r="G2346" s="115">
        <v>333</v>
      </c>
      <c r="H2346" s="115">
        <v>59</v>
      </c>
      <c r="I2346" s="115">
        <v>966</v>
      </c>
      <c r="J2346" s="115">
        <v>0</v>
      </c>
      <c r="K2346" s="115">
        <v>0</v>
      </c>
    </row>
    <row r="2347" spans="1:11" x14ac:dyDescent="0.25">
      <c r="B2347" s="115" t="s">
        <v>2889</v>
      </c>
      <c r="D2347" s="115" t="s">
        <v>9768</v>
      </c>
      <c r="E2347" s="115" t="s">
        <v>2890</v>
      </c>
      <c r="F2347" s="115">
        <v>-78</v>
      </c>
      <c r="G2347" s="115">
        <v>-91</v>
      </c>
      <c r="H2347" s="115">
        <v>0</v>
      </c>
      <c r="I2347" s="115">
        <v>0</v>
      </c>
      <c r="J2347" s="115">
        <v>0</v>
      </c>
      <c r="K2347" s="115">
        <v>0</v>
      </c>
    </row>
    <row r="2348" spans="1:11" x14ac:dyDescent="0.25">
      <c r="B2348" s="115" t="s">
        <v>1241</v>
      </c>
      <c r="D2348" s="115" t="s">
        <v>9769</v>
      </c>
      <c r="E2348" s="115" t="s">
        <v>2891</v>
      </c>
      <c r="F2348" s="115">
        <v>0</v>
      </c>
      <c r="G2348" s="115">
        <v>-53</v>
      </c>
      <c r="H2348" s="115">
        <v>0</v>
      </c>
      <c r="I2348" s="115">
        <v>33</v>
      </c>
      <c r="J2348" s="115">
        <v>0</v>
      </c>
      <c r="K2348" s="115">
        <v>-257</v>
      </c>
    </row>
    <row r="2349" spans="1:11" x14ac:dyDescent="0.25">
      <c r="A2349" s="115" t="s">
        <v>1239</v>
      </c>
      <c r="B2349" s="115" t="s">
        <v>2892</v>
      </c>
      <c r="D2349" s="115" t="s">
        <v>9770</v>
      </c>
      <c r="E2349" s="115" t="s">
        <v>2893</v>
      </c>
      <c r="F2349" s="115">
        <v>29531</v>
      </c>
      <c r="G2349" s="115">
        <v>326</v>
      </c>
      <c r="H2349" s="115">
        <v>459</v>
      </c>
      <c r="I2349" s="115">
        <v>-477</v>
      </c>
      <c r="J2349" s="115">
        <v>-1020</v>
      </c>
      <c r="K2349" s="115">
        <v>0</v>
      </c>
    </row>
    <row r="2350" spans="1:11" x14ac:dyDescent="0.25">
      <c r="B2350" s="115" t="s">
        <v>1557</v>
      </c>
      <c r="D2350" s="115" t="s">
        <v>9771</v>
      </c>
      <c r="E2350" s="115" t="s">
        <v>2894</v>
      </c>
      <c r="F2350" s="115">
        <v>0</v>
      </c>
      <c r="G2350" s="115">
        <v>0</v>
      </c>
      <c r="H2350" s="115">
        <v>-69</v>
      </c>
      <c r="I2350" s="115">
        <v>0</v>
      </c>
      <c r="J2350" s="115">
        <v>0</v>
      </c>
      <c r="K2350" s="115">
        <v>0</v>
      </c>
    </row>
    <row r="2351" spans="1:11" x14ac:dyDescent="0.25">
      <c r="B2351" s="115" t="s">
        <v>2895</v>
      </c>
      <c r="D2351" s="115" t="s">
        <v>9772</v>
      </c>
      <c r="E2351" s="115" t="s">
        <v>2896</v>
      </c>
      <c r="F2351" s="115">
        <v>0</v>
      </c>
      <c r="G2351" s="115">
        <v>0</v>
      </c>
      <c r="H2351" s="115">
        <v>0</v>
      </c>
      <c r="I2351" s="115">
        <v>0</v>
      </c>
      <c r="J2351" s="115">
        <v>-627</v>
      </c>
      <c r="K2351" s="115">
        <v>0</v>
      </c>
    </row>
    <row r="2352" spans="1:11" x14ac:dyDescent="0.25">
      <c r="A2352" s="115" t="s">
        <v>1239</v>
      </c>
      <c r="B2352" s="115" t="s">
        <v>2897</v>
      </c>
      <c r="D2352" s="115" t="s">
        <v>9773</v>
      </c>
      <c r="E2352" s="115" t="s">
        <v>2898</v>
      </c>
      <c r="F2352" s="115">
        <v>326</v>
      </c>
      <c r="G2352" s="115">
        <v>36762</v>
      </c>
      <c r="H2352" s="115">
        <v>0</v>
      </c>
      <c r="I2352" s="115">
        <v>-373</v>
      </c>
      <c r="J2352" s="115">
        <v>0</v>
      </c>
      <c r="K2352" s="115">
        <v>0</v>
      </c>
    </row>
    <row r="2353" spans="1:11" x14ac:dyDescent="0.25">
      <c r="B2353" s="115" t="s">
        <v>1241</v>
      </c>
      <c r="C2353" s="115" t="s">
        <v>1239</v>
      </c>
      <c r="D2353" s="115" t="s">
        <v>9774</v>
      </c>
      <c r="E2353" s="115" t="s">
        <v>2899</v>
      </c>
      <c r="F2353" s="115">
        <v>33</v>
      </c>
      <c r="G2353" s="115">
        <v>0</v>
      </c>
      <c r="H2353" s="115">
        <v>0</v>
      </c>
      <c r="I2353" s="115">
        <v>147</v>
      </c>
      <c r="J2353" s="115">
        <v>-340</v>
      </c>
      <c r="K2353" s="115">
        <v>0</v>
      </c>
    </row>
    <row r="2354" spans="1:11" x14ac:dyDescent="0.25">
      <c r="B2354" s="115">
        <f>-18   -230</f>
        <v>-248</v>
      </c>
      <c r="D2354" s="115" t="s">
        <v>9775</v>
      </c>
      <c r="E2354" s="115" t="s">
        <v>2900</v>
      </c>
      <c r="F2354" s="115">
        <v>-618</v>
      </c>
      <c r="G2354" s="115">
        <v>-419</v>
      </c>
      <c r="H2354" s="115">
        <v>-168</v>
      </c>
      <c r="I2354" s="115">
        <v>0</v>
      </c>
      <c r="J2354" s="115">
        <v>0</v>
      </c>
      <c r="K2354" s="115">
        <v>0</v>
      </c>
    </row>
    <row r="2355" spans="1:11" x14ac:dyDescent="0.25">
      <c r="B2355" s="115" t="s">
        <v>1241</v>
      </c>
      <c r="D2355" s="115" t="s">
        <v>9776</v>
      </c>
      <c r="E2355" s="115" t="s">
        <v>2901</v>
      </c>
      <c r="F2355" s="115">
        <v>2945</v>
      </c>
      <c r="G2355" s="115">
        <v>-486</v>
      </c>
      <c r="H2355" s="115">
        <v>204</v>
      </c>
      <c r="I2355" s="115">
        <v>0</v>
      </c>
      <c r="J2355" s="115">
        <v>-296</v>
      </c>
      <c r="K2355" s="115">
        <v>42548</v>
      </c>
    </row>
    <row r="2356" spans="1:11" x14ac:dyDescent="0.25">
      <c r="B2356" s="115" t="s">
        <v>2902</v>
      </c>
      <c r="D2356" s="115" t="s">
        <v>9777</v>
      </c>
      <c r="E2356" s="115" t="s">
        <v>2903</v>
      </c>
      <c r="F2356" s="115">
        <v>1999</v>
      </c>
      <c r="G2356" s="115">
        <v>2239</v>
      </c>
      <c r="H2356" s="115">
        <v>237</v>
      </c>
      <c r="I2356" s="115">
        <v>65</v>
      </c>
      <c r="J2356" s="115">
        <v>0</v>
      </c>
      <c r="K2356" s="115">
        <v>170</v>
      </c>
    </row>
    <row r="2357" spans="1:11" x14ac:dyDescent="0.25">
      <c r="B2357" s="115" t="s">
        <v>2225</v>
      </c>
      <c r="D2357" s="115" t="s">
        <v>9778</v>
      </c>
      <c r="E2357" s="115" t="s">
        <v>2904</v>
      </c>
      <c r="F2357" s="115">
        <v>82</v>
      </c>
      <c r="G2357" s="115">
        <v>323</v>
      </c>
      <c r="H2357" s="115">
        <v>0</v>
      </c>
      <c r="I2357" s="115">
        <v>213</v>
      </c>
      <c r="J2357" s="115">
        <v>146</v>
      </c>
      <c r="K2357" s="115">
        <v>-76</v>
      </c>
    </row>
    <row r="2358" spans="1:11" x14ac:dyDescent="0.25">
      <c r="B2358" s="115" t="s">
        <v>2905</v>
      </c>
      <c r="D2358" s="115" t="s">
        <v>9779</v>
      </c>
      <c r="E2358" s="115" t="s">
        <v>2906</v>
      </c>
      <c r="F2358" s="115">
        <v>0</v>
      </c>
      <c r="G2358" s="115">
        <v>0</v>
      </c>
      <c r="H2358" s="115">
        <v>82</v>
      </c>
      <c r="I2358" s="115">
        <v>0</v>
      </c>
      <c r="J2358" s="115">
        <v>-1697</v>
      </c>
      <c r="K2358" s="115">
        <v>-420</v>
      </c>
    </row>
    <row r="2359" spans="1:11" x14ac:dyDescent="0.25">
      <c r="B2359" s="115" t="s">
        <v>2907</v>
      </c>
      <c r="C2359" s="115" t="s">
        <v>1239</v>
      </c>
      <c r="D2359" s="115" t="s">
        <v>9780</v>
      </c>
      <c r="E2359" s="115" t="s">
        <v>2908</v>
      </c>
      <c r="F2359" s="115">
        <v>261</v>
      </c>
      <c r="G2359" s="115">
        <v>69</v>
      </c>
      <c r="H2359" s="115">
        <v>464</v>
      </c>
      <c r="I2359" s="115">
        <v>58</v>
      </c>
      <c r="J2359" s="115">
        <v>1738</v>
      </c>
      <c r="K2359" s="115">
        <v>2108</v>
      </c>
    </row>
    <row r="2360" spans="1:11" x14ac:dyDescent="0.25">
      <c r="B2360" s="115" t="s">
        <v>2909</v>
      </c>
      <c r="D2360" s="115" t="s">
        <v>9781</v>
      </c>
      <c r="E2360" s="115" t="s">
        <v>2910</v>
      </c>
      <c r="F2360" s="115">
        <v>245</v>
      </c>
      <c r="G2360" s="115">
        <v>49</v>
      </c>
      <c r="H2360" s="115">
        <v>0</v>
      </c>
      <c r="I2360" s="115">
        <v>-42</v>
      </c>
      <c r="J2360" s="115">
        <v>0</v>
      </c>
      <c r="K2360" s="115">
        <v>0</v>
      </c>
    </row>
    <row r="2361" spans="1:11" x14ac:dyDescent="0.25">
      <c r="B2361" s="115" t="s">
        <v>2832</v>
      </c>
      <c r="D2361" s="115" t="s">
        <v>9782</v>
      </c>
      <c r="E2361" s="115" t="s">
        <v>1242</v>
      </c>
      <c r="F2361" s="115">
        <v>-46</v>
      </c>
      <c r="G2361" s="115">
        <v>0</v>
      </c>
      <c r="H2361" s="115">
        <v>0</v>
      </c>
      <c r="I2361" s="115">
        <v>0</v>
      </c>
      <c r="J2361" s="115">
        <v>0</v>
      </c>
      <c r="K2361" s="115">
        <v>0</v>
      </c>
    </row>
    <row r="2362" spans="1:11" x14ac:dyDescent="0.25">
      <c r="A2362" s="115">
        <v>1</v>
      </c>
      <c r="B2362" s="115" t="s">
        <v>2911</v>
      </c>
      <c r="C2362" s="115" t="s">
        <v>1239</v>
      </c>
      <c r="D2362" s="115" t="s">
        <v>9783</v>
      </c>
      <c r="E2362" s="115" t="s">
        <v>2912</v>
      </c>
      <c r="F2362" s="115">
        <v>179</v>
      </c>
      <c r="G2362" s="115">
        <v>0</v>
      </c>
      <c r="H2362" s="115">
        <v>-505</v>
      </c>
      <c r="I2362" s="115">
        <v>46814</v>
      </c>
      <c r="J2362" s="115">
        <v>-269</v>
      </c>
      <c r="K2362" s="115">
        <v>0</v>
      </c>
    </row>
    <row r="2363" spans="1:11" x14ac:dyDescent="0.25">
      <c r="B2363" s="115" t="s">
        <v>1241</v>
      </c>
      <c r="D2363" s="115" t="s">
        <v>9784</v>
      </c>
      <c r="E2363" s="115" t="s">
        <v>2913</v>
      </c>
      <c r="F2363" s="115">
        <v>-2413</v>
      </c>
      <c r="G2363" s="115">
        <v>1476</v>
      </c>
      <c r="H2363" s="115">
        <v>1209</v>
      </c>
      <c r="I2363" s="115">
        <v>0</v>
      </c>
      <c r="J2363" s="115">
        <v>576</v>
      </c>
      <c r="K2363" s="115">
        <v>0</v>
      </c>
    </row>
    <row r="2364" spans="1:11" x14ac:dyDescent="0.25">
      <c r="B2364" s="115" t="s">
        <v>2914</v>
      </c>
      <c r="D2364" s="115" t="s">
        <v>9785</v>
      </c>
      <c r="E2364" s="115" t="s">
        <v>2915</v>
      </c>
      <c r="F2364" s="115">
        <v>0</v>
      </c>
      <c r="G2364" s="115">
        <v>1520</v>
      </c>
      <c r="H2364" s="115">
        <v>0</v>
      </c>
      <c r="I2364" s="115">
        <v>0</v>
      </c>
      <c r="J2364" s="115">
        <v>0</v>
      </c>
      <c r="K2364" s="115">
        <v>0</v>
      </c>
    </row>
    <row r="2365" spans="1:11" x14ac:dyDescent="0.25">
      <c r="B2365" s="115" t="s">
        <v>1241</v>
      </c>
      <c r="D2365" s="115" t="s">
        <v>9786</v>
      </c>
      <c r="E2365" s="115" t="s">
        <v>2916</v>
      </c>
      <c r="F2365" s="115">
        <v>-39</v>
      </c>
      <c r="G2365" s="115">
        <v>0</v>
      </c>
      <c r="H2365" s="115">
        <v>6908</v>
      </c>
      <c r="I2365" s="115">
        <v>2135</v>
      </c>
      <c r="J2365" s="115">
        <v>1207</v>
      </c>
      <c r="K2365" s="115">
        <v>0</v>
      </c>
    </row>
    <row r="2366" spans="1:11" x14ac:dyDescent="0.25">
      <c r="A2366" s="115">
        <v>5</v>
      </c>
      <c r="B2366" s="115" t="s">
        <v>2917</v>
      </c>
      <c r="D2366" s="115" t="s">
        <v>8710</v>
      </c>
      <c r="E2366" s="115" t="s">
        <v>1242</v>
      </c>
      <c r="F2366" s="115">
        <v>0</v>
      </c>
      <c r="G2366" s="115">
        <v>0</v>
      </c>
      <c r="H2366" s="115">
        <v>0</v>
      </c>
      <c r="I2366" s="115">
        <v>0</v>
      </c>
      <c r="J2366" s="115">
        <v>0</v>
      </c>
      <c r="K2366" s="115">
        <v>0</v>
      </c>
    </row>
    <row r="2367" spans="1:11" x14ac:dyDescent="0.25">
      <c r="B2367" s="115" t="s">
        <v>1241</v>
      </c>
      <c r="D2367" s="115" t="s">
        <v>8710</v>
      </c>
      <c r="E2367" s="115" t="s">
        <v>1242</v>
      </c>
      <c r="F2367" s="115">
        <v>0</v>
      </c>
      <c r="G2367" s="115">
        <v>0</v>
      </c>
      <c r="H2367" s="115">
        <v>0</v>
      </c>
      <c r="I2367" s="115">
        <v>0</v>
      </c>
      <c r="J2367" s="115">
        <v>0</v>
      </c>
      <c r="K2367" s="115">
        <v>0</v>
      </c>
    </row>
    <row r="2368" spans="1:11" x14ac:dyDescent="0.25">
      <c r="B2368" s="115" t="s">
        <v>1241</v>
      </c>
      <c r="D2368" s="115" t="s">
        <v>8710</v>
      </c>
      <c r="E2368" s="115" t="s">
        <v>1242</v>
      </c>
      <c r="F2368" s="115">
        <v>0</v>
      </c>
      <c r="G2368" s="115">
        <v>0</v>
      </c>
      <c r="H2368" s="115">
        <v>0</v>
      </c>
      <c r="I2368" s="115">
        <v>0</v>
      </c>
      <c r="J2368" s="115">
        <v>0</v>
      </c>
      <c r="K2368" s="115">
        <v>0</v>
      </c>
    </row>
    <row r="2369" spans="2:11" x14ac:dyDescent="0.25">
      <c r="B2369" s="115" t="s">
        <v>1241</v>
      </c>
      <c r="D2369" s="115" t="s">
        <v>8710</v>
      </c>
      <c r="E2369" s="115" t="s">
        <v>1242</v>
      </c>
      <c r="F2369" s="115">
        <v>0</v>
      </c>
      <c r="G2369" s="115">
        <v>0</v>
      </c>
      <c r="H2369" s="115">
        <v>0</v>
      </c>
      <c r="I2369" s="115">
        <v>0</v>
      </c>
      <c r="J2369" s="115">
        <v>0</v>
      </c>
      <c r="K2369" s="115">
        <v>0</v>
      </c>
    </row>
    <row r="2370" spans="2:11" x14ac:dyDescent="0.25">
      <c r="B2370" s="115" t="s">
        <v>1241</v>
      </c>
      <c r="D2370" s="115" t="s">
        <v>8710</v>
      </c>
      <c r="E2370" s="115" t="s">
        <v>1242</v>
      </c>
      <c r="F2370" s="115">
        <v>0</v>
      </c>
      <c r="G2370" s="115">
        <v>0</v>
      </c>
      <c r="H2370" s="115">
        <v>0</v>
      </c>
      <c r="I2370" s="115">
        <v>0</v>
      </c>
      <c r="J2370" s="115">
        <v>0</v>
      </c>
      <c r="K2370" s="115">
        <v>0</v>
      </c>
    </row>
    <row r="2371" spans="2:11" x14ac:dyDescent="0.25">
      <c r="B2371" s="115" t="s">
        <v>1241</v>
      </c>
      <c r="D2371" s="115" t="s">
        <v>8710</v>
      </c>
      <c r="E2371" s="115" t="s">
        <v>1242</v>
      </c>
      <c r="F2371" s="115">
        <v>0</v>
      </c>
      <c r="G2371" s="115">
        <v>0</v>
      </c>
      <c r="H2371" s="115">
        <v>0</v>
      </c>
      <c r="I2371" s="115">
        <v>0</v>
      </c>
      <c r="J2371" s="115">
        <v>0</v>
      </c>
      <c r="K2371" s="115">
        <v>0</v>
      </c>
    </row>
    <row r="2372" spans="2:11" x14ac:dyDescent="0.25">
      <c r="B2372" s="115" t="s">
        <v>1241</v>
      </c>
      <c r="D2372" s="115" t="s">
        <v>8710</v>
      </c>
      <c r="E2372" s="115" t="s">
        <v>1242</v>
      </c>
      <c r="F2372" s="115">
        <v>0</v>
      </c>
      <c r="G2372" s="115">
        <v>0</v>
      </c>
      <c r="H2372" s="115">
        <v>0</v>
      </c>
      <c r="I2372" s="115">
        <v>0</v>
      </c>
      <c r="J2372" s="115">
        <v>0</v>
      </c>
      <c r="K2372" s="115">
        <v>0</v>
      </c>
    </row>
    <row r="2373" spans="2:11" x14ac:dyDescent="0.25">
      <c r="B2373" s="115" t="s">
        <v>1241</v>
      </c>
      <c r="D2373" s="115" t="s">
        <v>8710</v>
      </c>
      <c r="E2373" s="115" t="s">
        <v>1242</v>
      </c>
      <c r="F2373" s="115">
        <v>0</v>
      </c>
      <c r="G2373" s="115">
        <v>0</v>
      </c>
      <c r="H2373" s="115">
        <v>0</v>
      </c>
      <c r="I2373" s="115">
        <v>0</v>
      </c>
      <c r="J2373" s="115">
        <v>0</v>
      </c>
      <c r="K2373" s="115">
        <v>0</v>
      </c>
    </row>
    <row r="2374" spans="2:11" x14ac:dyDescent="0.25">
      <c r="B2374" s="115" t="s">
        <v>1241</v>
      </c>
      <c r="D2374" s="115" t="s">
        <v>8710</v>
      </c>
      <c r="E2374" s="115" t="s">
        <v>1242</v>
      </c>
      <c r="F2374" s="115">
        <v>0</v>
      </c>
      <c r="G2374" s="115">
        <v>0</v>
      </c>
      <c r="H2374" s="115">
        <v>0</v>
      </c>
      <c r="I2374" s="115">
        <v>0</v>
      </c>
      <c r="J2374" s="115">
        <v>0</v>
      </c>
      <c r="K2374" s="115">
        <v>0</v>
      </c>
    </row>
    <row r="2375" spans="2:11" x14ac:dyDescent="0.25">
      <c r="B2375" s="115" t="s">
        <v>1241</v>
      </c>
      <c r="D2375" s="115" t="s">
        <v>8710</v>
      </c>
      <c r="E2375" s="115" t="s">
        <v>1242</v>
      </c>
      <c r="F2375" s="115">
        <v>0</v>
      </c>
      <c r="G2375" s="115">
        <v>0</v>
      </c>
      <c r="H2375" s="115">
        <v>0</v>
      </c>
      <c r="I2375" s="115">
        <v>0</v>
      </c>
      <c r="J2375" s="115">
        <v>0</v>
      </c>
      <c r="K2375" s="115">
        <v>0</v>
      </c>
    </row>
    <row r="2376" spans="2:11" x14ac:dyDescent="0.25">
      <c r="B2376" s="115" t="s">
        <v>1241</v>
      </c>
      <c r="D2376" s="115" t="s">
        <v>8710</v>
      </c>
      <c r="E2376" s="115" t="s">
        <v>1242</v>
      </c>
      <c r="F2376" s="115">
        <v>0</v>
      </c>
      <c r="G2376" s="115">
        <v>0</v>
      </c>
      <c r="H2376" s="115">
        <v>0</v>
      </c>
      <c r="I2376" s="115">
        <v>0</v>
      </c>
      <c r="J2376" s="115">
        <v>0</v>
      </c>
      <c r="K2376" s="115">
        <v>0</v>
      </c>
    </row>
    <row r="2377" spans="2:11" x14ac:dyDescent="0.25">
      <c r="B2377" s="115" t="s">
        <v>1241</v>
      </c>
      <c r="D2377" s="115" t="s">
        <v>8710</v>
      </c>
      <c r="E2377" s="115" t="s">
        <v>1242</v>
      </c>
      <c r="F2377" s="115">
        <v>0</v>
      </c>
      <c r="G2377" s="115">
        <v>0</v>
      </c>
      <c r="H2377" s="115">
        <v>0</v>
      </c>
      <c r="I2377" s="115">
        <v>0</v>
      </c>
      <c r="J2377" s="115">
        <v>0</v>
      </c>
      <c r="K2377" s="115">
        <v>0</v>
      </c>
    </row>
    <row r="2378" spans="2:11" x14ac:dyDescent="0.25">
      <c r="B2378" s="115" t="s">
        <v>1241</v>
      </c>
      <c r="D2378" s="115" t="s">
        <v>8710</v>
      </c>
      <c r="E2378" s="115" t="s">
        <v>1242</v>
      </c>
      <c r="F2378" s="115">
        <v>0</v>
      </c>
      <c r="G2378" s="115">
        <v>0</v>
      </c>
      <c r="H2378" s="115">
        <v>0</v>
      </c>
      <c r="I2378" s="115">
        <v>0</v>
      </c>
      <c r="J2378" s="115">
        <v>0</v>
      </c>
      <c r="K2378" s="115">
        <v>0</v>
      </c>
    </row>
    <row r="2379" spans="2:11" x14ac:dyDescent="0.25">
      <c r="B2379" s="115" t="s">
        <v>1241</v>
      </c>
      <c r="D2379" s="115" t="s">
        <v>8710</v>
      </c>
      <c r="E2379" s="115" t="s">
        <v>1242</v>
      </c>
      <c r="F2379" s="115">
        <v>0</v>
      </c>
      <c r="G2379" s="115">
        <v>0</v>
      </c>
      <c r="H2379" s="115">
        <v>0</v>
      </c>
      <c r="I2379" s="115">
        <v>0</v>
      </c>
      <c r="J2379" s="115">
        <v>0</v>
      </c>
      <c r="K2379" s="115">
        <v>0</v>
      </c>
    </row>
    <row r="2380" spans="2:11" x14ac:dyDescent="0.25">
      <c r="B2380" s="115" t="s">
        <v>1241</v>
      </c>
      <c r="D2380" s="115" t="s">
        <v>8710</v>
      </c>
      <c r="E2380" s="115" t="s">
        <v>1242</v>
      </c>
      <c r="F2380" s="115">
        <v>0</v>
      </c>
      <c r="G2380" s="115">
        <v>0</v>
      </c>
      <c r="H2380" s="115">
        <v>0</v>
      </c>
      <c r="I2380" s="115">
        <v>0</v>
      </c>
      <c r="J2380" s="115">
        <v>0</v>
      </c>
      <c r="K2380" s="115">
        <v>0</v>
      </c>
    </row>
    <row r="2381" spans="2:11" x14ac:dyDescent="0.25">
      <c r="B2381" s="115" t="s">
        <v>1241</v>
      </c>
      <c r="D2381" s="115" t="s">
        <v>8710</v>
      </c>
      <c r="E2381" s="115" t="s">
        <v>1242</v>
      </c>
      <c r="F2381" s="115">
        <v>0</v>
      </c>
      <c r="G2381" s="115">
        <v>0</v>
      </c>
      <c r="H2381" s="115">
        <v>0</v>
      </c>
      <c r="I2381" s="115">
        <v>0</v>
      </c>
      <c r="J2381" s="115">
        <v>0</v>
      </c>
      <c r="K2381" s="115">
        <v>0</v>
      </c>
    </row>
    <row r="2382" spans="2:11" x14ac:dyDescent="0.25">
      <c r="B2382" s="115" t="s">
        <v>1241</v>
      </c>
      <c r="D2382" s="115" t="s">
        <v>8710</v>
      </c>
      <c r="E2382" s="115" t="s">
        <v>1242</v>
      </c>
      <c r="F2382" s="115">
        <v>0</v>
      </c>
      <c r="G2382" s="115">
        <v>0</v>
      </c>
      <c r="H2382" s="115">
        <v>0</v>
      </c>
      <c r="I2382" s="115">
        <v>0</v>
      </c>
      <c r="J2382" s="115">
        <v>0</v>
      </c>
      <c r="K2382" s="115">
        <v>0</v>
      </c>
    </row>
    <row r="2383" spans="2:11" x14ac:dyDescent="0.25">
      <c r="B2383" s="115" t="s">
        <v>1241</v>
      </c>
      <c r="D2383" s="115" t="s">
        <v>8710</v>
      </c>
      <c r="E2383" s="115" t="s">
        <v>1242</v>
      </c>
      <c r="F2383" s="115">
        <v>0</v>
      </c>
      <c r="G2383" s="115">
        <v>0</v>
      </c>
      <c r="H2383" s="115">
        <v>0</v>
      </c>
      <c r="I2383" s="115">
        <v>0</v>
      </c>
      <c r="J2383" s="115">
        <v>0</v>
      </c>
      <c r="K2383" s="115">
        <v>0</v>
      </c>
    </row>
    <row r="2384" spans="2:11" x14ac:dyDescent="0.25">
      <c r="B2384" s="115" t="s">
        <v>1241</v>
      </c>
      <c r="D2384" s="115" t="s">
        <v>8710</v>
      </c>
      <c r="E2384" s="115" t="s">
        <v>1242</v>
      </c>
      <c r="F2384" s="115">
        <v>0</v>
      </c>
      <c r="G2384" s="115">
        <v>0</v>
      </c>
      <c r="H2384" s="115">
        <v>0</v>
      </c>
      <c r="I2384" s="115">
        <v>0</v>
      </c>
      <c r="J2384" s="115">
        <v>0</v>
      </c>
      <c r="K2384" s="115">
        <v>0</v>
      </c>
    </row>
    <row r="2385" spans="2:11" x14ac:dyDescent="0.25">
      <c r="B2385" s="115" t="s">
        <v>1241</v>
      </c>
      <c r="D2385" s="115" t="s">
        <v>8710</v>
      </c>
      <c r="E2385" s="115" t="s">
        <v>1242</v>
      </c>
      <c r="F2385" s="115">
        <v>0</v>
      </c>
      <c r="G2385" s="115">
        <v>0</v>
      </c>
      <c r="H2385" s="115">
        <v>0</v>
      </c>
      <c r="I2385" s="115">
        <v>0</v>
      </c>
      <c r="J2385" s="115">
        <v>0</v>
      </c>
      <c r="K2385" s="115">
        <v>0</v>
      </c>
    </row>
    <row r="2386" spans="2:11" x14ac:dyDescent="0.25">
      <c r="B2386" s="115" t="s">
        <v>1241</v>
      </c>
      <c r="D2386" s="115" t="s">
        <v>8710</v>
      </c>
      <c r="E2386" s="115" t="s">
        <v>1242</v>
      </c>
      <c r="F2386" s="115">
        <v>0</v>
      </c>
      <c r="G2386" s="115">
        <v>0</v>
      </c>
      <c r="H2386" s="115">
        <v>0</v>
      </c>
      <c r="I2386" s="115">
        <v>0</v>
      </c>
      <c r="J2386" s="115">
        <v>0</v>
      </c>
      <c r="K2386" s="115">
        <v>0</v>
      </c>
    </row>
    <row r="2387" spans="2:11" x14ac:dyDescent="0.25">
      <c r="B2387" s="115" t="s">
        <v>1241</v>
      </c>
      <c r="D2387" s="115" t="s">
        <v>8710</v>
      </c>
      <c r="E2387" s="115" t="s">
        <v>1242</v>
      </c>
      <c r="F2387" s="115">
        <v>0</v>
      </c>
      <c r="G2387" s="115">
        <v>0</v>
      </c>
      <c r="H2387" s="115">
        <v>0</v>
      </c>
      <c r="I2387" s="115">
        <v>0</v>
      </c>
      <c r="J2387" s="115">
        <v>0</v>
      </c>
      <c r="K2387" s="115">
        <v>0</v>
      </c>
    </row>
    <row r="2388" spans="2:11" x14ac:dyDescent="0.25">
      <c r="B2388" s="115" t="s">
        <v>1241</v>
      </c>
      <c r="D2388" s="115" t="s">
        <v>8710</v>
      </c>
      <c r="E2388" s="115" t="s">
        <v>1242</v>
      </c>
      <c r="F2388" s="115">
        <v>0</v>
      </c>
      <c r="G2388" s="115">
        <v>0</v>
      </c>
      <c r="H2388" s="115">
        <v>0</v>
      </c>
      <c r="I2388" s="115">
        <v>0</v>
      </c>
      <c r="J2388" s="115">
        <v>0</v>
      </c>
      <c r="K2388" s="115">
        <v>0</v>
      </c>
    </row>
    <row r="2389" spans="2:11" x14ac:dyDescent="0.25">
      <c r="B2389" s="115" t="s">
        <v>1241</v>
      </c>
      <c r="D2389" s="115" t="s">
        <v>8710</v>
      </c>
      <c r="E2389" s="115" t="s">
        <v>1242</v>
      </c>
      <c r="F2389" s="115">
        <v>0</v>
      </c>
      <c r="G2389" s="115">
        <v>0</v>
      </c>
      <c r="H2389" s="115">
        <v>0</v>
      </c>
      <c r="I2389" s="115">
        <v>0</v>
      </c>
      <c r="J2389" s="115">
        <v>0</v>
      </c>
      <c r="K2389" s="115">
        <v>0</v>
      </c>
    </row>
    <row r="2390" spans="2:11" x14ac:dyDescent="0.25">
      <c r="B2390" s="115" t="s">
        <v>1241</v>
      </c>
      <c r="D2390" s="115" t="s">
        <v>8710</v>
      </c>
      <c r="E2390" s="115" t="s">
        <v>1242</v>
      </c>
      <c r="F2390" s="115">
        <v>0</v>
      </c>
      <c r="G2390" s="115">
        <v>0</v>
      </c>
      <c r="H2390" s="115">
        <v>0</v>
      </c>
      <c r="I2390" s="115">
        <v>0</v>
      </c>
      <c r="J2390" s="115">
        <v>0</v>
      </c>
      <c r="K2390" s="115">
        <v>0</v>
      </c>
    </row>
    <row r="2391" spans="2:11" x14ac:dyDescent="0.25">
      <c r="B2391" s="115" t="s">
        <v>1241</v>
      </c>
      <c r="D2391" s="115" t="s">
        <v>8710</v>
      </c>
      <c r="E2391" s="115" t="s">
        <v>1242</v>
      </c>
      <c r="F2391" s="115">
        <v>0</v>
      </c>
      <c r="G2391" s="115">
        <v>0</v>
      </c>
      <c r="H2391" s="115">
        <v>0</v>
      </c>
      <c r="I2391" s="115">
        <v>0</v>
      </c>
      <c r="J2391" s="115">
        <v>0</v>
      </c>
      <c r="K2391" s="115">
        <v>0</v>
      </c>
    </row>
    <row r="2392" spans="2:11" x14ac:dyDescent="0.25">
      <c r="B2392" s="115" t="s">
        <v>1241</v>
      </c>
      <c r="D2392" s="115" t="s">
        <v>8710</v>
      </c>
      <c r="E2392" s="115" t="s">
        <v>1242</v>
      </c>
      <c r="F2392" s="115">
        <v>0</v>
      </c>
      <c r="G2392" s="115">
        <v>0</v>
      </c>
      <c r="H2392" s="115">
        <v>0</v>
      </c>
      <c r="I2392" s="115">
        <v>0</v>
      </c>
      <c r="J2392" s="115">
        <v>0</v>
      </c>
      <c r="K2392" s="115">
        <v>0</v>
      </c>
    </row>
    <row r="2393" spans="2:11" x14ac:dyDescent="0.25">
      <c r="B2393" s="115" t="s">
        <v>1241</v>
      </c>
      <c r="D2393" s="115" t="s">
        <v>8710</v>
      </c>
      <c r="E2393" s="115" t="s">
        <v>1242</v>
      </c>
      <c r="F2393" s="115">
        <v>0</v>
      </c>
      <c r="G2393" s="115">
        <v>0</v>
      </c>
      <c r="H2393" s="115">
        <v>0</v>
      </c>
      <c r="I2393" s="115">
        <v>0</v>
      </c>
      <c r="J2393" s="115">
        <v>0</v>
      </c>
      <c r="K2393" s="115">
        <v>0</v>
      </c>
    </row>
    <row r="2394" spans="2:11" x14ac:dyDescent="0.25">
      <c r="B2394" s="115" t="s">
        <v>1241</v>
      </c>
      <c r="D2394" s="115" t="s">
        <v>8710</v>
      </c>
      <c r="E2394" s="115" t="s">
        <v>1242</v>
      </c>
      <c r="F2394" s="115">
        <v>0</v>
      </c>
      <c r="G2394" s="115">
        <v>0</v>
      </c>
      <c r="H2394" s="115">
        <v>0</v>
      </c>
      <c r="I2394" s="115">
        <v>0</v>
      </c>
      <c r="J2394" s="115">
        <v>0</v>
      </c>
      <c r="K2394" s="115">
        <v>0</v>
      </c>
    </row>
    <row r="2395" spans="2:11" x14ac:dyDescent="0.25">
      <c r="B2395" s="115" t="s">
        <v>1241</v>
      </c>
      <c r="D2395" s="115" t="s">
        <v>8710</v>
      </c>
      <c r="E2395" s="115" t="s">
        <v>1242</v>
      </c>
      <c r="F2395" s="115">
        <v>0</v>
      </c>
      <c r="G2395" s="115">
        <v>0</v>
      </c>
      <c r="H2395" s="115">
        <v>0</v>
      </c>
      <c r="I2395" s="115">
        <v>0</v>
      </c>
      <c r="J2395" s="115">
        <v>0</v>
      </c>
      <c r="K2395" s="115">
        <v>0</v>
      </c>
    </row>
    <row r="2396" spans="2:11" x14ac:dyDescent="0.25">
      <c r="B2396" s="115" t="s">
        <v>1241</v>
      </c>
      <c r="D2396" s="115" t="s">
        <v>8710</v>
      </c>
      <c r="E2396" s="115" t="s">
        <v>1242</v>
      </c>
      <c r="F2396" s="115">
        <v>0</v>
      </c>
      <c r="G2396" s="115">
        <v>0</v>
      </c>
      <c r="H2396" s="115">
        <v>0</v>
      </c>
      <c r="I2396" s="115">
        <v>0</v>
      </c>
      <c r="J2396" s="115">
        <v>0</v>
      </c>
      <c r="K2396" s="115">
        <v>0</v>
      </c>
    </row>
    <row r="2397" spans="2:11" x14ac:dyDescent="0.25">
      <c r="B2397" s="115" t="s">
        <v>1241</v>
      </c>
      <c r="D2397" s="115" t="s">
        <v>8710</v>
      </c>
      <c r="E2397" s="115" t="s">
        <v>1242</v>
      </c>
      <c r="F2397" s="115">
        <v>0</v>
      </c>
      <c r="G2397" s="115">
        <v>0</v>
      </c>
      <c r="H2397" s="115">
        <v>0</v>
      </c>
      <c r="I2397" s="115">
        <v>0</v>
      </c>
      <c r="J2397" s="115">
        <v>0</v>
      </c>
      <c r="K2397" s="115">
        <v>0</v>
      </c>
    </row>
    <row r="2398" spans="2:11" x14ac:dyDescent="0.25">
      <c r="B2398" s="115" t="s">
        <v>1241</v>
      </c>
      <c r="D2398" s="115" t="s">
        <v>8710</v>
      </c>
      <c r="E2398" s="115" t="s">
        <v>1242</v>
      </c>
      <c r="F2398" s="115">
        <v>0</v>
      </c>
      <c r="G2398" s="115">
        <v>0</v>
      </c>
      <c r="H2398" s="115">
        <v>0</v>
      </c>
      <c r="I2398" s="115">
        <v>0</v>
      </c>
      <c r="J2398" s="115">
        <v>0</v>
      </c>
      <c r="K2398" s="115">
        <v>0</v>
      </c>
    </row>
    <row r="2399" spans="2:11" x14ac:dyDescent="0.25">
      <c r="B2399" s="115" t="s">
        <v>1241</v>
      </c>
      <c r="D2399" s="115" t="s">
        <v>8710</v>
      </c>
      <c r="E2399" s="115" t="s">
        <v>1242</v>
      </c>
      <c r="F2399" s="115">
        <v>0</v>
      </c>
      <c r="G2399" s="115">
        <v>0</v>
      </c>
      <c r="H2399" s="115">
        <v>0</v>
      </c>
      <c r="I2399" s="115">
        <v>0</v>
      </c>
      <c r="J2399" s="115">
        <v>0</v>
      </c>
      <c r="K2399" s="115">
        <v>0</v>
      </c>
    </row>
    <row r="2400" spans="2:11" x14ac:dyDescent="0.25">
      <c r="B2400" s="115" t="s">
        <v>1241</v>
      </c>
      <c r="D2400" s="115" t="s">
        <v>8710</v>
      </c>
      <c r="E2400" s="115" t="s">
        <v>1242</v>
      </c>
      <c r="F2400" s="115">
        <v>0</v>
      </c>
      <c r="G2400" s="115">
        <v>0</v>
      </c>
      <c r="H2400" s="115">
        <v>0</v>
      </c>
      <c r="I2400" s="115">
        <v>0</v>
      </c>
      <c r="J2400" s="115">
        <v>0</v>
      </c>
      <c r="K2400" s="115">
        <v>0</v>
      </c>
    </row>
    <row r="2401" spans="2:11" x14ac:dyDescent="0.25">
      <c r="B2401" s="115" t="s">
        <v>1241</v>
      </c>
      <c r="D2401" s="115" t="s">
        <v>8710</v>
      </c>
      <c r="E2401" s="115" t="s">
        <v>1242</v>
      </c>
      <c r="F2401" s="115">
        <v>0</v>
      </c>
      <c r="G2401" s="115">
        <v>0</v>
      </c>
      <c r="H2401" s="115">
        <v>0</v>
      </c>
      <c r="I2401" s="115">
        <v>0</v>
      </c>
      <c r="J2401" s="115">
        <v>0</v>
      </c>
      <c r="K2401" s="115">
        <v>0</v>
      </c>
    </row>
    <row r="2402" spans="2:11" x14ac:dyDescent="0.25">
      <c r="B2402" s="115" t="s">
        <v>1241</v>
      </c>
      <c r="D2402" s="115" t="s">
        <v>8710</v>
      </c>
      <c r="E2402" s="115" t="s">
        <v>1242</v>
      </c>
      <c r="F2402" s="115">
        <v>0</v>
      </c>
      <c r="G2402" s="115">
        <v>0</v>
      </c>
      <c r="H2402" s="115">
        <v>0</v>
      </c>
      <c r="I2402" s="115">
        <v>0</v>
      </c>
      <c r="J2402" s="115">
        <v>0</v>
      </c>
      <c r="K2402" s="115">
        <v>0</v>
      </c>
    </row>
    <row r="2403" spans="2:11" x14ac:dyDescent="0.25">
      <c r="B2403" s="115" t="s">
        <v>1241</v>
      </c>
      <c r="D2403" s="115" t="s">
        <v>8710</v>
      </c>
      <c r="E2403" s="115" t="s">
        <v>1242</v>
      </c>
      <c r="F2403" s="115">
        <v>0</v>
      </c>
      <c r="G2403" s="115">
        <v>0</v>
      </c>
      <c r="H2403" s="115">
        <v>0</v>
      </c>
      <c r="I2403" s="115">
        <v>0</v>
      </c>
      <c r="J2403" s="115">
        <v>0</v>
      </c>
      <c r="K2403" s="115">
        <v>0</v>
      </c>
    </row>
    <row r="2404" spans="2:11" x14ac:dyDescent="0.25">
      <c r="B2404" s="115" t="s">
        <v>1241</v>
      </c>
      <c r="D2404" s="115" t="s">
        <v>8710</v>
      </c>
      <c r="E2404" s="115" t="s">
        <v>1242</v>
      </c>
      <c r="F2404" s="115">
        <v>0</v>
      </c>
      <c r="G2404" s="115">
        <v>0</v>
      </c>
      <c r="H2404" s="115">
        <v>0</v>
      </c>
      <c r="I2404" s="115">
        <v>0</v>
      </c>
      <c r="J2404" s="115">
        <v>0</v>
      </c>
      <c r="K2404" s="115">
        <v>0</v>
      </c>
    </row>
    <row r="2405" spans="2:11" x14ac:dyDescent="0.25">
      <c r="B2405" s="115" t="s">
        <v>1241</v>
      </c>
      <c r="D2405" s="115" t="s">
        <v>8710</v>
      </c>
      <c r="E2405" s="115" t="s">
        <v>1242</v>
      </c>
      <c r="F2405" s="115">
        <v>0</v>
      </c>
      <c r="G2405" s="115">
        <v>0</v>
      </c>
      <c r="H2405" s="115">
        <v>0</v>
      </c>
      <c r="I2405" s="115">
        <v>0</v>
      </c>
      <c r="J2405" s="115">
        <v>0</v>
      </c>
      <c r="K2405" s="115">
        <v>0</v>
      </c>
    </row>
    <row r="2406" spans="2:11" x14ac:dyDescent="0.25">
      <c r="B2406" s="115" t="s">
        <v>1241</v>
      </c>
      <c r="D2406" s="115" t="s">
        <v>8710</v>
      </c>
      <c r="E2406" s="115" t="s">
        <v>1242</v>
      </c>
      <c r="F2406" s="115">
        <v>0</v>
      </c>
      <c r="G2406" s="115">
        <v>0</v>
      </c>
      <c r="H2406" s="115">
        <v>0</v>
      </c>
      <c r="I2406" s="115">
        <v>0</v>
      </c>
      <c r="J2406" s="115">
        <v>0</v>
      </c>
      <c r="K2406" s="115">
        <v>0</v>
      </c>
    </row>
    <row r="2407" spans="2:11" x14ac:dyDescent="0.25">
      <c r="B2407" s="115" t="s">
        <v>1241</v>
      </c>
      <c r="D2407" s="115" t="s">
        <v>8710</v>
      </c>
      <c r="E2407" s="115" t="s">
        <v>1242</v>
      </c>
      <c r="F2407" s="115">
        <v>0</v>
      </c>
      <c r="G2407" s="115">
        <v>0</v>
      </c>
      <c r="H2407" s="115">
        <v>0</v>
      </c>
      <c r="I2407" s="115">
        <v>0</v>
      </c>
      <c r="J2407" s="115">
        <v>0</v>
      </c>
      <c r="K2407" s="115">
        <v>0</v>
      </c>
    </row>
    <row r="2408" spans="2:11" x14ac:dyDescent="0.25">
      <c r="B2408" s="115" t="s">
        <v>1241</v>
      </c>
      <c r="D2408" s="115" t="s">
        <v>8710</v>
      </c>
      <c r="E2408" s="115" t="s">
        <v>1242</v>
      </c>
      <c r="F2408" s="115">
        <v>0</v>
      </c>
      <c r="G2408" s="115">
        <v>0</v>
      </c>
      <c r="H2408" s="115">
        <v>0</v>
      </c>
      <c r="I2408" s="115">
        <v>0</v>
      </c>
      <c r="J2408" s="115">
        <v>0</v>
      </c>
      <c r="K2408" s="115">
        <v>0</v>
      </c>
    </row>
    <row r="2409" spans="2:11" x14ac:dyDescent="0.25">
      <c r="B2409" s="115" t="s">
        <v>1241</v>
      </c>
      <c r="D2409" s="115" t="s">
        <v>8710</v>
      </c>
      <c r="E2409" s="115" t="s">
        <v>1242</v>
      </c>
      <c r="F2409" s="115">
        <v>0</v>
      </c>
      <c r="G2409" s="115">
        <v>0</v>
      </c>
      <c r="H2409" s="115">
        <v>0</v>
      </c>
      <c r="I2409" s="115">
        <v>0</v>
      </c>
      <c r="J2409" s="115">
        <v>0</v>
      </c>
      <c r="K2409" s="115">
        <v>0</v>
      </c>
    </row>
    <row r="2410" spans="2:11" x14ac:dyDescent="0.25">
      <c r="B2410" s="115" t="s">
        <v>1241</v>
      </c>
      <c r="D2410" s="115" t="s">
        <v>8710</v>
      </c>
      <c r="E2410" s="115" t="s">
        <v>1242</v>
      </c>
      <c r="F2410" s="115">
        <v>0</v>
      </c>
      <c r="G2410" s="115">
        <v>0</v>
      </c>
      <c r="H2410" s="115">
        <v>0</v>
      </c>
      <c r="I2410" s="115">
        <v>0</v>
      </c>
      <c r="J2410" s="115">
        <v>0</v>
      </c>
      <c r="K2410" s="115">
        <v>0</v>
      </c>
    </row>
    <row r="2411" spans="2:11" x14ac:dyDescent="0.25">
      <c r="B2411" s="115" t="s">
        <v>1241</v>
      </c>
      <c r="D2411" s="115" t="s">
        <v>8710</v>
      </c>
      <c r="E2411" s="115" t="s">
        <v>1242</v>
      </c>
      <c r="F2411" s="115">
        <v>0</v>
      </c>
      <c r="G2411" s="115">
        <v>0</v>
      </c>
      <c r="H2411" s="115">
        <v>0</v>
      </c>
      <c r="I2411" s="115">
        <v>0</v>
      </c>
      <c r="J2411" s="115">
        <v>0</v>
      </c>
      <c r="K2411" s="115">
        <v>0</v>
      </c>
    </row>
    <row r="2412" spans="2:11" x14ac:dyDescent="0.25">
      <c r="B2412" s="115" t="s">
        <v>1241</v>
      </c>
      <c r="D2412" s="115" t="s">
        <v>8710</v>
      </c>
      <c r="E2412" s="115" t="s">
        <v>1242</v>
      </c>
      <c r="F2412" s="115">
        <v>0</v>
      </c>
      <c r="G2412" s="115">
        <v>0</v>
      </c>
      <c r="H2412" s="115">
        <v>0</v>
      </c>
      <c r="I2412" s="115">
        <v>0</v>
      </c>
      <c r="J2412" s="115">
        <v>0</v>
      </c>
      <c r="K2412" s="115">
        <v>0</v>
      </c>
    </row>
    <row r="2413" spans="2:11" x14ac:dyDescent="0.25">
      <c r="B2413" s="115" t="s">
        <v>1241</v>
      </c>
      <c r="D2413" s="115" t="s">
        <v>8710</v>
      </c>
      <c r="E2413" s="115" t="s">
        <v>1242</v>
      </c>
      <c r="F2413" s="115">
        <v>0</v>
      </c>
      <c r="G2413" s="115">
        <v>0</v>
      </c>
      <c r="H2413" s="115">
        <v>0</v>
      </c>
      <c r="I2413" s="115">
        <v>0</v>
      </c>
      <c r="J2413" s="115">
        <v>0</v>
      </c>
      <c r="K2413" s="115">
        <v>0</v>
      </c>
    </row>
    <row r="2414" spans="2:11" x14ac:dyDescent="0.25">
      <c r="B2414" s="115" t="s">
        <v>1241</v>
      </c>
      <c r="D2414" s="115" t="s">
        <v>8710</v>
      </c>
      <c r="E2414" s="115" t="s">
        <v>1242</v>
      </c>
      <c r="F2414" s="115">
        <v>0</v>
      </c>
      <c r="G2414" s="115">
        <v>0</v>
      </c>
      <c r="H2414" s="115">
        <v>0</v>
      </c>
      <c r="I2414" s="115">
        <v>0</v>
      </c>
      <c r="J2414" s="115">
        <v>0</v>
      </c>
      <c r="K2414" s="115">
        <v>0</v>
      </c>
    </row>
    <row r="2415" spans="2:11" x14ac:dyDescent="0.25">
      <c r="B2415" s="115" t="s">
        <v>1241</v>
      </c>
      <c r="D2415" s="115" t="s">
        <v>8710</v>
      </c>
      <c r="E2415" s="115" t="s">
        <v>1242</v>
      </c>
      <c r="F2415" s="115">
        <v>0</v>
      </c>
      <c r="G2415" s="115">
        <v>0</v>
      </c>
      <c r="H2415" s="115">
        <v>0</v>
      </c>
      <c r="I2415" s="115">
        <v>0</v>
      </c>
      <c r="J2415" s="115">
        <v>0</v>
      </c>
      <c r="K2415" s="115">
        <v>0</v>
      </c>
    </row>
    <row r="2416" spans="2:11" x14ac:dyDescent="0.25">
      <c r="B2416" s="115" t="s">
        <v>1241</v>
      </c>
      <c r="D2416" s="115" t="s">
        <v>8710</v>
      </c>
      <c r="E2416" s="115" t="s">
        <v>1242</v>
      </c>
      <c r="F2416" s="115">
        <v>0</v>
      </c>
      <c r="G2416" s="115">
        <v>0</v>
      </c>
      <c r="H2416" s="115">
        <v>0</v>
      </c>
      <c r="I2416" s="115">
        <v>0</v>
      </c>
      <c r="J2416" s="115">
        <v>0</v>
      </c>
      <c r="K2416" s="115">
        <v>0</v>
      </c>
    </row>
    <row r="2417" spans="2:11" x14ac:dyDescent="0.25">
      <c r="B2417" s="115" t="s">
        <v>1241</v>
      </c>
      <c r="D2417" s="115" t="s">
        <v>8710</v>
      </c>
      <c r="E2417" s="115" t="s">
        <v>1242</v>
      </c>
      <c r="F2417" s="115">
        <v>0</v>
      </c>
      <c r="G2417" s="115">
        <v>0</v>
      </c>
      <c r="H2417" s="115">
        <v>0</v>
      </c>
      <c r="I2417" s="115">
        <v>0</v>
      </c>
      <c r="J2417" s="115">
        <v>0</v>
      </c>
      <c r="K2417" s="115">
        <v>0</v>
      </c>
    </row>
    <row r="2418" spans="2:11" x14ac:dyDescent="0.25">
      <c r="B2418" s="115" t="s">
        <v>1241</v>
      </c>
      <c r="D2418" s="115" t="s">
        <v>8710</v>
      </c>
      <c r="E2418" s="115" t="s">
        <v>1242</v>
      </c>
      <c r="F2418" s="115">
        <v>0</v>
      </c>
      <c r="G2418" s="115">
        <v>0</v>
      </c>
      <c r="H2418" s="115">
        <v>0</v>
      </c>
      <c r="I2418" s="115">
        <v>0</v>
      </c>
      <c r="J2418" s="115">
        <v>0</v>
      </c>
      <c r="K2418" s="115">
        <v>0</v>
      </c>
    </row>
    <row r="2419" spans="2:11" x14ac:dyDescent="0.25">
      <c r="B2419" s="115" t="s">
        <v>1241</v>
      </c>
      <c r="D2419" s="115" t="s">
        <v>8710</v>
      </c>
      <c r="E2419" s="115" t="s">
        <v>1242</v>
      </c>
      <c r="F2419" s="115">
        <v>0</v>
      </c>
      <c r="G2419" s="115">
        <v>0</v>
      </c>
      <c r="H2419" s="115">
        <v>0</v>
      </c>
      <c r="I2419" s="115">
        <v>0</v>
      </c>
      <c r="J2419" s="115">
        <v>0</v>
      </c>
      <c r="K2419" s="115">
        <v>0</v>
      </c>
    </row>
    <row r="2420" spans="2:11" x14ac:dyDescent="0.25">
      <c r="B2420" s="115" t="s">
        <v>1241</v>
      </c>
      <c r="D2420" s="115" t="s">
        <v>8710</v>
      </c>
      <c r="E2420" s="115" t="s">
        <v>1242</v>
      </c>
      <c r="F2420" s="115">
        <v>0</v>
      </c>
      <c r="G2420" s="115">
        <v>0</v>
      </c>
      <c r="H2420" s="115">
        <v>0</v>
      </c>
      <c r="I2420" s="115">
        <v>0</v>
      </c>
      <c r="J2420" s="115">
        <v>0</v>
      </c>
      <c r="K2420" s="115">
        <v>0</v>
      </c>
    </row>
    <row r="2421" spans="2:11" x14ac:dyDescent="0.25">
      <c r="B2421" s="115" t="s">
        <v>1241</v>
      </c>
      <c r="D2421" s="115" t="s">
        <v>8710</v>
      </c>
      <c r="E2421" s="115" t="s">
        <v>1242</v>
      </c>
      <c r="F2421" s="115">
        <v>0</v>
      </c>
      <c r="G2421" s="115">
        <v>0</v>
      </c>
      <c r="H2421" s="115">
        <v>0</v>
      </c>
      <c r="I2421" s="115">
        <v>0</v>
      </c>
      <c r="J2421" s="115">
        <v>0</v>
      </c>
      <c r="K2421" s="115">
        <v>0</v>
      </c>
    </row>
    <row r="2422" spans="2:11" x14ac:dyDescent="0.25">
      <c r="B2422" s="115" t="s">
        <v>1241</v>
      </c>
      <c r="D2422" s="115" t="s">
        <v>8710</v>
      </c>
      <c r="E2422" s="115" t="s">
        <v>1242</v>
      </c>
      <c r="F2422" s="115">
        <v>0</v>
      </c>
      <c r="G2422" s="115">
        <v>0</v>
      </c>
      <c r="H2422" s="115">
        <v>0</v>
      </c>
      <c r="I2422" s="115">
        <v>0</v>
      </c>
      <c r="J2422" s="115">
        <v>0</v>
      </c>
      <c r="K2422" s="115">
        <v>0</v>
      </c>
    </row>
    <row r="2423" spans="2:11" x14ac:dyDescent="0.25">
      <c r="B2423" s="115" t="s">
        <v>1241</v>
      </c>
      <c r="D2423" s="115" t="s">
        <v>8710</v>
      </c>
      <c r="E2423" s="115" t="s">
        <v>1242</v>
      </c>
      <c r="F2423" s="115">
        <v>0</v>
      </c>
      <c r="G2423" s="115">
        <v>0</v>
      </c>
      <c r="H2423" s="115">
        <v>0</v>
      </c>
      <c r="I2423" s="115">
        <v>0</v>
      </c>
      <c r="J2423" s="115">
        <v>0</v>
      </c>
      <c r="K2423" s="115">
        <v>0</v>
      </c>
    </row>
    <row r="2424" spans="2:11" x14ac:dyDescent="0.25">
      <c r="B2424" s="115" t="s">
        <v>1241</v>
      </c>
      <c r="D2424" s="115" t="s">
        <v>8710</v>
      </c>
      <c r="E2424" s="115" t="s">
        <v>1242</v>
      </c>
      <c r="F2424" s="115">
        <v>0</v>
      </c>
      <c r="G2424" s="115">
        <v>0</v>
      </c>
      <c r="H2424" s="115">
        <v>0</v>
      </c>
      <c r="I2424" s="115">
        <v>0</v>
      </c>
      <c r="J2424" s="115">
        <v>0</v>
      </c>
      <c r="K2424" s="115">
        <v>0</v>
      </c>
    </row>
    <row r="2425" spans="2:11" x14ac:dyDescent="0.25">
      <c r="B2425" s="115" t="s">
        <v>1241</v>
      </c>
      <c r="D2425" s="115" t="s">
        <v>8710</v>
      </c>
      <c r="E2425" s="115" t="s">
        <v>1242</v>
      </c>
      <c r="F2425" s="115">
        <v>0</v>
      </c>
      <c r="G2425" s="115">
        <v>0</v>
      </c>
      <c r="H2425" s="115">
        <v>0</v>
      </c>
      <c r="I2425" s="115">
        <v>0</v>
      </c>
      <c r="J2425" s="115">
        <v>0</v>
      </c>
      <c r="K2425" s="115">
        <v>0</v>
      </c>
    </row>
    <row r="2426" spans="2:11" x14ac:dyDescent="0.25">
      <c r="B2426" s="115" t="s">
        <v>1241</v>
      </c>
      <c r="D2426" s="115" t="s">
        <v>8710</v>
      </c>
      <c r="E2426" s="115" t="s">
        <v>1242</v>
      </c>
      <c r="F2426" s="115">
        <v>0</v>
      </c>
      <c r="G2426" s="115">
        <v>0</v>
      </c>
      <c r="H2426" s="115">
        <v>0</v>
      </c>
      <c r="I2426" s="115">
        <v>0</v>
      </c>
      <c r="J2426" s="115">
        <v>0</v>
      </c>
      <c r="K2426" s="115">
        <v>0</v>
      </c>
    </row>
    <row r="2427" spans="2:11" x14ac:dyDescent="0.25">
      <c r="B2427" s="115" t="s">
        <v>1241</v>
      </c>
      <c r="D2427" s="115" t="s">
        <v>8710</v>
      </c>
      <c r="E2427" s="115" t="s">
        <v>1242</v>
      </c>
      <c r="F2427" s="115">
        <v>0</v>
      </c>
      <c r="G2427" s="115">
        <v>0</v>
      </c>
      <c r="H2427" s="115">
        <v>0</v>
      </c>
      <c r="I2427" s="115">
        <v>0</v>
      </c>
      <c r="J2427" s="115">
        <v>0</v>
      </c>
      <c r="K2427" s="115">
        <v>0</v>
      </c>
    </row>
    <row r="2428" spans="2:11" x14ac:dyDescent="0.25">
      <c r="B2428" s="115" t="s">
        <v>1241</v>
      </c>
      <c r="D2428" s="115" t="s">
        <v>8710</v>
      </c>
      <c r="E2428" s="115" t="s">
        <v>1242</v>
      </c>
      <c r="F2428" s="115">
        <v>0</v>
      </c>
      <c r="G2428" s="115">
        <v>0</v>
      </c>
      <c r="H2428" s="115">
        <v>0</v>
      </c>
      <c r="I2428" s="115">
        <v>0</v>
      </c>
      <c r="J2428" s="115">
        <v>0</v>
      </c>
      <c r="K2428" s="115">
        <v>0</v>
      </c>
    </row>
    <row r="2429" spans="2:11" x14ac:dyDescent="0.25">
      <c r="B2429" s="115" t="s">
        <v>1241</v>
      </c>
      <c r="D2429" s="115" t="s">
        <v>8710</v>
      </c>
      <c r="E2429" s="115" t="s">
        <v>1242</v>
      </c>
      <c r="F2429" s="115">
        <v>0</v>
      </c>
      <c r="G2429" s="115">
        <v>0</v>
      </c>
      <c r="H2429" s="115">
        <v>0</v>
      </c>
      <c r="I2429" s="115">
        <v>0</v>
      </c>
      <c r="J2429" s="115">
        <v>0</v>
      </c>
      <c r="K2429" s="115">
        <v>0</v>
      </c>
    </row>
    <row r="2430" spans="2:11" x14ac:dyDescent="0.25">
      <c r="B2430" s="115" t="s">
        <v>1241</v>
      </c>
      <c r="D2430" s="115" t="s">
        <v>8710</v>
      </c>
      <c r="E2430" s="115" t="s">
        <v>1242</v>
      </c>
      <c r="F2430" s="115">
        <v>0</v>
      </c>
      <c r="G2430" s="115">
        <v>0</v>
      </c>
      <c r="H2430" s="115">
        <v>0</v>
      </c>
      <c r="I2430" s="115">
        <v>0</v>
      </c>
      <c r="J2430" s="115">
        <v>0</v>
      </c>
      <c r="K2430" s="115">
        <v>0</v>
      </c>
    </row>
    <row r="2431" spans="2:11" x14ac:dyDescent="0.25">
      <c r="B2431" s="115" t="s">
        <v>1241</v>
      </c>
      <c r="D2431" s="115" t="s">
        <v>8710</v>
      </c>
      <c r="E2431" s="115" t="s">
        <v>1242</v>
      </c>
      <c r="F2431" s="115">
        <v>0</v>
      </c>
      <c r="G2431" s="115">
        <v>0</v>
      </c>
      <c r="H2431" s="115">
        <v>0</v>
      </c>
      <c r="I2431" s="115">
        <v>0</v>
      </c>
      <c r="J2431" s="115">
        <v>0</v>
      </c>
      <c r="K2431" s="115">
        <v>0</v>
      </c>
    </row>
    <row r="2432" spans="2:11" x14ac:dyDescent="0.25">
      <c r="B2432" s="115" t="s">
        <v>1241</v>
      </c>
      <c r="D2432" s="115" t="s">
        <v>8710</v>
      </c>
      <c r="E2432" s="115" t="s">
        <v>1242</v>
      </c>
      <c r="F2432" s="115">
        <v>0</v>
      </c>
      <c r="G2432" s="115">
        <v>0</v>
      </c>
      <c r="H2432" s="115">
        <v>0</v>
      </c>
      <c r="I2432" s="115">
        <v>0</v>
      </c>
      <c r="J2432" s="115">
        <v>0</v>
      </c>
      <c r="K2432" s="115">
        <v>0</v>
      </c>
    </row>
    <row r="2433" spans="2:11" x14ac:dyDescent="0.25">
      <c r="B2433" s="115" t="s">
        <v>1241</v>
      </c>
      <c r="D2433" s="115" t="s">
        <v>8710</v>
      </c>
      <c r="E2433" s="115" t="s">
        <v>1242</v>
      </c>
      <c r="F2433" s="115">
        <v>0</v>
      </c>
      <c r="G2433" s="115">
        <v>0</v>
      </c>
      <c r="H2433" s="115">
        <v>0</v>
      </c>
      <c r="I2433" s="115">
        <v>0</v>
      </c>
      <c r="J2433" s="115">
        <v>0</v>
      </c>
      <c r="K2433" s="115">
        <v>0</v>
      </c>
    </row>
    <row r="2434" spans="2:11" x14ac:dyDescent="0.25">
      <c r="B2434" s="115" t="s">
        <v>1241</v>
      </c>
      <c r="D2434" s="115" t="s">
        <v>8710</v>
      </c>
      <c r="E2434" s="115" t="s">
        <v>1242</v>
      </c>
      <c r="F2434" s="115">
        <v>0</v>
      </c>
      <c r="G2434" s="115">
        <v>0</v>
      </c>
      <c r="H2434" s="115">
        <v>0</v>
      </c>
      <c r="I2434" s="115">
        <v>0</v>
      </c>
      <c r="J2434" s="115">
        <v>0</v>
      </c>
      <c r="K2434" s="115">
        <v>0</v>
      </c>
    </row>
    <row r="2435" spans="2:11" x14ac:dyDescent="0.25">
      <c r="B2435" s="115" t="s">
        <v>1241</v>
      </c>
      <c r="D2435" s="115" t="s">
        <v>8710</v>
      </c>
      <c r="E2435" s="115" t="s">
        <v>1242</v>
      </c>
      <c r="F2435" s="115">
        <v>0</v>
      </c>
      <c r="G2435" s="115">
        <v>0</v>
      </c>
      <c r="H2435" s="115">
        <v>0</v>
      </c>
      <c r="I2435" s="115">
        <v>0</v>
      </c>
      <c r="J2435" s="115">
        <v>0</v>
      </c>
      <c r="K2435" s="115">
        <v>0</v>
      </c>
    </row>
    <row r="2436" spans="2:11" x14ac:dyDescent="0.25">
      <c r="B2436" s="115" t="s">
        <v>1241</v>
      </c>
      <c r="D2436" s="115" t="s">
        <v>8710</v>
      </c>
      <c r="E2436" s="115" t="s">
        <v>1242</v>
      </c>
      <c r="F2436" s="115">
        <v>0</v>
      </c>
      <c r="G2436" s="115">
        <v>0</v>
      </c>
      <c r="H2436" s="115">
        <v>0</v>
      </c>
      <c r="I2436" s="115">
        <v>0</v>
      </c>
      <c r="J2436" s="115">
        <v>0</v>
      </c>
      <c r="K2436" s="115">
        <v>0</v>
      </c>
    </row>
    <row r="2437" spans="2:11" x14ac:dyDescent="0.25">
      <c r="B2437" s="115" t="s">
        <v>1241</v>
      </c>
      <c r="D2437" s="115" t="s">
        <v>8710</v>
      </c>
      <c r="E2437" s="115" t="s">
        <v>1242</v>
      </c>
      <c r="F2437" s="115">
        <v>0</v>
      </c>
      <c r="G2437" s="115">
        <v>0</v>
      </c>
      <c r="H2437" s="115">
        <v>0</v>
      </c>
      <c r="I2437" s="115">
        <v>0</v>
      </c>
      <c r="J2437" s="115">
        <v>0</v>
      </c>
      <c r="K2437" s="115">
        <v>0</v>
      </c>
    </row>
    <row r="2438" spans="2:11" x14ac:dyDescent="0.25">
      <c r="B2438" s="115" t="s">
        <v>1241</v>
      </c>
      <c r="D2438" s="115" t="s">
        <v>8710</v>
      </c>
      <c r="E2438" s="115" t="s">
        <v>1242</v>
      </c>
      <c r="F2438" s="115">
        <v>0</v>
      </c>
      <c r="G2438" s="115">
        <v>0</v>
      </c>
      <c r="H2438" s="115">
        <v>0</v>
      </c>
      <c r="I2438" s="115">
        <v>0</v>
      </c>
      <c r="J2438" s="115">
        <v>0</v>
      </c>
      <c r="K2438" s="115">
        <v>0</v>
      </c>
    </row>
    <row r="2439" spans="2:11" x14ac:dyDescent="0.25">
      <c r="B2439" s="115" t="s">
        <v>1241</v>
      </c>
      <c r="D2439" s="115" t="s">
        <v>8710</v>
      </c>
      <c r="E2439" s="115" t="s">
        <v>1242</v>
      </c>
      <c r="F2439" s="115">
        <v>0</v>
      </c>
      <c r="G2439" s="115">
        <v>0</v>
      </c>
      <c r="H2439" s="115">
        <v>0</v>
      </c>
      <c r="I2439" s="115">
        <v>0</v>
      </c>
      <c r="J2439" s="115">
        <v>0</v>
      </c>
      <c r="K2439" s="115">
        <v>0</v>
      </c>
    </row>
    <row r="2440" spans="2:11" x14ac:dyDescent="0.25">
      <c r="B2440" s="115" t="s">
        <v>1241</v>
      </c>
      <c r="D2440" s="115" t="s">
        <v>8710</v>
      </c>
      <c r="E2440" s="115" t="s">
        <v>1242</v>
      </c>
      <c r="F2440" s="115">
        <v>0</v>
      </c>
      <c r="G2440" s="115">
        <v>0</v>
      </c>
      <c r="H2440" s="115">
        <v>0</v>
      </c>
      <c r="I2440" s="115">
        <v>0</v>
      </c>
      <c r="J2440" s="115">
        <v>0</v>
      </c>
      <c r="K2440" s="115">
        <v>0</v>
      </c>
    </row>
    <row r="2441" spans="2:11" x14ac:dyDescent="0.25">
      <c r="B2441" s="115" t="s">
        <v>1241</v>
      </c>
      <c r="D2441" s="115" t="s">
        <v>8710</v>
      </c>
      <c r="E2441" s="115" t="s">
        <v>1242</v>
      </c>
      <c r="F2441" s="115">
        <v>0</v>
      </c>
      <c r="G2441" s="115">
        <v>0</v>
      </c>
      <c r="H2441" s="115">
        <v>0</v>
      </c>
      <c r="I2441" s="115">
        <v>0</v>
      </c>
      <c r="J2441" s="115">
        <v>0</v>
      </c>
      <c r="K2441" s="115">
        <v>0</v>
      </c>
    </row>
    <row r="2442" spans="2:11" x14ac:dyDescent="0.25">
      <c r="B2442" s="115" t="s">
        <v>1241</v>
      </c>
      <c r="D2442" s="115" t="s">
        <v>8710</v>
      </c>
      <c r="E2442" s="115" t="s">
        <v>1242</v>
      </c>
      <c r="F2442" s="115">
        <v>0</v>
      </c>
      <c r="G2442" s="115">
        <v>0</v>
      </c>
      <c r="H2442" s="115">
        <v>0</v>
      </c>
      <c r="I2442" s="115">
        <v>0</v>
      </c>
      <c r="J2442" s="115">
        <v>0</v>
      </c>
      <c r="K2442" s="115">
        <v>0</v>
      </c>
    </row>
    <row r="2443" spans="2:11" x14ac:dyDescent="0.25">
      <c r="B2443" s="115" t="s">
        <v>1241</v>
      </c>
      <c r="D2443" s="115" t="s">
        <v>8710</v>
      </c>
      <c r="E2443" s="115" t="s">
        <v>1242</v>
      </c>
      <c r="F2443" s="115">
        <v>0</v>
      </c>
      <c r="G2443" s="115">
        <v>0</v>
      </c>
      <c r="H2443" s="115">
        <v>0</v>
      </c>
      <c r="I2443" s="115">
        <v>0</v>
      </c>
      <c r="J2443" s="115">
        <v>0</v>
      </c>
      <c r="K2443" s="115">
        <v>0</v>
      </c>
    </row>
    <row r="2444" spans="2:11" x14ac:dyDescent="0.25">
      <c r="B2444" s="115" t="s">
        <v>1241</v>
      </c>
      <c r="D2444" s="115" t="s">
        <v>8710</v>
      </c>
      <c r="E2444" s="115" t="s">
        <v>1242</v>
      </c>
      <c r="F2444" s="115">
        <v>0</v>
      </c>
      <c r="G2444" s="115">
        <v>0</v>
      </c>
      <c r="H2444" s="115">
        <v>0</v>
      </c>
      <c r="I2444" s="115">
        <v>0</v>
      </c>
      <c r="J2444" s="115">
        <v>0</v>
      </c>
      <c r="K2444" s="115">
        <v>0</v>
      </c>
    </row>
    <row r="2445" spans="2:11" x14ac:dyDescent="0.25">
      <c r="B2445" s="115" t="s">
        <v>1241</v>
      </c>
      <c r="D2445" s="115" t="s">
        <v>8710</v>
      </c>
      <c r="E2445" s="115" t="s">
        <v>1242</v>
      </c>
      <c r="F2445" s="115">
        <v>0</v>
      </c>
      <c r="G2445" s="115">
        <v>0</v>
      </c>
      <c r="H2445" s="115">
        <v>0</v>
      </c>
      <c r="I2445" s="115">
        <v>0</v>
      </c>
      <c r="J2445" s="115">
        <v>0</v>
      </c>
      <c r="K2445" s="115">
        <v>0</v>
      </c>
    </row>
    <row r="2446" spans="2:11" x14ac:dyDescent="0.25">
      <c r="B2446" s="115" t="s">
        <v>1241</v>
      </c>
      <c r="D2446" s="115" t="s">
        <v>8710</v>
      </c>
      <c r="E2446" s="115" t="s">
        <v>1242</v>
      </c>
      <c r="F2446" s="115">
        <v>0</v>
      </c>
      <c r="G2446" s="115">
        <v>0</v>
      </c>
      <c r="H2446" s="115">
        <v>0</v>
      </c>
      <c r="I2446" s="115">
        <v>0</v>
      </c>
      <c r="J2446" s="115">
        <v>0</v>
      </c>
      <c r="K2446" s="115">
        <v>0</v>
      </c>
    </row>
    <row r="2447" spans="2:11" x14ac:dyDescent="0.25">
      <c r="B2447" s="115" t="s">
        <v>1241</v>
      </c>
      <c r="D2447" s="115" t="s">
        <v>8710</v>
      </c>
      <c r="E2447" s="115" t="s">
        <v>1242</v>
      </c>
      <c r="F2447" s="115">
        <v>0</v>
      </c>
      <c r="G2447" s="115">
        <v>0</v>
      </c>
      <c r="H2447" s="115">
        <v>0</v>
      </c>
      <c r="I2447" s="115">
        <v>0</v>
      </c>
      <c r="J2447" s="115">
        <v>0</v>
      </c>
      <c r="K2447" s="115">
        <v>0</v>
      </c>
    </row>
    <row r="2448" spans="2:11" x14ac:dyDescent="0.25">
      <c r="B2448" s="115" t="s">
        <v>1241</v>
      </c>
      <c r="D2448" s="115" t="s">
        <v>8710</v>
      </c>
      <c r="E2448" s="115" t="s">
        <v>1242</v>
      </c>
      <c r="F2448" s="115">
        <v>0</v>
      </c>
      <c r="G2448" s="115">
        <v>0</v>
      </c>
      <c r="H2448" s="115">
        <v>0</v>
      </c>
      <c r="I2448" s="115">
        <v>0</v>
      </c>
      <c r="J2448" s="115">
        <v>0</v>
      </c>
      <c r="K2448" s="115">
        <v>0</v>
      </c>
    </row>
    <row r="2449" spans="2:11" x14ac:dyDescent="0.25">
      <c r="B2449" s="115" t="s">
        <v>1241</v>
      </c>
      <c r="D2449" s="115" t="s">
        <v>8710</v>
      </c>
      <c r="E2449" s="115" t="s">
        <v>1242</v>
      </c>
      <c r="F2449" s="115">
        <v>0</v>
      </c>
      <c r="G2449" s="115">
        <v>0</v>
      </c>
      <c r="H2449" s="115">
        <v>0</v>
      </c>
      <c r="I2449" s="115">
        <v>0</v>
      </c>
      <c r="J2449" s="115">
        <v>0</v>
      </c>
      <c r="K2449" s="115">
        <v>0</v>
      </c>
    </row>
    <row r="2450" spans="2:11" x14ac:dyDescent="0.25">
      <c r="B2450" s="115" t="s">
        <v>1241</v>
      </c>
      <c r="D2450" s="115" t="s">
        <v>8710</v>
      </c>
      <c r="E2450" s="115" t="s">
        <v>1242</v>
      </c>
      <c r="F2450" s="115">
        <v>0</v>
      </c>
      <c r="G2450" s="115">
        <v>0</v>
      </c>
      <c r="H2450" s="115">
        <v>0</v>
      </c>
      <c r="I2450" s="115">
        <v>0</v>
      </c>
      <c r="J2450" s="115">
        <v>0</v>
      </c>
      <c r="K2450" s="115">
        <v>0</v>
      </c>
    </row>
    <row r="2451" spans="2:11" x14ac:dyDescent="0.25">
      <c r="B2451" s="115" t="s">
        <v>1241</v>
      </c>
      <c r="D2451" s="115" t="s">
        <v>8710</v>
      </c>
      <c r="E2451" s="115" t="s">
        <v>1242</v>
      </c>
      <c r="F2451" s="115">
        <v>0</v>
      </c>
      <c r="G2451" s="115">
        <v>0</v>
      </c>
      <c r="H2451" s="115">
        <v>0</v>
      </c>
      <c r="I2451" s="115">
        <v>0</v>
      </c>
      <c r="J2451" s="115">
        <v>0</v>
      </c>
      <c r="K2451" s="115">
        <v>0</v>
      </c>
    </row>
    <row r="2452" spans="2:11" x14ac:dyDescent="0.25">
      <c r="B2452" s="115" t="s">
        <v>1241</v>
      </c>
      <c r="D2452" s="115" t="s">
        <v>8710</v>
      </c>
      <c r="E2452" s="115" t="s">
        <v>1242</v>
      </c>
      <c r="F2452" s="115">
        <v>0</v>
      </c>
      <c r="G2452" s="115">
        <v>0</v>
      </c>
      <c r="H2452" s="115">
        <v>0</v>
      </c>
      <c r="I2452" s="115">
        <v>0</v>
      </c>
      <c r="J2452" s="115">
        <v>0</v>
      </c>
      <c r="K2452" s="115">
        <v>0</v>
      </c>
    </row>
    <row r="2453" spans="2:11" x14ac:dyDescent="0.25">
      <c r="B2453" s="115" t="s">
        <v>1241</v>
      </c>
      <c r="D2453" s="115" t="s">
        <v>8710</v>
      </c>
      <c r="E2453" s="115" t="s">
        <v>1242</v>
      </c>
      <c r="F2453" s="115">
        <v>0</v>
      </c>
      <c r="G2453" s="115">
        <v>0</v>
      </c>
      <c r="H2453" s="115">
        <v>0</v>
      </c>
      <c r="I2453" s="115">
        <v>0</v>
      </c>
      <c r="J2453" s="115">
        <v>0</v>
      </c>
      <c r="K2453" s="115">
        <v>0</v>
      </c>
    </row>
    <row r="2454" spans="2:11" x14ac:dyDescent="0.25">
      <c r="B2454" s="115" t="s">
        <v>1241</v>
      </c>
      <c r="D2454" s="115" t="s">
        <v>8710</v>
      </c>
      <c r="E2454" s="115" t="s">
        <v>1242</v>
      </c>
      <c r="F2454" s="115">
        <v>0</v>
      </c>
      <c r="G2454" s="115">
        <v>0</v>
      </c>
      <c r="H2454" s="115">
        <v>0</v>
      </c>
      <c r="I2454" s="115">
        <v>0</v>
      </c>
      <c r="J2454" s="115">
        <v>0</v>
      </c>
      <c r="K2454" s="115">
        <v>0</v>
      </c>
    </row>
    <row r="2455" spans="2:11" x14ac:dyDescent="0.25">
      <c r="B2455" s="115" t="s">
        <v>1241</v>
      </c>
      <c r="D2455" s="115" t="s">
        <v>8710</v>
      </c>
      <c r="E2455" s="115" t="s">
        <v>1242</v>
      </c>
      <c r="F2455" s="115">
        <v>0</v>
      </c>
      <c r="G2455" s="115">
        <v>0</v>
      </c>
      <c r="H2455" s="115">
        <v>0</v>
      </c>
      <c r="I2455" s="115">
        <v>0</v>
      </c>
      <c r="J2455" s="115">
        <v>0</v>
      </c>
      <c r="K2455" s="115">
        <v>0</v>
      </c>
    </row>
    <row r="2456" spans="2:11" x14ac:dyDescent="0.25">
      <c r="B2456" s="115" t="s">
        <v>1241</v>
      </c>
      <c r="D2456" s="115" t="s">
        <v>8710</v>
      </c>
      <c r="E2456" s="115" t="s">
        <v>1242</v>
      </c>
      <c r="F2456" s="115">
        <v>0</v>
      </c>
      <c r="G2456" s="115">
        <v>0</v>
      </c>
      <c r="H2456" s="115">
        <v>0</v>
      </c>
      <c r="I2456" s="115">
        <v>0</v>
      </c>
      <c r="J2456" s="115">
        <v>0</v>
      </c>
      <c r="K2456" s="115">
        <v>0</v>
      </c>
    </row>
    <row r="2457" spans="2:11" x14ac:dyDescent="0.25">
      <c r="B2457" s="115" t="s">
        <v>1241</v>
      </c>
      <c r="D2457" s="115" t="s">
        <v>8710</v>
      </c>
      <c r="E2457" s="115" t="s">
        <v>1242</v>
      </c>
      <c r="F2457" s="115">
        <v>0</v>
      </c>
      <c r="G2457" s="115">
        <v>0</v>
      </c>
      <c r="H2457" s="115">
        <v>0</v>
      </c>
      <c r="I2457" s="115">
        <v>0</v>
      </c>
      <c r="J2457" s="115">
        <v>0</v>
      </c>
      <c r="K2457" s="115">
        <v>0</v>
      </c>
    </row>
    <row r="2458" spans="2:11" x14ac:dyDescent="0.25">
      <c r="B2458" s="115" t="s">
        <v>1241</v>
      </c>
      <c r="D2458" s="115" t="s">
        <v>8710</v>
      </c>
      <c r="E2458" s="115" t="s">
        <v>1242</v>
      </c>
      <c r="F2458" s="115">
        <v>0</v>
      </c>
      <c r="G2458" s="115">
        <v>0</v>
      </c>
      <c r="H2458" s="115">
        <v>0</v>
      </c>
      <c r="I2458" s="115">
        <v>0</v>
      </c>
      <c r="J2458" s="115">
        <v>0</v>
      </c>
      <c r="K2458" s="115">
        <v>0</v>
      </c>
    </row>
    <row r="2459" spans="2:11" x14ac:dyDescent="0.25">
      <c r="B2459" s="115" t="s">
        <v>1241</v>
      </c>
      <c r="D2459" s="115" t="s">
        <v>8710</v>
      </c>
      <c r="E2459" s="115" t="s">
        <v>1242</v>
      </c>
      <c r="F2459" s="115">
        <v>0</v>
      </c>
      <c r="G2459" s="115">
        <v>0</v>
      </c>
      <c r="H2459" s="115">
        <v>0</v>
      </c>
      <c r="I2459" s="115">
        <v>0</v>
      </c>
      <c r="J2459" s="115">
        <v>0</v>
      </c>
      <c r="K2459" s="115">
        <v>0</v>
      </c>
    </row>
    <row r="2460" spans="2:11" x14ac:dyDescent="0.25">
      <c r="B2460" s="115" t="s">
        <v>1241</v>
      </c>
      <c r="D2460" s="115" t="s">
        <v>8710</v>
      </c>
      <c r="E2460" s="115" t="s">
        <v>1242</v>
      </c>
      <c r="F2460" s="115">
        <v>0</v>
      </c>
      <c r="G2460" s="115">
        <v>0</v>
      </c>
      <c r="H2460" s="115">
        <v>0</v>
      </c>
      <c r="I2460" s="115">
        <v>0</v>
      </c>
      <c r="J2460" s="115">
        <v>0</v>
      </c>
      <c r="K2460" s="115">
        <v>0</v>
      </c>
    </row>
    <row r="2461" spans="2:11" x14ac:dyDescent="0.25">
      <c r="B2461" s="115" t="s">
        <v>1241</v>
      </c>
      <c r="D2461" s="115" t="s">
        <v>8710</v>
      </c>
      <c r="E2461" s="115" t="s">
        <v>1242</v>
      </c>
      <c r="F2461" s="115">
        <v>0</v>
      </c>
      <c r="G2461" s="115">
        <v>0</v>
      </c>
      <c r="H2461" s="115">
        <v>0</v>
      </c>
      <c r="I2461" s="115">
        <v>0</v>
      </c>
      <c r="J2461" s="115">
        <v>0</v>
      </c>
      <c r="K2461" s="115">
        <v>0</v>
      </c>
    </row>
    <row r="2462" spans="2:11" x14ac:dyDescent="0.25">
      <c r="B2462" s="115" t="s">
        <v>1241</v>
      </c>
      <c r="D2462" s="115" t="s">
        <v>8710</v>
      </c>
      <c r="E2462" s="115" t="s">
        <v>1242</v>
      </c>
      <c r="F2462" s="115">
        <v>0</v>
      </c>
      <c r="G2462" s="115">
        <v>0</v>
      </c>
      <c r="H2462" s="115">
        <v>0</v>
      </c>
      <c r="I2462" s="115">
        <v>0</v>
      </c>
      <c r="J2462" s="115">
        <v>0</v>
      </c>
      <c r="K2462" s="115">
        <v>0</v>
      </c>
    </row>
    <row r="2463" spans="2:11" x14ac:dyDescent="0.25">
      <c r="B2463" s="115" t="s">
        <v>1241</v>
      </c>
      <c r="D2463" s="115" t="s">
        <v>8710</v>
      </c>
      <c r="E2463" s="115" t="s">
        <v>1242</v>
      </c>
      <c r="F2463" s="115">
        <v>0</v>
      </c>
      <c r="G2463" s="115">
        <v>0</v>
      </c>
      <c r="H2463" s="115">
        <v>0</v>
      </c>
      <c r="I2463" s="115">
        <v>0</v>
      </c>
      <c r="J2463" s="115">
        <v>0</v>
      </c>
      <c r="K2463" s="115">
        <v>0</v>
      </c>
    </row>
    <row r="2464" spans="2:11" x14ac:dyDescent="0.25">
      <c r="B2464" s="115" t="s">
        <v>1241</v>
      </c>
      <c r="D2464" s="115" t="s">
        <v>8710</v>
      </c>
      <c r="E2464" s="115" t="s">
        <v>1242</v>
      </c>
      <c r="F2464" s="115">
        <v>0</v>
      </c>
      <c r="G2464" s="115">
        <v>0</v>
      </c>
      <c r="H2464" s="115">
        <v>0</v>
      </c>
      <c r="I2464" s="115">
        <v>0</v>
      </c>
      <c r="J2464" s="115">
        <v>0</v>
      </c>
      <c r="K2464" s="115">
        <v>0</v>
      </c>
    </row>
    <row r="2465" spans="1:11" x14ac:dyDescent="0.25">
      <c r="B2465" s="115" t="s">
        <v>1241</v>
      </c>
      <c r="D2465" s="115" t="s">
        <v>8710</v>
      </c>
      <c r="E2465" s="115" t="s">
        <v>1242</v>
      </c>
      <c r="F2465" s="115">
        <v>0</v>
      </c>
      <c r="G2465" s="115">
        <v>0</v>
      </c>
      <c r="H2465" s="115">
        <v>0</v>
      </c>
      <c r="I2465" s="115">
        <v>0</v>
      </c>
      <c r="J2465" s="115">
        <v>0</v>
      </c>
      <c r="K2465" s="115">
        <v>0</v>
      </c>
    </row>
    <row r="2466" spans="1:11" x14ac:dyDescent="0.25">
      <c r="B2466" s="115" t="s">
        <v>1241</v>
      </c>
      <c r="D2466" s="115" t="s">
        <v>9787</v>
      </c>
      <c r="E2466" s="115" t="s">
        <v>2918</v>
      </c>
      <c r="F2466" s="115">
        <v>0</v>
      </c>
      <c r="G2466" s="115">
        <v>0</v>
      </c>
      <c r="H2466" s="115">
        <v>634</v>
      </c>
      <c r="I2466" s="115">
        <v>2002</v>
      </c>
      <c r="J2466" s="115">
        <v>-843</v>
      </c>
      <c r="K2466" s="115">
        <v>-507</v>
      </c>
    </row>
    <row r="2467" spans="1:11" x14ac:dyDescent="0.25">
      <c r="A2467" s="115" t="s">
        <v>1239</v>
      </c>
      <c r="B2467" s="115" t="s">
        <v>2919</v>
      </c>
      <c r="D2467" s="115" t="s">
        <v>9788</v>
      </c>
      <c r="E2467" s="115" t="s">
        <v>2920</v>
      </c>
      <c r="F2467" s="115">
        <v>0</v>
      </c>
      <c r="G2467" s="115">
        <v>0</v>
      </c>
      <c r="H2467" s="115">
        <v>0</v>
      </c>
      <c r="I2467" s="115">
        <v>-241</v>
      </c>
      <c r="J2467" s="115">
        <v>353</v>
      </c>
      <c r="K2467" s="115">
        <v>0</v>
      </c>
    </row>
    <row r="2468" spans="1:11" x14ac:dyDescent="0.25">
      <c r="B2468" s="115" t="s">
        <v>1241</v>
      </c>
      <c r="D2468" s="115" t="s">
        <v>9789</v>
      </c>
      <c r="E2468" s="115" t="s">
        <v>2921</v>
      </c>
      <c r="F2468" s="115">
        <v>0</v>
      </c>
      <c r="G2468" s="115">
        <v>88</v>
      </c>
      <c r="H2468" s="115">
        <v>0</v>
      </c>
      <c r="I2468" s="115">
        <v>0</v>
      </c>
      <c r="J2468" s="115">
        <v>103</v>
      </c>
      <c r="K2468" s="115">
        <v>0</v>
      </c>
    </row>
    <row r="2469" spans="1:11" x14ac:dyDescent="0.25">
      <c r="B2469" s="115" t="s">
        <v>1928</v>
      </c>
      <c r="D2469" s="115" t="s">
        <v>9790</v>
      </c>
      <c r="E2469" s="115" t="s">
        <v>2922</v>
      </c>
      <c r="F2469" s="115">
        <v>-356</v>
      </c>
      <c r="G2469" s="115">
        <v>0</v>
      </c>
      <c r="H2469" s="115">
        <v>994</v>
      </c>
      <c r="I2469" s="115">
        <v>4169</v>
      </c>
      <c r="J2469" s="115">
        <v>-745</v>
      </c>
      <c r="K2469" s="115">
        <v>-916</v>
      </c>
    </row>
    <row r="2470" spans="1:11" x14ac:dyDescent="0.25">
      <c r="A2470" s="115">
        <v>3</v>
      </c>
      <c r="B2470" s="115" t="s">
        <v>2923</v>
      </c>
      <c r="D2470" s="115" t="s">
        <v>9791</v>
      </c>
      <c r="E2470" s="115" t="s">
        <v>2924</v>
      </c>
      <c r="F2470" s="115">
        <v>0</v>
      </c>
      <c r="G2470" s="115">
        <v>0</v>
      </c>
      <c r="H2470" s="115">
        <v>0</v>
      </c>
      <c r="I2470" s="115">
        <v>0</v>
      </c>
      <c r="J2470" s="115">
        <v>0</v>
      </c>
      <c r="K2470" s="115">
        <v>-409</v>
      </c>
    </row>
    <row r="2471" spans="1:11" x14ac:dyDescent="0.25">
      <c r="B2471" s="115" t="s">
        <v>1241</v>
      </c>
      <c r="D2471" s="115" t="s">
        <v>9792</v>
      </c>
      <c r="E2471" s="115" t="s">
        <v>2925</v>
      </c>
      <c r="F2471" s="115">
        <v>0</v>
      </c>
      <c r="G2471" s="115">
        <v>-46</v>
      </c>
      <c r="H2471" s="115">
        <v>0</v>
      </c>
      <c r="I2471" s="115">
        <v>0</v>
      </c>
      <c r="J2471" s="115">
        <v>0</v>
      </c>
      <c r="K2471" s="115">
        <v>0</v>
      </c>
    </row>
    <row r="2472" spans="1:11" x14ac:dyDescent="0.25">
      <c r="B2472" s="115" t="s">
        <v>2926</v>
      </c>
      <c r="D2472" s="115" t="s">
        <v>9793</v>
      </c>
      <c r="E2472" s="115" t="s">
        <v>2927</v>
      </c>
      <c r="F2472" s="115">
        <v>-1931</v>
      </c>
      <c r="G2472" s="115">
        <v>0</v>
      </c>
      <c r="H2472" s="115">
        <v>0</v>
      </c>
      <c r="I2472" s="115">
        <v>-8480</v>
      </c>
      <c r="J2472" s="115">
        <v>-1792</v>
      </c>
      <c r="K2472" s="115">
        <v>0</v>
      </c>
    </row>
    <row r="2473" spans="1:11" x14ac:dyDescent="0.25">
      <c r="A2473" s="115">
        <v>-5</v>
      </c>
      <c r="B2473" s="115" t="s">
        <v>2928</v>
      </c>
      <c r="D2473" s="115" t="s">
        <v>9794</v>
      </c>
      <c r="E2473" s="115" t="s">
        <v>2929</v>
      </c>
      <c r="F2473" s="115">
        <v>0</v>
      </c>
      <c r="G2473" s="115">
        <v>-15804</v>
      </c>
      <c r="H2473" s="115">
        <v>-729</v>
      </c>
      <c r="I2473" s="115">
        <v>320</v>
      </c>
      <c r="J2473" s="115">
        <v>0</v>
      </c>
      <c r="K2473" s="115">
        <v>0</v>
      </c>
    </row>
    <row r="2474" spans="1:11" x14ac:dyDescent="0.25">
      <c r="A2474" s="115" t="s">
        <v>1239</v>
      </c>
      <c r="B2474" s="115" t="s">
        <v>2930</v>
      </c>
      <c r="D2474" s="115" t="s">
        <v>9795</v>
      </c>
      <c r="E2474" s="115">
        <f>-768  -2863  -7450  -3394  -4617</f>
        <v>-19092</v>
      </c>
      <c r="F2474" s="115">
        <v>-3384</v>
      </c>
      <c r="G2474" s="115">
        <v>-768</v>
      </c>
      <c r="H2474" s="115">
        <v>-2863</v>
      </c>
      <c r="I2474" s="115">
        <v>-7450</v>
      </c>
      <c r="J2474" s="115">
        <v>-3394</v>
      </c>
      <c r="K2474" s="115">
        <v>-4617</v>
      </c>
    </row>
    <row r="2475" spans="1:11" x14ac:dyDescent="0.25">
      <c r="B2475" s="115" t="s">
        <v>1241</v>
      </c>
      <c r="D2475" s="115" t="s">
        <v>9796</v>
      </c>
      <c r="E2475" s="115" t="s">
        <v>2931</v>
      </c>
      <c r="F2475" s="115">
        <v>0</v>
      </c>
      <c r="G2475" s="115">
        <v>11031</v>
      </c>
      <c r="H2475" s="115">
        <v>0</v>
      </c>
      <c r="I2475" s="115">
        <v>9367</v>
      </c>
      <c r="J2475" s="115">
        <v>-106</v>
      </c>
      <c r="K2475" s="115">
        <v>3684</v>
      </c>
    </row>
    <row r="2476" spans="1:11" x14ac:dyDescent="0.25">
      <c r="B2476" s="115" t="s">
        <v>2932</v>
      </c>
      <c r="D2476" s="115" t="s">
        <v>9797</v>
      </c>
      <c r="E2476" s="115" t="s">
        <v>2933</v>
      </c>
      <c r="F2476" s="115">
        <v>-2</v>
      </c>
      <c r="G2476" s="115">
        <v>24</v>
      </c>
      <c r="H2476" s="115">
        <v>0</v>
      </c>
      <c r="I2476" s="115">
        <v>-2939</v>
      </c>
      <c r="J2476" s="115">
        <v>24650</v>
      </c>
      <c r="K2476" s="115">
        <v>-1311</v>
      </c>
    </row>
    <row r="2477" spans="1:11" x14ac:dyDescent="0.25">
      <c r="B2477" s="115" t="s">
        <v>2934</v>
      </c>
      <c r="D2477" s="115" t="s">
        <v>9798</v>
      </c>
      <c r="E2477" s="115" t="s">
        <v>2935</v>
      </c>
      <c r="F2477" s="115">
        <v>0</v>
      </c>
      <c r="G2477" s="115">
        <v>0</v>
      </c>
      <c r="H2477" s="115">
        <v>0</v>
      </c>
      <c r="I2477" s="115">
        <v>179</v>
      </c>
      <c r="J2477" s="115">
        <v>358</v>
      </c>
      <c r="K2477" s="115">
        <v>0</v>
      </c>
    </row>
    <row r="2478" spans="1:11" x14ac:dyDescent="0.25">
      <c r="B2478" s="115" t="s">
        <v>2936</v>
      </c>
      <c r="D2478" s="115" t="s">
        <v>9799</v>
      </c>
      <c r="E2478" s="115" t="s">
        <v>2937</v>
      </c>
      <c r="F2478" s="115">
        <v>0</v>
      </c>
      <c r="G2478" s="115">
        <v>0</v>
      </c>
      <c r="H2478" s="115">
        <v>0</v>
      </c>
      <c r="I2478" s="115">
        <v>0</v>
      </c>
      <c r="J2478" s="115">
        <v>0</v>
      </c>
      <c r="K2478" s="115">
        <v>1990</v>
      </c>
    </row>
    <row r="2479" spans="1:11" x14ac:dyDescent="0.25">
      <c r="B2479" s="115" t="s">
        <v>2938</v>
      </c>
      <c r="D2479" s="115" t="s">
        <v>9800</v>
      </c>
      <c r="E2479" s="115" t="s">
        <v>2939</v>
      </c>
      <c r="F2479" s="115">
        <v>0</v>
      </c>
      <c r="G2479" s="115">
        <v>457</v>
      </c>
      <c r="H2479" s="115">
        <v>4015</v>
      </c>
      <c r="I2479" s="115">
        <v>-81</v>
      </c>
      <c r="J2479" s="115">
        <v>71</v>
      </c>
      <c r="K2479" s="115">
        <v>232</v>
      </c>
    </row>
    <row r="2480" spans="1:11" x14ac:dyDescent="0.25">
      <c r="A2480" s="115">
        <v>-1</v>
      </c>
      <c r="B2480" s="115" t="s">
        <v>2940</v>
      </c>
      <c r="C2480" s="115">
        <v>2</v>
      </c>
      <c r="D2480" s="115" t="s">
        <v>9801</v>
      </c>
      <c r="E2480" s="115" t="s">
        <v>2941</v>
      </c>
      <c r="F2480" s="115">
        <v>81</v>
      </c>
      <c r="G2480" s="115">
        <v>0</v>
      </c>
      <c r="H2480" s="115">
        <v>0</v>
      </c>
      <c r="I2480" s="115">
        <v>-4105</v>
      </c>
      <c r="J2480" s="115">
        <v>-69</v>
      </c>
      <c r="K2480" s="115">
        <v>0</v>
      </c>
    </row>
    <row r="2481" spans="1:11" x14ac:dyDescent="0.25">
      <c r="B2481" s="115" t="s">
        <v>2942</v>
      </c>
      <c r="D2481" s="115" t="s">
        <v>9802</v>
      </c>
      <c r="E2481" s="115" t="s">
        <v>2943</v>
      </c>
      <c r="F2481" s="115">
        <v>0</v>
      </c>
      <c r="G2481" s="115">
        <v>-665</v>
      </c>
      <c r="H2481" s="115">
        <v>373</v>
      </c>
      <c r="I2481" s="115">
        <v>19</v>
      </c>
      <c r="J2481" s="115">
        <v>0</v>
      </c>
      <c r="K2481" s="115">
        <v>0</v>
      </c>
    </row>
    <row r="2482" spans="1:11" x14ac:dyDescent="0.25">
      <c r="B2482" s="115" t="s">
        <v>1241</v>
      </c>
      <c r="D2482" s="115" t="s">
        <v>9803</v>
      </c>
      <c r="E2482" s="115" t="s">
        <v>2944</v>
      </c>
      <c r="F2482" s="115">
        <v>0</v>
      </c>
      <c r="G2482" s="115">
        <v>-565</v>
      </c>
      <c r="H2482" s="115">
        <v>324</v>
      </c>
      <c r="I2482" s="115">
        <v>741</v>
      </c>
      <c r="J2482" s="115">
        <v>0</v>
      </c>
      <c r="K2482" s="115">
        <v>-974</v>
      </c>
    </row>
    <row r="2483" spans="1:11" x14ac:dyDescent="0.25">
      <c r="A2483" s="115">
        <v>5</v>
      </c>
      <c r="B2483" s="115" t="s">
        <v>2945</v>
      </c>
      <c r="D2483" s="115" t="s">
        <v>9804</v>
      </c>
      <c r="E2483" s="115" t="s">
        <v>2946</v>
      </c>
      <c r="F2483" s="115">
        <v>0</v>
      </c>
      <c r="G2483" s="115">
        <v>-586</v>
      </c>
      <c r="H2483" s="115">
        <v>19119</v>
      </c>
      <c r="I2483" s="115">
        <v>-1341</v>
      </c>
      <c r="J2483" s="115">
        <v>157</v>
      </c>
      <c r="K2483" s="115">
        <v>355</v>
      </c>
    </row>
    <row r="2484" spans="1:11" x14ac:dyDescent="0.25">
      <c r="B2484" s="115" t="s">
        <v>2947</v>
      </c>
      <c r="D2484" s="115" t="s">
        <v>9805</v>
      </c>
      <c r="E2484" s="115" t="s">
        <v>2948</v>
      </c>
      <c r="F2484" s="115">
        <v>-113</v>
      </c>
      <c r="G2484" s="115">
        <v>0</v>
      </c>
      <c r="H2484" s="115">
        <v>147</v>
      </c>
      <c r="I2484" s="115">
        <v>0</v>
      </c>
      <c r="J2484" s="115">
        <v>-30</v>
      </c>
      <c r="K2484" s="115">
        <v>0</v>
      </c>
    </row>
    <row r="2485" spans="1:11" x14ac:dyDescent="0.25">
      <c r="B2485" s="115" t="s">
        <v>1241</v>
      </c>
      <c r="D2485" s="115" t="s">
        <v>9806</v>
      </c>
      <c r="E2485" s="115" t="s">
        <v>2949</v>
      </c>
      <c r="F2485" s="115">
        <v>0</v>
      </c>
      <c r="G2485" s="115">
        <v>0</v>
      </c>
      <c r="H2485" s="115">
        <v>0</v>
      </c>
      <c r="I2485" s="115">
        <v>1135</v>
      </c>
      <c r="J2485" s="115">
        <v>0</v>
      </c>
      <c r="K2485" s="115">
        <v>-2735</v>
      </c>
    </row>
    <row r="2486" spans="1:11" x14ac:dyDescent="0.25">
      <c r="B2486" s="115" t="s">
        <v>2950</v>
      </c>
      <c r="D2486" s="115" t="s">
        <v>9807</v>
      </c>
      <c r="E2486" s="115" t="s">
        <v>1242</v>
      </c>
      <c r="F2486" s="115">
        <v>-15379</v>
      </c>
      <c r="G2486" s="115">
        <v>0</v>
      </c>
      <c r="H2486" s="115">
        <v>0</v>
      </c>
      <c r="I2486" s="115">
        <v>0</v>
      </c>
      <c r="J2486" s="115">
        <v>0</v>
      </c>
      <c r="K2486" s="115">
        <v>0</v>
      </c>
    </row>
    <row r="2487" spans="1:11" x14ac:dyDescent="0.25">
      <c r="A2487" s="115">
        <v>-1</v>
      </c>
      <c r="B2487" s="115" t="s">
        <v>2951</v>
      </c>
      <c r="C2487" s="115" t="s">
        <v>1239</v>
      </c>
      <c r="D2487" s="115" t="s">
        <v>9808</v>
      </c>
      <c r="E2487" s="115" t="s">
        <v>2952</v>
      </c>
      <c r="F2487" s="115">
        <v>-2826</v>
      </c>
      <c r="G2487" s="115">
        <v>0</v>
      </c>
      <c r="H2487" s="115">
        <v>0</v>
      </c>
      <c r="I2487" s="115">
        <v>-202</v>
      </c>
      <c r="J2487" s="115">
        <v>0</v>
      </c>
      <c r="K2487" s="115">
        <v>0</v>
      </c>
    </row>
    <row r="2488" spans="1:11" x14ac:dyDescent="0.25">
      <c r="B2488" s="115" t="s">
        <v>2953</v>
      </c>
      <c r="D2488" s="115" t="s">
        <v>9809</v>
      </c>
      <c r="E2488" s="115" t="s">
        <v>2954</v>
      </c>
      <c r="F2488" s="115">
        <v>0</v>
      </c>
      <c r="G2488" s="115">
        <v>0</v>
      </c>
      <c r="H2488" s="115">
        <v>0</v>
      </c>
      <c r="I2488" s="115">
        <v>0</v>
      </c>
      <c r="J2488" s="115">
        <v>0</v>
      </c>
      <c r="K2488" s="115">
        <v>-771</v>
      </c>
    </row>
    <row r="2489" spans="1:11" x14ac:dyDescent="0.25">
      <c r="B2489" s="115" t="s">
        <v>1241</v>
      </c>
      <c r="D2489" s="115" t="s">
        <v>9810</v>
      </c>
      <c r="E2489" s="115" t="s">
        <v>2955</v>
      </c>
      <c r="F2489" s="115">
        <v>-454</v>
      </c>
      <c r="G2489" s="115">
        <v>0</v>
      </c>
      <c r="H2489" s="115">
        <v>23</v>
      </c>
      <c r="I2489" s="115">
        <v>1129</v>
      </c>
      <c r="J2489" s="115">
        <v>-26</v>
      </c>
      <c r="K2489" s="115">
        <v>0</v>
      </c>
    </row>
    <row r="2490" spans="1:11" x14ac:dyDescent="0.25">
      <c r="A2490" s="115">
        <v>1</v>
      </c>
      <c r="B2490" s="115" t="s">
        <v>2956</v>
      </c>
      <c r="C2490" s="115" t="s">
        <v>1239</v>
      </c>
      <c r="D2490" s="115" t="s">
        <v>9811</v>
      </c>
      <c r="E2490" s="115" t="s">
        <v>2957</v>
      </c>
      <c r="F2490" s="115">
        <v>-1553</v>
      </c>
      <c r="G2490" s="115">
        <v>-767</v>
      </c>
      <c r="H2490" s="115">
        <v>0</v>
      </c>
      <c r="I2490" s="115">
        <v>165</v>
      </c>
      <c r="J2490" s="115">
        <v>0</v>
      </c>
      <c r="K2490" s="115">
        <v>0</v>
      </c>
    </row>
    <row r="2491" spans="1:11" x14ac:dyDescent="0.25">
      <c r="B2491" s="115" t="s">
        <v>1241</v>
      </c>
      <c r="D2491" s="115" t="s">
        <v>9812</v>
      </c>
      <c r="E2491" s="115" t="s">
        <v>2958</v>
      </c>
      <c r="F2491" s="115">
        <v>0</v>
      </c>
      <c r="G2491" s="115">
        <v>0</v>
      </c>
      <c r="H2491" s="115">
        <v>0</v>
      </c>
      <c r="I2491" s="115">
        <v>-399</v>
      </c>
      <c r="J2491" s="115">
        <v>0</v>
      </c>
      <c r="K2491" s="115">
        <v>168</v>
      </c>
    </row>
    <row r="2492" spans="1:11" x14ac:dyDescent="0.25">
      <c r="B2492" s="115" t="s">
        <v>1241</v>
      </c>
      <c r="D2492" s="115" t="s">
        <v>9813</v>
      </c>
      <c r="E2492" s="115" t="s">
        <v>2959</v>
      </c>
      <c r="F2492" s="115">
        <v>0</v>
      </c>
      <c r="G2492" s="115">
        <v>1920</v>
      </c>
      <c r="H2492" s="115">
        <v>0</v>
      </c>
      <c r="I2492" s="115">
        <v>-111</v>
      </c>
      <c r="J2492" s="115">
        <v>-33</v>
      </c>
      <c r="K2492" s="115">
        <v>0</v>
      </c>
    </row>
    <row r="2493" spans="1:11" x14ac:dyDescent="0.25">
      <c r="B2493" s="115" t="s">
        <v>2960</v>
      </c>
      <c r="D2493" s="115" t="s">
        <v>9814</v>
      </c>
      <c r="E2493" s="115" t="s">
        <v>2961</v>
      </c>
      <c r="F2493" s="115">
        <v>-604</v>
      </c>
      <c r="G2493" s="115">
        <v>0</v>
      </c>
      <c r="H2493" s="115">
        <v>0</v>
      </c>
      <c r="I2493" s="115">
        <v>0</v>
      </c>
      <c r="J2493" s="115">
        <v>0</v>
      </c>
      <c r="K2493" s="115">
        <v>-2162</v>
      </c>
    </row>
    <row r="2494" spans="1:11" x14ac:dyDescent="0.25">
      <c r="A2494" s="115" t="s">
        <v>1239</v>
      </c>
      <c r="B2494" s="115" t="s">
        <v>2962</v>
      </c>
      <c r="D2494" s="115" t="s">
        <v>9815</v>
      </c>
      <c r="E2494" s="115" t="s">
        <v>2963</v>
      </c>
      <c r="F2494" s="115">
        <v>158</v>
      </c>
      <c r="G2494" s="115">
        <v>960</v>
      </c>
      <c r="H2494" s="115">
        <v>0</v>
      </c>
      <c r="I2494" s="115">
        <v>-146</v>
      </c>
      <c r="J2494" s="115">
        <v>135</v>
      </c>
      <c r="K2494" s="115">
        <v>-224</v>
      </c>
    </row>
    <row r="2495" spans="1:11" x14ac:dyDescent="0.25">
      <c r="B2495" s="115" t="s">
        <v>2964</v>
      </c>
      <c r="D2495" s="115" t="s">
        <v>9816</v>
      </c>
      <c r="E2495" s="115" t="s">
        <v>2965</v>
      </c>
      <c r="F2495" s="115">
        <v>0</v>
      </c>
      <c r="G2495" s="115">
        <v>0</v>
      </c>
      <c r="H2495" s="115">
        <v>0</v>
      </c>
      <c r="I2495" s="115">
        <v>0</v>
      </c>
      <c r="J2495" s="115">
        <v>0</v>
      </c>
      <c r="K2495" s="115">
        <v>990</v>
      </c>
    </row>
    <row r="2496" spans="1:11" x14ac:dyDescent="0.25">
      <c r="B2496" s="115" t="s">
        <v>2966</v>
      </c>
      <c r="D2496" s="115" t="s">
        <v>9817</v>
      </c>
      <c r="E2496" s="115" t="s">
        <v>2967</v>
      </c>
      <c r="F2496" s="115">
        <v>0</v>
      </c>
      <c r="G2496" s="115">
        <v>-1917</v>
      </c>
      <c r="H2496" s="115">
        <v>3000</v>
      </c>
      <c r="I2496" s="115">
        <v>-1169</v>
      </c>
      <c r="J2496" s="115">
        <v>-2101</v>
      </c>
      <c r="K2496" s="115">
        <v>-2360</v>
      </c>
    </row>
    <row r="2497" spans="1:11" x14ac:dyDescent="0.25">
      <c r="B2497" s="115" t="s">
        <v>2968</v>
      </c>
      <c r="C2497" s="115" t="s">
        <v>1239</v>
      </c>
      <c r="D2497" s="115" t="s">
        <v>9818</v>
      </c>
      <c r="E2497" s="115" t="s">
        <v>2969</v>
      </c>
      <c r="F2497" s="115">
        <v>151</v>
      </c>
      <c r="G2497" s="115">
        <v>0</v>
      </c>
      <c r="H2497" s="115">
        <v>162</v>
      </c>
      <c r="I2497" s="115">
        <v>-718</v>
      </c>
      <c r="J2497" s="115">
        <v>0</v>
      </c>
      <c r="K2497" s="115">
        <v>0</v>
      </c>
    </row>
    <row r="2498" spans="1:11" x14ac:dyDescent="0.25">
      <c r="B2498" s="115" t="s">
        <v>2970</v>
      </c>
      <c r="D2498" s="115" t="s">
        <v>9819</v>
      </c>
      <c r="E2498" s="115" t="s">
        <v>2971</v>
      </c>
      <c r="F2498" s="115">
        <v>-341</v>
      </c>
      <c r="G2498" s="115">
        <v>-1523</v>
      </c>
      <c r="H2498" s="115">
        <v>-234</v>
      </c>
      <c r="I2498" s="115">
        <v>-471</v>
      </c>
      <c r="J2498" s="115">
        <v>0</v>
      </c>
      <c r="K2498" s="115">
        <v>0</v>
      </c>
    </row>
    <row r="2499" spans="1:11" x14ac:dyDescent="0.25">
      <c r="B2499" s="115" t="s">
        <v>1241</v>
      </c>
      <c r="D2499" s="115" t="s">
        <v>9820</v>
      </c>
      <c r="E2499" s="115" t="s">
        <v>2972</v>
      </c>
      <c r="F2499" s="115">
        <v>0</v>
      </c>
      <c r="G2499" s="115">
        <v>-1448</v>
      </c>
      <c r="H2499" s="115">
        <v>640</v>
      </c>
      <c r="I2499" s="115">
        <v>999</v>
      </c>
      <c r="J2499" s="115">
        <v>0</v>
      </c>
      <c r="K2499" s="115">
        <v>-1286</v>
      </c>
    </row>
    <row r="2500" spans="1:11" x14ac:dyDescent="0.25">
      <c r="B2500" s="115" t="s">
        <v>2973</v>
      </c>
      <c r="D2500" s="115" t="s">
        <v>9821</v>
      </c>
      <c r="E2500" s="115" t="s">
        <v>2974</v>
      </c>
      <c r="F2500" s="115">
        <v>-651</v>
      </c>
      <c r="G2500" s="115">
        <v>-3227</v>
      </c>
      <c r="H2500" s="115">
        <v>-841</v>
      </c>
      <c r="I2500" s="115">
        <v>0</v>
      </c>
      <c r="J2500" s="115">
        <v>-306</v>
      </c>
      <c r="K2500" s="115">
        <v>0</v>
      </c>
    </row>
    <row r="2501" spans="1:11" x14ac:dyDescent="0.25">
      <c r="B2501" s="115" t="s">
        <v>2975</v>
      </c>
      <c r="D2501" s="115" t="s">
        <v>9822</v>
      </c>
      <c r="E2501" s="115" t="s">
        <v>2976</v>
      </c>
      <c r="F2501" s="115">
        <v>-8</v>
      </c>
      <c r="G2501" s="115">
        <v>0</v>
      </c>
      <c r="H2501" s="115">
        <v>0</v>
      </c>
      <c r="I2501" s="115">
        <v>-3</v>
      </c>
      <c r="J2501" s="115">
        <v>0</v>
      </c>
      <c r="K2501" s="115">
        <v>49</v>
      </c>
    </row>
    <row r="2502" spans="1:11" x14ac:dyDescent="0.25">
      <c r="B2502" s="115" t="s">
        <v>2977</v>
      </c>
      <c r="D2502" s="115" t="s">
        <v>9823</v>
      </c>
      <c r="E2502" s="115" t="s">
        <v>2978</v>
      </c>
      <c r="F2502" s="115">
        <v>0</v>
      </c>
      <c r="G2502" s="115">
        <v>0</v>
      </c>
      <c r="H2502" s="115">
        <v>0</v>
      </c>
      <c r="I2502" s="115">
        <v>849</v>
      </c>
      <c r="J2502" s="115">
        <v>0</v>
      </c>
      <c r="K2502" s="115">
        <v>1591</v>
      </c>
    </row>
    <row r="2503" spans="1:11" x14ac:dyDescent="0.25">
      <c r="B2503" s="115" t="s">
        <v>2979</v>
      </c>
      <c r="D2503" s="115" t="s">
        <v>9824</v>
      </c>
      <c r="E2503" s="115" t="s">
        <v>2980</v>
      </c>
      <c r="F2503" s="115">
        <v>3080</v>
      </c>
      <c r="G2503" s="115">
        <v>227</v>
      </c>
      <c r="H2503" s="115">
        <v>0</v>
      </c>
      <c r="I2503" s="115">
        <v>0</v>
      </c>
      <c r="J2503" s="115">
        <v>0</v>
      </c>
      <c r="K2503" s="115">
        <v>-3280</v>
      </c>
    </row>
    <row r="2504" spans="1:11" x14ac:dyDescent="0.25">
      <c r="A2504" s="115">
        <v>-2</v>
      </c>
      <c r="B2504" s="115" t="s">
        <v>2981</v>
      </c>
      <c r="D2504" s="115" t="s">
        <v>9825</v>
      </c>
      <c r="E2504" s="115" t="s">
        <v>2982</v>
      </c>
      <c r="F2504" s="115">
        <v>0</v>
      </c>
      <c r="G2504" s="115">
        <v>210</v>
      </c>
      <c r="H2504" s="115">
        <v>0</v>
      </c>
      <c r="I2504" s="115">
        <v>0</v>
      </c>
      <c r="J2504" s="115">
        <v>-832</v>
      </c>
      <c r="K2504" s="115">
        <v>0</v>
      </c>
    </row>
    <row r="2505" spans="1:11" x14ac:dyDescent="0.25">
      <c r="A2505" s="115" t="s">
        <v>1239</v>
      </c>
      <c r="B2505" s="115" t="s">
        <v>2983</v>
      </c>
      <c r="D2505" s="115" t="s">
        <v>9826</v>
      </c>
      <c r="E2505" s="115" t="s">
        <v>1242</v>
      </c>
      <c r="F2505" s="115">
        <v>0</v>
      </c>
      <c r="G2505" s="115">
        <v>0</v>
      </c>
      <c r="H2505" s="115">
        <v>0</v>
      </c>
      <c r="I2505" s="115">
        <v>0</v>
      </c>
      <c r="J2505" s="115">
        <v>0</v>
      </c>
      <c r="K2505" s="115">
        <v>0</v>
      </c>
    </row>
    <row r="2506" spans="1:11" x14ac:dyDescent="0.25">
      <c r="B2506" s="115" t="s">
        <v>2984</v>
      </c>
      <c r="D2506" s="115" t="s">
        <v>9827</v>
      </c>
      <c r="E2506" s="115" t="s">
        <v>2985</v>
      </c>
      <c r="F2506" s="115">
        <v>312</v>
      </c>
      <c r="G2506" s="115">
        <v>1887</v>
      </c>
      <c r="H2506" s="115">
        <v>0</v>
      </c>
      <c r="I2506" s="115">
        <v>-21074</v>
      </c>
      <c r="J2506" s="115">
        <v>-11160</v>
      </c>
      <c r="K2506" s="115">
        <v>0</v>
      </c>
    </row>
    <row r="2507" spans="1:11" x14ac:dyDescent="0.25">
      <c r="B2507" s="115" t="s">
        <v>1241</v>
      </c>
      <c r="D2507" s="115" t="s">
        <v>9828</v>
      </c>
      <c r="E2507" s="115" t="s">
        <v>2986</v>
      </c>
      <c r="F2507" s="115">
        <v>24446</v>
      </c>
      <c r="G2507" s="115">
        <v>-419</v>
      </c>
      <c r="H2507" s="115">
        <v>591</v>
      </c>
      <c r="I2507" s="115">
        <v>-111</v>
      </c>
      <c r="J2507" s="115">
        <v>435</v>
      </c>
      <c r="K2507" s="115">
        <v>-419</v>
      </c>
    </row>
    <row r="2508" spans="1:11" x14ac:dyDescent="0.25">
      <c r="B2508" s="115" t="s">
        <v>1241</v>
      </c>
      <c r="D2508" s="115" t="s">
        <v>9829</v>
      </c>
      <c r="E2508" s="115" t="s">
        <v>2987</v>
      </c>
      <c r="F2508" s="115">
        <v>0</v>
      </c>
      <c r="G2508" s="115">
        <v>0</v>
      </c>
      <c r="H2508" s="115">
        <v>114</v>
      </c>
      <c r="I2508" s="115">
        <v>73</v>
      </c>
      <c r="J2508" s="115">
        <v>0</v>
      </c>
      <c r="K2508" s="115">
        <v>0</v>
      </c>
    </row>
    <row r="2509" spans="1:11" x14ac:dyDescent="0.25">
      <c r="B2509" s="115" t="s">
        <v>1241</v>
      </c>
      <c r="D2509" s="115" t="s">
        <v>9830</v>
      </c>
      <c r="E2509" s="115" t="s">
        <v>2988</v>
      </c>
      <c r="F2509" s="115">
        <v>135</v>
      </c>
      <c r="G2509" s="115">
        <v>0</v>
      </c>
      <c r="H2509" s="115">
        <v>0</v>
      </c>
      <c r="I2509" s="115">
        <v>-1</v>
      </c>
      <c r="J2509" s="115">
        <v>0</v>
      </c>
      <c r="K2509" s="115">
        <v>-67</v>
      </c>
    </row>
    <row r="2510" spans="1:11" x14ac:dyDescent="0.25">
      <c r="B2510" s="115" t="s">
        <v>2989</v>
      </c>
      <c r="D2510" s="115" t="s">
        <v>9831</v>
      </c>
      <c r="E2510" s="115" t="s">
        <v>2990</v>
      </c>
      <c r="F2510" s="115">
        <v>0</v>
      </c>
      <c r="G2510" s="115">
        <v>-120</v>
      </c>
      <c r="H2510" s="115">
        <v>524</v>
      </c>
      <c r="I2510" s="115">
        <v>291</v>
      </c>
      <c r="J2510" s="115">
        <v>-293</v>
      </c>
      <c r="K2510" s="115">
        <v>-170</v>
      </c>
    </row>
    <row r="2511" spans="1:11" x14ac:dyDescent="0.25">
      <c r="B2511" s="115" t="s">
        <v>2991</v>
      </c>
      <c r="D2511" s="115" t="s">
        <v>9832</v>
      </c>
      <c r="E2511" s="115" t="s">
        <v>2992</v>
      </c>
      <c r="F2511" s="115">
        <v>0</v>
      </c>
      <c r="G2511" s="115">
        <v>0</v>
      </c>
      <c r="H2511" s="115">
        <v>0</v>
      </c>
      <c r="I2511" s="115">
        <v>0</v>
      </c>
      <c r="J2511" s="115">
        <v>35</v>
      </c>
      <c r="K2511" s="115">
        <v>0</v>
      </c>
    </row>
    <row r="2512" spans="1:11" x14ac:dyDescent="0.25">
      <c r="B2512" s="115" t="s">
        <v>1241</v>
      </c>
      <c r="D2512" s="115" t="s">
        <v>9833</v>
      </c>
      <c r="E2512" s="115" t="s">
        <v>1242</v>
      </c>
      <c r="F2512" s="115">
        <v>-17</v>
      </c>
      <c r="G2512" s="115">
        <v>0</v>
      </c>
      <c r="H2512" s="115">
        <v>0</v>
      </c>
      <c r="I2512" s="115">
        <v>0</v>
      </c>
      <c r="J2512" s="115">
        <v>0</v>
      </c>
      <c r="K2512" s="115">
        <v>0</v>
      </c>
    </row>
    <row r="2513" spans="1:11" x14ac:dyDescent="0.25">
      <c r="A2513" s="115" t="s">
        <v>1239</v>
      </c>
      <c r="B2513" s="115" t="s">
        <v>2075</v>
      </c>
      <c r="D2513" s="115" t="s">
        <v>9834</v>
      </c>
      <c r="E2513" s="115" t="s">
        <v>2993</v>
      </c>
      <c r="F2513" s="115">
        <v>0</v>
      </c>
      <c r="G2513" s="115">
        <v>0</v>
      </c>
      <c r="H2513" s="115">
        <v>-1574</v>
      </c>
      <c r="I2513" s="115">
        <v>746</v>
      </c>
      <c r="J2513" s="115">
        <v>0</v>
      </c>
      <c r="K2513" s="115">
        <v>950</v>
      </c>
    </row>
    <row r="2514" spans="1:11" x14ac:dyDescent="0.25">
      <c r="B2514" s="115" t="s">
        <v>1241</v>
      </c>
      <c r="D2514" s="115" t="s">
        <v>9835</v>
      </c>
      <c r="E2514" s="115" t="s">
        <v>2994</v>
      </c>
      <c r="F2514" s="115">
        <v>-486</v>
      </c>
      <c r="G2514" s="115">
        <v>-1867</v>
      </c>
      <c r="H2514" s="115">
        <v>-313</v>
      </c>
      <c r="I2514" s="115">
        <v>0</v>
      </c>
      <c r="J2514" s="115">
        <v>0</v>
      </c>
      <c r="K2514" s="115">
        <v>304</v>
      </c>
    </row>
    <row r="2515" spans="1:11" x14ac:dyDescent="0.25">
      <c r="B2515" s="115" t="s">
        <v>2995</v>
      </c>
      <c r="D2515" s="115" t="s">
        <v>9836</v>
      </c>
      <c r="E2515" s="115" t="s">
        <v>2996</v>
      </c>
      <c r="F2515" s="115">
        <v>174</v>
      </c>
      <c r="G2515" s="115">
        <v>115</v>
      </c>
      <c r="H2515" s="115">
        <v>965</v>
      </c>
      <c r="I2515" s="115">
        <v>280</v>
      </c>
      <c r="J2515" s="115">
        <v>327</v>
      </c>
      <c r="K2515" s="115">
        <v>0</v>
      </c>
    </row>
    <row r="2516" spans="1:11" x14ac:dyDescent="0.25">
      <c r="B2516" s="115" t="s">
        <v>1241</v>
      </c>
      <c r="D2516" s="115" t="s">
        <v>9837</v>
      </c>
      <c r="E2516" s="115" t="s">
        <v>2997</v>
      </c>
      <c r="F2516" s="115">
        <v>1257</v>
      </c>
      <c r="G2516" s="115">
        <v>0</v>
      </c>
      <c r="H2516" s="115">
        <v>645</v>
      </c>
      <c r="I2516" s="115">
        <v>864</v>
      </c>
      <c r="J2516" s="115">
        <v>-45</v>
      </c>
      <c r="K2516" s="115">
        <v>0</v>
      </c>
    </row>
    <row r="2517" spans="1:11" x14ac:dyDescent="0.25">
      <c r="B2517" s="115" t="s">
        <v>2998</v>
      </c>
      <c r="D2517" s="115" t="s">
        <v>9838</v>
      </c>
      <c r="E2517" s="115" t="s">
        <v>2999</v>
      </c>
      <c r="F2517" s="115">
        <v>-29</v>
      </c>
      <c r="G2517" s="115">
        <v>0</v>
      </c>
      <c r="H2517" s="115">
        <v>-642</v>
      </c>
      <c r="I2517" s="115">
        <v>-509</v>
      </c>
      <c r="J2517" s="115">
        <v>-235</v>
      </c>
      <c r="K2517" s="115">
        <v>-3589</v>
      </c>
    </row>
    <row r="2518" spans="1:11" x14ac:dyDescent="0.25">
      <c r="B2518" s="115" t="s">
        <v>3000</v>
      </c>
      <c r="C2518" s="115" t="s">
        <v>1239</v>
      </c>
      <c r="D2518" s="115" t="s">
        <v>9839</v>
      </c>
      <c r="E2518" s="115" t="s">
        <v>3001</v>
      </c>
      <c r="F2518" s="115">
        <v>0</v>
      </c>
      <c r="G2518" s="115">
        <v>0</v>
      </c>
      <c r="H2518" s="115">
        <v>52</v>
      </c>
      <c r="I2518" s="115">
        <v>-288</v>
      </c>
      <c r="J2518" s="115">
        <v>0</v>
      </c>
      <c r="K2518" s="115">
        <v>-203</v>
      </c>
    </row>
    <row r="2519" spans="1:11" x14ac:dyDescent="0.25">
      <c r="B2519" s="115" t="s">
        <v>3002</v>
      </c>
      <c r="D2519" s="115" t="s">
        <v>9840</v>
      </c>
      <c r="E2519" s="115" t="s">
        <v>3003</v>
      </c>
      <c r="F2519" s="115">
        <v>0</v>
      </c>
      <c r="G2519" s="115">
        <v>0</v>
      </c>
      <c r="H2519" s="115">
        <v>0</v>
      </c>
      <c r="I2519" s="115">
        <v>0</v>
      </c>
      <c r="J2519" s="115">
        <v>-11</v>
      </c>
      <c r="K2519" s="115">
        <v>0</v>
      </c>
    </row>
    <row r="2520" spans="1:11" x14ac:dyDescent="0.25">
      <c r="B2520" s="115" t="s">
        <v>3004</v>
      </c>
      <c r="D2520" s="115" t="s">
        <v>9841</v>
      </c>
      <c r="E2520" s="115" t="s">
        <v>3005</v>
      </c>
      <c r="F2520" s="115">
        <v>303</v>
      </c>
      <c r="G2520" s="115">
        <v>1297</v>
      </c>
      <c r="H2520" s="115">
        <v>153</v>
      </c>
      <c r="I2520" s="115">
        <v>643</v>
      </c>
      <c r="J2520" s="115">
        <v>219</v>
      </c>
      <c r="K2520" s="115">
        <v>764</v>
      </c>
    </row>
    <row r="2521" spans="1:11" x14ac:dyDescent="0.25">
      <c r="A2521" s="115" t="s">
        <v>1239</v>
      </c>
      <c r="B2521" s="115" t="s">
        <v>3006</v>
      </c>
      <c r="D2521" s="115" t="s">
        <v>9842</v>
      </c>
      <c r="E2521" s="115" t="s">
        <v>3007</v>
      </c>
      <c r="F2521" s="115">
        <v>0</v>
      </c>
      <c r="G2521" s="115">
        <v>0</v>
      </c>
      <c r="H2521" s="115">
        <v>-3254</v>
      </c>
      <c r="I2521" s="115">
        <v>91</v>
      </c>
      <c r="J2521" s="115">
        <v>0</v>
      </c>
      <c r="K2521" s="115">
        <v>369</v>
      </c>
    </row>
    <row r="2522" spans="1:11" x14ac:dyDescent="0.25">
      <c r="B2522" s="115" t="s">
        <v>1241</v>
      </c>
      <c r="D2522" s="115" t="s">
        <v>9843</v>
      </c>
      <c r="E2522" s="115" t="s">
        <v>3008</v>
      </c>
      <c r="F2522" s="115">
        <v>553</v>
      </c>
      <c r="G2522" s="115">
        <v>92</v>
      </c>
      <c r="H2522" s="115">
        <v>4</v>
      </c>
      <c r="I2522" s="115">
        <v>0</v>
      </c>
      <c r="J2522" s="115">
        <v>0</v>
      </c>
      <c r="K2522" s="115">
        <v>0</v>
      </c>
    </row>
    <row r="2523" spans="1:11" x14ac:dyDescent="0.25">
      <c r="B2523" s="115" t="s">
        <v>1241</v>
      </c>
      <c r="D2523" s="115" t="s">
        <v>9844</v>
      </c>
      <c r="E2523" s="115" t="s">
        <v>3009</v>
      </c>
      <c r="F2523" s="115">
        <v>606</v>
      </c>
      <c r="G2523" s="115">
        <v>974</v>
      </c>
      <c r="H2523" s="115">
        <v>20</v>
      </c>
      <c r="I2523" s="115">
        <v>0</v>
      </c>
      <c r="J2523" s="115">
        <v>509</v>
      </c>
      <c r="K2523" s="115">
        <v>2303</v>
      </c>
    </row>
    <row r="2524" spans="1:11" x14ac:dyDescent="0.25">
      <c r="B2524" s="115" t="s">
        <v>3010</v>
      </c>
      <c r="D2524" s="115" t="s">
        <v>9845</v>
      </c>
      <c r="E2524" s="115" t="s">
        <v>3011</v>
      </c>
      <c r="F2524" s="115">
        <v>-592</v>
      </c>
      <c r="G2524" s="115">
        <v>-711</v>
      </c>
      <c r="H2524" s="115">
        <v>-158</v>
      </c>
      <c r="I2524" s="115">
        <v>-7425</v>
      </c>
      <c r="J2524" s="115">
        <v>-1659</v>
      </c>
      <c r="K2524" s="115">
        <v>0</v>
      </c>
    </row>
    <row r="2525" spans="1:11" x14ac:dyDescent="0.25">
      <c r="A2525" s="115">
        <v>-2</v>
      </c>
      <c r="B2525" s="115" t="s">
        <v>3012</v>
      </c>
      <c r="D2525" s="115" t="s">
        <v>9846</v>
      </c>
      <c r="E2525" s="115" t="s">
        <v>3013</v>
      </c>
      <c r="F2525" s="115">
        <v>0</v>
      </c>
      <c r="G2525" s="115">
        <v>-227</v>
      </c>
      <c r="H2525" s="115">
        <v>0</v>
      </c>
      <c r="I2525" s="115">
        <v>-219</v>
      </c>
      <c r="J2525" s="115">
        <v>0</v>
      </c>
      <c r="K2525" s="115">
        <v>0</v>
      </c>
    </row>
    <row r="2526" spans="1:11" x14ac:dyDescent="0.25">
      <c r="B2526" s="115" t="s">
        <v>1241</v>
      </c>
      <c r="D2526" s="115" t="s">
        <v>9847</v>
      </c>
      <c r="E2526" s="115" t="s">
        <v>3014</v>
      </c>
      <c r="F2526" s="115">
        <v>0</v>
      </c>
      <c r="G2526" s="115">
        <v>0</v>
      </c>
      <c r="H2526" s="115">
        <v>316</v>
      </c>
      <c r="I2526" s="115">
        <v>0</v>
      </c>
      <c r="J2526" s="115">
        <v>641</v>
      </c>
      <c r="K2526" s="115">
        <v>1071</v>
      </c>
    </row>
    <row r="2527" spans="1:11" x14ac:dyDescent="0.25">
      <c r="A2527" s="115" t="s">
        <v>1239</v>
      </c>
      <c r="B2527" s="115" t="s">
        <v>3015</v>
      </c>
      <c r="C2527" s="115" t="s">
        <v>1239</v>
      </c>
      <c r="D2527" s="115" t="s">
        <v>9848</v>
      </c>
      <c r="E2527" s="115" t="s">
        <v>3016</v>
      </c>
      <c r="F2527" s="115">
        <v>0</v>
      </c>
      <c r="G2527" s="115">
        <v>0</v>
      </c>
      <c r="H2527" s="115">
        <v>0</v>
      </c>
      <c r="I2527" s="115">
        <v>0</v>
      </c>
      <c r="J2527" s="115">
        <v>0</v>
      </c>
      <c r="K2527" s="115">
        <v>699</v>
      </c>
    </row>
    <row r="2528" spans="1:11" x14ac:dyDescent="0.25">
      <c r="A2528" s="115">
        <v>-1</v>
      </c>
      <c r="B2528" s="115" t="s">
        <v>3017</v>
      </c>
      <c r="D2528" s="115" t="s">
        <v>9849</v>
      </c>
      <c r="E2528" s="115" t="s">
        <v>3018</v>
      </c>
      <c r="F2528" s="115">
        <v>22</v>
      </c>
      <c r="G2528" s="115">
        <v>67</v>
      </c>
      <c r="H2528" s="115">
        <v>0</v>
      </c>
      <c r="I2528" s="115">
        <v>0</v>
      </c>
      <c r="J2528" s="115">
        <v>-173</v>
      </c>
      <c r="K2528" s="115">
        <v>0</v>
      </c>
    </row>
    <row r="2529" spans="1:11" x14ac:dyDescent="0.25">
      <c r="B2529" s="115" t="s">
        <v>1241</v>
      </c>
      <c r="D2529" s="115" t="s">
        <v>9850</v>
      </c>
      <c r="E2529" s="115" t="s">
        <v>1242</v>
      </c>
      <c r="F2529" s="115">
        <v>0</v>
      </c>
      <c r="G2529" s="115">
        <v>0</v>
      </c>
      <c r="H2529" s="115">
        <v>0</v>
      </c>
      <c r="I2529" s="115">
        <v>0</v>
      </c>
      <c r="J2529" s="115">
        <v>0</v>
      </c>
      <c r="K2529" s="115">
        <v>0</v>
      </c>
    </row>
    <row r="2530" spans="1:11" x14ac:dyDescent="0.25">
      <c r="B2530" s="115" t="s">
        <v>3019</v>
      </c>
      <c r="D2530" s="115" t="s">
        <v>9851</v>
      </c>
      <c r="E2530" s="115" t="s">
        <v>3020</v>
      </c>
      <c r="F2530" s="115">
        <v>0</v>
      </c>
      <c r="G2530" s="115">
        <v>60</v>
      </c>
      <c r="H2530" s="115">
        <v>0</v>
      </c>
      <c r="I2530" s="115">
        <v>32</v>
      </c>
      <c r="J2530" s="115">
        <v>276</v>
      </c>
      <c r="K2530" s="115">
        <v>-26</v>
      </c>
    </row>
    <row r="2531" spans="1:11" x14ac:dyDescent="0.25">
      <c r="B2531" s="115" t="s">
        <v>1487</v>
      </c>
      <c r="D2531" s="115" t="s">
        <v>9852</v>
      </c>
      <c r="E2531" s="115" t="s">
        <v>3021</v>
      </c>
      <c r="F2531" s="115">
        <v>70</v>
      </c>
      <c r="G2531" s="115">
        <v>-148</v>
      </c>
      <c r="H2531" s="115">
        <v>-17</v>
      </c>
      <c r="I2531" s="115">
        <v>0</v>
      </c>
      <c r="J2531" s="115">
        <v>257</v>
      </c>
      <c r="K2531" s="115">
        <v>0</v>
      </c>
    </row>
    <row r="2532" spans="1:11" x14ac:dyDescent="0.25">
      <c r="B2532" s="115" t="s">
        <v>1241</v>
      </c>
      <c r="D2532" s="115" t="s">
        <v>9853</v>
      </c>
      <c r="E2532" s="115" t="s">
        <v>1242</v>
      </c>
      <c r="F2532" s="115">
        <v>73</v>
      </c>
      <c r="G2532" s="115">
        <v>0</v>
      </c>
      <c r="H2532" s="115">
        <v>0</v>
      </c>
      <c r="I2532" s="115">
        <v>0</v>
      </c>
      <c r="J2532" s="115">
        <v>0</v>
      </c>
      <c r="K2532" s="115">
        <v>0</v>
      </c>
    </row>
    <row r="2533" spans="1:11" x14ac:dyDescent="0.25">
      <c r="B2533" s="115" t="s">
        <v>2707</v>
      </c>
      <c r="D2533" s="115" t="s">
        <v>9854</v>
      </c>
      <c r="E2533" s="115" t="s">
        <v>3022</v>
      </c>
      <c r="F2533" s="115">
        <v>0</v>
      </c>
      <c r="G2533" s="115">
        <v>0</v>
      </c>
      <c r="H2533" s="115">
        <v>-791</v>
      </c>
      <c r="I2533" s="115">
        <v>0</v>
      </c>
      <c r="J2533" s="115">
        <v>48</v>
      </c>
      <c r="K2533" s="115">
        <v>132</v>
      </c>
    </row>
    <row r="2534" spans="1:11" x14ac:dyDescent="0.25">
      <c r="B2534" s="115" t="s">
        <v>1241</v>
      </c>
      <c r="D2534" s="115" t="s">
        <v>9855</v>
      </c>
      <c r="E2534" s="115" t="s">
        <v>3023</v>
      </c>
      <c r="F2534" s="115">
        <v>0</v>
      </c>
      <c r="G2534" s="115">
        <v>929</v>
      </c>
      <c r="H2534" s="115">
        <v>0</v>
      </c>
      <c r="I2534" s="115">
        <v>0</v>
      </c>
      <c r="J2534" s="115">
        <v>0</v>
      </c>
      <c r="K2534" s="115">
        <v>0</v>
      </c>
    </row>
    <row r="2535" spans="1:11" x14ac:dyDescent="0.25">
      <c r="A2535" s="115" t="s">
        <v>1239</v>
      </c>
      <c r="B2535" s="115" t="s">
        <v>3024</v>
      </c>
      <c r="C2535" s="115" t="s">
        <v>1239</v>
      </c>
      <c r="D2535" s="115" t="s">
        <v>9856</v>
      </c>
      <c r="E2535" s="115" t="s">
        <v>3025</v>
      </c>
      <c r="F2535" s="115">
        <v>0</v>
      </c>
      <c r="G2535" s="115">
        <v>174</v>
      </c>
      <c r="H2535" s="115">
        <v>119</v>
      </c>
      <c r="I2535" s="115">
        <v>0</v>
      </c>
      <c r="J2535" s="115">
        <v>211</v>
      </c>
      <c r="K2535" s="115">
        <v>225</v>
      </c>
    </row>
    <row r="2536" spans="1:11" x14ac:dyDescent="0.25">
      <c r="B2536" s="115" t="s">
        <v>3026</v>
      </c>
      <c r="D2536" s="115" t="s">
        <v>9857</v>
      </c>
      <c r="E2536" s="115" t="s">
        <v>1242</v>
      </c>
      <c r="F2536" s="115">
        <v>168</v>
      </c>
      <c r="G2536" s="115">
        <v>0</v>
      </c>
      <c r="H2536" s="115">
        <v>0</v>
      </c>
      <c r="I2536" s="115">
        <v>0</v>
      </c>
      <c r="J2536" s="115">
        <v>0</v>
      </c>
      <c r="K2536" s="115">
        <v>0</v>
      </c>
    </row>
    <row r="2537" spans="1:11" x14ac:dyDescent="0.25">
      <c r="A2537" s="115">
        <v>1</v>
      </c>
      <c r="B2537" s="115" t="s">
        <v>3027</v>
      </c>
      <c r="D2537" s="115" t="s">
        <v>9858</v>
      </c>
      <c r="E2537" s="115" t="s">
        <v>3028</v>
      </c>
      <c r="F2537" s="115">
        <v>46</v>
      </c>
      <c r="G2537" s="115">
        <v>0</v>
      </c>
      <c r="H2537" s="115">
        <v>3</v>
      </c>
      <c r="I2537" s="115">
        <v>1209</v>
      </c>
      <c r="J2537" s="115">
        <v>2</v>
      </c>
      <c r="K2537" s="115">
        <v>96</v>
      </c>
    </row>
    <row r="2538" spans="1:11" x14ac:dyDescent="0.25">
      <c r="A2538" s="115" t="s">
        <v>1239</v>
      </c>
      <c r="B2538" s="115" t="s">
        <v>3029</v>
      </c>
      <c r="D2538" s="115" t="s">
        <v>9859</v>
      </c>
      <c r="E2538" s="115" t="s">
        <v>3030</v>
      </c>
      <c r="F2538" s="115">
        <v>-330</v>
      </c>
      <c r="G2538" s="115">
        <v>387</v>
      </c>
      <c r="H2538" s="115">
        <v>0</v>
      </c>
      <c r="I2538" s="115">
        <v>3</v>
      </c>
      <c r="J2538" s="115">
        <v>-2415</v>
      </c>
      <c r="K2538" s="115">
        <v>0</v>
      </c>
    </row>
    <row r="2539" spans="1:11" x14ac:dyDescent="0.25">
      <c r="B2539" s="115" t="s">
        <v>1241</v>
      </c>
      <c r="D2539" s="115" t="s">
        <v>9860</v>
      </c>
      <c r="E2539" s="115" t="s">
        <v>3031</v>
      </c>
      <c r="F2539" s="115">
        <v>0</v>
      </c>
      <c r="G2539" s="115">
        <v>-130</v>
      </c>
      <c r="H2539" s="115">
        <v>-18</v>
      </c>
      <c r="I2539" s="115">
        <v>51</v>
      </c>
      <c r="J2539" s="115">
        <v>-44</v>
      </c>
      <c r="K2539" s="115">
        <v>0</v>
      </c>
    </row>
    <row r="2540" spans="1:11" x14ac:dyDescent="0.25">
      <c r="B2540" s="115" t="s">
        <v>1241</v>
      </c>
      <c r="D2540" s="115" t="s">
        <v>9861</v>
      </c>
      <c r="E2540" s="115" t="s">
        <v>3032</v>
      </c>
      <c r="F2540" s="115">
        <v>439</v>
      </c>
      <c r="G2540" s="115">
        <v>0</v>
      </c>
      <c r="H2540" s="115">
        <v>513</v>
      </c>
      <c r="I2540" s="115">
        <v>282</v>
      </c>
      <c r="J2540" s="115">
        <v>89</v>
      </c>
      <c r="K2540" s="115">
        <v>0</v>
      </c>
    </row>
    <row r="2541" spans="1:11" x14ac:dyDescent="0.25">
      <c r="B2541" s="115" t="s">
        <v>3033</v>
      </c>
      <c r="D2541" s="115" t="s">
        <v>9862</v>
      </c>
      <c r="E2541" s="115" t="s">
        <v>3034</v>
      </c>
      <c r="F2541" s="115">
        <v>-157</v>
      </c>
      <c r="G2541" s="115">
        <v>73</v>
      </c>
      <c r="H2541" s="115">
        <v>201</v>
      </c>
      <c r="I2541" s="115">
        <v>-59</v>
      </c>
      <c r="J2541" s="115">
        <v>0</v>
      </c>
      <c r="K2541" s="115">
        <v>569</v>
      </c>
    </row>
    <row r="2542" spans="1:11" x14ac:dyDescent="0.25">
      <c r="B2542" s="115" t="s">
        <v>1241</v>
      </c>
      <c r="C2542" s="115" t="s">
        <v>1239</v>
      </c>
      <c r="D2542" s="115" t="s">
        <v>9863</v>
      </c>
      <c r="E2542" s="115" t="s">
        <v>3035</v>
      </c>
      <c r="F2542" s="115">
        <v>0</v>
      </c>
      <c r="G2542" s="115">
        <v>52</v>
      </c>
      <c r="H2542" s="115">
        <v>0</v>
      </c>
      <c r="I2542" s="115">
        <v>0</v>
      </c>
      <c r="J2542" s="115">
        <v>110</v>
      </c>
      <c r="K2542" s="115">
        <v>0</v>
      </c>
    </row>
    <row r="2543" spans="1:11" x14ac:dyDescent="0.25">
      <c r="B2543" s="115">
        <f>-45    -25</f>
        <v>-70</v>
      </c>
      <c r="D2543" s="115" t="s">
        <v>9864</v>
      </c>
      <c r="E2543" s="115" t="s">
        <v>3036</v>
      </c>
      <c r="F2543" s="115">
        <v>0</v>
      </c>
      <c r="G2543" s="115">
        <v>0</v>
      </c>
      <c r="H2543" s="115">
        <v>0</v>
      </c>
      <c r="I2543" s="115">
        <v>0</v>
      </c>
      <c r="J2543" s="115">
        <v>455</v>
      </c>
      <c r="K2543" s="115">
        <v>0</v>
      </c>
    </row>
    <row r="2544" spans="1:11" x14ac:dyDescent="0.25">
      <c r="B2544" s="115" t="s">
        <v>3037</v>
      </c>
      <c r="D2544" s="115" t="s">
        <v>9865</v>
      </c>
      <c r="E2544" s="115" t="s">
        <v>3038</v>
      </c>
      <c r="F2544" s="115">
        <v>722</v>
      </c>
      <c r="G2544" s="115">
        <v>2198</v>
      </c>
      <c r="H2544" s="115">
        <v>106</v>
      </c>
      <c r="I2544" s="115">
        <v>0</v>
      </c>
      <c r="J2544" s="115">
        <v>0</v>
      </c>
      <c r="K2544" s="115">
        <v>0</v>
      </c>
    </row>
    <row r="2545" spans="1:11" x14ac:dyDescent="0.25">
      <c r="B2545" s="115" t="s">
        <v>3039</v>
      </c>
      <c r="D2545" s="115" t="s">
        <v>9866</v>
      </c>
      <c r="E2545" s="115" t="s">
        <v>3040</v>
      </c>
      <c r="F2545" s="115">
        <v>-8259</v>
      </c>
      <c r="G2545" s="115">
        <v>0</v>
      </c>
      <c r="H2545" s="115">
        <v>-1769</v>
      </c>
      <c r="I2545" s="115">
        <v>0</v>
      </c>
      <c r="J2545" s="115">
        <v>0</v>
      </c>
      <c r="K2545" s="115">
        <v>4</v>
      </c>
    </row>
    <row r="2546" spans="1:11" x14ac:dyDescent="0.25">
      <c r="B2546" s="115" t="s">
        <v>3041</v>
      </c>
      <c r="D2546" s="115" t="s">
        <v>9867</v>
      </c>
      <c r="E2546" s="115" t="s">
        <v>1242</v>
      </c>
      <c r="F2546" s="115">
        <v>0</v>
      </c>
      <c r="G2546" s="115">
        <v>0</v>
      </c>
      <c r="H2546" s="115">
        <v>0</v>
      </c>
      <c r="I2546" s="115">
        <v>0</v>
      </c>
      <c r="J2546" s="115">
        <v>0</v>
      </c>
      <c r="K2546" s="115">
        <v>0</v>
      </c>
    </row>
    <row r="2547" spans="1:11" x14ac:dyDescent="0.25">
      <c r="B2547" s="115" t="s">
        <v>1241</v>
      </c>
      <c r="D2547" s="115" t="s">
        <v>9868</v>
      </c>
      <c r="E2547" s="115" t="s">
        <v>3042</v>
      </c>
      <c r="F2547" s="115">
        <v>424</v>
      </c>
      <c r="G2547" s="115">
        <v>635</v>
      </c>
      <c r="H2547" s="115">
        <v>5</v>
      </c>
      <c r="I2547" s="115">
        <v>0</v>
      </c>
      <c r="J2547" s="115">
        <v>-5242</v>
      </c>
      <c r="K2547" s="115">
        <v>-1944</v>
      </c>
    </row>
    <row r="2548" spans="1:11" x14ac:dyDescent="0.25">
      <c r="B2548" s="115" t="s">
        <v>1241</v>
      </c>
      <c r="D2548" s="115" t="s">
        <v>9869</v>
      </c>
      <c r="E2548" s="115" t="s">
        <v>3043</v>
      </c>
      <c r="F2548" s="115">
        <v>0</v>
      </c>
      <c r="G2548" s="115">
        <v>-1757</v>
      </c>
      <c r="H2548" s="115">
        <v>-2483</v>
      </c>
      <c r="I2548" s="115">
        <v>26029</v>
      </c>
      <c r="J2548" s="115">
        <v>-385</v>
      </c>
      <c r="K2548" s="115">
        <v>76</v>
      </c>
    </row>
    <row r="2549" spans="1:11" x14ac:dyDescent="0.25">
      <c r="B2549" s="115" t="s">
        <v>3044</v>
      </c>
      <c r="D2549" s="115" t="s">
        <v>9870</v>
      </c>
      <c r="E2549" s="115" t="s">
        <v>3045</v>
      </c>
      <c r="F2549" s="115">
        <v>0</v>
      </c>
      <c r="G2549" s="115">
        <v>1374</v>
      </c>
      <c r="H2549" s="115">
        <v>0</v>
      </c>
      <c r="I2549" s="115">
        <v>0</v>
      </c>
      <c r="J2549" s="115">
        <v>0</v>
      </c>
      <c r="K2549" s="115">
        <v>60</v>
      </c>
    </row>
    <row r="2550" spans="1:11" x14ac:dyDescent="0.25">
      <c r="B2550" s="115" t="s">
        <v>3046</v>
      </c>
      <c r="D2550" s="115" t="s">
        <v>9871</v>
      </c>
      <c r="E2550" s="115" t="s">
        <v>3047</v>
      </c>
      <c r="F2550" s="115">
        <v>0</v>
      </c>
      <c r="G2550" s="115">
        <v>0</v>
      </c>
      <c r="H2550" s="115">
        <v>0</v>
      </c>
      <c r="I2550" s="115">
        <v>-177</v>
      </c>
      <c r="J2550" s="115">
        <v>0</v>
      </c>
      <c r="K2550" s="115">
        <v>0</v>
      </c>
    </row>
    <row r="2551" spans="1:11" x14ac:dyDescent="0.25">
      <c r="B2551" s="115" t="s">
        <v>3048</v>
      </c>
      <c r="D2551" s="115" t="s">
        <v>9872</v>
      </c>
      <c r="E2551" s="115" t="s">
        <v>3049</v>
      </c>
      <c r="F2551" s="115">
        <v>210</v>
      </c>
      <c r="G2551" s="115">
        <v>54</v>
      </c>
      <c r="H2551" s="115">
        <v>-69</v>
      </c>
      <c r="I2551" s="115">
        <v>0</v>
      </c>
      <c r="J2551" s="115">
        <v>-83</v>
      </c>
      <c r="K2551" s="115">
        <v>192</v>
      </c>
    </row>
    <row r="2552" spans="1:11" x14ac:dyDescent="0.25">
      <c r="B2552" s="115" t="s">
        <v>3050</v>
      </c>
      <c r="D2552" s="115" t="s">
        <v>9873</v>
      </c>
      <c r="E2552" s="115" t="s">
        <v>3051</v>
      </c>
      <c r="F2552" s="115">
        <v>0</v>
      </c>
      <c r="G2552" s="115">
        <v>-7</v>
      </c>
      <c r="H2552" s="115">
        <v>0</v>
      </c>
      <c r="I2552" s="115">
        <v>0</v>
      </c>
      <c r="J2552" s="115">
        <v>0</v>
      </c>
      <c r="K2552" s="115">
        <v>0</v>
      </c>
    </row>
    <row r="2553" spans="1:11" x14ac:dyDescent="0.25">
      <c r="B2553" s="115" t="s">
        <v>3052</v>
      </c>
      <c r="D2553" s="115" t="s">
        <v>9874</v>
      </c>
      <c r="E2553" s="115" t="s">
        <v>3053</v>
      </c>
      <c r="F2553" s="115">
        <v>0</v>
      </c>
      <c r="G2553" s="115">
        <v>48</v>
      </c>
      <c r="H2553" s="115">
        <v>0</v>
      </c>
      <c r="I2553" s="115">
        <v>2</v>
      </c>
      <c r="J2553" s="115">
        <v>0</v>
      </c>
      <c r="K2553" s="115">
        <v>0</v>
      </c>
    </row>
    <row r="2554" spans="1:11" x14ac:dyDescent="0.25">
      <c r="B2554" s="115" t="s">
        <v>1241</v>
      </c>
      <c r="D2554" s="115" t="s">
        <v>9875</v>
      </c>
      <c r="E2554" s="115" t="s">
        <v>3054</v>
      </c>
      <c r="F2554" s="115">
        <v>0</v>
      </c>
      <c r="G2554" s="115">
        <v>-166</v>
      </c>
      <c r="H2554" s="115">
        <v>-17</v>
      </c>
      <c r="I2554" s="115">
        <v>0</v>
      </c>
      <c r="J2554" s="115">
        <v>0</v>
      </c>
      <c r="K2554" s="115">
        <v>-595</v>
      </c>
    </row>
    <row r="2555" spans="1:11" x14ac:dyDescent="0.25">
      <c r="B2555" s="115" t="s">
        <v>3055</v>
      </c>
      <c r="D2555" s="115" t="s">
        <v>9876</v>
      </c>
      <c r="E2555" s="115" t="s">
        <v>3056</v>
      </c>
      <c r="F2555" s="115">
        <v>0</v>
      </c>
      <c r="G2555" s="115">
        <v>0</v>
      </c>
      <c r="H2555" s="115">
        <v>0</v>
      </c>
      <c r="I2555" s="115">
        <v>-192</v>
      </c>
      <c r="J2555" s="115">
        <v>291</v>
      </c>
      <c r="K2555" s="115">
        <v>102</v>
      </c>
    </row>
    <row r="2556" spans="1:11" x14ac:dyDescent="0.25">
      <c r="B2556" s="115" t="s">
        <v>1241</v>
      </c>
      <c r="D2556" s="115" t="s">
        <v>9877</v>
      </c>
      <c r="E2556" s="115" t="s">
        <v>3057</v>
      </c>
      <c r="F2556" s="115">
        <v>0</v>
      </c>
      <c r="G2556" s="115">
        <v>-12</v>
      </c>
      <c r="H2556" s="115">
        <v>96</v>
      </c>
      <c r="I2556" s="115">
        <v>-44</v>
      </c>
      <c r="J2556" s="115">
        <v>15</v>
      </c>
      <c r="K2556" s="115">
        <v>280</v>
      </c>
    </row>
    <row r="2557" spans="1:11" x14ac:dyDescent="0.25">
      <c r="B2557" s="115" t="s">
        <v>3058</v>
      </c>
      <c r="D2557" s="115" t="s">
        <v>9878</v>
      </c>
      <c r="E2557" s="115" t="s">
        <v>3059</v>
      </c>
      <c r="F2557" s="115">
        <v>0</v>
      </c>
      <c r="G2557" s="115">
        <v>0</v>
      </c>
      <c r="H2557" s="115">
        <v>0</v>
      </c>
      <c r="I2557" s="115">
        <v>455</v>
      </c>
      <c r="J2557" s="115">
        <v>0</v>
      </c>
      <c r="K2557" s="115">
        <v>213</v>
      </c>
    </row>
    <row r="2558" spans="1:11" x14ac:dyDescent="0.25">
      <c r="B2558" s="115" t="s">
        <v>3060</v>
      </c>
      <c r="D2558" s="115" t="s">
        <v>9879</v>
      </c>
      <c r="E2558" s="115" t="s">
        <v>3061</v>
      </c>
      <c r="F2558" s="115">
        <v>455</v>
      </c>
      <c r="G2558" s="115">
        <v>90</v>
      </c>
      <c r="H2558" s="115">
        <v>-91</v>
      </c>
      <c r="I2558" s="115">
        <v>-140</v>
      </c>
      <c r="J2558" s="115">
        <v>0</v>
      </c>
      <c r="K2558" s="115">
        <v>1271</v>
      </c>
    </row>
    <row r="2559" spans="1:11" x14ac:dyDescent="0.25">
      <c r="A2559" s="115" t="s">
        <v>1239</v>
      </c>
      <c r="B2559" s="115" t="s">
        <v>3062</v>
      </c>
      <c r="D2559" s="115" t="s">
        <v>9880</v>
      </c>
      <c r="E2559" s="115" t="s">
        <v>3063</v>
      </c>
      <c r="F2559" s="115">
        <v>-3931</v>
      </c>
      <c r="G2559" s="115">
        <v>-1354</v>
      </c>
      <c r="H2559" s="115">
        <v>0</v>
      </c>
      <c r="I2559" s="115">
        <v>0</v>
      </c>
      <c r="J2559" s="115">
        <v>0</v>
      </c>
      <c r="K2559" s="115">
        <v>-85</v>
      </c>
    </row>
    <row r="2560" spans="1:11" x14ac:dyDescent="0.25">
      <c r="B2560" s="115" t="s">
        <v>3064</v>
      </c>
      <c r="D2560" s="115" t="s">
        <v>9881</v>
      </c>
      <c r="E2560" s="115" t="s">
        <v>3065</v>
      </c>
      <c r="F2560" s="115">
        <v>-174</v>
      </c>
      <c r="G2560" s="115">
        <v>260</v>
      </c>
      <c r="H2560" s="115">
        <v>0</v>
      </c>
      <c r="I2560" s="115">
        <v>0</v>
      </c>
      <c r="J2560" s="115">
        <v>0</v>
      </c>
      <c r="K2560" s="115">
        <v>0</v>
      </c>
    </row>
    <row r="2561" spans="1:11" x14ac:dyDescent="0.25">
      <c r="B2561" s="115" t="s">
        <v>3066</v>
      </c>
      <c r="D2561" s="115" t="s">
        <v>9882</v>
      </c>
      <c r="E2561" s="115" t="s">
        <v>3067</v>
      </c>
      <c r="F2561" s="115">
        <v>-67</v>
      </c>
      <c r="G2561" s="115">
        <v>124</v>
      </c>
      <c r="H2561" s="115">
        <v>0</v>
      </c>
      <c r="I2561" s="115">
        <v>-66</v>
      </c>
      <c r="J2561" s="115">
        <v>348</v>
      </c>
      <c r="K2561" s="115">
        <v>79</v>
      </c>
    </row>
    <row r="2562" spans="1:11" x14ac:dyDescent="0.25">
      <c r="B2562" s="115" t="s">
        <v>3068</v>
      </c>
      <c r="D2562" s="115" t="s">
        <v>9883</v>
      </c>
      <c r="E2562" s="115" t="s">
        <v>3069</v>
      </c>
      <c r="F2562" s="115">
        <v>-344</v>
      </c>
      <c r="G2562" s="115">
        <v>0</v>
      </c>
      <c r="H2562" s="115">
        <v>43</v>
      </c>
      <c r="I2562" s="115">
        <v>0</v>
      </c>
      <c r="J2562" s="115">
        <v>0</v>
      </c>
      <c r="K2562" s="115">
        <v>-1307</v>
      </c>
    </row>
    <row r="2563" spans="1:11" x14ac:dyDescent="0.25">
      <c r="B2563" s="115" t="s">
        <v>3070</v>
      </c>
      <c r="D2563" s="115" t="s">
        <v>9884</v>
      </c>
      <c r="E2563" s="115" t="s">
        <v>3071</v>
      </c>
      <c r="F2563" s="115">
        <v>0</v>
      </c>
      <c r="G2563" s="115">
        <v>-11</v>
      </c>
      <c r="H2563" s="115">
        <v>0</v>
      </c>
      <c r="I2563" s="115">
        <v>28</v>
      </c>
      <c r="J2563" s="115">
        <v>106</v>
      </c>
      <c r="K2563" s="115">
        <v>263</v>
      </c>
    </row>
    <row r="2564" spans="1:11" x14ac:dyDescent="0.25">
      <c r="B2564" s="115" t="s">
        <v>1241</v>
      </c>
      <c r="D2564" s="115" t="s">
        <v>9885</v>
      </c>
      <c r="E2564" s="115" t="s">
        <v>3072</v>
      </c>
      <c r="F2564" s="115">
        <v>0</v>
      </c>
      <c r="G2564" s="115">
        <v>123</v>
      </c>
      <c r="H2564" s="115">
        <v>0</v>
      </c>
      <c r="I2564" s="115">
        <v>317</v>
      </c>
      <c r="J2564" s="115">
        <v>110</v>
      </c>
      <c r="K2564" s="115">
        <v>230</v>
      </c>
    </row>
    <row r="2565" spans="1:11" x14ac:dyDescent="0.25">
      <c r="B2565" s="115" t="s">
        <v>2677</v>
      </c>
      <c r="D2565" s="115" t="s">
        <v>9886</v>
      </c>
      <c r="E2565" s="115" t="s">
        <v>3073</v>
      </c>
      <c r="F2565" s="115">
        <v>0</v>
      </c>
      <c r="G2565" s="115">
        <v>0</v>
      </c>
      <c r="H2565" s="115">
        <v>0</v>
      </c>
      <c r="I2565" s="115">
        <v>883</v>
      </c>
      <c r="J2565" s="115">
        <v>-337</v>
      </c>
      <c r="K2565" s="115">
        <v>-45</v>
      </c>
    </row>
    <row r="2566" spans="1:11" x14ac:dyDescent="0.25">
      <c r="B2566" s="115" t="s">
        <v>3074</v>
      </c>
      <c r="D2566" s="115" t="s">
        <v>9887</v>
      </c>
      <c r="E2566" s="115" t="s">
        <v>3075</v>
      </c>
      <c r="F2566" s="115">
        <v>0</v>
      </c>
      <c r="G2566" s="115">
        <v>0</v>
      </c>
      <c r="H2566" s="115">
        <v>-92</v>
      </c>
      <c r="I2566" s="115">
        <v>0</v>
      </c>
      <c r="J2566" s="115">
        <v>4</v>
      </c>
      <c r="K2566" s="115">
        <v>0</v>
      </c>
    </row>
    <row r="2567" spans="1:11" x14ac:dyDescent="0.25">
      <c r="B2567" s="115" t="s">
        <v>3076</v>
      </c>
      <c r="D2567" s="115" t="s">
        <v>9888</v>
      </c>
      <c r="E2567" s="115" t="s">
        <v>3077</v>
      </c>
      <c r="F2567" s="115">
        <v>0</v>
      </c>
      <c r="G2567" s="115">
        <v>0</v>
      </c>
      <c r="H2567" s="115">
        <v>0</v>
      </c>
      <c r="I2567" s="115">
        <v>0</v>
      </c>
      <c r="J2567" s="115">
        <v>0</v>
      </c>
      <c r="K2567" s="115">
        <v>-14</v>
      </c>
    </row>
    <row r="2568" spans="1:11" x14ac:dyDescent="0.25">
      <c r="B2568" s="115" t="s">
        <v>3078</v>
      </c>
      <c r="D2568" s="115" t="s">
        <v>9889</v>
      </c>
      <c r="E2568" s="115" t="s">
        <v>3079</v>
      </c>
      <c r="F2568" s="115">
        <v>0</v>
      </c>
      <c r="G2568" s="115">
        <v>-2111</v>
      </c>
      <c r="H2568" s="115">
        <v>-846</v>
      </c>
      <c r="I2568" s="115">
        <v>0</v>
      </c>
      <c r="J2568" s="115">
        <v>0</v>
      </c>
      <c r="K2568" s="115">
        <v>0</v>
      </c>
    </row>
    <row r="2569" spans="1:11" x14ac:dyDescent="0.25">
      <c r="B2569" s="115" t="s">
        <v>1241</v>
      </c>
      <c r="C2569" s="115" t="s">
        <v>1239</v>
      </c>
      <c r="D2569" s="115" t="s">
        <v>9890</v>
      </c>
      <c r="E2569" s="115" t="s">
        <v>3080</v>
      </c>
      <c r="F2569" s="115">
        <v>24103</v>
      </c>
      <c r="G2569" s="115">
        <v>27710</v>
      </c>
      <c r="H2569" s="115">
        <v>-1196</v>
      </c>
      <c r="I2569" s="115">
        <v>501</v>
      </c>
      <c r="J2569" s="115">
        <v>775</v>
      </c>
      <c r="K2569" s="115">
        <v>362</v>
      </c>
    </row>
    <row r="2570" spans="1:11" x14ac:dyDescent="0.25">
      <c r="A2570" s="115" t="s">
        <v>1239</v>
      </c>
      <c r="B2570" s="115" t="s">
        <v>3081</v>
      </c>
      <c r="D2570" s="115" t="s">
        <v>9891</v>
      </c>
      <c r="E2570" s="115" t="s">
        <v>3082</v>
      </c>
      <c r="F2570" s="115">
        <v>0</v>
      </c>
      <c r="G2570" s="115">
        <v>0</v>
      </c>
      <c r="H2570" s="115">
        <v>0</v>
      </c>
      <c r="I2570" s="115">
        <v>-23</v>
      </c>
      <c r="J2570" s="115">
        <v>-112</v>
      </c>
      <c r="K2570" s="115">
        <v>0</v>
      </c>
    </row>
    <row r="2571" spans="1:11" x14ac:dyDescent="0.25">
      <c r="B2571" s="115" t="s">
        <v>1241</v>
      </c>
      <c r="D2571" s="115" t="s">
        <v>9892</v>
      </c>
      <c r="E2571" s="115" t="s">
        <v>3083</v>
      </c>
      <c r="F2571" s="115">
        <v>0</v>
      </c>
      <c r="G2571" s="115">
        <v>247</v>
      </c>
      <c r="H2571" s="115">
        <v>0</v>
      </c>
      <c r="I2571" s="115">
        <v>0</v>
      </c>
      <c r="J2571" s="115">
        <v>-51</v>
      </c>
      <c r="K2571" s="115">
        <v>0</v>
      </c>
    </row>
    <row r="2572" spans="1:11" x14ac:dyDescent="0.25">
      <c r="B2572" s="115" t="s">
        <v>3084</v>
      </c>
      <c r="D2572" s="115" t="s">
        <v>9893</v>
      </c>
      <c r="E2572" s="115" t="s">
        <v>3085</v>
      </c>
      <c r="F2572" s="115">
        <v>196</v>
      </c>
      <c r="G2572" s="115">
        <v>0</v>
      </c>
      <c r="H2572" s="115">
        <v>-300</v>
      </c>
      <c r="I2572" s="115">
        <v>274</v>
      </c>
      <c r="J2572" s="115">
        <v>475</v>
      </c>
      <c r="K2572" s="115">
        <v>114</v>
      </c>
    </row>
    <row r="2573" spans="1:11" x14ac:dyDescent="0.25">
      <c r="A2573" s="115" t="s">
        <v>1239</v>
      </c>
      <c r="B2573" s="115" t="s">
        <v>3086</v>
      </c>
      <c r="D2573" s="115" t="s">
        <v>9894</v>
      </c>
      <c r="E2573" s="115" t="s">
        <v>1242</v>
      </c>
      <c r="F2573" s="115">
        <v>0</v>
      </c>
      <c r="G2573" s="115">
        <v>0</v>
      </c>
      <c r="H2573" s="115">
        <v>0</v>
      </c>
      <c r="I2573" s="115">
        <v>0</v>
      </c>
      <c r="J2573" s="115">
        <v>0</v>
      </c>
      <c r="K2573" s="115">
        <v>0</v>
      </c>
    </row>
    <row r="2574" spans="1:11" x14ac:dyDescent="0.25">
      <c r="B2574" s="115" t="s">
        <v>1241</v>
      </c>
      <c r="D2574" s="115" t="s">
        <v>9895</v>
      </c>
      <c r="E2574" s="115" t="s">
        <v>2770</v>
      </c>
      <c r="F2574" s="115">
        <v>0</v>
      </c>
      <c r="G2574" s="115">
        <v>37</v>
      </c>
      <c r="H2574" s="115">
        <v>0</v>
      </c>
      <c r="I2574" s="115">
        <v>0</v>
      </c>
      <c r="J2574" s="115">
        <v>0</v>
      </c>
      <c r="K2574" s="115">
        <v>0</v>
      </c>
    </row>
    <row r="2575" spans="1:11" x14ac:dyDescent="0.25">
      <c r="B2575" s="115" t="s">
        <v>1986</v>
      </c>
      <c r="D2575" s="115" t="s">
        <v>9896</v>
      </c>
      <c r="E2575" s="115" t="s">
        <v>3087</v>
      </c>
      <c r="F2575" s="115">
        <v>470</v>
      </c>
      <c r="G2575" s="115">
        <v>0</v>
      </c>
      <c r="H2575" s="115">
        <v>0</v>
      </c>
      <c r="I2575" s="115">
        <v>9472</v>
      </c>
      <c r="J2575" s="115">
        <v>5284</v>
      </c>
      <c r="K2575" s="115">
        <v>0</v>
      </c>
    </row>
    <row r="2576" spans="1:11" x14ac:dyDescent="0.25">
      <c r="A2576" s="115" t="s">
        <v>1239</v>
      </c>
      <c r="B2576" s="115" t="s">
        <v>3088</v>
      </c>
      <c r="D2576" s="115" t="s">
        <v>9897</v>
      </c>
      <c r="E2576" s="115" t="s">
        <v>3089</v>
      </c>
      <c r="F2576" s="115">
        <v>0</v>
      </c>
      <c r="G2576" s="115">
        <v>6660</v>
      </c>
      <c r="H2576" s="115">
        <v>-2444</v>
      </c>
      <c r="I2576" s="115">
        <v>-1711</v>
      </c>
      <c r="J2576" s="115">
        <v>0</v>
      </c>
      <c r="K2576" s="115">
        <v>0</v>
      </c>
    </row>
    <row r="2577" spans="1:11" x14ac:dyDescent="0.25">
      <c r="A2577" s="115">
        <v>1</v>
      </c>
      <c r="B2577" s="115" t="s">
        <v>3090</v>
      </c>
      <c r="D2577" s="115" t="s">
        <v>9898</v>
      </c>
      <c r="E2577" s="115">
        <f>-31   -355   -904   -152   -335</f>
        <v>-1777</v>
      </c>
      <c r="F2577" s="115">
        <v>-829</v>
      </c>
      <c r="G2577" s="115">
        <v>-31</v>
      </c>
      <c r="H2577" s="115">
        <v>-355</v>
      </c>
      <c r="I2577" s="115">
        <v>-904</v>
      </c>
      <c r="J2577" s="115">
        <v>-152</v>
      </c>
      <c r="K2577" s="115">
        <v>-335</v>
      </c>
    </row>
    <row r="2578" spans="1:11" x14ac:dyDescent="0.25">
      <c r="B2578" s="115" t="s">
        <v>1241</v>
      </c>
      <c r="D2578" s="115" t="s">
        <v>9899</v>
      </c>
      <c r="E2578" s="115" t="s">
        <v>3091</v>
      </c>
      <c r="F2578" s="115">
        <v>0</v>
      </c>
      <c r="G2578" s="115">
        <v>-10978</v>
      </c>
      <c r="H2578" s="115">
        <v>0</v>
      </c>
      <c r="I2578" s="115">
        <v>-5520</v>
      </c>
      <c r="J2578" s="115">
        <v>-1145</v>
      </c>
      <c r="K2578" s="115">
        <v>-199</v>
      </c>
    </row>
    <row r="2579" spans="1:11" x14ac:dyDescent="0.25">
      <c r="B2579" s="115" t="s">
        <v>3092</v>
      </c>
      <c r="D2579" s="115" t="s">
        <v>9900</v>
      </c>
      <c r="E2579" s="115" t="s">
        <v>3093</v>
      </c>
      <c r="F2579" s="115">
        <v>460</v>
      </c>
      <c r="G2579" s="115">
        <v>-382</v>
      </c>
      <c r="H2579" s="115">
        <v>0</v>
      </c>
      <c r="I2579" s="115">
        <v>135</v>
      </c>
      <c r="J2579" s="115">
        <v>-2711</v>
      </c>
      <c r="K2579" s="115">
        <v>1133</v>
      </c>
    </row>
    <row r="2580" spans="1:11" x14ac:dyDescent="0.25">
      <c r="A2580" s="115" t="s">
        <v>1239</v>
      </c>
      <c r="B2580" s="115" t="s">
        <v>3094</v>
      </c>
      <c r="D2580" s="115" t="s">
        <v>9901</v>
      </c>
      <c r="E2580" s="115" t="s">
        <v>3095</v>
      </c>
      <c r="F2580" s="115">
        <v>0</v>
      </c>
      <c r="G2580" s="115">
        <v>0</v>
      </c>
      <c r="H2580" s="115">
        <v>0</v>
      </c>
      <c r="I2580" s="115">
        <v>35</v>
      </c>
      <c r="J2580" s="115">
        <v>-171</v>
      </c>
      <c r="K2580" s="115">
        <v>0</v>
      </c>
    </row>
    <row r="2581" spans="1:11" x14ac:dyDescent="0.25">
      <c r="B2581" s="115" t="s">
        <v>3096</v>
      </c>
      <c r="D2581" s="115" t="s">
        <v>9902</v>
      </c>
      <c r="E2581" s="115" t="s">
        <v>3097</v>
      </c>
      <c r="F2581" s="115">
        <v>0</v>
      </c>
      <c r="G2581" s="115">
        <v>0</v>
      </c>
      <c r="H2581" s="115">
        <v>0</v>
      </c>
      <c r="I2581" s="115">
        <v>0</v>
      </c>
      <c r="J2581" s="115">
        <v>0</v>
      </c>
      <c r="K2581" s="115">
        <v>-2452</v>
      </c>
    </row>
    <row r="2582" spans="1:11" x14ac:dyDescent="0.25">
      <c r="B2582" s="115" t="s">
        <v>3098</v>
      </c>
      <c r="D2582" s="115" t="s">
        <v>9903</v>
      </c>
      <c r="E2582" s="115" t="s">
        <v>3099</v>
      </c>
      <c r="F2582" s="115">
        <v>0</v>
      </c>
      <c r="G2582" s="115">
        <v>-2020</v>
      </c>
      <c r="H2582" s="115">
        <v>437</v>
      </c>
      <c r="I2582" s="115">
        <v>333</v>
      </c>
      <c r="J2582" s="115">
        <v>148</v>
      </c>
      <c r="K2582" s="115">
        <v>-617</v>
      </c>
    </row>
    <row r="2583" spans="1:11" x14ac:dyDescent="0.25">
      <c r="B2583" s="115" t="s">
        <v>3100</v>
      </c>
      <c r="C2583" s="115" t="s">
        <v>1239</v>
      </c>
      <c r="D2583" s="115" t="s">
        <v>9904</v>
      </c>
      <c r="E2583" s="115" t="s">
        <v>3101</v>
      </c>
      <c r="F2583" s="115">
        <v>-540</v>
      </c>
      <c r="G2583" s="115">
        <v>0</v>
      </c>
      <c r="H2583" s="115">
        <v>0</v>
      </c>
      <c r="I2583" s="115">
        <v>19002</v>
      </c>
      <c r="J2583" s="115">
        <v>-208</v>
      </c>
      <c r="K2583" s="115">
        <v>0</v>
      </c>
    </row>
    <row r="2584" spans="1:11" x14ac:dyDescent="0.25">
      <c r="B2584" s="115" t="s">
        <v>1500</v>
      </c>
      <c r="D2584" s="115" t="s">
        <v>9905</v>
      </c>
      <c r="E2584" s="115" t="s">
        <v>3102</v>
      </c>
      <c r="F2584" s="115">
        <v>0</v>
      </c>
      <c r="G2584" s="115">
        <v>-112</v>
      </c>
      <c r="H2584" s="115">
        <v>-185</v>
      </c>
      <c r="I2584" s="115">
        <v>677</v>
      </c>
      <c r="J2584" s="115">
        <v>0</v>
      </c>
      <c r="K2584" s="115">
        <v>0</v>
      </c>
    </row>
    <row r="2585" spans="1:11" x14ac:dyDescent="0.25">
      <c r="B2585" s="115" t="s">
        <v>1241</v>
      </c>
      <c r="D2585" s="115" t="s">
        <v>9906</v>
      </c>
      <c r="E2585" s="115" t="s">
        <v>3103</v>
      </c>
      <c r="F2585" s="115">
        <v>0</v>
      </c>
      <c r="G2585" s="115">
        <v>-1897</v>
      </c>
      <c r="H2585" s="115">
        <v>-466</v>
      </c>
      <c r="I2585" s="115">
        <v>115</v>
      </c>
      <c r="J2585" s="115">
        <v>0</v>
      </c>
      <c r="K2585" s="115">
        <v>-1578</v>
      </c>
    </row>
    <row r="2586" spans="1:11" x14ac:dyDescent="0.25">
      <c r="B2586" s="115" t="s">
        <v>3104</v>
      </c>
      <c r="D2586" s="115" t="s">
        <v>9907</v>
      </c>
      <c r="E2586" s="115" t="s">
        <v>3105</v>
      </c>
      <c r="F2586" s="115">
        <v>0</v>
      </c>
      <c r="G2586" s="115">
        <v>-548</v>
      </c>
      <c r="H2586" s="115">
        <v>-2158</v>
      </c>
      <c r="I2586" s="115">
        <v>810</v>
      </c>
      <c r="J2586" s="115">
        <v>-586</v>
      </c>
      <c r="K2586" s="115">
        <v>66</v>
      </c>
    </row>
    <row r="2587" spans="1:11" x14ac:dyDescent="0.25">
      <c r="B2587" s="115" t="s">
        <v>3106</v>
      </c>
      <c r="D2587" s="115" t="s">
        <v>9908</v>
      </c>
      <c r="E2587" s="115" t="s">
        <v>3107</v>
      </c>
      <c r="F2587" s="115">
        <v>84</v>
      </c>
      <c r="G2587" s="115">
        <v>0</v>
      </c>
      <c r="H2587" s="115">
        <v>51</v>
      </c>
      <c r="I2587" s="115">
        <v>0</v>
      </c>
      <c r="J2587" s="115">
        <v>152</v>
      </c>
      <c r="K2587" s="115">
        <v>0</v>
      </c>
    </row>
    <row r="2588" spans="1:11" x14ac:dyDescent="0.25">
      <c r="B2588" s="115" t="s">
        <v>1241</v>
      </c>
      <c r="D2588" s="115" t="s">
        <v>9909</v>
      </c>
      <c r="E2588" s="115" t="s">
        <v>3108</v>
      </c>
      <c r="F2588" s="115">
        <v>0</v>
      </c>
      <c r="G2588" s="115">
        <v>0</v>
      </c>
      <c r="H2588" s="115">
        <v>0</v>
      </c>
      <c r="I2588" s="115">
        <v>-1425</v>
      </c>
      <c r="J2588" s="115">
        <v>0</v>
      </c>
      <c r="K2588" s="115">
        <v>-88</v>
      </c>
    </row>
    <row r="2589" spans="1:11" x14ac:dyDescent="0.25">
      <c r="A2589" s="115" t="s">
        <v>1239</v>
      </c>
      <c r="B2589" s="115" t="s">
        <v>3109</v>
      </c>
      <c r="D2589" s="115" t="s">
        <v>9910</v>
      </c>
      <c r="E2589" s="115" t="s">
        <v>1242</v>
      </c>
      <c r="F2589" s="115">
        <v>1451</v>
      </c>
      <c r="G2589" s="115">
        <v>0</v>
      </c>
      <c r="H2589" s="115">
        <v>0</v>
      </c>
      <c r="I2589" s="115">
        <v>0</v>
      </c>
      <c r="J2589" s="115">
        <v>0</v>
      </c>
      <c r="K2589" s="115">
        <v>0</v>
      </c>
    </row>
    <row r="2590" spans="1:11" x14ac:dyDescent="0.25">
      <c r="A2590" s="115">
        <v>-22</v>
      </c>
      <c r="B2590" s="115" t="s">
        <v>3110</v>
      </c>
      <c r="D2590" s="115" t="s">
        <v>9911</v>
      </c>
      <c r="E2590" s="115" t="s">
        <v>1242</v>
      </c>
      <c r="F2590" s="115">
        <v>-7835</v>
      </c>
      <c r="G2590" s="115">
        <v>0</v>
      </c>
      <c r="H2590" s="115">
        <v>0</v>
      </c>
      <c r="I2590" s="115">
        <v>0</v>
      </c>
      <c r="J2590" s="115">
        <v>0</v>
      </c>
      <c r="K2590" s="115">
        <v>0</v>
      </c>
    </row>
    <row r="2591" spans="1:11" x14ac:dyDescent="0.25">
      <c r="B2591" s="115" t="s">
        <v>1241</v>
      </c>
      <c r="D2591" s="115" t="s">
        <v>8710</v>
      </c>
      <c r="E2591" s="115" t="s">
        <v>1242</v>
      </c>
      <c r="F2591" s="115">
        <v>0</v>
      </c>
      <c r="G2591" s="115">
        <v>0</v>
      </c>
      <c r="H2591" s="115">
        <v>0</v>
      </c>
      <c r="I2591" s="115">
        <v>0</v>
      </c>
      <c r="J2591" s="115">
        <v>0</v>
      </c>
      <c r="K2591" s="115">
        <v>0</v>
      </c>
    </row>
    <row r="2592" spans="1:11" x14ac:dyDescent="0.25">
      <c r="B2592" s="115" t="s">
        <v>1241</v>
      </c>
      <c r="D2592" s="115" t="s">
        <v>8710</v>
      </c>
      <c r="E2592" s="115" t="s">
        <v>1242</v>
      </c>
      <c r="F2592" s="115">
        <v>0</v>
      </c>
      <c r="G2592" s="115">
        <v>0</v>
      </c>
      <c r="H2592" s="115">
        <v>0</v>
      </c>
      <c r="I2592" s="115">
        <v>0</v>
      </c>
      <c r="J2592" s="115">
        <v>0</v>
      </c>
      <c r="K2592" s="115">
        <v>0</v>
      </c>
    </row>
    <row r="2593" spans="2:11" x14ac:dyDescent="0.25">
      <c r="B2593" s="115" t="s">
        <v>1241</v>
      </c>
      <c r="D2593" s="115" t="s">
        <v>8710</v>
      </c>
      <c r="E2593" s="115" t="s">
        <v>1242</v>
      </c>
      <c r="F2593" s="115">
        <v>0</v>
      </c>
      <c r="G2593" s="115">
        <v>0</v>
      </c>
      <c r="H2593" s="115">
        <v>0</v>
      </c>
      <c r="I2593" s="115">
        <v>0</v>
      </c>
      <c r="J2593" s="115">
        <v>0</v>
      </c>
      <c r="K2593" s="115">
        <v>0</v>
      </c>
    </row>
    <row r="2594" spans="2:11" x14ac:dyDescent="0.25">
      <c r="B2594" s="115" t="s">
        <v>1241</v>
      </c>
      <c r="D2594" s="115" t="s">
        <v>8710</v>
      </c>
      <c r="E2594" s="115" t="s">
        <v>1242</v>
      </c>
      <c r="F2594" s="115">
        <v>0</v>
      </c>
      <c r="G2594" s="115">
        <v>0</v>
      </c>
      <c r="H2594" s="115">
        <v>0</v>
      </c>
      <c r="I2594" s="115">
        <v>0</v>
      </c>
      <c r="J2594" s="115">
        <v>0</v>
      </c>
      <c r="K2594" s="115">
        <v>0</v>
      </c>
    </row>
    <row r="2595" spans="2:11" x14ac:dyDescent="0.25">
      <c r="B2595" s="115" t="s">
        <v>1241</v>
      </c>
      <c r="D2595" s="115" t="s">
        <v>8710</v>
      </c>
      <c r="E2595" s="115" t="s">
        <v>1242</v>
      </c>
      <c r="F2595" s="115">
        <v>0</v>
      </c>
      <c r="G2595" s="115">
        <v>0</v>
      </c>
      <c r="H2595" s="115">
        <v>0</v>
      </c>
      <c r="I2595" s="115">
        <v>0</v>
      </c>
      <c r="J2595" s="115">
        <v>0</v>
      </c>
      <c r="K2595" s="115">
        <v>0</v>
      </c>
    </row>
    <row r="2596" spans="2:11" x14ac:dyDescent="0.25">
      <c r="B2596" s="115" t="s">
        <v>1241</v>
      </c>
      <c r="D2596" s="115" t="s">
        <v>8710</v>
      </c>
      <c r="E2596" s="115" t="s">
        <v>1242</v>
      </c>
      <c r="F2596" s="115">
        <v>0</v>
      </c>
      <c r="G2596" s="115">
        <v>0</v>
      </c>
      <c r="H2596" s="115">
        <v>0</v>
      </c>
      <c r="I2596" s="115">
        <v>0</v>
      </c>
      <c r="J2596" s="115">
        <v>0</v>
      </c>
      <c r="K2596" s="115">
        <v>0</v>
      </c>
    </row>
    <row r="2597" spans="2:11" x14ac:dyDescent="0.25">
      <c r="B2597" s="115" t="s">
        <v>1241</v>
      </c>
      <c r="D2597" s="115" t="s">
        <v>8710</v>
      </c>
      <c r="E2597" s="115" t="s">
        <v>1242</v>
      </c>
      <c r="F2597" s="115">
        <v>0</v>
      </c>
      <c r="G2597" s="115">
        <v>0</v>
      </c>
      <c r="H2597" s="115">
        <v>0</v>
      </c>
      <c r="I2597" s="115">
        <v>0</v>
      </c>
      <c r="J2597" s="115">
        <v>0</v>
      </c>
      <c r="K2597" s="115">
        <v>0</v>
      </c>
    </row>
    <row r="2598" spans="2:11" x14ac:dyDescent="0.25">
      <c r="B2598" s="115" t="s">
        <v>1241</v>
      </c>
      <c r="D2598" s="115" t="s">
        <v>8710</v>
      </c>
      <c r="E2598" s="115" t="s">
        <v>1242</v>
      </c>
      <c r="F2598" s="115">
        <v>0</v>
      </c>
      <c r="G2598" s="115">
        <v>0</v>
      </c>
      <c r="H2598" s="115">
        <v>0</v>
      </c>
      <c r="I2598" s="115">
        <v>0</v>
      </c>
      <c r="J2598" s="115">
        <v>0</v>
      </c>
      <c r="K2598" s="115">
        <v>0</v>
      </c>
    </row>
    <row r="2599" spans="2:11" x14ac:dyDescent="0.25">
      <c r="B2599" s="115" t="s">
        <v>1241</v>
      </c>
      <c r="D2599" s="115" t="s">
        <v>8710</v>
      </c>
      <c r="E2599" s="115" t="s">
        <v>1242</v>
      </c>
      <c r="F2599" s="115">
        <v>0</v>
      </c>
      <c r="G2599" s="115">
        <v>0</v>
      </c>
      <c r="H2599" s="115">
        <v>0</v>
      </c>
      <c r="I2599" s="115">
        <v>0</v>
      </c>
      <c r="J2599" s="115">
        <v>0</v>
      </c>
      <c r="K2599" s="115">
        <v>0</v>
      </c>
    </row>
    <row r="2600" spans="2:11" x14ac:dyDescent="0.25">
      <c r="B2600" s="115" t="s">
        <v>1241</v>
      </c>
      <c r="D2600" s="115" t="s">
        <v>8710</v>
      </c>
      <c r="E2600" s="115" t="s">
        <v>1242</v>
      </c>
      <c r="F2600" s="115">
        <v>0</v>
      </c>
      <c r="G2600" s="115">
        <v>0</v>
      </c>
      <c r="H2600" s="115">
        <v>0</v>
      </c>
      <c r="I2600" s="115">
        <v>0</v>
      </c>
      <c r="J2600" s="115">
        <v>0</v>
      </c>
      <c r="K2600" s="115">
        <v>0</v>
      </c>
    </row>
    <row r="2601" spans="2:11" x14ac:dyDescent="0.25">
      <c r="B2601" s="115" t="s">
        <v>1241</v>
      </c>
      <c r="D2601" s="115" t="s">
        <v>8710</v>
      </c>
      <c r="E2601" s="115" t="s">
        <v>1242</v>
      </c>
      <c r="F2601" s="115">
        <v>0</v>
      </c>
      <c r="G2601" s="115">
        <v>0</v>
      </c>
      <c r="H2601" s="115">
        <v>0</v>
      </c>
      <c r="I2601" s="115">
        <v>0</v>
      </c>
      <c r="J2601" s="115">
        <v>0</v>
      </c>
      <c r="K2601" s="115">
        <v>0</v>
      </c>
    </row>
    <row r="2602" spans="2:11" x14ac:dyDescent="0.25">
      <c r="B2602" s="115" t="s">
        <v>1241</v>
      </c>
      <c r="D2602" s="115" t="s">
        <v>8710</v>
      </c>
      <c r="E2602" s="115" t="s">
        <v>1242</v>
      </c>
      <c r="F2602" s="115">
        <v>0</v>
      </c>
      <c r="G2602" s="115">
        <v>0</v>
      </c>
      <c r="H2602" s="115">
        <v>0</v>
      </c>
      <c r="I2602" s="115">
        <v>0</v>
      </c>
      <c r="J2602" s="115">
        <v>0</v>
      </c>
      <c r="K2602" s="115">
        <v>0</v>
      </c>
    </row>
    <row r="2603" spans="2:11" x14ac:dyDescent="0.25">
      <c r="B2603" s="115" t="s">
        <v>1241</v>
      </c>
      <c r="D2603" s="115" t="s">
        <v>8710</v>
      </c>
      <c r="E2603" s="115" t="s">
        <v>1242</v>
      </c>
      <c r="F2603" s="115">
        <v>0</v>
      </c>
      <c r="G2603" s="115">
        <v>0</v>
      </c>
      <c r="H2603" s="115">
        <v>0</v>
      </c>
      <c r="I2603" s="115">
        <v>0</v>
      </c>
      <c r="J2603" s="115">
        <v>0</v>
      </c>
      <c r="K2603" s="115">
        <v>0</v>
      </c>
    </row>
    <row r="2604" spans="2:11" x14ac:dyDescent="0.25">
      <c r="B2604" s="115" t="s">
        <v>1241</v>
      </c>
      <c r="D2604" s="115" t="s">
        <v>8710</v>
      </c>
      <c r="E2604" s="115" t="s">
        <v>1242</v>
      </c>
      <c r="F2604" s="115">
        <v>0</v>
      </c>
      <c r="G2604" s="115">
        <v>0</v>
      </c>
      <c r="H2604" s="115">
        <v>0</v>
      </c>
      <c r="I2604" s="115">
        <v>0</v>
      </c>
      <c r="J2604" s="115">
        <v>0</v>
      </c>
      <c r="K2604" s="115">
        <v>0</v>
      </c>
    </row>
    <row r="2605" spans="2:11" x14ac:dyDescent="0.25">
      <c r="B2605" s="115" t="s">
        <v>1241</v>
      </c>
      <c r="D2605" s="115" t="s">
        <v>8710</v>
      </c>
      <c r="E2605" s="115" t="s">
        <v>1242</v>
      </c>
      <c r="F2605" s="115">
        <v>0</v>
      </c>
      <c r="G2605" s="115">
        <v>0</v>
      </c>
      <c r="H2605" s="115">
        <v>0</v>
      </c>
      <c r="I2605" s="115">
        <v>0</v>
      </c>
      <c r="J2605" s="115">
        <v>0</v>
      </c>
      <c r="K2605" s="115">
        <v>0</v>
      </c>
    </row>
    <row r="2606" spans="2:11" x14ac:dyDescent="0.25">
      <c r="B2606" s="115" t="s">
        <v>1241</v>
      </c>
      <c r="D2606" s="115" t="s">
        <v>8710</v>
      </c>
      <c r="E2606" s="115" t="s">
        <v>1242</v>
      </c>
      <c r="F2606" s="115">
        <v>0</v>
      </c>
      <c r="G2606" s="115">
        <v>0</v>
      </c>
      <c r="H2606" s="115">
        <v>0</v>
      </c>
      <c r="I2606" s="115">
        <v>0</v>
      </c>
      <c r="J2606" s="115">
        <v>0</v>
      </c>
      <c r="K2606" s="115">
        <v>0</v>
      </c>
    </row>
    <row r="2607" spans="2:11" x14ac:dyDescent="0.25">
      <c r="B2607" s="115" t="s">
        <v>1241</v>
      </c>
      <c r="D2607" s="115" t="s">
        <v>8710</v>
      </c>
      <c r="E2607" s="115" t="s">
        <v>1242</v>
      </c>
      <c r="F2607" s="115">
        <v>0</v>
      </c>
      <c r="G2607" s="115">
        <v>0</v>
      </c>
      <c r="H2607" s="115">
        <v>0</v>
      </c>
      <c r="I2607" s="115">
        <v>0</v>
      </c>
      <c r="J2607" s="115">
        <v>0</v>
      </c>
      <c r="K2607" s="115">
        <v>0</v>
      </c>
    </row>
    <row r="2608" spans="2:11" x14ac:dyDescent="0.25">
      <c r="B2608" s="115" t="s">
        <v>1241</v>
      </c>
      <c r="D2608" s="115" t="s">
        <v>8710</v>
      </c>
      <c r="E2608" s="115" t="s">
        <v>1242</v>
      </c>
      <c r="F2608" s="115">
        <v>0</v>
      </c>
      <c r="G2608" s="115">
        <v>0</v>
      </c>
      <c r="H2608" s="115">
        <v>0</v>
      </c>
      <c r="I2608" s="115">
        <v>0</v>
      </c>
      <c r="J2608" s="115">
        <v>0</v>
      </c>
      <c r="K2608" s="115">
        <v>0</v>
      </c>
    </row>
    <row r="2609" spans="2:11" x14ac:dyDescent="0.25">
      <c r="B2609" s="115" t="s">
        <v>1241</v>
      </c>
      <c r="D2609" s="115" t="s">
        <v>8710</v>
      </c>
      <c r="E2609" s="115" t="s">
        <v>1242</v>
      </c>
      <c r="F2609" s="115">
        <v>0</v>
      </c>
      <c r="G2609" s="115">
        <v>0</v>
      </c>
      <c r="H2609" s="115">
        <v>0</v>
      </c>
      <c r="I2609" s="115">
        <v>0</v>
      </c>
      <c r="J2609" s="115">
        <v>0</v>
      </c>
      <c r="K2609" s="115">
        <v>0</v>
      </c>
    </row>
    <row r="2610" spans="2:11" x14ac:dyDescent="0.25">
      <c r="B2610" s="115" t="s">
        <v>1241</v>
      </c>
      <c r="D2610" s="115" t="s">
        <v>8710</v>
      </c>
      <c r="E2610" s="115" t="s">
        <v>1242</v>
      </c>
      <c r="F2610" s="115">
        <v>0</v>
      </c>
      <c r="G2610" s="115">
        <v>0</v>
      </c>
      <c r="H2610" s="115">
        <v>0</v>
      </c>
      <c r="I2610" s="115">
        <v>0</v>
      </c>
      <c r="J2610" s="115">
        <v>0</v>
      </c>
      <c r="K2610" s="115">
        <v>0</v>
      </c>
    </row>
    <row r="2611" spans="2:11" x14ac:dyDescent="0.25">
      <c r="B2611" s="115" t="s">
        <v>1241</v>
      </c>
      <c r="D2611" s="115" t="s">
        <v>8710</v>
      </c>
      <c r="E2611" s="115" t="s">
        <v>1242</v>
      </c>
      <c r="F2611" s="115">
        <v>0</v>
      </c>
      <c r="G2611" s="115">
        <v>0</v>
      </c>
      <c r="H2611" s="115">
        <v>0</v>
      </c>
      <c r="I2611" s="115">
        <v>0</v>
      </c>
      <c r="J2611" s="115">
        <v>0</v>
      </c>
      <c r="K2611" s="115">
        <v>0</v>
      </c>
    </row>
    <row r="2612" spans="2:11" x14ac:dyDescent="0.25">
      <c r="B2612" s="115" t="s">
        <v>1241</v>
      </c>
      <c r="D2612" s="115" t="s">
        <v>8710</v>
      </c>
      <c r="E2612" s="115" t="s">
        <v>1242</v>
      </c>
      <c r="F2612" s="115">
        <v>0</v>
      </c>
      <c r="G2612" s="115">
        <v>0</v>
      </c>
      <c r="H2612" s="115">
        <v>0</v>
      </c>
      <c r="I2612" s="115">
        <v>0</v>
      </c>
      <c r="J2612" s="115">
        <v>0</v>
      </c>
      <c r="K2612" s="115">
        <v>0</v>
      </c>
    </row>
    <row r="2613" spans="2:11" x14ac:dyDescent="0.25">
      <c r="B2613" s="115" t="s">
        <v>1241</v>
      </c>
      <c r="D2613" s="115" t="s">
        <v>8710</v>
      </c>
      <c r="E2613" s="115" t="s">
        <v>1242</v>
      </c>
      <c r="F2613" s="115">
        <v>0</v>
      </c>
      <c r="G2613" s="115">
        <v>0</v>
      </c>
      <c r="H2613" s="115">
        <v>0</v>
      </c>
      <c r="I2613" s="115">
        <v>0</v>
      </c>
      <c r="J2613" s="115">
        <v>0</v>
      </c>
      <c r="K2613" s="115">
        <v>0</v>
      </c>
    </row>
    <row r="2614" spans="2:11" x14ac:dyDescent="0.25">
      <c r="B2614" s="115" t="s">
        <v>1241</v>
      </c>
      <c r="D2614" s="115" t="s">
        <v>8710</v>
      </c>
      <c r="E2614" s="115" t="s">
        <v>1242</v>
      </c>
      <c r="F2614" s="115">
        <v>0</v>
      </c>
      <c r="G2614" s="115">
        <v>0</v>
      </c>
      <c r="H2614" s="115">
        <v>0</v>
      </c>
      <c r="I2614" s="115">
        <v>0</v>
      </c>
      <c r="J2614" s="115">
        <v>0</v>
      </c>
      <c r="K2614" s="115">
        <v>0</v>
      </c>
    </row>
    <row r="2615" spans="2:11" x14ac:dyDescent="0.25">
      <c r="B2615" s="115" t="s">
        <v>1241</v>
      </c>
      <c r="D2615" s="115" t="s">
        <v>8710</v>
      </c>
      <c r="E2615" s="115" t="s">
        <v>1242</v>
      </c>
      <c r="F2615" s="115">
        <v>0</v>
      </c>
      <c r="G2615" s="115">
        <v>0</v>
      </c>
      <c r="H2615" s="115">
        <v>0</v>
      </c>
      <c r="I2615" s="115">
        <v>0</v>
      </c>
      <c r="J2615" s="115">
        <v>0</v>
      </c>
      <c r="K2615" s="115">
        <v>0</v>
      </c>
    </row>
    <row r="2616" spans="2:11" x14ac:dyDescent="0.25">
      <c r="B2616" s="115" t="s">
        <v>1241</v>
      </c>
      <c r="D2616" s="115" t="s">
        <v>8710</v>
      </c>
      <c r="E2616" s="115" t="s">
        <v>1242</v>
      </c>
      <c r="F2616" s="115">
        <v>0</v>
      </c>
      <c r="G2616" s="115">
        <v>0</v>
      </c>
      <c r="H2616" s="115">
        <v>0</v>
      </c>
      <c r="I2616" s="115">
        <v>0</v>
      </c>
      <c r="J2616" s="115">
        <v>0</v>
      </c>
      <c r="K2616" s="115">
        <v>0</v>
      </c>
    </row>
    <row r="2617" spans="2:11" x14ac:dyDescent="0.25">
      <c r="B2617" s="115" t="s">
        <v>1241</v>
      </c>
      <c r="D2617" s="115" t="s">
        <v>8710</v>
      </c>
      <c r="E2617" s="115" t="s">
        <v>1242</v>
      </c>
      <c r="F2617" s="115">
        <v>0</v>
      </c>
      <c r="G2617" s="115">
        <v>0</v>
      </c>
      <c r="H2617" s="115">
        <v>0</v>
      </c>
      <c r="I2617" s="115">
        <v>0</v>
      </c>
      <c r="J2617" s="115">
        <v>0</v>
      </c>
      <c r="K2617" s="115">
        <v>0</v>
      </c>
    </row>
    <row r="2618" spans="2:11" x14ac:dyDescent="0.25">
      <c r="B2618" s="115" t="s">
        <v>1241</v>
      </c>
      <c r="D2618" s="115" t="s">
        <v>8710</v>
      </c>
      <c r="E2618" s="115" t="s">
        <v>1242</v>
      </c>
      <c r="F2618" s="115">
        <v>0</v>
      </c>
      <c r="G2618" s="115">
        <v>0</v>
      </c>
      <c r="H2618" s="115">
        <v>0</v>
      </c>
      <c r="I2618" s="115">
        <v>0</v>
      </c>
      <c r="J2618" s="115">
        <v>0</v>
      </c>
      <c r="K2618" s="115">
        <v>0</v>
      </c>
    </row>
    <row r="2619" spans="2:11" x14ac:dyDescent="0.25">
      <c r="B2619" s="115" t="s">
        <v>1241</v>
      </c>
      <c r="D2619" s="115" t="s">
        <v>8710</v>
      </c>
      <c r="E2619" s="115" t="s">
        <v>1242</v>
      </c>
      <c r="F2619" s="115">
        <v>0</v>
      </c>
      <c r="G2619" s="115">
        <v>0</v>
      </c>
      <c r="H2619" s="115">
        <v>0</v>
      </c>
      <c r="I2619" s="115">
        <v>0</v>
      </c>
      <c r="J2619" s="115">
        <v>0</v>
      </c>
      <c r="K2619" s="115">
        <v>0</v>
      </c>
    </row>
    <row r="2620" spans="2:11" x14ac:dyDescent="0.25">
      <c r="B2620" s="115" t="s">
        <v>1241</v>
      </c>
      <c r="D2620" s="115" t="s">
        <v>8710</v>
      </c>
      <c r="E2620" s="115" t="s">
        <v>1242</v>
      </c>
      <c r="F2620" s="115">
        <v>0</v>
      </c>
      <c r="G2620" s="115">
        <v>0</v>
      </c>
      <c r="H2620" s="115">
        <v>0</v>
      </c>
      <c r="I2620" s="115">
        <v>0</v>
      </c>
      <c r="J2620" s="115">
        <v>0</v>
      </c>
      <c r="K2620" s="115">
        <v>0</v>
      </c>
    </row>
    <row r="2621" spans="2:11" x14ac:dyDescent="0.25">
      <c r="B2621" s="115" t="s">
        <v>1241</v>
      </c>
      <c r="D2621" s="115" t="s">
        <v>8710</v>
      </c>
      <c r="E2621" s="115" t="s">
        <v>1242</v>
      </c>
      <c r="F2621" s="115">
        <v>0</v>
      </c>
      <c r="G2621" s="115">
        <v>0</v>
      </c>
      <c r="H2621" s="115">
        <v>0</v>
      </c>
      <c r="I2621" s="115">
        <v>0</v>
      </c>
      <c r="J2621" s="115">
        <v>0</v>
      </c>
      <c r="K2621" s="115">
        <v>0</v>
      </c>
    </row>
    <row r="2622" spans="2:11" x14ac:dyDescent="0.25">
      <c r="B2622" s="115" t="s">
        <v>1241</v>
      </c>
      <c r="D2622" s="115" t="s">
        <v>8710</v>
      </c>
      <c r="E2622" s="115" t="s">
        <v>1242</v>
      </c>
      <c r="F2622" s="115">
        <v>0</v>
      </c>
      <c r="G2622" s="115">
        <v>0</v>
      </c>
      <c r="H2622" s="115">
        <v>0</v>
      </c>
      <c r="I2622" s="115">
        <v>0</v>
      </c>
      <c r="J2622" s="115">
        <v>0</v>
      </c>
      <c r="K2622" s="115">
        <v>0</v>
      </c>
    </row>
    <row r="2623" spans="2:11" x14ac:dyDescent="0.25">
      <c r="B2623" s="115" t="s">
        <v>1241</v>
      </c>
      <c r="D2623" s="115" t="s">
        <v>8710</v>
      </c>
      <c r="E2623" s="115" t="s">
        <v>1242</v>
      </c>
      <c r="F2623" s="115">
        <v>0</v>
      </c>
      <c r="G2623" s="115">
        <v>0</v>
      </c>
      <c r="H2623" s="115">
        <v>0</v>
      </c>
      <c r="I2623" s="115">
        <v>0</v>
      </c>
      <c r="J2623" s="115">
        <v>0</v>
      </c>
      <c r="K2623" s="115">
        <v>0</v>
      </c>
    </row>
    <row r="2624" spans="2:11" x14ac:dyDescent="0.25">
      <c r="B2624" s="115" t="s">
        <v>1241</v>
      </c>
      <c r="D2624" s="115" t="s">
        <v>8710</v>
      </c>
      <c r="E2624" s="115" t="s">
        <v>1242</v>
      </c>
      <c r="F2624" s="115">
        <v>0</v>
      </c>
      <c r="G2624" s="115">
        <v>0</v>
      </c>
      <c r="H2624" s="115">
        <v>0</v>
      </c>
      <c r="I2624" s="115">
        <v>0</v>
      </c>
      <c r="J2624" s="115">
        <v>0</v>
      </c>
      <c r="K2624" s="115">
        <v>0</v>
      </c>
    </row>
    <row r="2625" spans="2:11" x14ac:dyDescent="0.25">
      <c r="B2625" s="115" t="s">
        <v>1241</v>
      </c>
      <c r="D2625" s="115" t="s">
        <v>8710</v>
      </c>
      <c r="E2625" s="115" t="s">
        <v>1242</v>
      </c>
      <c r="F2625" s="115">
        <v>0</v>
      </c>
      <c r="G2625" s="115">
        <v>0</v>
      </c>
      <c r="H2625" s="115">
        <v>0</v>
      </c>
      <c r="I2625" s="115">
        <v>0</v>
      </c>
      <c r="J2625" s="115">
        <v>0</v>
      </c>
      <c r="K2625" s="115">
        <v>0</v>
      </c>
    </row>
    <row r="2626" spans="2:11" x14ac:dyDescent="0.25">
      <c r="B2626" s="115" t="s">
        <v>1241</v>
      </c>
      <c r="D2626" s="115" t="s">
        <v>8710</v>
      </c>
      <c r="E2626" s="115" t="s">
        <v>1242</v>
      </c>
      <c r="F2626" s="115">
        <v>0</v>
      </c>
      <c r="G2626" s="115">
        <v>0</v>
      </c>
      <c r="H2626" s="115">
        <v>0</v>
      </c>
      <c r="I2626" s="115">
        <v>0</v>
      </c>
      <c r="J2626" s="115">
        <v>0</v>
      </c>
      <c r="K2626" s="115">
        <v>0</v>
      </c>
    </row>
    <row r="2627" spans="2:11" x14ac:dyDescent="0.25">
      <c r="B2627" s="115" t="s">
        <v>1241</v>
      </c>
      <c r="D2627" s="115" t="s">
        <v>8710</v>
      </c>
      <c r="E2627" s="115" t="s">
        <v>1242</v>
      </c>
      <c r="F2627" s="115">
        <v>0</v>
      </c>
      <c r="G2627" s="115">
        <v>0</v>
      </c>
      <c r="H2627" s="115">
        <v>0</v>
      </c>
      <c r="I2627" s="115">
        <v>0</v>
      </c>
      <c r="J2627" s="115">
        <v>0</v>
      </c>
      <c r="K2627" s="115">
        <v>0</v>
      </c>
    </row>
    <row r="2628" spans="2:11" x14ac:dyDescent="0.25">
      <c r="B2628" s="115" t="s">
        <v>1241</v>
      </c>
      <c r="D2628" s="115" t="s">
        <v>8710</v>
      </c>
      <c r="E2628" s="115" t="s">
        <v>1242</v>
      </c>
      <c r="F2628" s="115">
        <v>0</v>
      </c>
      <c r="G2628" s="115">
        <v>0</v>
      </c>
      <c r="H2628" s="115">
        <v>0</v>
      </c>
      <c r="I2628" s="115">
        <v>0</v>
      </c>
      <c r="J2628" s="115">
        <v>0</v>
      </c>
      <c r="K2628" s="115">
        <v>0</v>
      </c>
    </row>
    <row r="2629" spans="2:11" x14ac:dyDescent="0.25">
      <c r="B2629" s="115" t="s">
        <v>1241</v>
      </c>
      <c r="D2629" s="115" t="s">
        <v>8710</v>
      </c>
      <c r="E2629" s="115" t="s">
        <v>1242</v>
      </c>
      <c r="F2629" s="115">
        <v>0</v>
      </c>
      <c r="G2629" s="115">
        <v>0</v>
      </c>
      <c r="H2629" s="115">
        <v>0</v>
      </c>
      <c r="I2629" s="115">
        <v>0</v>
      </c>
      <c r="J2629" s="115">
        <v>0</v>
      </c>
      <c r="K2629" s="115">
        <v>0</v>
      </c>
    </row>
    <row r="2630" spans="2:11" x14ac:dyDescent="0.25">
      <c r="B2630" s="115" t="s">
        <v>1241</v>
      </c>
      <c r="D2630" s="115" t="s">
        <v>8710</v>
      </c>
      <c r="E2630" s="115" t="s">
        <v>1242</v>
      </c>
      <c r="F2630" s="115">
        <v>0</v>
      </c>
      <c r="G2630" s="115">
        <v>0</v>
      </c>
      <c r="H2630" s="115">
        <v>0</v>
      </c>
      <c r="I2630" s="115">
        <v>0</v>
      </c>
      <c r="J2630" s="115">
        <v>0</v>
      </c>
      <c r="K2630" s="115">
        <v>0</v>
      </c>
    </row>
    <row r="2631" spans="2:11" x14ac:dyDescent="0.25">
      <c r="B2631" s="115" t="s">
        <v>1241</v>
      </c>
      <c r="D2631" s="115" t="s">
        <v>8710</v>
      </c>
      <c r="E2631" s="115" t="s">
        <v>1242</v>
      </c>
      <c r="F2631" s="115">
        <v>0</v>
      </c>
      <c r="G2631" s="115">
        <v>0</v>
      </c>
      <c r="H2631" s="115">
        <v>0</v>
      </c>
      <c r="I2631" s="115">
        <v>0</v>
      </c>
      <c r="J2631" s="115">
        <v>0</v>
      </c>
      <c r="K2631" s="115">
        <v>0</v>
      </c>
    </row>
    <row r="2632" spans="2:11" x14ac:dyDescent="0.25">
      <c r="B2632" s="115" t="s">
        <v>1241</v>
      </c>
      <c r="D2632" s="115" t="s">
        <v>8710</v>
      </c>
      <c r="E2632" s="115" t="s">
        <v>1242</v>
      </c>
      <c r="F2632" s="115">
        <v>0</v>
      </c>
      <c r="G2632" s="115">
        <v>0</v>
      </c>
      <c r="H2632" s="115">
        <v>0</v>
      </c>
      <c r="I2632" s="115">
        <v>0</v>
      </c>
      <c r="J2632" s="115">
        <v>0</v>
      </c>
      <c r="K2632" s="115">
        <v>0</v>
      </c>
    </row>
    <row r="2633" spans="2:11" x14ac:dyDescent="0.25">
      <c r="B2633" s="115" t="s">
        <v>1241</v>
      </c>
      <c r="D2633" s="115" t="s">
        <v>8710</v>
      </c>
      <c r="E2633" s="115" t="s">
        <v>1242</v>
      </c>
      <c r="F2633" s="115">
        <v>0</v>
      </c>
      <c r="G2633" s="115">
        <v>0</v>
      </c>
      <c r="H2633" s="115">
        <v>0</v>
      </c>
      <c r="I2633" s="115">
        <v>0</v>
      </c>
      <c r="J2633" s="115">
        <v>0</v>
      </c>
      <c r="K2633" s="115">
        <v>0</v>
      </c>
    </row>
    <row r="2634" spans="2:11" x14ac:dyDescent="0.25">
      <c r="B2634" s="115" t="s">
        <v>1241</v>
      </c>
      <c r="D2634" s="115" t="s">
        <v>8710</v>
      </c>
      <c r="E2634" s="115" t="s">
        <v>1242</v>
      </c>
      <c r="F2634" s="115">
        <v>0</v>
      </c>
      <c r="G2634" s="115">
        <v>0</v>
      </c>
      <c r="H2634" s="115">
        <v>0</v>
      </c>
      <c r="I2634" s="115">
        <v>0</v>
      </c>
      <c r="J2634" s="115">
        <v>0</v>
      </c>
      <c r="K2634" s="115">
        <v>0</v>
      </c>
    </row>
    <row r="2635" spans="2:11" x14ac:dyDescent="0.25">
      <c r="B2635" s="115" t="s">
        <v>1241</v>
      </c>
      <c r="D2635" s="115" t="s">
        <v>8710</v>
      </c>
      <c r="E2635" s="115" t="s">
        <v>1242</v>
      </c>
      <c r="F2635" s="115">
        <v>0</v>
      </c>
      <c r="G2635" s="115">
        <v>0</v>
      </c>
      <c r="H2635" s="115">
        <v>0</v>
      </c>
      <c r="I2635" s="115">
        <v>0</v>
      </c>
      <c r="J2635" s="115">
        <v>0</v>
      </c>
      <c r="K2635" s="115">
        <v>0</v>
      </c>
    </row>
    <row r="2636" spans="2:11" x14ac:dyDescent="0.25">
      <c r="B2636" s="115" t="s">
        <v>1241</v>
      </c>
      <c r="D2636" s="115" t="s">
        <v>8710</v>
      </c>
      <c r="E2636" s="115" t="s">
        <v>1242</v>
      </c>
      <c r="F2636" s="115">
        <v>0</v>
      </c>
      <c r="G2636" s="115">
        <v>0</v>
      </c>
      <c r="H2636" s="115">
        <v>0</v>
      </c>
      <c r="I2636" s="115">
        <v>0</v>
      </c>
      <c r="J2636" s="115">
        <v>0</v>
      </c>
      <c r="K2636" s="115">
        <v>0</v>
      </c>
    </row>
    <row r="2637" spans="2:11" x14ac:dyDescent="0.25">
      <c r="B2637" s="115" t="s">
        <v>1241</v>
      </c>
      <c r="D2637" s="115" t="s">
        <v>8710</v>
      </c>
      <c r="E2637" s="115" t="s">
        <v>1242</v>
      </c>
      <c r="F2637" s="115">
        <v>0</v>
      </c>
      <c r="G2637" s="115">
        <v>0</v>
      </c>
      <c r="H2637" s="115">
        <v>0</v>
      </c>
      <c r="I2637" s="115">
        <v>0</v>
      </c>
      <c r="J2637" s="115">
        <v>0</v>
      </c>
      <c r="K2637" s="115">
        <v>0</v>
      </c>
    </row>
    <row r="2638" spans="2:11" x14ac:dyDescent="0.25">
      <c r="B2638" s="115" t="s">
        <v>1241</v>
      </c>
      <c r="D2638" s="115" t="s">
        <v>8710</v>
      </c>
      <c r="E2638" s="115" t="s">
        <v>1242</v>
      </c>
      <c r="F2638" s="115">
        <v>0</v>
      </c>
      <c r="G2638" s="115">
        <v>0</v>
      </c>
      <c r="H2638" s="115">
        <v>0</v>
      </c>
      <c r="I2638" s="115">
        <v>0</v>
      </c>
      <c r="J2638" s="115">
        <v>0</v>
      </c>
      <c r="K2638" s="115">
        <v>0</v>
      </c>
    </row>
    <row r="2639" spans="2:11" x14ac:dyDescent="0.25">
      <c r="B2639" s="115" t="s">
        <v>1241</v>
      </c>
      <c r="D2639" s="115" t="s">
        <v>8710</v>
      </c>
      <c r="E2639" s="115" t="s">
        <v>1242</v>
      </c>
      <c r="F2639" s="115">
        <v>0</v>
      </c>
      <c r="G2639" s="115">
        <v>0</v>
      </c>
      <c r="H2639" s="115">
        <v>0</v>
      </c>
      <c r="I2639" s="115">
        <v>0</v>
      </c>
      <c r="J2639" s="115">
        <v>0</v>
      </c>
      <c r="K2639" s="115">
        <v>0</v>
      </c>
    </row>
    <row r="2640" spans="2:11" x14ac:dyDescent="0.25">
      <c r="B2640" s="115" t="s">
        <v>1241</v>
      </c>
      <c r="D2640" s="115" t="s">
        <v>8710</v>
      </c>
      <c r="E2640" s="115" t="s">
        <v>1242</v>
      </c>
      <c r="F2640" s="115">
        <v>0</v>
      </c>
      <c r="G2640" s="115">
        <v>0</v>
      </c>
      <c r="H2640" s="115">
        <v>0</v>
      </c>
      <c r="I2640" s="115">
        <v>0</v>
      </c>
      <c r="J2640" s="115">
        <v>0</v>
      </c>
      <c r="K2640" s="115">
        <v>0</v>
      </c>
    </row>
    <row r="2641" spans="2:11" x14ac:dyDescent="0.25">
      <c r="B2641" s="115" t="s">
        <v>1241</v>
      </c>
      <c r="D2641" s="115" t="s">
        <v>8710</v>
      </c>
      <c r="E2641" s="115" t="s">
        <v>1242</v>
      </c>
      <c r="F2641" s="115">
        <v>0</v>
      </c>
      <c r="G2641" s="115">
        <v>0</v>
      </c>
      <c r="H2641" s="115">
        <v>0</v>
      </c>
      <c r="I2641" s="115">
        <v>0</v>
      </c>
      <c r="J2641" s="115">
        <v>0</v>
      </c>
      <c r="K2641" s="115">
        <v>0</v>
      </c>
    </row>
    <row r="2642" spans="2:11" x14ac:dyDescent="0.25">
      <c r="B2642" s="115" t="s">
        <v>1241</v>
      </c>
      <c r="D2642" s="115" t="s">
        <v>8710</v>
      </c>
      <c r="E2642" s="115" t="s">
        <v>1242</v>
      </c>
      <c r="F2642" s="115">
        <v>0</v>
      </c>
      <c r="G2642" s="115">
        <v>0</v>
      </c>
      <c r="H2642" s="115">
        <v>0</v>
      </c>
      <c r="I2642" s="115">
        <v>0</v>
      </c>
      <c r="J2642" s="115">
        <v>0</v>
      </c>
      <c r="K2642" s="115">
        <v>0</v>
      </c>
    </row>
    <row r="2643" spans="2:11" x14ac:dyDescent="0.25">
      <c r="B2643" s="115" t="s">
        <v>1241</v>
      </c>
      <c r="D2643" s="115" t="s">
        <v>8710</v>
      </c>
      <c r="E2643" s="115" t="s">
        <v>1242</v>
      </c>
      <c r="F2643" s="115">
        <v>0</v>
      </c>
      <c r="G2643" s="115">
        <v>0</v>
      </c>
      <c r="H2643" s="115">
        <v>0</v>
      </c>
      <c r="I2643" s="115">
        <v>0</v>
      </c>
      <c r="J2643" s="115">
        <v>0</v>
      </c>
      <c r="K2643" s="115">
        <v>0</v>
      </c>
    </row>
    <row r="2644" spans="2:11" x14ac:dyDescent="0.25">
      <c r="B2644" s="115" t="s">
        <v>1241</v>
      </c>
      <c r="D2644" s="115" t="s">
        <v>8710</v>
      </c>
      <c r="E2644" s="115" t="s">
        <v>1242</v>
      </c>
      <c r="F2644" s="115">
        <v>0</v>
      </c>
      <c r="G2644" s="115">
        <v>0</v>
      </c>
      <c r="H2644" s="115">
        <v>0</v>
      </c>
      <c r="I2644" s="115">
        <v>0</v>
      </c>
      <c r="J2644" s="115">
        <v>0</v>
      </c>
      <c r="K2644" s="115">
        <v>0</v>
      </c>
    </row>
    <row r="2645" spans="2:11" x14ac:dyDescent="0.25">
      <c r="B2645" s="115" t="s">
        <v>1241</v>
      </c>
      <c r="D2645" s="115" t="s">
        <v>8710</v>
      </c>
      <c r="E2645" s="115" t="s">
        <v>1242</v>
      </c>
      <c r="F2645" s="115">
        <v>0</v>
      </c>
      <c r="G2645" s="115">
        <v>0</v>
      </c>
      <c r="H2645" s="115">
        <v>0</v>
      </c>
      <c r="I2645" s="115">
        <v>0</v>
      </c>
      <c r="J2645" s="115">
        <v>0</v>
      </c>
      <c r="K2645" s="115">
        <v>0</v>
      </c>
    </row>
    <row r="2646" spans="2:11" x14ac:dyDescent="0.25">
      <c r="B2646" s="115" t="s">
        <v>1241</v>
      </c>
      <c r="D2646" s="115" t="s">
        <v>8710</v>
      </c>
      <c r="E2646" s="115" t="s">
        <v>1242</v>
      </c>
      <c r="F2646" s="115">
        <v>0</v>
      </c>
      <c r="G2646" s="115">
        <v>0</v>
      </c>
      <c r="H2646" s="115">
        <v>0</v>
      </c>
      <c r="I2646" s="115">
        <v>0</v>
      </c>
      <c r="J2646" s="115">
        <v>0</v>
      </c>
      <c r="K2646" s="115">
        <v>0</v>
      </c>
    </row>
    <row r="2647" spans="2:11" x14ac:dyDescent="0.25">
      <c r="B2647" s="115" t="s">
        <v>1241</v>
      </c>
      <c r="D2647" s="115" t="s">
        <v>8710</v>
      </c>
      <c r="E2647" s="115" t="s">
        <v>1242</v>
      </c>
      <c r="F2647" s="115">
        <v>0</v>
      </c>
      <c r="G2647" s="115">
        <v>0</v>
      </c>
      <c r="H2647" s="115">
        <v>0</v>
      </c>
      <c r="I2647" s="115">
        <v>0</v>
      </c>
      <c r="J2647" s="115">
        <v>0</v>
      </c>
      <c r="K2647" s="115">
        <v>0</v>
      </c>
    </row>
    <row r="2648" spans="2:11" x14ac:dyDescent="0.25">
      <c r="B2648" s="115" t="s">
        <v>1241</v>
      </c>
      <c r="D2648" s="115" t="s">
        <v>8710</v>
      </c>
      <c r="E2648" s="115" t="s">
        <v>1242</v>
      </c>
      <c r="F2648" s="115">
        <v>0</v>
      </c>
      <c r="G2648" s="115">
        <v>0</v>
      </c>
      <c r="H2648" s="115">
        <v>0</v>
      </c>
      <c r="I2648" s="115">
        <v>0</v>
      </c>
      <c r="J2648" s="115">
        <v>0</v>
      </c>
      <c r="K2648" s="115">
        <v>0</v>
      </c>
    </row>
    <row r="2649" spans="2:11" x14ac:dyDescent="0.25">
      <c r="B2649" s="115" t="s">
        <v>1241</v>
      </c>
      <c r="D2649" s="115" t="s">
        <v>8710</v>
      </c>
      <c r="E2649" s="115" t="s">
        <v>1242</v>
      </c>
      <c r="F2649" s="115">
        <v>0</v>
      </c>
      <c r="G2649" s="115">
        <v>0</v>
      </c>
      <c r="H2649" s="115">
        <v>0</v>
      </c>
      <c r="I2649" s="115">
        <v>0</v>
      </c>
      <c r="J2649" s="115">
        <v>0</v>
      </c>
      <c r="K2649" s="115">
        <v>0</v>
      </c>
    </row>
    <row r="2650" spans="2:11" x14ac:dyDescent="0.25">
      <c r="B2650" s="115" t="s">
        <v>1241</v>
      </c>
      <c r="D2650" s="115" t="s">
        <v>8710</v>
      </c>
      <c r="E2650" s="115" t="s">
        <v>1242</v>
      </c>
      <c r="F2650" s="115">
        <v>0</v>
      </c>
      <c r="G2650" s="115">
        <v>0</v>
      </c>
      <c r="H2650" s="115">
        <v>0</v>
      </c>
      <c r="I2650" s="115">
        <v>0</v>
      </c>
      <c r="J2650" s="115">
        <v>0</v>
      </c>
      <c r="K2650" s="115">
        <v>0</v>
      </c>
    </row>
    <row r="2651" spans="2:11" x14ac:dyDescent="0.25">
      <c r="B2651" s="115" t="s">
        <v>1241</v>
      </c>
      <c r="D2651" s="115" t="s">
        <v>8710</v>
      </c>
      <c r="E2651" s="115" t="s">
        <v>1242</v>
      </c>
      <c r="F2651" s="115">
        <v>0</v>
      </c>
      <c r="G2651" s="115">
        <v>0</v>
      </c>
      <c r="H2651" s="115">
        <v>0</v>
      </c>
      <c r="I2651" s="115">
        <v>0</v>
      </c>
      <c r="J2651" s="115">
        <v>0</v>
      </c>
      <c r="K2651" s="115">
        <v>0</v>
      </c>
    </row>
    <row r="2652" spans="2:11" x14ac:dyDescent="0.25">
      <c r="B2652" s="115" t="s">
        <v>1241</v>
      </c>
      <c r="D2652" s="115" t="s">
        <v>8710</v>
      </c>
      <c r="E2652" s="115" t="s">
        <v>1242</v>
      </c>
      <c r="F2652" s="115">
        <v>0</v>
      </c>
      <c r="G2652" s="115">
        <v>0</v>
      </c>
      <c r="H2652" s="115">
        <v>0</v>
      </c>
      <c r="I2652" s="115">
        <v>0</v>
      </c>
      <c r="J2652" s="115">
        <v>0</v>
      </c>
      <c r="K2652" s="115">
        <v>0</v>
      </c>
    </row>
    <row r="2653" spans="2:11" x14ac:dyDescent="0.25">
      <c r="B2653" s="115" t="s">
        <v>1241</v>
      </c>
      <c r="D2653" s="115" t="s">
        <v>8710</v>
      </c>
      <c r="E2653" s="115" t="s">
        <v>1242</v>
      </c>
      <c r="F2653" s="115">
        <v>0</v>
      </c>
      <c r="G2653" s="115">
        <v>0</v>
      </c>
      <c r="H2653" s="115">
        <v>0</v>
      </c>
      <c r="I2653" s="115">
        <v>0</v>
      </c>
      <c r="J2653" s="115">
        <v>0</v>
      </c>
      <c r="K2653" s="115">
        <v>0</v>
      </c>
    </row>
    <row r="2654" spans="2:11" x14ac:dyDescent="0.25">
      <c r="B2654" s="115" t="s">
        <v>1241</v>
      </c>
      <c r="D2654" s="115" t="s">
        <v>8710</v>
      </c>
      <c r="E2654" s="115" t="s">
        <v>1242</v>
      </c>
      <c r="F2654" s="115">
        <v>0</v>
      </c>
      <c r="G2654" s="115">
        <v>0</v>
      </c>
      <c r="H2654" s="115">
        <v>0</v>
      </c>
      <c r="I2654" s="115">
        <v>0</v>
      </c>
      <c r="J2654" s="115">
        <v>0</v>
      </c>
      <c r="K2654" s="115">
        <v>0</v>
      </c>
    </row>
    <row r="2655" spans="2:11" x14ac:dyDescent="0.25">
      <c r="B2655" s="115" t="s">
        <v>1241</v>
      </c>
      <c r="D2655" s="115" t="s">
        <v>8710</v>
      </c>
      <c r="E2655" s="115" t="s">
        <v>1242</v>
      </c>
      <c r="F2655" s="115">
        <v>0</v>
      </c>
      <c r="G2655" s="115">
        <v>0</v>
      </c>
      <c r="H2655" s="115">
        <v>0</v>
      </c>
      <c r="I2655" s="115">
        <v>0</v>
      </c>
      <c r="J2655" s="115">
        <v>0</v>
      </c>
      <c r="K2655" s="115">
        <v>0</v>
      </c>
    </row>
    <row r="2656" spans="2:11" x14ac:dyDescent="0.25">
      <c r="B2656" s="115" t="s">
        <v>1241</v>
      </c>
      <c r="D2656" s="115" t="s">
        <v>8710</v>
      </c>
      <c r="E2656" s="115" t="s">
        <v>1242</v>
      </c>
      <c r="F2656" s="115">
        <v>0</v>
      </c>
      <c r="G2656" s="115">
        <v>0</v>
      </c>
      <c r="H2656" s="115">
        <v>0</v>
      </c>
      <c r="I2656" s="115">
        <v>0</v>
      </c>
      <c r="J2656" s="115">
        <v>0</v>
      </c>
      <c r="K2656" s="115">
        <v>0</v>
      </c>
    </row>
    <row r="2657" spans="2:11" x14ac:dyDescent="0.25">
      <c r="B2657" s="115" t="s">
        <v>1241</v>
      </c>
      <c r="D2657" s="115" t="s">
        <v>8710</v>
      </c>
      <c r="E2657" s="115" t="s">
        <v>1242</v>
      </c>
      <c r="F2657" s="115">
        <v>0</v>
      </c>
      <c r="G2657" s="115">
        <v>0</v>
      </c>
      <c r="H2657" s="115">
        <v>0</v>
      </c>
      <c r="I2657" s="115">
        <v>0</v>
      </c>
      <c r="J2657" s="115">
        <v>0</v>
      </c>
      <c r="K2657" s="115">
        <v>0</v>
      </c>
    </row>
    <row r="2658" spans="2:11" x14ac:dyDescent="0.25">
      <c r="B2658" s="115" t="s">
        <v>1241</v>
      </c>
      <c r="D2658" s="115" t="s">
        <v>8710</v>
      </c>
      <c r="E2658" s="115" t="s">
        <v>1242</v>
      </c>
      <c r="F2658" s="115">
        <v>0</v>
      </c>
      <c r="G2658" s="115">
        <v>0</v>
      </c>
      <c r="H2658" s="115">
        <v>0</v>
      </c>
      <c r="I2658" s="115">
        <v>0</v>
      </c>
      <c r="J2658" s="115">
        <v>0</v>
      </c>
      <c r="K2658" s="115">
        <v>0</v>
      </c>
    </row>
    <row r="2659" spans="2:11" x14ac:dyDescent="0.25">
      <c r="B2659" s="115" t="s">
        <v>1241</v>
      </c>
      <c r="D2659" s="115" t="s">
        <v>8710</v>
      </c>
      <c r="E2659" s="115" t="s">
        <v>1242</v>
      </c>
      <c r="F2659" s="115">
        <v>0</v>
      </c>
      <c r="G2659" s="115">
        <v>0</v>
      </c>
      <c r="H2659" s="115">
        <v>0</v>
      </c>
      <c r="I2659" s="115">
        <v>0</v>
      </c>
      <c r="J2659" s="115">
        <v>0</v>
      </c>
      <c r="K2659" s="115">
        <v>0</v>
      </c>
    </row>
    <row r="2660" spans="2:11" x14ac:dyDescent="0.25">
      <c r="B2660" s="115" t="s">
        <v>1241</v>
      </c>
      <c r="D2660" s="115" t="s">
        <v>8710</v>
      </c>
      <c r="E2660" s="115" t="s">
        <v>1242</v>
      </c>
      <c r="F2660" s="115">
        <v>0</v>
      </c>
      <c r="G2660" s="115">
        <v>0</v>
      </c>
      <c r="H2660" s="115">
        <v>0</v>
      </c>
      <c r="I2660" s="115">
        <v>0</v>
      </c>
      <c r="J2660" s="115">
        <v>0</v>
      </c>
      <c r="K2660" s="115">
        <v>0</v>
      </c>
    </row>
    <row r="2661" spans="2:11" x14ac:dyDescent="0.25">
      <c r="B2661" s="115" t="s">
        <v>1241</v>
      </c>
      <c r="D2661" s="115" t="s">
        <v>8710</v>
      </c>
      <c r="E2661" s="115" t="s">
        <v>1242</v>
      </c>
      <c r="F2661" s="115">
        <v>0</v>
      </c>
      <c r="G2661" s="115">
        <v>0</v>
      </c>
      <c r="H2661" s="115">
        <v>0</v>
      </c>
      <c r="I2661" s="115">
        <v>0</v>
      </c>
      <c r="J2661" s="115">
        <v>0</v>
      </c>
      <c r="K2661" s="115">
        <v>0</v>
      </c>
    </row>
    <row r="2662" spans="2:11" x14ac:dyDescent="0.25">
      <c r="B2662" s="115" t="s">
        <v>1241</v>
      </c>
      <c r="D2662" s="115" t="s">
        <v>8710</v>
      </c>
      <c r="E2662" s="115" t="s">
        <v>1242</v>
      </c>
      <c r="F2662" s="115">
        <v>0</v>
      </c>
      <c r="G2662" s="115">
        <v>0</v>
      </c>
      <c r="H2662" s="115">
        <v>0</v>
      </c>
      <c r="I2662" s="115">
        <v>0</v>
      </c>
      <c r="J2662" s="115">
        <v>0</v>
      </c>
      <c r="K2662" s="115">
        <v>0</v>
      </c>
    </row>
    <row r="2663" spans="2:11" x14ac:dyDescent="0.25">
      <c r="B2663" s="115" t="s">
        <v>1241</v>
      </c>
      <c r="D2663" s="115" t="s">
        <v>8710</v>
      </c>
      <c r="E2663" s="115" t="s">
        <v>1242</v>
      </c>
      <c r="F2663" s="115">
        <v>0</v>
      </c>
      <c r="G2663" s="115">
        <v>0</v>
      </c>
      <c r="H2663" s="115">
        <v>0</v>
      </c>
      <c r="I2663" s="115">
        <v>0</v>
      </c>
      <c r="J2663" s="115">
        <v>0</v>
      </c>
      <c r="K2663" s="115">
        <v>0</v>
      </c>
    </row>
    <row r="2664" spans="2:11" x14ac:dyDescent="0.25">
      <c r="B2664" s="115" t="s">
        <v>1241</v>
      </c>
      <c r="D2664" s="115" t="s">
        <v>8710</v>
      </c>
      <c r="E2664" s="115" t="s">
        <v>1242</v>
      </c>
      <c r="F2664" s="115">
        <v>0</v>
      </c>
      <c r="G2664" s="115">
        <v>0</v>
      </c>
      <c r="H2664" s="115">
        <v>0</v>
      </c>
      <c r="I2664" s="115">
        <v>0</v>
      </c>
      <c r="J2664" s="115">
        <v>0</v>
      </c>
      <c r="K2664" s="115">
        <v>0</v>
      </c>
    </row>
    <row r="2665" spans="2:11" x14ac:dyDescent="0.25">
      <c r="B2665" s="115" t="s">
        <v>1241</v>
      </c>
      <c r="D2665" s="115" t="s">
        <v>8710</v>
      </c>
      <c r="E2665" s="115" t="s">
        <v>1242</v>
      </c>
      <c r="F2665" s="115">
        <v>0</v>
      </c>
      <c r="G2665" s="115">
        <v>0</v>
      </c>
      <c r="H2665" s="115">
        <v>0</v>
      </c>
      <c r="I2665" s="115">
        <v>0</v>
      </c>
      <c r="J2665" s="115">
        <v>0</v>
      </c>
      <c r="K2665" s="115">
        <v>0</v>
      </c>
    </row>
    <row r="2666" spans="2:11" x14ac:dyDescent="0.25">
      <c r="B2666" s="115" t="s">
        <v>1241</v>
      </c>
      <c r="D2666" s="115" t="s">
        <v>8710</v>
      </c>
      <c r="E2666" s="115" t="s">
        <v>1242</v>
      </c>
      <c r="F2666" s="115">
        <v>0</v>
      </c>
      <c r="G2666" s="115">
        <v>0</v>
      </c>
      <c r="H2666" s="115">
        <v>0</v>
      </c>
      <c r="I2666" s="115">
        <v>0</v>
      </c>
      <c r="J2666" s="115">
        <v>0</v>
      </c>
      <c r="K2666" s="115">
        <v>0</v>
      </c>
    </row>
    <row r="2667" spans="2:11" x14ac:dyDescent="0.25">
      <c r="B2667" s="115" t="s">
        <v>1241</v>
      </c>
      <c r="D2667" s="115" t="s">
        <v>8710</v>
      </c>
      <c r="E2667" s="115" t="s">
        <v>1242</v>
      </c>
      <c r="F2667" s="115">
        <v>0</v>
      </c>
      <c r="G2667" s="115">
        <v>0</v>
      </c>
      <c r="H2667" s="115">
        <v>0</v>
      </c>
      <c r="I2667" s="115">
        <v>0</v>
      </c>
      <c r="J2667" s="115">
        <v>0</v>
      </c>
      <c r="K2667" s="115">
        <v>0</v>
      </c>
    </row>
    <row r="2668" spans="2:11" x14ac:dyDescent="0.25">
      <c r="B2668" s="115" t="s">
        <v>1241</v>
      </c>
      <c r="D2668" s="115" t="s">
        <v>8710</v>
      </c>
      <c r="E2668" s="115" t="s">
        <v>1242</v>
      </c>
      <c r="F2668" s="115">
        <v>0</v>
      </c>
      <c r="G2668" s="115">
        <v>0</v>
      </c>
      <c r="H2668" s="115">
        <v>0</v>
      </c>
      <c r="I2668" s="115">
        <v>0</v>
      </c>
      <c r="J2668" s="115">
        <v>0</v>
      </c>
      <c r="K2668" s="115">
        <v>0</v>
      </c>
    </row>
    <row r="2669" spans="2:11" x14ac:dyDescent="0.25">
      <c r="B2669" s="115" t="s">
        <v>1241</v>
      </c>
      <c r="D2669" s="115" t="s">
        <v>8710</v>
      </c>
      <c r="E2669" s="115" t="s">
        <v>1242</v>
      </c>
      <c r="F2669" s="115">
        <v>0</v>
      </c>
      <c r="G2669" s="115">
        <v>0</v>
      </c>
      <c r="H2669" s="115">
        <v>0</v>
      </c>
      <c r="I2669" s="115">
        <v>0</v>
      </c>
      <c r="J2669" s="115">
        <v>0</v>
      </c>
      <c r="K2669" s="115">
        <v>0</v>
      </c>
    </row>
    <row r="2670" spans="2:11" x14ac:dyDescent="0.25">
      <c r="B2670" s="115" t="s">
        <v>1241</v>
      </c>
      <c r="D2670" s="115" t="s">
        <v>8710</v>
      </c>
      <c r="E2670" s="115" t="s">
        <v>1242</v>
      </c>
      <c r="F2670" s="115">
        <v>0</v>
      </c>
      <c r="G2670" s="115">
        <v>0</v>
      </c>
      <c r="H2670" s="115">
        <v>0</v>
      </c>
      <c r="I2670" s="115">
        <v>0</v>
      </c>
      <c r="J2670" s="115">
        <v>0</v>
      </c>
      <c r="K2670" s="115">
        <v>0</v>
      </c>
    </row>
    <row r="2671" spans="2:11" x14ac:dyDescent="0.25">
      <c r="B2671" s="115" t="s">
        <v>1241</v>
      </c>
      <c r="D2671" s="115" t="s">
        <v>8710</v>
      </c>
      <c r="E2671" s="115" t="s">
        <v>1242</v>
      </c>
      <c r="F2671" s="115">
        <v>0</v>
      </c>
      <c r="G2671" s="115">
        <v>0</v>
      </c>
      <c r="H2671" s="115">
        <v>0</v>
      </c>
      <c r="I2671" s="115">
        <v>0</v>
      </c>
      <c r="J2671" s="115">
        <v>0</v>
      </c>
      <c r="K2671" s="115">
        <v>0</v>
      </c>
    </row>
    <row r="2672" spans="2:11" x14ac:dyDescent="0.25">
      <c r="B2672" s="115" t="s">
        <v>1241</v>
      </c>
      <c r="D2672" s="115" t="s">
        <v>8710</v>
      </c>
      <c r="E2672" s="115" t="s">
        <v>1242</v>
      </c>
      <c r="F2672" s="115">
        <v>0</v>
      </c>
      <c r="G2672" s="115">
        <v>0</v>
      </c>
      <c r="H2672" s="115">
        <v>0</v>
      </c>
      <c r="I2672" s="115">
        <v>0</v>
      </c>
      <c r="J2672" s="115">
        <v>0</v>
      </c>
      <c r="K2672" s="115">
        <v>0</v>
      </c>
    </row>
    <row r="2673" spans="1:11" x14ac:dyDescent="0.25">
      <c r="B2673" s="115" t="s">
        <v>1241</v>
      </c>
      <c r="D2673" s="115" t="s">
        <v>8710</v>
      </c>
      <c r="E2673" s="115" t="s">
        <v>1242</v>
      </c>
      <c r="F2673" s="115">
        <v>0</v>
      </c>
      <c r="G2673" s="115">
        <v>0</v>
      </c>
      <c r="H2673" s="115">
        <v>0</v>
      </c>
      <c r="I2673" s="115">
        <v>0</v>
      </c>
      <c r="J2673" s="115">
        <v>0</v>
      </c>
      <c r="K2673" s="115">
        <v>0</v>
      </c>
    </row>
    <row r="2674" spans="1:11" x14ac:dyDescent="0.25">
      <c r="B2674" s="115" t="s">
        <v>1241</v>
      </c>
      <c r="D2674" s="115" t="s">
        <v>8710</v>
      </c>
      <c r="E2674" s="115" t="s">
        <v>1242</v>
      </c>
      <c r="F2674" s="115">
        <v>0</v>
      </c>
      <c r="G2674" s="115">
        <v>0</v>
      </c>
      <c r="H2674" s="115">
        <v>0</v>
      </c>
      <c r="I2674" s="115">
        <v>0</v>
      </c>
      <c r="J2674" s="115">
        <v>0</v>
      </c>
      <c r="K2674" s="115">
        <v>0</v>
      </c>
    </row>
    <row r="2675" spans="1:11" x14ac:dyDescent="0.25">
      <c r="B2675" s="115" t="s">
        <v>3111</v>
      </c>
      <c r="D2675" s="115" t="s">
        <v>9912</v>
      </c>
      <c r="E2675" s="115" t="s">
        <v>3112</v>
      </c>
      <c r="F2675" s="115">
        <v>160</v>
      </c>
      <c r="G2675" s="115">
        <v>-1528</v>
      </c>
      <c r="H2675" s="115">
        <v>0</v>
      </c>
      <c r="I2675" s="115">
        <v>0</v>
      </c>
      <c r="J2675" s="115">
        <v>153</v>
      </c>
      <c r="K2675" s="115">
        <v>0</v>
      </c>
    </row>
    <row r="2676" spans="1:11" x14ac:dyDescent="0.25">
      <c r="B2676" s="115" t="s">
        <v>1241</v>
      </c>
      <c r="C2676" s="115" t="s">
        <v>1239</v>
      </c>
      <c r="D2676" s="115" t="s">
        <v>9913</v>
      </c>
      <c r="E2676" s="115" t="s">
        <v>1242</v>
      </c>
      <c r="F2676" s="115">
        <v>0</v>
      </c>
      <c r="G2676" s="115">
        <v>0</v>
      </c>
      <c r="H2676" s="115">
        <v>0</v>
      </c>
      <c r="I2676" s="115">
        <v>0</v>
      </c>
      <c r="J2676" s="115">
        <v>0</v>
      </c>
      <c r="K2676" s="115">
        <v>0</v>
      </c>
    </row>
    <row r="2677" spans="1:11" x14ac:dyDescent="0.25">
      <c r="A2677" s="115" t="s">
        <v>1239</v>
      </c>
      <c r="B2677" s="115" t="s">
        <v>3113</v>
      </c>
      <c r="D2677" s="115" t="s">
        <v>9914</v>
      </c>
      <c r="E2677" s="115" t="s">
        <v>3114</v>
      </c>
      <c r="F2677" s="115">
        <v>0</v>
      </c>
      <c r="G2677" s="115">
        <v>335</v>
      </c>
      <c r="H2677" s="115">
        <v>0</v>
      </c>
      <c r="I2677" s="115">
        <v>542</v>
      </c>
      <c r="J2677" s="115">
        <v>-170</v>
      </c>
      <c r="K2677" s="115">
        <v>-297</v>
      </c>
    </row>
    <row r="2678" spans="1:11" x14ac:dyDescent="0.25">
      <c r="B2678" s="115" t="s">
        <v>3115</v>
      </c>
      <c r="D2678" s="115" t="s">
        <v>9915</v>
      </c>
      <c r="E2678" s="115" t="s">
        <v>3116</v>
      </c>
      <c r="F2678" s="115">
        <v>-1047</v>
      </c>
      <c r="G2678" s="115">
        <v>-772</v>
      </c>
      <c r="H2678" s="115">
        <v>-393</v>
      </c>
      <c r="I2678" s="115">
        <v>0</v>
      </c>
      <c r="J2678" s="115">
        <v>54</v>
      </c>
      <c r="K2678" s="115">
        <v>0</v>
      </c>
    </row>
    <row r="2679" spans="1:11" x14ac:dyDescent="0.25">
      <c r="B2679" s="115" t="s">
        <v>1241</v>
      </c>
      <c r="D2679" s="115" t="s">
        <v>9916</v>
      </c>
      <c r="E2679" s="115" t="s">
        <v>3117</v>
      </c>
      <c r="F2679" s="115">
        <v>325</v>
      </c>
      <c r="G2679" s="115">
        <v>0</v>
      </c>
      <c r="H2679" s="115">
        <v>0</v>
      </c>
      <c r="I2679" s="115">
        <v>0</v>
      </c>
      <c r="J2679" s="115">
        <v>-620</v>
      </c>
      <c r="K2679" s="115">
        <v>0</v>
      </c>
    </row>
    <row r="2680" spans="1:11" x14ac:dyDescent="0.25">
      <c r="A2680" s="115" t="s">
        <v>1239</v>
      </c>
      <c r="B2680" s="115" t="s">
        <v>3118</v>
      </c>
      <c r="D2680" s="115" t="s">
        <v>9917</v>
      </c>
      <c r="E2680" s="115" t="s">
        <v>3119</v>
      </c>
      <c r="F2680" s="115">
        <v>0</v>
      </c>
      <c r="G2680" s="115">
        <v>0</v>
      </c>
      <c r="H2680" s="115">
        <v>-137</v>
      </c>
      <c r="I2680" s="115">
        <v>0</v>
      </c>
      <c r="J2680" s="115">
        <v>440</v>
      </c>
      <c r="K2680" s="115">
        <v>137</v>
      </c>
    </row>
    <row r="2681" spans="1:11" x14ac:dyDescent="0.25">
      <c r="B2681" s="115" t="s">
        <v>1241</v>
      </c>
      <c r="D2681" s="115" t="s">
        <v>9918</v>
      </c>
      <c r="E2681" s="115" t="s">
        <v>3120</v>
      </c>
      <c r="F2681" s="115">
        <v>0</v>
      </c>
      <c r="G2681" s="115">
        <v>-943</v>
      </c>
      <c r="H2681" s="115">
        <v>0</v>
      </c>
      <c r="I2681" s="115">
        <v>0</v>
      </c>
      <c r="J2681" s="115">
        <v>0</v>
      </c>
      <c r="K2681" s="115">
        <v>0</v>
      </c>
    </row>
    <row r="2682" spans="1:11" x14ac:dyDescent="0.25">
      <c r="B2682" s="115" t="s">
        <v>3121</v>
      </c>
      <c r="D2682" s="115" t="s">
        <v>9919</v>
      </c>
      <c r="E2682" s="115" t="s">
        <v>3122</v>
      </c>
      <c r="F2682" s="115">
        <v>0</v>
      </c>
      <c r="G2682" s="115">
        <v>-91</v>
      </c>
      <c r="H2682" s="115">
        <v>-552</v>
      </c>
      <c r="I2682" s="115">
        <v>0</v>
      </c>
      <c r="J2682" s="115">
        <v>-643</v>
      </c>
      <c r="K2682" s="115">
        <v>4230</v>
      </c>
    </row>
    <row r="2683" spans="1:11" x14ac:dyDescent="0.25">
      <c r="B2683" s="115" t="s">
        <v>3123</v>
      </c>
      <c r="D2683" s="115" t="s">
        <v>9920</v>
      </c>
      <c r="E2683" s="115" t="s">
        <v>1242</v>
      </c>
      <c r="F2683" s="115">
        <v>-636</v>
      </c>
      <c r="G2683" s="115">
        <v>0</v>
      </c>
      <c r="H2683" s="115">
        <v>0</v>
      </c>
      <c r="I2683" s="115">
        <v>0</v>
      </c>
      <c r="J2683" s="115">
        <v>0</v>
      </c>
      <c r="K2683" s="115">
        <v>0</v>
      </c>
    </row>
    <row r="2684" spans="1:11" x14ac:dyDescent="0.25">
      <c r="B2684" s="115" t="s">
        <v>3124</v>
      </c>
      <c r="D2684" s="115" t="s">
        <v>9921</v>
      </c>
      <c r="E2684" s="115" t="s">
        <v>3125</v>
      </c>
      <c r="F2684" s="115">
        <v>-450</v>
      </c>
      <c r="G2684" s="115">
        <v>0</v>
      </c>
      <c r="H2684" s="115">
        <v>456</v>
      </c>
      <c r="I2684" s="115">
        <v>2123</v>
      </c>
      <c r="J2684" s="115">
        <v>231</v>
      </c>
      <c r="K2684" s="115">
        <v>-35</v>
      </c>
    </row>
    <row r="2685" spans="1:11" x14ac:dyDescent="0.25">
      <c r="A2685" s="115">
        <v>1</v>
      </c>
      <c r="B2685" s="115" t="s">
        <v>1323</v>
      </c>
      <c r="C2685" s="115" t="s">
        <v>1239</v>
      </c>
      <c r="D2685" s="115" t="s">
        <v>9922</v>
      </c>
      <c r="E2685" s="115" t="s">
        <v>3126</v>
      </c>
      <c r="F2685" s="115">
        <v>-439</v>
      </c>
      <c r="G2685" s="115">
        <v>-16</v>
      </c>
      <c r="H2685" s="115">
        <v>0</v>
      </c>
      <c r="I2685" s="115">
        <v>266</v>
      </c>
      <c r="J2685" s="115">
        <v>-1330</v>
      </c>
      <c r="K2685" s="115">
        <v>0</v>
      </c>
    </row>
    <row r="2686" spans="1:11" x14ac:dyDescent="0.25">
      <c r="B2686" s="115" t="s">
        <v>1241</v>
      </c>
      <c r="D2686" s="115" t="s">
        <v>9923</v>
      </c>
      <c r="E2686" s="115" t="s">
        <v>3127</v>
      </c>
      <c r="F2686" s="115">
        <v>0</v>
      </c>
      <c r="G2686" s="115">
        <v>788</v>
      </c>
      <c r="H2686" s="115">
        <v>-220</v>
      </c>
      <c r="I2686" s="115">
        <v>-51</v>
      </c>
      <c r="J2686" s="115">
        <v>-267</v>
      </c>
      <c r="K2686" s="115">
        <v>0</v>
      </c>
    </row>
    <row r="2687" spans="1:11" x14ac:dyDescent="0.25">
      <c r="B2687" s="115" t="s">
        <v>1241</v>
      </c>
      <c r="D2687" s="115" t="s">
        <v>9924</v>
      </c>
      <c r="E2687" s="115" t="s">
        <v>3128</v>
      </c>
      <c r="F2687" s="115">
        <v>-220</v>
      </c>
      <c r="G2687" s="115">
        <v>0</v>
      </c>
      <c r="H2687" s="115">
        <v>186</v>
      </c>
      <c r="I2687" s="115">
        <v>165</v>
      </c>
      <c r="J2687" s="115">
        <v>12</v>
      </c>
      <c r="K2687" s="115">
        <v>0</v>
      </c>
    </row>
    <row r="2688" spans="1:11" x14ac:dyDescent="0.25">
      <c r="B2688" s="115" t="s">
        <v>3129</v>
      </c>
      <c r="D2688" s="115" t="s">
        <v>9925</v>
      </c>
      <c r="E2688" s="115" t="s">
        <v>3130</v>
      </c>
      <c r="F2688" s="115">
        <v>2103</v>
      </c>
      <c r="G2688" s="115">
        <v>454</v>
      </c>
      <c r="H2688" s="115">
        <v>-2100</v>
      </c>
      <c r="I2688" s="115">
        <v>-979</v>
      </c>
      <c r="J2688" s="115">
        <v>0</v>
      </c>
      <c r="K2688" s="115">
        <v>-343</v>
      </c>
    </row>
    <row r="2689" spans="1:11" x14ac:dyDescent="0.25">
      <c r="B2689" s="115" t="s">
        <v>1241</v>
      </c>
      <c r="C2689" s="115" t="s">
        <v>1239</v>
      </c>
      <c r="D2689" s="115" t="s">
        <v>9926</v>
      </c>
      <c r="E2689" s="115" t="s">
        <v>3131</v>
      </c>
      <c r="F2689" s="115">
        <v>0</v>
      </c>
      <c r="G2689" s="115">
        <v>-817</v>
      </c>
      <c r="H2689" s="115">
        <v>0</v>
      </c>
      <c r="I2689" s="115">
        <v>0</v>
      </c>
      <c r="J2689" s="115">
        <v>-385</v>
      </c>
      <c r="K2689" s="115">
        <v>0</v>
      </c>
    </row>
    <row r="2690" spans="1:11" x14ac:dyDescent="0.25">
      <c r="A2690" s="115" t="s">
        <v>1239</v>
      </c>
      <c r="B2690" s="115" t="s">
        <v>3132</v>
      </c>
      <c r="C2690" s="115" t="s">
        <v>1239</v>
      </c>
      <c r="D2690" s="115" t="s">
        <v>9927</v>
      </c>
      <c r="E2690" s="115" t="s">
        <v>3133</v>
      </c>
      <c r="F2690" s="115">
        <v>0</v>
      </c>
      <c r="G2690" s="115">
        <v>0</v>
      </c>
      <c r="H2690" s="115">
        <v>0</v>
      </c>
      <c r="I2690" s="115">
        <v>0</v>
      </c>
      <c r="J2690" s="115">
        <v>128</v>
      </c>
      <c r="K2690" s="115">
        <v>0</v>
      </c>
    </row>
    <row r="2691" spans="1:11" x14ac:dyDescent="0.25">
      <c r="B2691" s="115" t="s">
        <v>3134</v>
      </c>
      <c r="D2691" s="115" t="s">
        <v>9928</v>
      </c>
      <c r="E2691" s="115" t="s">
        <v>3135</v>
      </c>
      <c r="F2691" s="115">
        <v>792</v>
      </c>
      <c r="G2691" s="115">
        <v>3027</v>
      </c>
      <c r="H2691" s="115">
        <v>-184</v>
      </c>
      <c r="I2691" s="115">
        <v>0</v>
      </c>
      <c r="J2691" s="115">
        <v>0</v>
      </c>
      <c r="K2691" s="115">
        <v>0</v>
      </c>
    </row>
    <row r="2692" spans="1:11" x14ac:dyDescent="0.25">
      <c r="A2692" s="115">
        <v>-2</v>
      </c>
      <c r="B2692" s="115" t="s">
        <v>3136</v>
      </c>
      <c r="D2692" s="115" t="s">
        <v>9929</v>
      </c>
      <c r="E2692" s="115" t="s">
        <v>3137</v>
      </c>
      <c r="F2692" s="115">
        <v>191</v>
      </c>
      <c r="G2692" s="115">
        <v>0</v>
      </c>
      <c r="H2692" s="115">
        <v>-714</v>
      </c>
      <c r="I2692" s="115">
        <v>0</v>
      </c>
      <c r="J2692" s="115">
        <v>0</v>
      </c>
      <c r="K2692" s="115">
        <v>74</v>
      </c>
    </row>
    <row r="2693" spans="1:11" x14ac:dyDescent="0.25">
      <c r="B2693" s="115" t="s">
        <v>3138</v>
      </c>
      <c r="D2693" s="115" t="s">
        <v>9930</v>
      </c>
      <c r="E2693" s="115" t="s">
        <v>1242</v>
      </c>
      <c r="F2693" s="115">
        <v>0</v>
      </c>
      <c r="G2693" s="115">
        <v>0</v>
      </c>
      <c r="H2693" s="115">
        <v>0</v>
      </c>
      <c r="I2693" s="115">
        <v>0</v>
      </c>
      <c r="J2693" s="115">
        <v>0</v>
      </c>
      <c r="K2693" s="115">
        <v>0</v>
      </c>
    </row>
    <row r="2694" spans="1:11" x14ac:dyDescent="0.25">
      <c r="B2694" s="115" t="s">
        <v>1241</v>
      </c>
      <c r="D2694" s="115" t="s">
        <v>9931</v>
      </c>
      <c r="E2694" s="115" t="s">
        <v>3139</v>
      </c>
      <c r="F2694" s="115">
        <v>178</v>
      </c>
      <c r="G2694" s="115">
        <v>307</v>
      </c>
      <c r="H2694" s="115">
        <v>-80</v>
      </c>
      <c r="I2694" s="115">
        <v>0</v>
      </c>
      <c r="J2694" s="115">
        <v>-4040</v>
      </c>
      <c r="K2694" s="115">
        <v>14</v>
      </c>
    </row>
    <row r="2695" spans="1:11" x14ac:dyDescent="0.25">
      <c r="B2695" s="115" t="s">
        <v>1241</v>
      </c>
      <c r="D2695" s="115" t="s">
        <v>9932</v>
      </c>
      <c r="E2695" s="115" t="s">
        <v>3140</v>
      </c>
      <c r="F2695" s="115">
        <v>0</v>
      </c>
      <c r="G2695" s="115">
        <v>9039</v>
      </c>
      <c r="H2695" s="115">
        <v>9189</v>
      </c>
      <c r="I2695" s="115">
        <v>1446</v>
      </c>
      <c r="J2695" s="115">
        <v>-2284</v>
      </c>
      <c r="K2695" s="115">
        <v>-5063</v>
      </c>
    </row>
    <row r="2696" spans="1:11" x14ac:dyDescent="0.25">
      <c r="A2696" s="115">
        <v>-6</v>
      </c>
      <c r="B2696" s="115" t="s">
        <v>3141</v>
      </c>
      <c r="D2696" s="115" t="s">
        <v>8710</v>
      </c>
      <c r="E2696" s="115" t="s">
        <v>1242</v>
      </c>
      <c r="F2696" s="115">
        <v>0</v>
      </c>
      <c r="G2696" s="115">
        <v>0</v>
      </c>
      <c r="H2696" s="115">
        <v>0</v>
      </c>
      <c r="I2696" s="115">
        <v>0</v>
      </c>
      <c r="J2696" s="115">
        <v>0</v>
      </c>
      <c r="K2696" s="115">
        <v>0</v>
      </c>
    </row>
    <row r="2697" spans="1:11" x14ac:dyDescent="0.25">
      <c r="B2697" s="115" t="s">
        <v>1241</v>
      </c>
      <c r="D2697" s="115" t="s">
        <v>8710</v>
      </c>
      <c r="E2697" s="115" t="s">
        <v>1242</v>
      </c>
      <c r="F2697" s="115">
        <v>0</v>
      </c>
      <c r="G2697" s="115">
        <v>0</v>
      </c>
      <c r="H2697" s="115">
        <v>0</v>
      </c>
      <c r="I2697" s="115">
        <v>0</v>
      </c>
      <c r="J2697" s="115">
        <v>0</v>
      </c>
      <c r="K2697" s="115">
        <v>0</v>
      </c>
    </row>
    <row r="2698" spans="1:11" x14ac:dyDescent="0.25">
      <c r="B2698" s="115" t="s">
        <v>1241</v>
      </c>
      <c r="D2698" s="115" t="s">
        <v>8710</v>
      </c>
      <c r="E2698" s="115" t="s">
        <v>1242</v>
      </c>
      <c r="F2698" s="115">
        <v>0</v>
      </c>
      <c r="G2698" s="115">
        <v>0</v>
      </c>
      <c r="H2698" s="115">
        <v>0</v>
      </c>
      <c r="I2698" s="115">
        <v>0</v>
      </c>
      <c r="J2698" s="115">
        <v>0</v>
      </c>
      <c r="K2698" s="115">
        <v>0</v>
      </c>
    </row>
    <row r="2699" spans="1:11" x14ac:dyDescent="0.25">
      <c r="B2699" s="115" t="s">
        <v>1241</v>
      </c>
      <c r="D2699" s="115" t="s">
        <v>8710</v>
      </c>
      <c r="E2699" s="115" t="s">
        <v>1242</v>
      </c>
      <c r="F2699" s="115">
        <v>0</v>
      </c>
      <c r="G2699" s="115">
        <v>0</v>
      </c>
      <c r="H2699" s="115">
        <v>0</v>
      </c>
      <c r="I2699" s="115">
        <v>0</v>
      </c>
      <c r="J2699" s="115">
        <v>0</v>
      </c>
      <c r="K2699" s="115">
        <v>0</v>
      </c>
    </row>
    <row r="2700" spans="1:11" x14ac:dyDescent="0.25">
      <c r="B2700" s="115" t="s">
        <v>1241</v>
      </c>
      <c r="D2700" s="115" t="s">
        <v>8710</v>
      </c>
      <c r="E2700" s="115" t="s">
        <v>1242</v>
      </c>
      <c r="F2700" s="115">
        <v>0</v>
      </c>
      <c r="G2700" s="115">
        <v>0</v>
      </c>
      <c r="H2700" s="115">
        <v>0</v>
      </c>
      <c r="I2700" s="115">
        <v>0</v>
      </c>
      <c r="J2700" s="115">
        <v>0</v>
      </c>
      <c r="K2700" s="115">
        <v>0</v>
      </c>
    </row>
    <row r="2701" spans="1:11" x14ac:dyDescent="0.25">
      <c r="B2701" s="115" t="s">
        <v>1241</v>
      </c>
      <c r="D2701" s="115" t="s">
        <v>8710</v>
      </c>
      <c r="E2701" s="115" t="s">
        <v>1242</v>
      </c>
      <c r="F2701" s="115">
        <v>0</v>
      </c>
      <c r="G2701" s="115">
        <v>0</v>
      </c>
      <c r="H2701" s="115">
        <v>0</v>
      </c>
      <c r="I2701" s="115">
        <v>0</v>
      </c>
      <c r="J2701" s="115">
        <v>0</v>
      </c>
      <c r="K2701" s="115">
        <v>0</v>
      </c>
    </row>
    <row r="2702" spans="1:11" x14ac:dyDescent="0.25">
      <c r="B2702" s="115" t="s">
        <v>1241</v>
      </c>
      <c r="D2702" s="115" t="s">
        <v>8710</v>
      </c>
      <c r="E2702" s="115" t="s">
        <v>1242</v>
      </c>
      <c r="F2702" s="115">
        <v>0</v>
      </c>
      <c r="G2702" s="115">
        <v>0</v>
      </c>
      <c r="H2702" s="115">
        <v>0</v>
      </c>
      <c r="I2702" s="115">
        <v>0</v>
      </c>
      <c r="J2702" s="115">
        <v>0</v>
      </c>
      <c r="K2702" s="115">
        <v>0</v>
      </c>
    </row>
    <row r="2703" spans="1:11" x14ac:dyDescent="0.25">
      <c r="B2703" s="115" t="s">
        <v>1241</v>
      </c>
      <c r="D2703" s="115" t="s">
        <v>8710</v>
      </c>
      <c r="E2703" s="115" t="s">
        <v>1242</v>
      </c>
      <c r="F2703" s="115">
        <v>0</v>
      </c>
      <c r="G2703" s="115">
        <v>0</v>
      </c>
      <c r="H2703" s="115">
        <v>0</v>
      </c>
      <c r="I2703" s="115">
        <v>0</v>
      </c>
      <c r="J2703" s="115">
        <v>0</v>
      </c>
      <c r="K2703" s="115">
        <v>0</v>
      </c>
    </row>
    <row r="2704" spans="1:11" x14ac:dyDescent="0.25">
      <c r="B2704" s="115" t="s">
        <v>1241</v>
      </c>
      <c r="D2704" s="115" t="s">
        <v>8710</v>
      </c>
      <c r="E2704" s="115" t="s">
        <v>1242</v>
      </c>
      <c r="F2704" s="115">
        <v>0</v>
      </c>
      <c r="G2704" s="115">
        <v>0</v>
      </c>
      <c r="H2704" s="115">
        <v>0</v>
      </c>
      <c r="I2704" s="115">
        <v>0</v>
      </c>
      <c r="J2704" s="115">
        <v>0</v>
      </c>
      <c r="K2704" s="115">
        <v>0</v>
      </c>
    </row>
    <row r="2705" spans="2:11" x14ac:dyDescent="0.25">
      <c r="B2705" s="115" t="s">
        <v>1241</v>
      </c>
      <c r="D2705" s="115" t="s">
        <v>8710</v>
      </c>
      <c r="E2705" s="115" t="s">
        <v>1242</v>
      </c>
      <c r="F2705" s="115">
        <v>0</v>
      </c>
      <c r="G2705" s="115">
        <v>0</v>
      </c>
      <c r="H2705" s="115">
        <v>0</v>
      </c>
      <c r="I2705" s="115">
        <v>0</v>
      </c>
      <c r="J2705" s="115">
        <v>0</v>
      </c>
      <c r="K2705" s="115">
        <v>0</v>
      </c>
    </row>
    <row r="2706" spans="2:11" x14ac:dyDescent="0.25">
      <c r="B2706" s="115" t="s">
        <v>1241</v>
      </c>
      <c r="D2706" s="115" t="s">
        <v>8710</v>
      </c>
      <c r="E2706" s="115" t="s">
        <v>1242</v>
      </c>
      <c r="F2706" s="115">
        <v>0</v>
      </c>
      <c r="G2706" s="115">
        <v>0</v>
      </c>
      <c r="H2706" s="115">
        <v>0</v>
      </c>
      <c r="I2706" s="115">
        <v>0</v>
      </c>
      <c r="J2706" s="115">
        <v>0</v>
      </c>
      <c r="K2706" s="115">
        <v>0</v>
      </c>
    </row>
    <row r="2707" spans="2:11" x14ac:dyDescent="0.25">
      <c r="B2707" s="115" t="s">
        <v>1241</v>
      </c>
      <c r="D2707" s="115" t="s">
        <v>8710</v>
      </c>
      <c r="E2707" s="115" t="s">
        <v>1242</v>
      </c>
      <c r="F2707" s="115">
        <v>0</v>
      </c>
      <c r="G2707" s="115">
        <v>0</v>
      </c>
      <c r="H2707" s="115">
        <v>0</v>
      </c>
      <c r="I2707" s="115">
        <v>0</v>
      </c>
      <c r="J2707" s="115">
        <v>0</v>
      </c>
      <c r="K2707" s="115">
        <v>0</v>
      </c>
    </row>
    <row r="2708" spans="2:11" x14ac:dyDescent="0.25">
      <c r="B2708" s="115" t="s">
        <v>1241</v>
      </c>
      <c r="D2708" s="115" t="s">
        <v>8710</v>
      </c>
      <c r="E2708" s="115" t="s">
        <v>1242</v>
      </c>
      <c r="F2708" s="115">
        <v>0</v>
      </c>
      <c r="G2708" s="115">
        <v>0</v>
      </c>
      <c r="H2708" s="115">
        <v>0</v>
      </c>
      <c r="I2708" s="115">
        <v>0</v>
      </c>
      <c r="J2708" s="115">
        <v>0</v>
      </c>
      <c r="K2708" s="115">
        <v>0</v>
      </c>
    </row>
    <row r="2709" spans="2:11" x14ac:dyDescent="0.25">
      <c r="B2709" s="115" t="s">
        <v>1241</v>
      </c>
      <c r="D2709" s="115" t="s">
        <v>8710</v>
      </c>
      <c r="E2709" s="115" t="s">
        <v>1242</v>
      </c>
      <c r="F2709" s="115">
        <v>0</v>
      </c>
      <c r="G2709" s="115">
        <v>0</v>
      </c>
      <c r="H2709" s="115">
        <v>0</v>
      </c>
      <c r="I2709" s="115">
        <v>0</v>
      </c>
      <c r="J2709" s="115">
        <v>0</v>
      </c>
      <c r="K2709" s="115">
        <v>0</v>
      </c>
    </row>
    <row r="2710" spans="2:11" x14ac:dyDescent="0.25">
      <c r="B2710" s="115" t="s">
        <v>1241</v>
      </c>
      <c r="D2710" s="115" t="s">
        <v>8710</v>
      </c>
      <c r="E2710" s="115" t="s">
        <v>1242</v>
      </c>
      <c r="F2710" s="115">
        <v>0</v>
      </c>
      <c r="G2710" s="115">
        <v>0</v>
      </c>
      <c r="H2710" s="115">
        <v>0</v>
      </c>
      <c r="I2710" s="115">
        <v>0</v>
      </c>
      <c r="J2710" s="115">
        <v>0</v>
      </c>
      <c r="K2710" s="115">
        <v>0</v>
      </c>
    </row>
    <row r="2711" spans="2:11" x14ac:dyDescent="0.25">
      <c r="B2711" s="115" t="s">
        <v>1241</v>
      </c>
      <c r="D2711" s="115" t="s">
        <v>8710</v>
      </c>
      <c r="E2711" s="115" t="s">
        <v>1242</v>
      </c>
      <c r="F2711" s="115">
        <v>0</v>
      </c>
      <c r="G2711" s="115">
        <v>0</v>
      </c>
      <c r="H2711" s="115">
        <v>0</v>
      </c>
      <c r="I2711" s="115">
        <v>0</v>
      </c>
      <c r="J2711" s="115">
        <v>0</v>
      </c>
      <c r="K2711" s="115">
        <v>0</v>
      </c>
    </row>
    <row r="2712" spans="2:11" x14ac:dyDescent="0.25">
      <c r="B2712" s="115" t="s">
        <v>1241</v>
      </c>
      <c r="D2712" s="115" t="s">
        <v>8710</v>
      </c>
      <c r="E2712" s="115" t="s">
        <v>1242</v>
      </c>
      <c r="F2712" s="115">
        <v>0</v>
      </c>
      <c r="G2712" s="115">
        <v>0</v>
      </c>
      <c r="H2712" s="115">
        <v>0</v>
      </c>
      <c r="I2712" s="115">
        <v>0</v>
      </c>
      <c r="J2712" s="115">
        <v>0</v>
      </c>
      <c r="K2712" s="115">
        <v>0</v>
      </c>
    </row>
    <row r="2713" spans="2:11" x14ac:dyDescent="0.25">
      <c r="B2713" s="115" t="s">
        <v>1241</v>
      </c>
      <c r="D2713" s="115" t="s">
        <v>8710</v>
      </c>
      <c r="E2713" s="115" t="s">
        <v>1242</v>
      </c>
      <c r="F2713" s="115">
        <v>0</v>
      </c>
      <c r="G2713" s="115">
        <v>0</v>
      </c>
      <c r="H2713" s="115">
        <v>0</v>
      </c>
      <c r="I2713" s="115">
        <v>0</v>
      </c>
      <c r="J2713" s="115">
        <v>0</v>
      </c>
      <c r="K2713" s="115">
        <v>0</v>
      </c>
    </row>
    <row r="2714" spans="2:11" x14ac:dyDescent="0.25">
      <c r="B2714" s="115" t="s">
        <v>1241</v>
      </c>
      <c r="D2714" s="115" t="s">
        <v>8710</v>
      </c>
      <c r="E2714" s="115" t="s">
        <v>1242</v>
      </c>
      <c r="F2714" s="115">
        <v>0</v>
      </c>
      <c r="G2714" s="115">
        <v>0</v>
      </c>
      <c r="H2714" s="115">
        <v>0</v>
      </c>
      <c r="I2714" s="115">
        <v>0</v>
      </c>
      <c r="J2714" s="115">
        <v>0</v>
      </c>
      <c r="K2714" s="115">
        <v>0</v>
      </c>
    </row>
    <row r="2715" spans="2:11" x14ac:dyDescent="0.25">
      <c r="B2715" s="115" t="s">
        <v>1241</v>
      </c>
      <c r="D2715" s="115" t="s">
        <v>8710</v>
      </c>
      <c r="E2715" s="115" t="s">
        <v>1242</v>
      </c>
      <c r="F2715" s="115">
        <v>0</v>
      </c>
      <c r="G2715" s="115">
        <v>0</v>
      </c>
      <c r="H2715" s="115">
        <v>0</v>
      </c>
      <c r="I2715" s="115">
        <v>0</v>
      </c>
      <c r="J2715" s="115">
        <v>0</v>
      </c>
      <c r="K2715" s="115">
        <v>0</v>
      </c>
    </row>
    <row r="2716" spans="2:11" x14ac:dyDescent="0.25">
      <c r="B2716" s="115" t="s">
        <v>1241</v>
      </c>
      <c r="D2716" s="115" t="s">
        <v>8710</v>
      </c>
      <c r="E2716" s="115" t="s">
        <v>1242</v>
      </c>
      <c r="F2716" s="115">
        <v>0</v>
      </c>
      <c r="G2716" s="115">
        <v>0</v>
      </c>
      <c r="H2716" s="115">
        <v>0</v>
      </c>
      <c r="I2716" s="115">
        <v>0</v>
      </c>
      <c r="J2716" s="115">
        <v>0</v>
      </c>
      <c r="K2716" s="115">
        <v>0</v>
      </c>
    </row>
    <row r="2717" spans="2:11" x14ac:dyDescent="0.25">
      <c r="B2717" s="115" t="s">
        <v>1241</v>
      </c>
      <c r="D2717" s="115" t="s">
        <v>8710</v>
      </c>
      <c r="E2717" s="115" t="s">
        <v>1242</v>
      </c>
      <c r="F2717" s="115">
        <v>0</v>
      </c>
      <c r="G2717" s="115">
        <v>0</v>
      </c>
      <c r="H2717" s="115">
        <v>0</v>
      </c>
      <c r="I2717" s="115">
        <v>0</v>
      </c>
      <c r="J2717" s="115">
        <v>0</v>
      </c>
      <c r="K2717" s="115">
        <v>0</v>
      </c>
    </row>
    <row r="2718" spans="2:11" x14ac:dyDescent="0.25">
      <c r="B2718" s="115" t="s">
        <v>3142</v>
      </c>
      <c r="D2718" s="115" t="s">
        <v>9933</v>
      </c>
      <c r="E2718" s="115" t="s">
        <v>3143</v>
      </c>
      <c r="F2718" s="115">
        <v>-1144</v>
      </c>
      <c r="G2718" s="115">
        <v>0</v>
      </c>
      <c r="H2718" s="115">
        <v>0</v>
      </c>
      <c r="I2718" s="115">
        <v>67</v>
      </c>
      <c r="J2718" s="115">
        <v>0</v>
      </c>
      <c r="K2718" s="115">
        <v>0</v>
      </c>
    </row>
    <row r="2719" spans="2:11" x14ac:dyDescent="0.25">
      <c r="B2719" s="115" t="s">
        <v>3144</v>
      </c>
      <c r="D2719" s="115" t="s">
        <v>9934</v>
      </c>
      <c r="E2719" s="115" t="s">
        <v>3145</v>
      </c>
      <c r="F2719" s="115">
        <v>0</v>
      </c>
      <c r="G2719" s="115">
        <v>0</v>
      </c>
      <c r="H2719" s="115">
        <v>0</v>
      </c>
      <c r="I2719" s="115">
        <v>0</v>
      </c>
      <c r="J2719" s="115">
        <v>0</v>
      </c>
      <c r="K2719" s="115">
        <v>-75</v>
      </c>
    </row>
    <row r="2720" spans="2:11" x14ac:dyDescent="0.25">
      <c r="B2720" s="115" t="s">
        <v>1241</v>
      </c>
      <c r="D2720" s="115" t="s">
        <v>9935</v>
      </c>
      <c r="E2720" s="115" t="s">
        <v>3146</v>
      </c>
      <c r="F2720" s="115">
        <v>270</v>
      </c>
      <c r="G2720" s="115">
        <v>0</v>
      </c>
      <c r="H2720" s="115">
        <v>434</v>
      </c>
      <c r="I2720" s="115">
        <v>-104</v>
      </c>
      <c r="J2720" s="115">
        <v>315</v>
      </c>
      <c r="K2720" s="115">
        <v>0</v>
      </c>
    </row>
    <row r="2721" spans="1:11" x14ac:dyDescent="0.25">
      <c r="B2721" s="115" t="s">
        <v>3147</v>
      </c>
      <c r="D2721" s="115" t="s">
        <v>9936</v>
      </c>
      <c r="E2721" s="115" t="s">
        <v>3148</v>
      </c>
      <c r="F2721" s="115">
        <v>-407</v>
      </c>
      <c r="G2721" s="115">
        <v>-291</v>
      </c>
      <c r="H2721" s="115">
        <v>0</v>
      </c>
      <c r="I2721" s="115">
        <v>-44</v>
      </c>
      <c r="J2721" s="115">
        <v>0</v>
      </c>
      <c r="K2721" s="115">
        <v>0</v>
      </c>
    </row>
    <row r="2722" spans="1:11" x14ac:dyDescent="0.25">
      <c r="B2722" s="115" t="s">
        <v>1241</v>
      </c>
      <c r="D2722" s="115" t="s">
        <v>9937</v>
      </c>
      <c r="E2722" s="115" t="s">
        <v>3149</v>
      </c>
      <c r="F2722" s="115">
        <v>0</v>
      </c>
      <c r="G2722" s="115">
        <v>0</v>
      </c>
      <c r="H2722" s="115">
        <v>0</v>
      </c>
      <c r="I2722" s="115">
        <v>-246</v>
      </c>
      <c r="J2722" s="115">
        <v>0</v>
      </c>
      <c r="K2722" s="115">
        <v>-76</v>
      </c>
    </row>
    <row r="2723" spans="1:11" x14ac:dyDescent="0.25">
      <c r="B2723" s="115" t="s">
        <v>1241</v>
      </c>
      <c r="D2723" s="115" t="s">
        <v>9938</v>
      </c>
      <c r="E2723" s="115" t="s">
        <v>3150</v>
      </c>
      <c r="F2723" s="115">
        <v>0</v>
      </c>
      <c r="G2723" s="115">
        <v>-150</v>
      </c>
      <c r="H2723" s="115">
        <v>0</v>
      </c>
      <c r="I2723" s="115">
        <v>293</v>
      </c>
      <c r="J2723" s="115">
        <v>135</v>
      </c>
      <c r="K2723" s="115">
        <v>0</v>
      </c>
    </row>
    <row r="2724" spans="1:11" x14ac:dyDescent="0.25">
      <c r="B2724" s="115" t="s">
        <v>3151</v>
      </c>
      <c r="D2724" s="115" t="s">
        <v>9939</v>
      </c>
      <c r="E2724" s="115" t="s">
        <v>3152</v>
      </c>
      <c r="F2724" s="115">
        <v>-136</v>
      </c>
      <c r="G2724" s="115">
        <v>0</v>
      </c>
      <c r="H2724" s="115">
        <v>0</v>
      </c>
      <c r="I2724" s="115">
        <v>0</v>
      </c>
      <c r="J2724" s="115">
        <v>0</v>
      </c>
      <c r="K2724" s="115">
        <v>333</v>
      </c>
    </row>
    <row r="2725" spans="1:11" x14ac:dyDescent="0.25">
      <c r="A2725" s="115" t="s">
        <v>1239</v>
      </c>
      <c r="B2725" s="115" t="s">
        <v>3153</v>
      </c>
      <c r="D2725" s="115" t="s">
        <v>9940</v>
      </c>
      <c r="E2725" s="115" t="s">
        <v>3154</v>
      </c>
      <c r="F2725" s="115">
        <v>58</v>
      </c>
      <c r="G2725" s="115">
        <v>-543</v>
      </c>
      <c r="H2725" s="115">
        <v>0</v>
      </c>
      <c r="I2725" s="115">
        <v>433</v>
      </c>
      <c r="J2725" s="115">
        <v>272</v>
      </c>
      <c r="K2725" s="115">
        <v>-456</v>
      </c>
    </row>
    <row r="2726" spans="1:11" x14ac:dyDescent="0.25">
      <c r="A2726" s="115">
        <v>4</v>
      </c>
      <c r="B2726" s="115" t="s">
        <v>3155</v>
      </c>
      <c r="D2726" s="115" t="s">
        <v>9941</v>
      </c>
      <c r="E2726" s="115" t="s">
        <v>3156</v>
      </c>
      <c r="F2726" s="115">
        <v>0</v>
      </c>
      <c r="G2726" s="115">
        <v>0</v>
      </c>
      <c r="H2726" s="115">
        <v>0</v>
      </c>
      <c r="I2726" s="115">
        <v>0</v>
      </c>
      <c r="J2726" s="115">
        <v>0</v>
      </c>
      <c r="K2726" s="115">
        <v>-189</v>
      </c>
    </row>
    <row r="2727" spans="1:11" x14ac:dyDescent="0.25">
      <c r="B2727" s="115" t="s">
        <v>3157</v>
      </c>
      <c r="D2727" s="115" t="s">
        <v>9942</v>
      </c>
      <c r="E2727" s="115" t="s">
        <v>3158</v>
      </c>
      <c r="F2727" s="115">
        <v>0</v>
      </c>
      <c r="G2727" s="115">
        <v>585</v>
      </c>
      <c r="H2727" s="115">
        <v>1113</v>
      </c>
      <c r="I2727" s="115">
        <v>771</v>
      </c>
      <c r="J2727" s="115">
        <v>93</v>
      </c>
      <c r="K2727" s="115">
        <v>690</v>
      </c>
    </row>
    <row r="2728" spans="1:11" x14ac:dyDescent="0.25">
      <c r="B2728" s="115" t="s">
        <v>3159</v>
      </c>
      <c r="D2728" s="115" t="s">
        <v>9943</v>
      </c>
      <c r="E2728" s="115" t="s">
        <v>3160</v>
      </c>
      <c r="F2728" s="115">
        <v>36</v>
      </c>
      <c r="G2728" s="115">
        <v>0</v>
      </c>
      <c r="H2728" s="115">
        <v>108</v>
      </c>
      <c r="I2728" s="115">
        <v>-499</v>
      </c>
      <c r="J2728" s="115">
        <v>0</v>
      </c>
      <c r="K2728" s="115">
        <v>0</v>
      </c>
    </row>
    <row r="2729" spans="1:11" x14ac:dyDescent="0.25">
      <c r="B2729" s="115" t="s">
        <v>3161</v>
      </c>
      <c r="D2729" s="115" t="s">
        <v>9944</v>
      </c>
      <c r="E2729" s="115" t="s">
        <v>3162</v>
      </c>
      <c r="F2729" s="115">
        <v>7074</v>
      </c>
      <c r="G2729" s="115">
        <v>-162</v>
      </c>
      <c r="H2729" s="115">
        <v>-45</v>
      </c>
      <c r="I2729" s="115">
        <v>-225</v>
      </c>
      <c r="J2729" s="115">
        <v>0</v>
      </c>
      <c r="K2729" s="115">
        <v>0</v>
      </c>
    </row>
    <row r="2730" spans="1:11" x14ac:dyDescent="0.25">
      <c r="B2730" s="115" t="s">
        <v>1241</v>
      </c>
      <c r="D2730" s="115" t="s">
        <v>9945</v>
      </c>
      <c r="E2730" s="115" t="s">
        <v>3163</v>
      </c>
      <c r="F2730" s="115">
        <v>0</v>
      </c>
      <c r="G2730" s="115">
        <v>163</v>
      </c>
      <c r="H2730" s="115">
        <v>108</v>
      </c>
      <c r="I2730" s="115">
        <v>233</v>
      </c>
      <c r="J2730" s="115">
        <v>0</v>
      </c>
      <c r="K2730" s="115">
        <v>435</v>
      </c>
    </row>
    <row r="2731" spans="1:11" x14ac:dyDescent="0.25">
      <c r="A2731" s="115">
        <v>1</v>
      </c>
      <c r="B2731" s="115" t="s">
        <v>3164</v>
      </c>
      <c r="D2731" s="115" t="s">
        <v>9946</v>
      </c>
      <c r="E2731" s="115" t="s">
        <v>3165</v>
      </c>
      <c r="F2731" s="115">
        <v>348</v>
      </c>
      <c r="G2731" s="115">
        <v>-1388</v>
      </c>
      <c r="H2731" s="115">
        <v>-761</v>
      </c>
      <c r="I2731" s="115">
        <v>0</v>
      </c>
      <c r="J2731" s="115">
        <v>-259</v>
      </c>
      <c r="K2731" s="115">
        <v>0</v>
      </c>
    </row>
    <row r="2732" spans="1:11" x14ac:dyDescent="0.25">
      <c r="B2732" s="115" t="s">
        <v>3166</v>
      </c>
      <c r="D2732" s="115" t="s">
        <v>9947</v>
      </c>
      <c r="E2732" s="115" t="s">
        <v>3167</v>
      </c>
      <c r="F2732" s="115">
        <v>-700</v>
      </c>
      <c r="G2732" s="115">
        <v>0</v>
      </c>
      <c r="H2732" s="115">
        <v>0</v>
      </c>
      <c r="I2732" s="115">
        <v>788</v>
      </c>
      <c r="J2732" s="115">
        <v>0</v>
      </c>
      <c r="K2732" s="115">
        <v>-535</v>
      </c>
    </row>
    <row r="2733" spans="1:11" x14ac:dyDescent="0.25">
      <c r="A2733" s="115" t="s">
        <v>1239</v>
      </c>
      <c r="B2733" s="115" t="s">
        <v>3168</v>
      </c>
      <c r="D2733" s="115" t="s">
        <v>9948</v>
      </c>
      <c r="E2733" s="115" t="s">
        <v>3169</v>
      </c>
      <c r="F2733" s="115">
        <v>0</v>
      </c>
      <c r="G2733" s="115">
        <v>0</v>
      </c>
      <c r="H2733" s="115">
        <v>0</v>
      </c>
      <c r="I2733" s="115">
        <v>-268</v>
      </c>
      <c r="J2733" s="115">
        <v>0</v>
      </c>
      <c r="K2733" s="115">
        <v>215</v>
      </c>
    </row>
    <row r="2734" spans="1:11" x14ac:dyDescent="0.25">
      <c r="B2734" s="115" t="s">
        <v>3170</v>
      </c>
      <c r="D2734" s="115" t="s">
        <v>9949</v>
      </c>
      <c r="E2734" s="115" t="s">
        <v>3171</v>
      </c>
      <c r="F2734" s="115">
        <v>1655</v>
      </c>
      <c r="G2734" s="115">
        <v>-279</v>
      </c>
      <c r="H2734" s="115">
        <v>0</v>
      </c>
      <c r="I2734" s="115">
        <v>0</v>
      </c>
      <c r="J2734" s="115">
        <v>0</v>
      </c>
      <c r="K2734" s="115">
        <v>-1400</v>
      </c>
    </row>
    <row r="2735" spans="1:11" x14ac:dyDescent="0.25">
      <c r="A2735" s="115">
        <v>-1</v>
      </c>
      <c r="B2735" s="115" t="s">
        <v>3172</v>
      </c>
      <c r="D2735" s="115" t="s">
        <v>9950</v>
      </c>
      <c r="E2735" s="115" t="s">
        <v>3173</v>
      </c>
      <c r="F2735" s="115">
        <v>0</v>
      </c>
      <c r="G2735" s="115">
        <v>-279</v>
      </c>
      <c r="H2735" s="115">
        <v>0</v>
      </c>
      <c r="I2735" s="115">
        <v>0</v>
      </c>
      <c r="J2735" s="115">
        <v>-13</v>
      </c>
      <c r="K2735" s="115">
        <v>0</v>
      </c>
    </row>
    <row r="2736" spans="1:11" x14ac:dyDescent="0.25">
      <c r="A2736" s="115" t="s">
        <v>1239</v>
      </c>
      <c r="B2736" s="115" t="s">
        <v>3174</v>
      </c>
      <c r="C2736" s="115" t="s">
        <v>1239</v>
      </c>
      <c r="D2736" s="115" t="s">
        <v>9951</v>
      </c>
      <c r="E2736" s="115" t="s">
        <v>1242</v>
      </c>
      <c r="F2736" s="115">
        <v>0</v>
      </c>
      <c r="G2736" s="115">
        <v>0</v>
      </c>
      <c r="H2736" s="115">
        <v>0</v>
      </c>
      <c r="I2736" s="115">
        <v>0</v>
      </c>
      <c r="J2736" s="115">
        <v>0</v>
      </c>
      <c r="K2736" s="115">
        <v>0</v>
      </c>
    </row>
    <row r="2737" spans="2:11" x14ac:dyDescent="0.25">
      <c r="B2737" s="115" t="s">
        <v>3175</v>
      </c>
      <c r="D2737" s="115" t="s">
        <v>9952</v>
      </c>
      <c r="E2737" s="115" t="s">
        <v>3176</v>
      </c>
      <c r="F2737" s="115">
        <v>97</v>
      </c>
      <c r="G2737" s="115">
        <v>497</v>
      </c>
      <c r="H2737" s="115">
        <v>0</v>
      </c>
      <c r="I2737" s="115">
        <v>-2917</v>
      </c>
      <c r="J2737" s="115">
        <v>-355</v>
      </c>
      <c r="K2737" s="115">
        <v>0</v>
      </c>
    </row>
    <row r="2738" spans="2:11" x14ac:dyDescent="0.25">
      <c r="B2738" s="115" t="s">
        <v>1241</v>
      </c>
      <c r="D2738" s="115" t="s">
        <v>9953</v>
      </c>
      <c r="E2738" s="115" t="s">
        <v>3177</v>
      </c>
      <c r="F2738" s="115">
        <v>6068</v>
      </c>
      <c r="G2738" s="115">
        <v>5952</v>
      </c>
      <c r="H2738" s="115">
        <v>1260</v>
      </c>
      <c r="I2738" s="115">
        <v>-1028</v>
      </c>
      <c r="J2738" s="115">
        <v>-2670</v>
      </c>
      <c r="K2738" s="115">
        <v>-2325</v>
      </c>
    </row>
    <row r="2739" spans="2:11" x14ac:dyDescent="0.25">
      <c r="B2739" s="115" t="s">
        <v>1241</v>
      </c>
      <c r="D2739" s="115" t="s">
        <v>9954</v>
      </c>
      <c r="E2739" s="115" t="s">
        <v>1242</v>
      </c>
      <c r="F2739" s="115">
        <v>14457</v>
      </c>
      <c r="G2739" s="115">
        <v>0</v>
      </c>
      <c r="H2739" s="115">
        <v>0</v>
      </c>
      <c r="I2739" s="115">
        <v>0</v>
      </c>
      <c r="J2739" s="115">
        <v>0</v>
      </c>
      <c r="K2739" s="115">
        <v>0</v>
      </c>
    </row>
    <row r="2740" spans="2:11" x14ac:dyDescent="0.25">
      <c r="B2740" s="115" t="s">
        <v>1241</v>
      </c>
      <c r="D2740" s="115" t="s">
        <v>8710</v>
      </c>
      <c r="E2740" s="115" t="s">
        <v>1242</v>
      </c>
      <c r="F2740" s="115">
        <v>0</v>
      </c>
      <c r="G2740" s="115">
        <v>0</v>
      </c>
      <c r="H2740" s="115">
        <v>0</v>
      </c>
      <c r="I2740" s="115">
        <v>0</v>
      </c>
      <c r="J2740" s="115">
        <v>0</v>
      </c>
      <c r="K2740" s="115">
        <v>0</v>
      </c>
    </row>
    <row r="2741" spans="2:11" x14ac:dyDescent="0.25">
      <c r="B2741" s="115" t="s">
        <v>1241</v>
      </c>
      <c r="D2741" s="115" t="s">
        <v>8710</v>
      </c>
      <c r="E2741" s="115" t="s">
        <v>1242</v>
      </c>
      <c r="F2741" s="115">
        <v>0</v>
      </c>
      <c r="G2741" s="115">
        <v>0</v>
      </c>
      <c r="H2741" s="115">
        <v>0</v>
      </c>
      <c r="I2741" s="115">
        <v>0</v>
      </c>
      <c r="J2741" s="115">
        <v>0</v>
      </c>
      <c r="K2741" s="115">
        <v>0</v>
      </c>
    </row>
    <row r="2742" spans="2:11" x14ac:dyDescent="0.25">
      <c r="B2742" s="115" t="s">
        <v>1241</v>
      </c>
      <c r="D2742" s="115" t="s">
        <v>8710</v>
      </c>
      <c r="E2742" s="115" t="s">
        <v>1242</v>
      </c>
      <c r="F2742" s="115">
        <v>0</v>
      </c>
      <c r="G2742" s="115">
        <v>0</v>
      </c>
      <c r="H2742" s="115">
        <v>0</v>
      </c>
      <c r="I2742" s="115">
        <v>0</v>
      </c>
      <c r="J2742" s="115">
        <v>0</v>
      </c>
      <c r="K2742" s="115">
        <v>0</v>
      </c>
    </row>
    <row r="2743" spans="2:11" x14ac:dyDescent="0.25">
      <c r="B2743" s="115" t="s">
        <v>1241</v>
      </c>
      <c r="D2743" s="115" t="s">
        <v>8710</v>
      </c>
      <c r="E2743" s="115" t="s">
        <v>1242</v>
      </c>
      <c r="F2743" s="115">
        <v>0</v>
      </c>
      <c r="G2743" s="115">
        <v>0</v>
      </c>
      <c r="H2743" s="115">
        <v>0</v>
      </c>
      <c r="I2743" s="115">
        <v>0</v>
      </c>
      <c r="J2743" s="115">
        <v>0</v>
      </c>
      <c r="K2743" s="115">
        <v>0</v>
      </c>
    </row>
    <row r="2744" spans="2:11" x14ac:dyDescent="0.25">
      <c r="B2744" s="115" t="s">
        <v>1241</v>
      </c>
      <c r="D2744" s="115" t="s">
        <v>8710</v>
      </c>
      <c r="E2744" s="115" t="s">
        <v>1242</v>
      </c>
      <c r="F2744" s="115">
        <v>0</v>
      </c>
      <c r="G2744" s="115">
        <v>0</v>
      </c>
      <c r="H2744" s="115">
        <v>0</v>
      </c>
      <c r="I2744" s="115">
        <v>0</v>
      </c>
      <c r="J2744" s="115">
        <v>0</v>
      </c>
      <c r="K2744" s="115">
        <v>0</v>
      </c>
    </row>
    <row r="2745" spans="2:11" x14ac:dyDescent="0.25">
      <c r="B2745" s="115" t="s">
        <v>1241</v>
      </c>
      <c r="D2745" s="115" t="s">
        <v>8710</v>
      </c>
      <c r="E2745" s="115" t="s">
        <v>1242</v>
      </c>
      <c r="F2745" s="115">
        <v>0</v>
      </c>
      <c r="G2745" s="115">
        <v>0</v>
      </c>
      <c r="H2745" s="115">
        <v>0</v>
      </c>
      <c r="I2745" s="115">
        <v>0</v>
      </c>
      <c r="J2745" s="115">
        <v>0</v>
      </c>
      <c r="K2745" s="115">
        <v>0</v>
      </c>
    </row>
    <row r="2746" spans="2:11" x14ac:dyDescent="0.25">
      <c r="B2746" s="115" t="s">
        <v>1241</v>
      </c>
      <c r="D2746" s="115" t="s">
        <v>8710</v>
      </c>
      <c r="E2746" s="115" t="s">
        <v>1242</v>
      </c>
      <c r="F2746" s="115">
        <v>0</v>
      </c>
      <c r="G2746" s="115">
        <v>0</v>
      </c>
      <c r="H2746" s="115">
        <v>0</v>
      </c>
      <c r="I2746" s="115">
        <v>0</v>
      </c>
      <c r="J2746" s="115">
        <v>0</v>
      </c>
      <c r="K2746" s="115">
        <v>0</v>
      </c>
    </row>
    <row r="2747" spans="2:11" x14ac:dyDescent="0.25">
      <c r="B2747" s="115" t="s">
        <v>1241</v>
      </c>
      <c r="D2747" s="115" t="s">
        <v>8710</v>
      </c>
      <c r="E2747" s="115" t="s">
        <v>1242</v>
      </c>
      <c r="F2747" s="115">
        <v>0</v>
      </c>
      <c r="G2747" s="115">
        <v>0</v>
      </c>
      <c r="H2747" s="115">
        <v>0</v>
      </c>
      <c r="I2747" s="115">
        <v>0</v>
      </c>
      <c r="J2747" s="115">
        <v>0</v>
      </c>
      <c r="K2747" s="115">
        <v>0</v>
      </c>
    </row>
    <row r="2748" spans="2:11" x14ac:dyDescent="0.25">
      <c r="B2748" s="115" t="s">
        <v>1241</v>
      </c>
      <c r="D2748" s="115" t="s">
        <v>8710</v>
      </c>
      <c r="E2748" s="115" t="s">
        <v>1242</v>
      </c>
      <c r="F2748" s="115">
        <v>0</v>
      </c>
      <c r="G2748" s="115">
        <v>0</v>
      </c>
      <c r="H2748" s="115">
        <v>0</v>
      </c>
      <c r="I2748" s="115">
        <v>0</v>
      </c>
      <c r="J2748" s="115">
        <v>0</v>
      </c>
      <c r="K2748" s="115">
        <v>0</v>
      </c>
    </row>
    <row r="2749" spans="2:11" x14ac:dyDescent="0.25">
      <c r="B2749" s="115" t="s">
        <v>1241</v>
      </c>
      <c r="D2749" s="115" t="s">
        <v>8710</v>
      </c>
      <c r="E2749" s="115" t="s">
        <v>1242</v>
      </c>
      <c r="F2749" s="115">
        <v>0</v>
      </c>
      <c r="G2749" s="115">
        <v>0</v>
      </c>
      <c r="H2749" s="115">
        <v>0</v>
      </c>
      <c r="I2749" s="115">
        <v>0</v>
      </c>
      <c r="J2749" s="115">
        <v>0</v>
      </c>
      <c r="K2749" s="115">
        <v>0</v>
      </c>
    </row>
    <row r="2750" spans="2:11" x14ac:dyDescent="0.25">
      <c r="B2750" s="115" t="s">
        <v>1241</v>
      </c>
      <c r="D2750" s="115" t="s">
        <v>8710</v>
      </c>
      <c r="E2750" s="115" t="s">
        <v>1242</v>
      </c>
      <c r="F2750" s="115">
        <v>0</v>
      </c>
      <c r="G2750" s="115">
        <v>0</v>
      </c>
      <c r="H2750" s="115">
        <v>0</v>
      </c>
      <c r="I2750" s="115">
        <v>0</v>
      </c>
      <c r="J2750" s="115">
        <v>0</v>
      </c>
      <c r="K2750" s="115">
        <v>0</v>
      </c>
    </row>
    <row r="2751" spans="2:11" x14ac:dyDescent="0.25">
      <c r="B2751" s="115" t="s">
        <v>1241</v>
      </c>
      <c r="D2751" s="115" t="s">
        <v>8710</v>
      </c>
      <c r="E2751" s="115" t="s">
        <v>1242</v>
      </c>
      <c r="F2751" s="115">
        <v>0</v>
      </c>
      <c r="G2751" s="115">
        <v>0</v>
      </c>
      <c r="H2751" s="115">
        <v>0</v>
      </c>
      <c r="I2751" s="115">
        <v>0</v>
      </c>
      <c r="J2751" s="115">
        <v>0</v>
      </c>
      <c r="K2751" s="115">
        <v>0</v>
      </c>
    </row>
    <row r="2752" spans="2:11" x14ac:dyDescent="0.25">
      <c r="B2752" s="115" t="s">
        <v>1241</v>
      </c>
      <c r="D2752" s="115" t="s">
        <v>8710</v>
      </c>
      <c r="E2752" s="115" t="s">
        <v>1242</v>
      </c>
      <c r="F2752" s="115">
        <v>0</v>
      </c>
      <c r="G2752" s="115">
        <v>0</v>
      </c>
      <c r="H2752" s="115">
        <v>0</v>
      </c>
      <c r="I2752" s="115">
        <v>0</v>
      </c>
      <c r="J2752" s="115">
        <v>0</v>
      </c>
      <c r="K2752" s="115">
        <v>0</v>
      </c>
    </row>
    <row r="2753" spans="2:11" x14ac:dyDescent="0.25">
      <c r="B2753" s="115" t="s">
        <v>1241</v>
      </c>
      <c r="D2753" s="115" t="s">
        <v>8710</v>
      </c>
      <c r="E2753" s="115" t="s">
        <v>1242</v>
      </c>
      <c r="F2753" s="115">
        <v>0</v>
      </c>
      <c r="G2753" s="115">
        <v>0</v>
      </c>
      <c r="H2753" s="115">
        <v>0</v>
      </c>
      <c r="I2753" s="115">
        <v>0</v>
      </c>
      <c r="J2753" s="115">
        <v>0</v>
      </c>
      <c r="K2753" s="115">
        <v>0</v>
      </c>
    </row>
    <row r="2754" spans="2:11" x14ac:dyDescent="0.25">
      <c r="B2754" s="115" t="s">
        <v>1241</v>
      </c>
      <c r="D2754" s="115" t="s">
        <v>8710</v>
      </c>
      <c r="E2754" s="115" t="s">
        <v>1242</v>
      </c>
      <c r="F2754" s="115">
        <v>0</v>
      </c>
      <c r="G2754" s="115">
        <v>0</v>
      </c>
      <c r="H2754" s="115">
        <v>0</v>
      </c>
      <c r="I2754" s="115">
        <v>0</v>
      </c>
      <c r="J2754" s="115">
        <v>0</v>
      </c>
      <c r="K2754" s="115">
        <v>0</v>
      </c>
    </row>
    <row r="2755" spans="2:11" x14ac:dyDescent="0.25">
      <c r="B2755" s="115" t="s">
        <v>1241</v>
      </c>
      <c r="D2755" s="115" t="s">
        <v>8710</v>
      </c>
      <c r="E2755" s="115" t="s">
        <v>1242</v>
      </c>
      <c r="F2755" s="115">
        <v>0</v>
      </c>
      <c r="G2755" s="115">
        <v>0</v>
      </c>
      <c r="H2755" s="115">
        <v>0</v>
      </c>
      <c r="I2755" s="115">
        <v>0</v>
      </c>
      <c r="J2755" s="115">
        <v>0</v>
      </c>
      <c r="K2755" s="115">
        <v>0</v>
      </c>
    </row>
    <row r="2756" spans="2:11" x14ac:dyDescent="0.25">
      <c r="B2756" s="115" t="s">
        <v>1241</v>
      </c>
      <c r="D2756" s="115" t="s">
        <v>8710</v>
      </c>
      <c r="E2756" s="115" t="s">
        <v>1242</v>
      </c>
      <c r="F2756" s="115">
        <v>0</v>
      </c>
      <c r="G2756" s="115">
        <v>0</v>
      </c>
      <c r="H2756" s="115">
        <v>0</v>
      </c>
      <c r="I2756" s="115">
        <v>0</v>
      </c>
      <c r="J2756" s="115">
        <v>0</v>
      </c>
      <c r="K2756" s="115">
        <v>0</v>
      </c>
    </row>
    <row r="2757" spans="2:11" x14ac:dyDescent="0.25">
      <c r="B2757" s="115" t="s">
        <v>1241</v>
      </c>
      <c r="D2757" s="115" t="s">
        <v>8710</v>
      </c>
      <c r="E2757" s="115" t="s">
        <v>1242</v>
      </c>
      <c r="F2757" s="115">
        <v>0</v>
      </c>
      <c r="G2757" s="115">
        <v>0</v>
      </c>
      <c r="H2757" s="115">
        <v>0</v>
      </c>
      <c r="I2757" s="115">
        <v>0</v>
      </c>
      <c r="J2757" s="115">
        <v>0</v>
      </c>
      <c r="K2757" s="115">
        <v>0</v>
      </c>
    </row>
    <row r="2758" spans="2:11" x14ac:dyDescent="0.25">
      <c r="B2758" s="115" t="s">
        <v>1241</v>
      </c>
      <c r="D2758" s="115" t="s">
        <v>8710</v>
      </c>
      <c r="E2758" s="115" t="s">
        <v>1242</v>
      </c>
      <c r="F2758" s="115">
        <v>0</v>
      </c>
      <c r="G2758" s="115">
        <v>0</v>
      </c>
      <c r="H2758" s="115">
        <v>0</v>
      </c>
      <c r="I2758" s="115">
        <v>0</v>
      </c>
      <c r="J2758" s="115">
        <v>0</v>
      </c>
      <c r="K2758" s="115">
        <v>0</v>
      </c>
    </row>
    <row r="2759" spans="2:11" x14ac:dyDescent="0.25">
      <c r="B2759" s="115" t="s">
        <v>1241</v>
      </c>
      <c r="D2759" s="115" t="s">
        <v>8710</v>
      </c>
      <c r="E2759" s="115" t="s">
        <v>1242</v>
      </c>
      <c r="F2759" s="115">
        <v>0</v>
      </c>
      <c r="G2759" s="115">
        <v>0</v>
      </c>
      <c r="H2759" s="115">
        <v>0</v>
      </c>
      <c r="I2759" s="115">
        <v>0</v>
      </c>
      <c r="J2759" s="115">
        <v>0</v>
      </c>
      <c r="K2759" s="115">
        <v>0</v>
      </c>
    </row>
    <row r="2760" spans="2:11" x14ac:dyDescent="0.25">
      <c r="B2760" s="115" t="s">
        <v>1241</v>
      </c>
      <c r="D2760" s="115" t="s">
        <v>8710</v>
      </c>
      <c r="E2760" s="115" t="s">
        <v>1242</v>
      </c>
      <c r="F2760" s="115">
        <v>0</v>
      </c>
      <c r="G2760" s="115">
        <v>0</v>
      </c>
      <c r="H2760" s="115">
        <v>0</v>
      </c>
      <c r="I2760" s="115">
        <v>0</v>
      </c>
      <c r="J2760" s="115">
        <v>0</v>
      </c>
      <c r="K2760" s="115">
        <v>0</v>
      </c>
    </row>
    <row r="2761" spans="2:11" x14ac:dyDescent="0.25">
      <c r="B2761" s="115" t="s">
        <v>1241</v>
      </c>
      <c r="D2761" s="115" t="s">
        <v>8710</v>
      </c>
      <c r="E2761" s="115" t="s">
        <v>1242</v>
      </c>
      <c r="F2761" s="115">
        <v>0</v>
      </c>
      <c r="G2761" s="115">
        <v>0</v>
      </c>
      <c r="H2761" s="115">
        <v>0</v>
      </c>
      <c r="I2761" s="115">
        <v>0</v>
      </c>
      <c r="J2761" s="115">
        <v>0</v>
      </c>
      <c r="K2761" s="115">
        <v>0</v>
      </c>
    </row>
    <row r="2762" spans="2:11" x14ac:dyDescent="0.25">
      <c r="B2762" s="115" t="s">
        <v>1241</v>
      </c>
      <c r="D2762" s="115" t="s">
        <v>8710</v>
      </c>
      <c r="E2762" s="115" t="s">
        <v>1242</v>
      </c>
      <c r="F2762" s="115">
        <v>0</v>
      </c>
      <c r="G2762" s="115">
        <v>0</v>
      </c>
      <c r="H2762" s="115">
        <v>0</v>
      </c>
      <c r="I2762" s="115">
        <v>0</v>
      </c>
      <c r="J2762" s="115">
        <v>0</v>
      </c>
      <c r="K2762" s="115">
        <v>0</v>
      </c>
    </row>
    <row r="2763" spans="2:11" x14ac:dyDescent="0.25">
      <c r="B2763" s="115" t="s">
        <v>1241</v>
      </c>
      <c r="D2763" s="115" t="s">
        <v>8710</v>
      </c>
      <c r="E2763" s="115" t="s">
        <v>1242</v>
      </c>
      <c r="F2763" s="115">
        <v>0</v>
      </c>
      <c r="G2763" s="115">
        <v>0</v>
      </c>
      <c r="H2763" s="115">
        <v>0</v>
      </c>
      <c r="I2763" s="115">
        <v>0</v>
      </c>
      <c r="J2763" s="115">
        <v>0</v>
      </c>
      <c r="K2763" s="115">
        <v>0</v>
      </c>
    </row>
    <row r="2764" spans="2:11" x14ac:dyDescent="0.25">
      <c r="B2764" s="115" t="s">
        <v>1241</v>
      </c>
      <c r="D2764" s="115" t="s">
        <v>8710</v>
      </c>
      <c r="E2764" s="115" t="s">
        <v>1242</v>
      </c>
      <c r="F2764" s="115">
        <v>0</v>
      </c>
      <c r="G2764" s="115">
        <v>0</v>
      </c>
      <c r="H2764" s="115">
        <v>0</v>
      </c>
      <c r="I2764" s="115">
        <v>0</v>
      </c>
      <c r="J2764" s="115">
        <v>0</v>
      </c>
      <c r="K2764" s="115">
        <v>0</v>
      </c>
    </row>
    <row r="2765" spans="2:11" x14ac:dyDescent="0.25">
      <c r="B2765" s="115" t="s">
        <v>1241</v>
      </c>
      <c r="D2765" s="115" t="s">
        <v>8710</v>
      </c>
      <c r="E2765" s="115" t="s">
        <v>1242</v>
      </c>
      <c r="F2765" s="115">
        <v>0</v>
      </c>
      <c r="G2765" s="115">
        <v>0</v>
      </c>
      <c r="H2765" s="115">
        <v>0</v>
      </c>
      <c r="I2765" s="115">
        <v>0</v>
      </c>
      <c r="J2765" s="115">
        <v>0</v>
      </c>
      <c r="K2765" s="115">
        <v>0</v>
      </c>
    </row>
    <row r="2766" spans="2:11" x14ac:dyDescent="0.25">
      <c r="B2766" s="115" t="s">
        <v>1241</v>
      </c>
      <c r="D2766" s="115" t="s">
        <v>8710</v>
      </c>
      <c r="E2766" s="115" t="s">
        <v>1242</v>
      </c>
      <c r="F2766" s="115">
        <v>0</v>
      </c>
      <c r="G2766" s="115">
        <v>0</v>
      </c>
      <c r="H2766" s="115">
        <v>0</v>
      </c>
      <c r="I2766" s="115">
        <v>0</v>
      </c>
      <c r="J2766" s="115">
        <v>0</v>
      </c>
      <c r="K2766" s="115">
        <v>0</v>
      </c>
    </row>
    <row r="2767" spans="2:11" x14ac:dyDescent="0.25">
      <c r="B2767" s="115" t="s">
        <v>1241</v>
      </c>
      <c r="D2767" s="115" t="s">
        <v>8710</v>
      </c>
      <c r="E2767" s="115" t="s">
        <v>1242</v>
      </c>
      <c r="F2767" s="115">
        <v>0</v>
      </c>
      <c r="G2767" s="115">
        <v>0</v>
      </c>
      <c r="H2767" s="115">
        <v>0</v>
      </c>
      <c r="I2767" s="115">
        <v>0</v>
      </c>
      <c r="J2767" s="115">
        <v>0</v>
      </c>
      <c r="K2767" s="115">
        <v>0</v>
      </c>
    </row>
    <row r="2768" spans="2:11" x14ac:dyDescent="0.25">
      <c r="B2768" s="115" t="s">
        <v>1241</v>
      </c>
      <c r="D2768" s="115" t="s">
        <v>8710</v>
      </c>
      <c r="E2768" s="115" t="s">
        <v>1242</v>
      </c>
      <c r="F2768" s="115">
        <v>0</v>
      </c>
      <c r="G2768" s="115">
        <v>0</v>
      </c>
      <c r="H2768" s="115">
        <v>0</v>
      </c>
      <c r="I2768" s="115">
        <v>0</v>
      </c>
      <c r="J2768" s="115">
        <v>0</v>
      </c>
      <c r="K2768" s="115">
        <v>0</v>
      </c>
    </row>
    <row r="2769" spans="2:11" x14ac:dyDescent="0.25">
      <c r="B2769" s="115" t="s">
        <v>1241</v>
      </c>
      <c r="D2769" s="115" t="s">
        <v>8710</v>
      </c>
      <c r="E2769" s="115" t="s">
        <v>1242</v>
      </c>
      <c r="F2769" s="115">
        <v>0</v>
      </c>
      <c r="G2769" s="115">
        <v>0</v>
      </c>
      <c r="H2769" s="115">
        <v>0</v>
      </c>
      <c r="I2769" s="115">
        <v>0</v>
      </c>
      <c r="J2769" s="115">
        <v>0</v>
      </c>
      <c r="K2769" s="115">
        <v>0</v>
      </c>
    </row>
    <row r="2770" spans="2:11" x14ac:dyDescent="0.25">
      <c r="B2770" s="115" t="s">
        <v>1241</v>
      </c>
      <c r="D2770" s="115" t="s">
        <v>8710</v>
      </c>
      <c r="E2770" s="115" t="s">
        <v>1242</v>
      </c>
      <c r="F2770" s="115">
        <v>0</v>
      </c>
      <c r="G2770" s="115">
        <v>0</v>
      </c>
      <c r="H2770" s="115">
        <v>0</v>
      </c>
      <c r="I2770" s="115">
        <v>0</v>
      </c>
      <c r="J2770" s="115">
        <v>0</v>
      </c>
      <c r="K2770" s="115">
        <v>0</v>
      </c>
    </row>
    <row r="2771" spans="2:11" x14ac:dyDescent="0.25">
      <c r="B2771" s="115" t="s">
        <v>1241</v>
      </c>
      <c r="D2771" s="115" t="s">
        <v>8710</v>
      </c>
      <c r="E2771" s="115" t="s">
        <v>1242</v>
      </c>
      <c r="F2771" s="115">
        <v>0</v>
      </c>
      <c r="G2771" s="115">
        <v>0</v>
      </c>
      <c r="H2771" s="115">
        <v>0</v>
      </c>
      <c r="I2771" s="115">
        <v>0</v>
      </c>
      <c r="J2771" s="115">
        <v>0</v>
      </c>
      <c r="K2771" s="115">
        <v>0</v>
      </c>
    </row>
    <row r="2772" spans="2:11" x14ac:dyDescent="0.25">
      <c r="B2772" s="115" t="s">
        <v>1241</v>
      </c>
      <c r="D2772" s="115" t="s">
        <v>8710</v>
      </c>
      <c r="E2772" s="115" t="s">
        <v>1242</v>
      </c>
      <c r="F2772" s="115">
        <v>0</v>
      </c>
      <c r="G2772" s="115">
        <v>0</v>
      </c>
      <c r="H2772" s="115">
        <v>0</v>
      </c>
      <c r="I2772" s="115">
        <v>0</v>
      </c>
      <c r="J2772" s="115">
        <v>0</v>
      </c>
      <c r="K2772" s="115">
        <v>0</v>
      </c>
    </row>
    <row r="2773" spans="2:11" x14ac:dyDescent="0.25">
      <c r="B2773" s="115" t="s">
        <v>1241</v>
      </c>
      <c r="D2773" s="115" t="s">
        <v>8710</v>
      </c>
      <c r="E2773" s="115" t="s">
        <v>1242</v>
      </c>
      <c r="F2773" s="115">
        <v>0</v>
      </c>
      <c r="G2773" s="115">
        <v>0</v>
      </c>
      <c r="H2773" s="115">
        <v>0</v>
      </c>
      <c r="I2773" s="115">
        <v>0</v>
      </c>
      <c r="J2773" s="115">
        <v>0</v>
      </c>
      <c r="K2773" s="115">
        <v>0</v>
      </c>
    </row>
    <row r="2774" spans="2:11" x14ac:dyDescent="0.25">
      <c r="B2774" s="115" t="s">
        <v>1241</v>
      </c>
      <c r="D2774" s="115" t="s">
        <v>8710</v>
      </c>
      <c r="E2774" s="115" t="s">
        <v>1242</v>
      </c>
      <c r="F2774" s="115">
        <v>0</v>
      </c>
      <c r="G2774" s="115">
        <v>0</v>
      </c>
      <c r="H2774" s="115">
        <v>0</v>
      </c>
      <c r="I2774" s="115">
        <v>0</v>
      </c>
      <c r="J2774" s="115">
        <v>0</v>
      </c>
      <c r="K2774" s="115">
        <v>0</v>
      </c>
    </row>
    <row r="2775" spans="2:11" x14ac:dyDescent="0.25">
      <c r="B2775" s="115" t="s">
        <v>1241</v>
      </c>
      <c r="D2775" s="115" t="s">
        <v>8710</v>
      </c>
      <c r="E2775" s="115" t="s">
        <v>1242</v>
      </c>
      <c r="F2775" s="115">
        <v>0</v>
      </c>
      <c r="G2775" s="115">
        <v>0</v>
      </c>
      <c r="H2775" s="115">
        <v>0</v>
      </c>
      <c r="I2775" s="115">
        <v>0</v>
      </c>
      <c r="J2775" s="115">
        <v>0</v>
      </c>
      <c r="K2775" s="115">
        <v>0</v>
      </c>
    </row>
    <row r="2776" spans="2:11" x14ac:dyDescent="0.25">
      <c r="B2776" s="115" t="s">
        <v>1241</v>
      </c>
      <c r="D2776" s="115" t="s">
        <v>8710</v>
      </c>
      <c r="E2776" s="115" t="s">
        <v>1242</v>
      </c>
      <c r="F2776" s="115">
        <v>0</v>
      </c>
      <c r="G2776" s="115">
        <v>0</v>
      </c>
      <c r="H2776" s="115">
        <v>0</v>
      </c>
      <c r="I2776" s="115">
        <v>0</v>
      </c>
      <c r="J2776" s="115">
        <v>0</v>
      </c>
      <c r="K2776" s="115">
        <v>0</v>
      </c>
    </row>
    <row r="2777" spans="2:11" x14ac:dyDescent="0.25">
      <c r="B2777" s="115" t="s">
        <v>1241</v>
      </c>
      <c r="D2777" s="115" t="s">
        <v>8710</v>
      </c>
      <c r="E2777" s="115" t="s">
        <v>1242</v>
      </c>
      <c r="F2777" s="115">
        <v>0</v>
      </c>
      <c r="G2777" s="115">
        <v>0</v>
      </c>
      <c r="H2777" s="115">
        <v>0</v>
      </c>
      <c r="I2777" s="115">
        <v>0</v>
      </c>
      <c r="J2777" s="115">
        <v>0</v>
      </c>
      <c r="K2777" s="115">
        <v>0</v>
      </c>
    </row>
    <row r="2778" spans="2:11" x14ac:dyDescent="0.25">
      <c r="B2778" s="115" t="s">
        <v>1241</v>
      </c>
      <c r="D2778" s="115" t="s">
        <v>8710</v>
      </c>
      <c r="E2778" s="115" t="s">
        <v>1242</v>
      </c>
      <c r="F2778" s="115">
        <v>0</v>
      </c>
      <c r="G2778" s="115">
        <v>0</v>
      </c>
      <c r="H2778" s="115">
        <v>0</v>
      </c>
      <c r="I2778" s="115">
        <v>0</v>
      </c>
      <c r="J2778" s="115">
        <v>0</v>
      </c>
      <c r="K2778" s="115">
        <v>0</v>
      </c>
    </row>
    <row r="2779" spans="2:11" x14ac:dyDescent="0.25">
      <c r="B2779" s="115" t="s">
        <v>1241</v>
      </c>
      <c r="D2779" s="115" t="s">
        <v>8710</v>
      </c>
      <c r="E2779" s="115" t="s">
        <v>1242</v>
      </c>
      <c r="F2779" s="115">
        <v>0</v>
      </c>
      <c r="G2779" s="115">
        <v>0</v>
      </c>
      <c r="H2779" s="115">
        <v>0</v>
      </c>
      <c r="I2779" s="115">
        <v>0</v>
      </c>
      <c r="J2779" s="115">
        <v>0</v>
      </c>
      <c r="K2779" s="115">
        <v>0</v>
      </c>
    </row>
    <row r="2780" spans="2:11" x14ac:dyDescent="0.25">
      <c r="B2780" s="115" t="s">
        <v>1241</v>
      </c>
      <c r="D2780" s="115" t="s">
        <v>8710</v>
      </c>
      <c r="E2780" s="115" t="s">
        <v>1242</v>
      </c>
      <c r="F2780" s="115">
        <v>0</v>
      </c>
      <c r="G2780" s="115">
        <v>0</v>
      </c>
      <c r="H2780" s="115">
        <v>0</v>
      </c>
      <c r="I2780" s="115">
        <v>0</v>
      </c>
      <c r="J2780" s="115">
        <v>0</v>
      </c>
      <c r="K2780" s="115">
        <v>0</v>
      </c>
    </row>
    <row r="2781" spans="2:11" x14ac:dyDescent="0.25">
      <c r="B2781" s="115" t="s">
        <v>1241</v>
      </c>
      <c r="D2781" s="115" t="s">
        <v>8710</v>
      </c>
      <c r="E2781" s="115" t="s">
        <v>1242</v>
      </c>
      <c r="F2781" s="115">
        <v>0</v>
      </c>
      <c r="G2781" s="115">
        <v>0</v>
      </c>
      <c r="H2781" s="115">
        <v>0</v>
      </c>
      <c r="I2781" s="115">
        <v>0</v>
      </c>
      <c r="J2781" s="115">
        <v>0</v>
      </c>
      <c r="K2781" s="115">
        <v>0</v>
      </c>
    </row>
    <row r="2782" spans="2:11" x14ac:dyDescent="0.25">
      <c r="B2782" s="115" t="s">
        <v>1241</v>
      </c>
      <c r="D2782" s="115" t="s">
        <v>8710</v>
      </c>
      <c r="E2782" s="115" t="s">
        <v>1242</v>
      </c>
      <c r="F2782" s="115">
        <v>0</v>
      </c>
      <c r="G2782" s="115">
        <v>0</v>
      </c>
      <c r="H2782" s="115">
        <v>0</v>
      </c>
      <c r="I2782" s="115">
        <v>0</v>
      </c>
      <c r="J2782" s="115">
        <v>0</v>
      </c>
      <c r="K2782" s="115">
        <v>0</v>
      </c>
    </row>
    <row r="2783" spans="2:11" x14ac:dyDescent="0.25">
      <c r="B2783" s="115" t="s">
        <v>3178</v>
      </c>
      <c r="D2783" s="115" t="s">
        <v>9955</v>
      </c>
      <c r="E2783" s="115" t="s">
        <v>3179</v>
      </c>
      <c r="F2783" s="115">
        <v>-187</v>
      </c>
      <c r="G2783" s="115">
        <v>-946</v>
      </c>
      <c r="H2783" s="115">
        <v>0</v>
      </c>
      <c r="I2783" s="115">
        <v>0</v>
      </c>
      <c r="J2783" s="115">
        <v>150</v>
      </c>
      <c r="K2783" s="115">
        <v>0</v>
      </c>
    </row>
    <row r="2784" spans="2:11" x14ac:dyDescent="0.25">
      <c r="B2784" s="115" t="s">
        <v>1241</v>
      </c>
      <c r="D2784" s="115" t="s">
        <v>9956</v>
      </c>
      <c r="E2784" s="115" t="s">
        <v>1242</v>
      </c>
      <c r="F2784" s="115">
        <v>0</v>
      </c>
      <c r="G2784" s="115">
        <v>0</v>
      </c>
      <c r="H2784" s="115">
        <v>0</v>
      </c>
      <c r="I2784" s="115">
        <v>0</v>
      </c>
      <c r="J2784" s="115">
        <v>0</v>
      </c>
      <c r="K2784" s="115">
        <v>0</v>
      </c>
    </row>
    <row r="2785" spans="1:11" x14ac:dyDescent="0.25">
      <c r="A2785" s="115" t="s">
        <v>1239</v>
      </c>
      <c r="B2785" s="115" t="s">
        <v>3180</v>
      </c>
      <c r="D2785" s="115" t="s">
        <v>9957</v>
      </c>
      <c r="E2785" s="115" t="s">
        <v>3181</v>
      </c>
      <c r="F2785" s="115">
        <v>0</v>
      </c>
      <c r="G2785" s="115">
        <v>54</v>
      </c>
      <c r="H2785" s="115">
        <v>0</v>
      </c>
      <c r="I2785" s="115">
        <v>-57</v>
      </c>
      <c r="J2785" s="115">
        <v>-280</v>
      </c>
      <c r="K2785" s="115">
        <v>-231</v>
      </c>
    </row>
    <row r="2786" spans="1:11" x14ac:dyDescent="0.25">
      <c r="B2786" s="115" t="s">
        <v>3182</v>
      </c>
      <c r="D2786" s="115" t="s">
        <v>9958</v>
      </c>
      <c r="E2786" s="115" t="s">
        <v>3183</v>
      </c>
      <c r="F2786" s="115">
        <v>-809</v>
      </c>
      <c r="G2786" s="115">
        <v>-271</v>
      </c>
      <c r="H2786" s="115">
        <v>-198</v>
      </c>
      <c r="I2786" s="115">
        <v>0</v>
      </c>
      <c r="J2786" s="115">
        <v>76</v>
      </c>
      <c r="K2786" s="115">
        <v>0</v>
      </c>
    </row>
    <row r="2787" spans="1:11" x14ac:dyDescent="0.25">
      <c r="B2787" s="115" t="s">
        <v>1241</v>
      </c>
      <c r="D2787" s="115" t="s">
        <v>9959</v>
      </c>
      <c r="E2787" s="115" t="s">
        <v>3184</v>
      </c>
      <c r="F2787" s="115">
        <v>-92</v>
      </c>
      <c r="G2787" s="115">
        <v>0</v>
      </c>
      <c r="H2787" s="115">
        <v>0</v>
      </c>
      <c r="I2787" s="115">
        <v>0</v>
      </c>
      <c r="J2787" s="115">
        <v>-912</v>
      </c>
      <c r="K2787" s="115">
        <v>0</v>
      </c>
    </row>
    <row r="2788" spans="1:11" x14ac:dyDescent="0.25">
      <c r="B2788" s="115" t="s">
        <v>3185</v>
      </c>
      <c r="D2788" s="115" t="s">
        <v>9960</v>
      </c>
      <c r="E2788" s="115" t="s">
        <v>3186</v>
      </c>
      <c r="F2788" s="115">
        <v>0</v>
      </c>
      <c r="G2788" s="115">
        <v>0</v>
      </c>
      <c r="H2788" s="115">
        <v>-84</v>
      </c>
      <c r="I2788" s="115">
        <v>0</v>
      </c>
      <c r="J2788" s="115">
        <v>60</v>
      </c>
      <c r="K2788" s="115">
        <v>445</v>
      </c>
    </row>
    <row r="2789" spans="1:11" x14ac:dyDescent="0.25">
      <c r="B2789" s="115" t="s">
        <v>1241</v>
      </c>
      <c r="D2789" s="115" t="s">
        <v>9961</v>
      </c>
      <c r="E2789" s="115" t="s">
        <v>3187</v>
      </c>
      <c r="F2789" s="115">
        <v>0</v>
      </c>
      <c r="G2789" s="115">
        <v>-3353</v>
      </c>
      <c r="H2789" s="115">
        <v>0</v>
      </c>
      <c r="I2789" s="115">
        <v>0</v>
      </c>
      <c r="J2789" s="115">
        <v>0</v>
      </c>
      <c r="K2789" s="115">
        <v>0</v>
      </c>
    </row>
    <row r="2790" spans="1:11" x14ac:dyDescent="0.25">
      <c r="A2790" s="115">
        <v>-1</v>
      </c>
      <c r="B2790" s="115" t="s">
        <v>3188</v>
      </c>
      <c r="D2790" s="115" t="s">
        <v>9962</v>
      </c>
      <c r="E2790" s="115" t="s">
        <v>3189</v>
      </c>
      <c r="F2790" s="115">
        <v>0</v>
      </c>
      <c r="G2790" s="115">
        <v>115</v>
      </c>
      <c r="H2790" s="115">
        <v>-646</v>
      </c>
      <c r="I2790" s="115">
        <v>0</v>
      </c>
      <c r="J2790" s="115">
        <v>-74</v>
      </c>
      <c r="K2790" s="115">
        <v>-172</v>
      </c>
    </row>
    <row r="2791" spans="1:11" x14ac:dyDescent="0.25">
      <c r="A2791" s="115" t="s">
        <v>1239</v>
      </c>
      <c r="B2791" s="115" t="s">
        <v>3190</v>
      </c>
      <c r="D2791" s="115" t="s">
        <v>9963</v>
      </c>
      <c r="E2791" s="115" t="s">
        <v>1242</v>
      </c>
      <c r="F2791" s="115">
        <v>-128</v>
      </c>
      <c r="G2791" s="115">
        <v>0</v>
      </c>
      <c r="H2791" s="115">
        <v>0</v>
      </c>
      <c r="I2791" s="115">
        <v>0</v>
      </c>
      <c r="J2791" s="115">
        <v>0</v>
      </c>
      <c r="K2791" s="115">
        <v>0</v>
      </c>
    </row>
    <row r="2792" spans="1:11" x14ac:dyDescent="0.25">
      <c r="B2792" s="115" t="s">
        <v>1968</v>
      </c>
      <c r="D2792" s="115" t="s">
        <v>9964</v>
      </c>
      <c r="E2792" s="115" t="s">
        <v>3191</v>
      </c>
      <c r="F2792" s="115">
        <v>-365</v>
      </c>
      <c r="G2792" s="115">
        <v>0</v>
      </c>
      <c r="H2792" s="115">
        <v>240</v>
      </c>
      <c r="I2792" s="115">
        <v>717</v>
      </c>
      <c r="J2792" s="115">
        <v>832</v>
      </c>
      <c r="K2792" s="115">
        <v>-566</v>
      </c>
    </row>
    <row r="2793" spans="1:11" x14ac:dyDescent="0.25">
      <c r="A2793" s="115">
        <v>4</v>
      </c>
      <c r="B2793" s="115" t="s">
        <v>3192</v>
      </c>
      <c r="C2793" s="115" t="s">
        <v>1239</v>
      </c>
      <c r="D2793" s="115" t="s">
        <v>9965</v>
      </c>
      <c r="E2793" s="115" t="s">
        <v>3193</v>
      </c>
      <c r="F2793" s="115">
        <v>-356</v>
      </c>
      <c r="G2793" s="115">
        <v>-70</v>
      </c>
      <c r="H2793" s="115">
        <v>0</v>
      </c>
      <c r="I2793" s="115">
        <v>579</v>
      </c>
      <c r="J2793" s="115">
        <v>-1240</v>
      </c>
      <c r="K2793" s="115">
        <v>0</v>
      </c>
    </row>
    <row r="2794" spans="1:11" x14ac:dyDescent="0.25">
      <c r="B2794" s="115" t="s">
        <v>1241</v>
      </c>
      <c r="D2794" s="115" t="s">
        <v>9966</v>
      </c>
      <c r="E2794" s="115" t="s">
        <v>3194</v>
      </c>
      <c r="F2794" s="115">
        <v>0</v>
      </c>
      <c r="G2794" s="115">
        <v>-742</v>
      </c>
      <c r="H2794" s="115">
        <v>-1360</v>
      </c>
      <c r="I2794" s="115">
        <v>-98</v>
      </c>
      <c r="J2794" s="115">
        <v>-2815</v>
      </c>
      <c r="K2794" s="115">
        <v>0</v>
      </c>
    </row>
    <row r="2795" spans="1:11" x14ac:dyDescent="0.25">
      <c r="B2795" s="115" t="s">
        <v>1241</v>
      </c>
      <c r="D2795" s="115" t="s">
        <v>9967</v>
      </c>
      <c r="E2795" s="115" t="s">
        <v>3195</v>
      </c>
      <c r="F2795" s="115">
        <v>-7</v>
      </c>
      <c r="G2795" s="115">
        <v>0</v>
      </c>
      <c r="H2795" s="115">
        <v>-10</v>
      </c>
      <c r="I2795" s="115">
        <v>-131</v>
      </c>
      <c r="J2795" s="115">
        <v>72</v>
      </c>
      <c r="K2795" s="115">
        <v>0</v>
      </c>
    </row>
    <row r="2796" spans="1:11" x14ac:dyDescent="0.25">
      <c r="B2796" s="115" t="s">
        <v>3196</v>
      </c>
      <c r="D2796" s="115" t="s">
        <v>9968</v>
      </c>
      <c r="E2796" s="115" t="s">
        <v>3197</v>
      </c>
      <c r="F2796" s="115">
        <v>3169</v>
      </c>
      <c r="G2796" s="115">
        <v>-11</v>
      </c>
      <c r="H2796" s="115">
        <v>-1560</v>
      </c>
      <c r="I2796" s="115">
        <v>217</v>
      </c>
      <c r="J2796" s="115">
        <v>0</v>
      </c>
      <c r="K2796" s="115">
        <v>-227</v>
      </c>
    </row>
    <row r="2797" spans="1:11" x14ac:dyDescent="0.25">
      <c r="B2797" s="115" t="s">
        <v>1241</v>
      </c>
      <c r="D2797" s="115" t="s">
        <v>9969</v>
      </c>
      <c r="E2797" s="115" t="s">
        <v>3198</v>
      </c>
      <c r="F2797" s="115">
        <v>0</v>
      </c>
      <c r="G2797" s="115">
        <v>568</v>
      </c>
      <c r="H2797" s="115">
        <v>0</v>
      </c>
      <c r="I2797" s="115">
        <v>0</v>
      </c>
      <c r="J2797" s="115">
        <v>-666</v>
      </c>
      <c r="K2797" s="115">
        <v>0</v>
      </c>
    </row>
    <row r="2798" spans="1:11" x14ac:dyDescent="0.25">
      <c r="A2798" s="115">
        <v>-1</v>
      </c>
      <c r="B2798" s="115" t="s">
        <v>3199</v>
      </c>
      <c r="C2798" s="115" t="s">
        <v>1239</v>
      </c>
      <c r="D2798" s="115" t="s">
        <v>9970</v>
      </c>
      <c r="E2798" s="115" t="s">
        <v>3200</v>
      </c>
      <c r="F2798" s="115">
        <v>0</v>
      </c>
      <c r="G2798" s="115">
        <v>0</v>
      </c>
      <c r="H2798" s="115">
        <v>0</v>
      </c>
      <c r="I2798" s="115">
        <v>0</v>
      </c>
      <c r="J2798" s="115">
        <v>-69</v>
      </c>
      <c r="K2798" s="115">
        <v>0</v>
      </c>
    </row>
    <row r="2799" spans="1:11" x14ac:dyDescent="0.25">
      <c r="B2799" s="115" t="s">
        <v>3201</v>
      </c>
      <c r="D2799" s="115" t="s">
        <v>9971</v>
      </c>
      <c r="E2799" s="115" t="s">
        <v>3202</v>
      </c>
      <c r="F2799" s="115">
        <v>239</v>
      </c>
      <c r="G2799" s="115">
        <v>751</v>
      </c>
      <c r="H2799" s="115">
        <v>-567</v>
      </c>
      <c r="I2799" s="115">
        <v>0</v>
      </c>
      <c r="J2799" s="115">
        <v>0</v>
      </c>
      <c r="K2799" s="115">
        <v>0</v>
      </c>
    </row>
    <row r="2800" spans="1:11" x14ac:dyDescent="0.25">
      <c r="A2800" s="115">
        <v>-1</v>
      </c>
      <c r="B2800" s="115" t="s">
        <v>3203</v>
      </c>
      <c r="D2800" s="115" t="s">
        <v>9972</v>
      </c>
      <c r="E2800" s="115" t="s">
        <v>3204</v>
      </c>
      <c r="F2800" s="115">
        <v>-18</v>
      </c>
      <c r="G2800" s="115">
        <v>0</v>
      </c>
      <c r="H2800" s="115">
        <v>-606</v>
      </c>
      <c r="I2800" s="115">
        <v>0</v>
      </c>
      <c r="J2800" s="115">
        <v>0</v>
      </c>
      <c r="K2800" s="115">
        <v>-134</v>
      </c>
    </row>
    <row r="2801" spans="1:11" x14ac:dyDescent="0.25">
      <c r="B2801" s="115" t="s">
        <v>2201</v>
      </c>
      <c r="D2801" s="115" t="s">
        <v>9973</v>
      </c>
      <c r="E2801" s="115" t="s">
        <v>1242</v>
      </c>
      <c r="F2801" s="115">
        <v>0</v>
      </c>
      <c r="G2801" s="115">
        <v>0</v>
      </c>
      <c r="H2801" s="115">
        <v>0</v>
      </c>
      <c r="I2801" s="115">
        <v>0</v>
      </c>
      <c r="J2801" s="115">
        <v>0</v>
      </c>
      <c r="K2801" s="115">
        <v>0</v>
      </c>
    </row>
    <row r="2802" spans="1:11" x14ac:dyDescent="0.25">
      <c r="B2802" s="115" t="s">
        <v>1241</v>
      </c>
      <c r="D2802" s="115" t="s">
        <v>9974</v>
      </c>
      <c r="E2802" s="115" t="s">
        <v>3205</v>
      </c>
      <c r="F2802" s="115">
        <v>212</v>
      </c>
      <c r="G2802" s="115">
        <v>114</v>
      </c>
      <c r="H2802" s="115">
        <v>89</v>
      </c>
      <c r="I2802" s="115">
        <v>0</v>
      </c>
      <c r="J2802" s="115">
        <v>-5835</v>
      </c>
      <c r="K2802" s="115">
        <v>-3291</v>
      </c>
    </row>
    <row r="2803" spans="1:11" x14ac:dyDescent="0.25">
      <c r="B2803" s="115" t="s">
        <v>1241</v>
      </c>
      <c r="D2803" s="115" t="s">
        <v>9975</v>
      </c>
      <c r="E2803" s="115" t="s">
        <v>3206</v>
      </c>
      <c r="F2803" s="115">
        <v>0</v>
      </c>
      <c r="G2803" s="115">
        <v>11591</v>
      </c>
      <c r="H2803" s="115">
        <v>11695</v>
      </c>
      <c r="I2803" s="115">
        <v>1043</v>
      </c>
      <c r="J2803" s="115">
        <v>223</v>
      </c>
      <c r="K2803" s="115">
        <v>-5942</v>
      </c>
    </row>
    <row r="2804" spans="1:11" x14ac:dyDescent="0.25">
      <c r="A2804" s="115">
        <v>-12</v>
      </c>
      <c r="B2804" s="115" t="s">
        <v>3207</v>
      </c>
      <c r="D2804" s="115" t="s">
        <v>9976</v>
      </c>
      <c r="E2804" s="115" t="s">
        <v>3208</v>
      </c>
      <c r="F2804" s="115">
        <v>0</v>
      </c>
      <c r="G2804" s="115">
        <v>12530</v>
      </c>
      <c r="H2804" s="115">
        <v>0</v>
      </c>
      <c r="I2804" s="115">
        <v>9722</v>
      </c>
      <c r="J2804" s="115">
        <v>0</v>
      </c>
      <c r="K2804" s="115">
        <v>0</v>
      </c>
    </row>
    <row r="2805" spans="1:11" x14ac:dyDescent="0.25">
      <c r="B2805" s="115" t="s">
        <v>3209</v>
      </c>
      <c r="D2805" s="115" t="s">
        <v>9977</v>
      </c>
      <c r="E2805" s="115" t="s">
        <v>1884</v>
      </c>
      <c r="F2805" s="115">
        <v>-3</v>
      </c>
      <c r="G2805" s="115">
        <v>0</v>
      </c>
      <c r="H2805" s="115">
        <v>0</v>
      </c>
      <c r="I2805" s="115">
        <v>-72</v>
      </c>
      <c r="J2805" s="115">
        <v>0</v>
      </c>
      <c r="K2805" s="115">
        <v>0</v>
      </c>
    </row>
    <row r="2806" spans="1:11" x14ac:dyDescent="0.25">
      <c r="B2806" s="115" t="s">
        <v>3210</v>
      </c>
      <c r="D2806" s="115" t="s">
        <v>9978</v>
      </c>
      <c r="E2806" s="115" t="s">
        <v>3211</v>
      </c>
      <c r="F2806" s="115">
        <v>0</v>
      </c>
      <c r="G2806" s="115">
        <v>0</v>
      </c>
      <c r="H2806" s="115">
        <v>0</v>
      </c>
      <c r="I2806" s="115">
        <v>0</v>
      </c>
      <c r="J2806" s="115">
        <v>0</v>
      </c>
      <c r="K2806" s="115">
        <v>3786</v>
      </c>
    </row>
    <row r="2807" spans="1:11" x14ac:dyDescent="0.25">
      <c r="B2807" s="115" t="s">
        <v>1241</v>
      </c>
      <c r="D2807" s="115" t="s">
        <v>9979</v>
      </c>
      <c r="E2807" s="115" t="s">
        <v>3212</v>
      </c>
      <c r="F2807" s="115">
        <v>-217</v>
      </c>
      <c r="G2807" s="115">
        <v>0</v>
      </c>
      <c r="H2807" s="115">
        <v>-1003</v>
      </c>
      <c r="I2807" s="115">
        <v>-714</v>
      </c>
      <c r="J2807" s="115">
        <v>-341</v>
      </c>
      <c r="K2807" s="115">
        <v>0</v>
      </c>
    </row>
    <row r="2808" spans="1:11" x14ac:dyDescent="0.25">
      <c r="B2808" s="115" t="s">
        <v>3213</v>
      </c>
      <c r="D2808" s="115" t="s">
        <v>9980</v>
      </c>
      <c r="E2808" s="115" t="s">
        <v>3214</v>
      </c>
      <c r="F2808" s="115">
        <v>-384</v>
      </c>
      <c r="G2808" s="115">
        <v>-198</v>
      </c>
      <c r="H2808" s="115">
        <v>0</v>
      </c>
      <c r="I2808" s="115">
        <v>128</v>
      </c>
      <c r="J2808" s="115">
        <v>0</v>
      </c>
      <c r="K2808" s="115">
        <v>0</v>
      </c>
    </row>
    <row r="2809" spans="1:11" x14ac:dyDescent="0.25">
      <c r="B2809" s="115" t="s">
        <v>1241</v>
      </c>
      <c r="D2809" s="115" t="s">
        <v>9981</v>
      </c>
      <c r="E2809" s="115" t="s">
        <v>3215</v>
      </c>
      <c r="F2809" s="115">
        <v>0</v>
      </c>
      <c r="G2809" s="115">
        <v>0</v>
      </c>
      <c r="H2809" s="115">
        <v>0</v>
      </c>
      <c r="I2809" s="115">
        <v>-261</v>
      </c>
      <c r="J2809" s="115">
        <v>0</v>
      </c>
      <c r="K2809" s="115">
        <v>33</v>
      </c>
    </row>
    <row r="2810" spans="1:11" x14ac:dyDescent="0.25">
      <c r="B2810" s="115" t="s">
        <v>1241</v>
      </c>
      <c r="D2810" s="115" t="s">
        <v>9982</v>
      </c>
      <c r="E2810" s="115" t="s">
        <v>3216</v>
      </c>
      <c r="F2810" s="115">
        <v>0</v>
      </c>
      <c r="G2810" s="115">
        <v>-42</v>
      </c>
      <c r="H2810" s="115">
        <v>0</v>
      </c>
      <c r="I2810" s="115">
        <v>-129</v>
      </c>
      <c r="J2810" s="115">
        <v>-27</v>
      </c>
      <c r="K2810" s="115">
        <v>0</v>
      </c>
    </row>
    <row r="2811" spans="1:11" x14ac:dyDescent="0.25">
      <c r="B2811" s="115" t="s">
        <v>3217</v>
      </c>
      <c r="D2811" s="115" t="s">
        <v>9983</v>
      </c>
      <c r="E2811" s="115" t="s">
        <v>3218</v>
      </c>
      <c r="F2811" s="115">
        <v>-3053</v>
      </c>
      <c r="G2811" s="115">
        <v>0</v>
      </c>
      <c r="H2811" s="115">
        <v>0</v>
      </c>
      <c r="I2811" s="115">
        <v>0</v>
      </c>
      <c r="J2811" s="115">
        <v>0</v>
      </c>
      <c r="K2811" s="115">
        <v>-1069</v>
      </c>
    </row>
    <row r="2812" spans="1:11" x14ac:dyDescent="0.25">
      <c r="A2812" s="115" t="s">
        <v>1239</v>
      </c>
      <c r="B2812" s="115" t="s">
        <v>3219</v>
      </c>
      <c r="D2812" s="115" t="s">
        <v>9984</v>
      </c>
      <c r="E2812" s="115" t="s">
        <v>3220</v>
      </c>
      <c r="F2812" s="115">
        <v>-362</v>
      </c>
      <c r="G2812" s="115">
        <v>260</v>
      </c>
      <c r="H2812" s="115">
        <v>0</v>
      </c>
      <c r="I2812" s="115">
        <v>-338</v>
      </c>
      <c r="J2812" s="115">
        <v>-475</v>
      </c>
      <c r="K2812" s="115">
        <v>-84</v>
      </c>
    </row>
    <row r="2813" spans="1:11" x14ac:dyDescent="0.25">
      <c r="B2813" s="115" t="s">
        <v>3221</v>
      </c>
      <c r="D2813" s="115" t="s">
        <v>9985</v>
      </c>
      <c r="E2813" s="115" t="s">
        <v>3222</v>
      </c>
      <c r="F2813" s="115">
        <v>0</v>
      </c>
      <c r="G2813" s="115">
        <v>0</v>
      </c>
      <c r="H2813" s="115">
        <v>0</v>
      </c>
      <c r="I2813" s="115">
        <v>0</v>
      </c>
      <c r="J2813" s="115">
        <v>0</v>
      </c>
      <c r="K2813" s="115">
        <v>-308</v>
      </c>
    </row>
    <row r="2814" spans="1:11" x14ac:dyDescent="0.25">
      <c r="B2814" s="115" t="s">
        <v>3223</v>
      </c>
      <c r="D2814" s="115" t="s">
        <v>9986</v>
      </c>
      <c r="E2814" s="115" t="s">
        <v>3224</v>
      </c>
      <c r="F2814" s="115">
        <v>0</v>
      </c>
      <c r="G2814" s="115">
        <v>908</v>
      </c>
      <c r="H2814" s="115">
        <v>1062</v>
      </c>
      <c r="I2814" s="115">
        <v>2406</v>
      </c>
      <c r="J2814" s="115">
        <v>-4192</v>
      </c>
      <c r="K2814" s="115">
        <v>-3922</v>
      </c>
    </row>
    <row r="2815" spans="1:11" x14ac:dyDescent="0.25">
      <c r="B2815" s="115" t="s">
        <v>3225</v>
      </c>
      <c r="C2815" s="115" t="s">
        <v>1239</v>
      </c>
      <c r="D2815" s="115" t="s">
        <v>9987</v>
      </c>
      <c r="E2815" s="115" t="s">
        <v>3226</v>
      </c>
      <c r="F2815" s="115">
        <v>-130</v>
      </c>
      <c r="G2815" s="115">
        <v>0</v>
      </c>
      <c r="H2815" s="115">
        <v>-27</v>
      </c>
      <c r="I2815" s="115">
        <v>-204</v>
      </c>
      <c r="J2815" s="115">
        <v>0</v>
      </c>
      <c r="K2815" s="115">
        <v>0</v>
      </c>
    </row>
    <row r="2816" spans="1:11" x14ac:dyDescent="0.25">
      <c r="B2816" s="115" t="s">
        <v>1299</v>
      </c>
      <c r="D2816" s="115" t="s">
        <v>9988</v>
      </c>
      <c r="E2816" s="115" t="s">
        <v>3227</v>
      </c>
      <c r="F2816" s="115">
        <v>326</v>
      </c>
      <c r="G2816" s="115">
        <v>-891</v>
      </c>
      <c r="H2816" s="115">
        <v>-588</v>
      </c>
      <c r="I2816" s="115">
        <v>188</v>
      </c>
      <c r="J2816" s="115">
        <v>0</v>
      </c>
      <c r="K2816" s="115">
        <v>0</v>
      </c>
    </row>
    <row r="2817" spans="1:11" x14ac:dyDescent="0.25">
      <c r="B2817" s="115" t="s">
        <v>1241</v>
      </c>
      <c r="D2817" s="115" t="s">
        <v>9989</v>
      </c>
      <c r="E2817" s="115" t="s">
        <v>3228</v>
      </c>
      <c r="F2817" s="115">
        <v>0</v>
      </c>
      <c r="G2817" s="115">
        <v>-344</v>
      </c>
      <c r="H2817" s="115">
        <v>230</v>
      </c>
      <c r="I2817" s="115">
        <v>-516</v>
      </c>
      <c r="J2817" s="115">
        <v>0</v>
      </c>
      <c r="K2817" s="115">
        <v>-39</v>
      </c>
    </row>
    <row r="2818" spans="1:11" x14ac:dyDescent="0.25">
      <c r="B2818" s="115" t="s">
        <v>3229</v>
      </c>
      <c r="C2818" s="115" t="s">
        <v>1239</v>
      </c>
      <c r="D2818" s="115" t="s">
        <v>9990</v>
      </c>
      <c r="E2818" s="115" t="s">
        <v>3230</v>
      </c>
      <c r="F2818" s="115">
        <v>-568</v>
      </c>
      <c r="G2818" s="115">
        <v>-583</v>
      </c>
      <c r="H2818" s="115">
        <v>-330</v>
      </c>
      <c r="I2818" s="115">
        <v>0</v>
      </c>
      <c r="J2818" s="115">
        <v>-103</v>
      </c>
      <c r="K2818" s="115">
        <v>0</v>
      </c>
    </row>
    <row r="2819" spans="1:11" x14ac:dyDescent="0.25">
      <c r="B2819" s="115" t="s">
        <v>3231</v>
      </c>
      <c r="D2819" s="115" t="s">
        <v>9991</v>
      </c>
      <c r="E2819" s="115" t="s">
        <v>3232</v>
      </c>
      <c r="F2819" s="115">
        <v>-230</v>
      </c>
      <c r="G2819" s="115">
        <v>0</v>
      </c>
      <c r="H2819" s="115">
        <v>0</v>
      </c>
      <c r="I2819" s="115">
        <v>193</v>
      </c>
      <c r="J2819" s="115">
        <v>0</v>
      </c>
      <c r="K2819" s="115">
        <v>-150</v>
      </c>
    </row>
    <row r="2820" spans="1:11" x14ac:dyDescent="0.25">
      <c r="A2820" s="115" t="s">
        <v>1239</v>
      </c>
      <c r="B2820" s="115" t="s">
        <v>3233</v>
      </c>
      <c r="D2820" s="115" t="s">
        <v>9992</v>
      </c>
      <c r="E2820" s="115" t="s">
        <v>3234</v>
      </c>
      <c r="F2820" s="115">
        <v>0</v>
      </c>
      <c r="G2820" s="115">
        <v>0</v>
      </c>
      <c r="H2820" s="115">
        <v>0</v>
      </c>
      <c r="I2820" s="115">
        <v>454</v>
      </c>
      <c r="J2820" s="115">
        <v>0</v>
      </c>
      <c r="K2820" s="115">
        <v>291</v>
      </c>
    </row>
    <row r="2821" spans="1:11" x14ac:dyDescent="0.25">
      <c r="B2821" s="115" t="s">
        <v>3235</v>
      </c>
      <c r="D2821" s="115" t="s">
        <v>9993</v>
      </c>
      <c r="E2821" s="115" t="s">
        <v>3236</v>
      </c>
      <c r="F2821" s="115">
        <v>211</v>
      </c>
      <c r="G2821" s="115">
        <v>1462</v>
      </c>
      <c r="H2821" s="115">
        <v>0</v>
      </c>
      <c r="I2821" s="115">
        <v>0</v>
      </c>
      <c r="J2821" s="115">
        <v>0</v>
      </c>
      <c r="K2821" s="115">
        <v>-97</v>
      </c>
    </row>
    <row r="2822" spans="1:11" x14ac:dyDescent="0.25">
      <c r="B2822" s="115" t="s">
        <v>3237</v>
      </c>
      <c r="D2822" s="115" t="s">
        <v>9994</v>
      </c>
      <c r="E2822" s="115" t="s">
        <v>3238</v>
      </c>
      <c r="F2822" s="115">
        <v>0</v>
      </c>
      <c r="G2822" s="115">
        <v>26</v>
      </c>
      <c r="H2822" s="115">
        <v>0</v>
      </c>
      <c r="I2822" s="115">
        <v>0</v>
      </c>
      <c r="J2822" s="115">
        <v>-380</v>
      </c>
      <c r="K2822" s="115">
        <v>0</v>
      </c>
    </row>
    <row r="2823" spans="1:11" x14ac:dyDescent="0.25">
      <c r="A2823" s="115" t="s">
        <v>1239</v>
      </c>
      <c r="B2823" s="115" t="s">
        <v>1865</v>
      </c>
      <c r="D2823" s="115" t="s">
        <v>9995</v>
      </c>
      <c r="E2823" s="115" t="s">
        <v>1242</v>
      </c>
      <c r="F2823" s="115">
        <v>0</v>
      </c>
      <c r="G2823" s="115">
        <v>0</v>
      </c>
      <c r="H2823" s="115">
        <v>0</v>
      </c>
      <c r="I2823" s="115">
        <v>0</v>
      </c>
      <c r="J2823" s="115">
        <v>0</v>
      </c>
      <c r="K2823" s="115">
        <v>0</v>
      </c>
    </row>
    <row r="2824" spans="1:11" x14ac:dyDescent="0.25">
      <c r="B2824" s="115" t="s">
        <v>2472</v>
      </c>
      <c r="D2824" s="115" t="s">
        <v>9996</v>
      </c>
      <c r="E2824" s="115" t="s">
        <v>3239</v>
      </c>
      <c r="F2824" s="115">
        <v>157</v>
      </c>
      <c r="G2824" s="115">
        <v>-380</v>
      </c>
      <c r="H2824" s="115">
        <v>0</v>
      </c>
      <c r="I2824" s="115">
        <v>-1159</v>
      </c>
      <c r="J2824" s="115">
        <v>-921</v>
      </c>
      <c r="K2824" s="115">
        <v>0</v>
      </c>
    </row>
    <row r="2825" spans="1:11" x14ac:dyDescent="0.25">
      <c r="B2825" s="115" t="s">
        <v>1241</v>
      </c>
      <c r="D2825" s="115" t="s">
        <v>9997</v>
      </c>
      <c r="E2825" s="115" t="s">
        <v>3240</v>
      </c>
      <c r="F2825" s="115">
        <v>2006</v>
      </c>
      <c r="G2825" s="115">
        <v>2055</v>
      </c>
      <c r="H2825" s="115">
        <v>729</v>
      </c>
      <c r="I2825" s="115">
        <v>-929</v>
      </c>
      <c r="J2825" s="115">
        <v>-913</v>
      </c>
      <c r="K2825" s="115">
        <v>-1058</v>
      </c>
    </row>
    <row r="2826" spans="1:11" x14ac:dyDescent="0.25">
      <c r="B2826" s="115" t="s">
        <v>1241</v>
      </c>
      <c r="D2826" s="115" t="s">
        <v>9998</v>
      </c>
      <c r="E2826" s="115" t="s">
        <v>3241</v>
      </c>
      <c r="F2826" s="115">
        <v>-1161</v>
      </c>
      <c r="G2826" s="115">
        <v>0</v>
      </c>
      <c r="H2826" s="115">
        <v>-3193</v>
      </c>
      <c r="I2826" s="115">
        <v>0</v>
      </c>
      <c r="J2826" s="115">
        <v>0</v>
      </c>
      <c r="K2826" s="115">
        <v>-4231</v>
      </c>
    </row>
    <row r="2827" spans="1:11" x14ac:dyDescent="0.25">
      <c r="B2827" s="115" t="s">
        <v>1241</v>
      </c>
      <c r="D2827" s="115" t="s">
        <v>8710</v>
      </c>
      <c r="E2827" s="115" t="s">
        <v>1242</v>
      </c>
      <c r="F2827" s="115">
        <v>0</v>
      </c>
      <c r="G2827" s="115">
        <v>0</v>
      </c>
      <c r="H2827" s="115">
        <v>0</v>
      </c>
      <c r="I2827" s="115">
        <v>0</v>
      </c>
      <c r="J2827" s="115">
        <v>0</v>
      </c>
      <c r="K2827" s="115">
        <v>0</v>
      </c>
    </row>
    <row r="2828" spans="1:11" x14ac:dyDescent="0.25">
      <c r="B2828" s="115" t="s">
        <v>1241</v>
      </c>
      <c r="D2828" s="115" t="s">
        <v>8710</v>
      </c>
      <c r="E2828" s="115" t="s">
        <v>1242</v>
      </c>
      <c r="F2828" s="115">
        <v>0</v>
      </c>
      <c r="G2828" s="115">
        <v>0</v>
      </c>
      <c r="H2828" s="115">
        <v>0</v>
      </c>
      <c r="I2828" s="115">
        <v>0</v>
      </c>
      <c r="J2828" s="115">
        <v>0</v>
      </c>
      <c r="K2828" s="115">
        <v>0</v>
      </c>
    </row>
    <row r="2829" spans="1:11" x14ac:dyDescent="0.25">
      <c r="B2829" s="115" t="s">
        <v>1241</v>
      </c>
      <c r="D2829" s="115" t="s">
        <v>8710</v>
      </c>
      <c r="E2829" s="115" t="s">
        <v>1242</v>
      </c>
      <c r="F2829" s="115">
        <v>0</v>
      </c>
      <c r="G2829" s="115">
        <v>0</v>
      </c>
      <c r="H2829" s="115">
        <v>0</v>
      </c>
      <c r="I2829" s="115">
        <v>0</v>
      </c>
      <c r="J2829" s="115">
        <v>0</v>
      </c>
      <c r="K2829" s="115">
        <v>0</v>
      </c>
    </row>
    <row r="2830" spans="1:11" x14ac:dyDescent="0.25">
      <c r="B2830" s="115" t="s">
        <v>1241</v>
      </c>
      <c r="D2830" s="115" t="s">
        <v>8710</v>
      </c>
      <c r="E2830" s="115" t="s">
        <v>1242</v>
      </c>
      <c r="F2830" s="115">
        <v>0</v>
      </c>
      <c r="G2830" s="115">
        <v>0</v>
      </c>
      <c r="H2830" s="115">
        <v>0</v>
      </c>
      <c r="I2830" s="115">
        <v>0</v>
      </c>
      <c r="J2830" s="115">
        <v>0</v>
      </c>
      <c r="K2830" s="115">
        <v>0</v>
      </c>
    </row>
    <row r="2831" spans="1:11" x14ac:dyDescent="0.25">
      <c r="B2831" s="115" t="s">
        <v>1241</v>
      </c>
      <c r="D2831" s="115" t="s">
        <v>8710</v>
      </c>
      <c r="E2831" s="115" t="s">
        <v>1242</v>
      </c>
      <c r="F2831" s="115">
        <v>0</v>
      </c>
      <c r="G2831" s="115">
        <v>0</v>
      </c>
      <c r="H2831" s="115">
        <v>0</v>
      </c>
      <c r="I2831" s="115">
        <v>0</v>
      </c>
      <c r="J2831" s="115">
        <v>0</v>
      </c>
      <c r="K2831" s="115">
        <v>0</v>
      </c>
    </row>
    <row r="2832" spans="1:11" x14ac:dyDescent="0.25">
      <c r="B2832" s="115" t="s">
        <v>1241</v>
      </c>
      <c r="D2832" s="115" t="s">
        <v>8710</v>
      </c>
      <c r="E2832" s="115" t="s">
        <v>1242</v>
      </c>
      <c r="F2832" s="115">
        <v>0</v>
      </c>
      <c r="G2832" s="115">
        <v>0</v>
      </c>
      <c r="H2832" s="115">
        <v>0</v>
      </c>
      <c r="I2832" s="115">
        <v>0</v>
      </c>
      <c r="J2832" s="115">
        <v>0</v>
      </c>
      <c r="K2832" s="115">
        <v>0</v>
      </c>
    </row>
    <row r="2833" spans="2:11" x14ac:dyDescent="0.25">
      <c r="B2833" s="115" t="s">
        <v>1241</v>
      </c>
      <c r="D2833" s="115" t="s">
        <v>8710</v>
      </c>
      <c r="E2833" s="115" t="s">
        <v>1242</v>
      </c>
      <c r="F2833" s="115">
        <v>0</v>
      </c>
      <c r="G2833" s="115">
        <v>0</v>
      </c>
      <c r="H2833" s="115">
        <v>0</v>
      </c>
      <c r="I2833" s="115">
        <v>0</v>
      </c>
      <c r="J2833" s="115">
        <v>0</v>
      </c>
      <c r="K2833" s="115">
        <v>0</v>
      </c>
    </row>
    <row r="2834" spans="2:11" x14ac:dyDescent="0.25">
      <c r="B2834" s="115" t="s">
        <v>1241</v>
      </c>
      <c r="D2834" s="115" t="s">
        <v>8710</v>
      </c>
      <c r="E2834" s="115" t="s">
        <v>1242</v>
      </c>
      <c r="F2834" s="115">
        <v>0</v>
      </c>
      <c r="G2834" s="115">
        <v>0</v>
      </c>
      <c r="H2834" s="115">
        <v>0</v>
      </c>
      <c r="I2834" s="115">
        <v>0</v>
      </c>
      <c r="J2834" s="115">
        <v>0</v>
      </c>
      <c r="K2834" s="115">
        <v>0</v>
      </c>
    </row>
    <row r="2835" spans="2:11" x14ac:dyDescent="0.25">
      <c r="B2835" s="115" t="s">
        <v>1241</v>
      </c>
      <c r="D2835" s="115" t="s">
        <v>8710</v>
      </c>
      <c r="E2835" s="115" t="s">
        <v>1242</v>
      </c>
      <c r="F2835" s="115">
        <v>0</v>
      </c>
      <c r="G2835" s="115">
        <v>0</v>
      </c>
      <c r="H2835" s="115">
        <v>0</v>
      </c>
      <c r="I2835" s="115">
        <v>0</v>
      </c>
      <c r="J2835" s="115">
        <v>0</v>
      </c>
      <c r="K2835" s="115">
        <v>0</v>
      </c>
    </row>
    <row r="2836" spans="2:11" x14ac:dyDescent="0.25">
      <c r="B2836" s="115" t="s">
        <v>1241</v>
      </c>
      <c r="D2836" s="115" t="s">
        <v>8710</v>
      </c>
      <c r="E2836" s="115" t="s">
        <v>1242</v>
      </c>
      <c r="F2836" s="115">
        <v>0</v>
      </c>
      <c r="G2836" s="115">
        <v>0</v>
      </c>
      <c r="H2836" s="115">
        <v>0</v>
      </c>
      <c r="I2836" s="115">
        <v>0</v>
      </c>
      <c r="J2836" s="115">
        <v>0</v>
      </c>
      <c r="K2836" s="115">
        <v>0</v>
      </c>
    </row>
    <row r="2837" spans="2:11" x14ac:dyDescent="0.25">
      <c r="B2837" s="115" t="s">
        <v>1241</v>
      </c>
      <c r="D2837" s="115" t="s">
        <v>8710</v>
      </c>
      <c r="E2837" s="115" t="s">
        <v>1242</v>
      </c>
      <c r="F2837" s="115">
        <v>0</v>
      </c>
      <c r="G2837" s="115">
        <v>0</v>
      </c>
      <c r="H2837" s="115">
        <v>0</v>
      </c>
      <c r="I2837" s="115">
        <v>0</v>
      </c>
      <c r="J2837" s="115">
        <v>0</v>
      </c>
      <c r="K2837" s="115">
        <v>0</v>
      </c>
    </row>
    <row r="2838" spans="2:11" x14ac:dyDescent="0.25">
      <c r="B2838" s="115" t="s">
        <v>1241</v>
      </c>
      <c r="D2838" s="115" t="s">
        <v>8710</v>
      </c>
      <c r="E2838" s="115" t="s">
        <v>1242</v>
      </c>
      <c r="F2838" s="115">
        <v>0</v>
      </c>
      <c r="G2838" s="115">
        <v>0</v>
      </c>
      <c r="H2838" s="115">
        <v>0</v>
      </c>
      <c r="I2838" s="115">
        <v>0</v>
      </c>
      <c r="J2838" s="115">
        <v>0</v>
      </c>
      <c r="K2838" s="115">
        <v>0</v>
      </c>
    </row>
    <row r="2839" spans="2:11" x14ac:dyDescent="0.25">
      <c r="B2839" s="115" t="s">
        <v>1241</v>
      </c>
      <c r="D2839" s="115" t="s">
        <v>8710</v>
      </c>
      <c r="E2839" s="115" t="s">
        <v>1242</v>
      </c>
      <c r="F2839" s="115">
        <v>0</v>
      </c>
      <c r="G2839" s="115">
        <v>0</v>
      </c>
      <c r="H2839" s="115">
        <v>0</v>
      </c>
      <c r="I2839" s="115">
        <v>0</v>
      </c>
      <c r="J2839" s="115">
        <v>0</v>
      </c>
      <c r="K2839" s="115">
        <v>0</v>
      </c>
    </row>
    <row r="2840" spans="2:11" x14ac:dyDescent="0.25">
      <c r="B2840" s="115" t="s">
        <v>1241</v>
      </c>
      <c r="D2840" s="115" t="s">
        <v>8710</v>
      </c>
      <c r="E2840" s="115" t="s">
        <v>1242</v>
      </c>
      <c r="F2840" s="115">
        <v>0</v>
      </c>
      <c r="G2840" s="115">
        <v>0</v>
      </c>
      <c r="H2840" s="115">
        <v>0</v>
      </c>
      <c r="I2840" s="115">
        <v>0</v>
      </c>
      <c r="J2840" s="115">
        <v>0</v>
      </c>
      <c r="K2840" s="115">
        <v>0</v>
      </c>
    </row>
    <row r="2841" spans="2:11" x14ac:dyDescent="0.25">
      <c r="B2841" s="115" t="s">
        <v>1241</v>
      </c>
      <c r="D2841" s="115" t="s">
        <v>8710</v>
      </c>
      <c r="E2841" s="115" t="s">
        <v>1242</v>
      </c>
      <c r="F2841" s="115">
        <v>0</v>
      </c>
      <c r="G2841" s="115">
        <v>0</v>
      </c>
      <c r="H2841" s="115">
        <v>0</v>
      </c>
      <c r="I2841" s="115">
        <v>0</v>
      </c>
      <c r="J2841" s="115">
        <v>0</v>
      </c>
      <c r="K2841" s="115">
        <v>0</v>
      </c>
    </row>
    <row r="2842" spans="2:11" x14ac:dyDescent="0.25">
      <c r="B2842" s="115" t="s">
        <v>1241</v>
      </c>
      <c r="D2842" s="115" t="s">
        <v>8710</v>
      </c>
      <c r="E2842" s="115" t="s">
        <v>1242</v>
      </c>
      <c r="F2842" s="115">
        <v>0</v>
      </c>
      <c r="G2842" s="115">
        <v>0</v>
      </c>
      <c r="H2842" s="115">
        <v>0</v>
      </c>
      <c r="I2842" s="115">
        <v>0</v>
      </c>
      <c r="J2842" s="115">
        <v>0</v>
      </c>
      <c r="K2842" s="115">
        <v>0</v>
      </c>
    </row>
    <row r="2843" spans="2:11" x14ac:dyDescent="0.25">
      <c r="B2843" s="115" t="s">
        <v>1241</v>
      </c>
      <c r="D2843" s="115" t="s">
        <v>8710</v>
      </c>
      <c r="E2843" s="115" t="s">
        <v>1242</v>
      </c>
      <c r="F2843" s="115">
        <v>0</v>
      </c>
      <c r="G2843" s="115">
        <v>0</v>
      </c>
      <c r="H2843" s="115">
        <v>0</v>
      </c>
      <c r="I2843" s="115">
        <v>0</v>
      </c>
      <c r="J2843" s="115">
        <v>0</v>
      </c>
      <c r="K2843" s="115">
        <v>0</v>
      </c>
    </row>
    <row r="2844" spans="2:11" x14ac:dyDescent="0.25">
      <c r="B2844" s="115" t="s">
        <v>1241</v>
      </c>
      <c r="D2844" s="115" t="s">
        <v>8710</v>
      </c>
      <c r="E2844" s="115" t="s">
        <v>1242</v>
      </c>
      <c r="F2844" s="115">
        <v>0</v>
      </c>
      <c r="G2844" s="115">
        <v>0</v>
      </c>
      <c r="H2844" s="115">
        <v>0</v>
      </c>
      <c r="I2844" s="115">
        <v>0</v>
      </c>
      <c r="J2844" s="115">
        <v>0</v>
      </c>
      <c r="K2844" s="115">
        <v>0</v>
      </c>
    </row>
    <row r="2845" spans="2:11" x14ac:dyDescent="0.25">
      <c r="B2845" s="115" t="s">
        <v>1241</v>
      </c>
      <c r="D2845" s="115" t="s">
        <v>8710</v>
      </c>
      <c r="E2845" s="115" t="s">
        <v>1242</v>
      </c>
      <c r="F2845" s="115">
        <v>0</v>
      </c>
      <c r="G2845" s="115">
        <v>0</v>
      </c>
      <c r="H2845" s="115">
        <v>0</v>
      </c>
      <c r="I2845" s="115">
        <v>0</v>
      </c>
      <c r="J2845" s="115">
        <v>0</v>
      </c>
      <c r="K2845" s="115">
        <v>0</v>
      </c>
    </row>
    <row r="2846" spans="2:11" x14ac:dyDescent="0.25">
      <c r="B2846" s="115" t="s">
        <v>1241</v>
      </c>
      <c r="D2846" s="115" t="s">
        <v>8710</v>
      </c>
      <c r="E2846" s="115" t="s">
        <v>1242</v>
      </c>
      <c r="F2846" s="115">
        <v>0</v>
      </c>
      <c r="G2846" s="115">
        <v>0</v>
      </c>
      <c r="H2846" s="115">
        <v>0</v>
      </c>
      <c r="I2846" s="115">
        <v>0</v>
      </c>
      <c r="J2846" s="115">
        <v>0</v>
      </c>
      <c r="K2846" s="115">
        <v>0</v>
      </c>
    </row>
    <row r="2847" spans="2:11" x14ac:dyDescent="0.25">
      <c r="B2847" s="115" t="s">
        <v>1241</v>
      </c>
      <c r="D2847" s="115" t="s">
        <v>8710</v>
      </c>
      <c r="E2847" s="115" t="s">
        <v>1242</v>
      </c>
      <c r="F2847" s="115">
        <v>0</v>
      </c>
      <c r="G2847" s="115">
        <v>0</v>
      </c>
      <c r="H2847" s="115">
        <v>0</v>
      </c>
      <c r="I2847" s="115">
        <v>0</v>
      </c>
      <c r="J2847" s="115">
        <v>0</v>
      </c>
      <c r="K2847" s="115">
        <v>0</v>
      </c>
    </row>
    <row r="2848" spans="2:11" x14ac:dyDescent="0.25">
      <c r="B2848" s="115" t="s">
        <v>1241</v>
      </c>
      <c r="D2848" s="115" t="s">
        <v>8710</v>
      </c>
      <c r="E2848" s="115" t="s">
        <v>1242</v>
      </c>
      <c r="F2848" s="115">
        <v>0</v>
      </c>
      <c r="G2848" s="115">
        <v>0</v>
      </c>
      <c r="H2848" s="115">
        <v>0</v>
      </c>
      <c r="I2848" s="115">
        <v>0</v>
      </c>
      <c r="J2848" s="115">
        <v>0</v>
      </c>
      <c r="K2848" s="115">
        <v>0</v>
      </c>
    </row>
    <row r="2849" spans="2:11" x14ac:dyDescent="0.25">
      <c r="B2849" s="115" t="s">
        <v>1241</v>
      </c>
      <c r="D2849" s="115" t="s">
        <v>8710</v>
      </c>
      <c r="E2849" s="115" t="s">
        <v>1242</v>
      </c>
      <c r="F2849" s="115">
        <v>0</v>
      </c>
      <c r="G2849" s="115">
        <v>0</v>
      </c>
      <c r="H2849" s="115">
        <v>0</v>
      </c>
      <c r="I2849" s="115">
        <v>0</v>
      </c>
      <c r="J2849" s="115">
        <v>0</v>
      </c>
      <c r="K2849" s="115">
        <v>0</v>
      </c>
    </row>
    <row r="2850" spans="2:11" x14ac:dyDescent="0.25">
      <c r="B2850" s="115" t="s">
        <v>1241</v>
      </c>
      <c r="D2850" s="115" t="s">
        <v>8710</v>
      </c>
      <c r="E2850" s="115" t="s">
        <v>1242</v>
      </c>
      <c r="F2850" s="115">
        <v>0</v>
      </c>
      <c r="G2850" s="115">
        <v>0</v>
      </c>
      <c r="H2850" s="115">
        <v>0</v>
      </c>
      <c r="I2850" s="115">
        <v>0</v>
      </c>
      <c r="J2850" s="115">
        <v>0</v>
      </c>
      <c r="K2850" s="115">
        <v>0</v>
      </c>
    </row>
    <row r="2851" spans="2:11" x14ac:dyDescent="0.25">
      <c r="B2851" s="115" t="s">
        <v>1241</v>
      </c>
      <c r="D2851" s="115" t="s">
        <v>8710</v>
      </c>
      <c r="E2851" s="115" t="s">
        <v>1242</v>
      </c>
      <c r="F2851" s="115">
        <v>0</v>
      </c>
      <c r="G2851" s="115">
        <v>0</v>
      </c>
      <c r="H2851" s="115">
        <v>0</v>
      </c>
      <c r="I2851" s="115">
        <v>0</v>
      </c>
      <c r="J2851" s="115">
        <v>0</v>
      </c>
      <c r="K2851" s="115">
        <v>0</v>
      </c>
    </row>
    <row r="2852" spans="2:11" x14ac:dyDescent="0.25">
      <c r="B2852" s="115" t="s">
        <v>1241</v>
      </c>
      <c r="D2852" s="115" t="s">
        <v>8710</v>
      </c>
      <c r="E2852" s="115" t="s">
        <v>1242</v>
      </c>
      <c r="F2852" s="115">
        <v>0</v>
      </c>
      <c r="G2852" s="115">
        <v>0</v>
      </c>
      <c r="H2852" s="115">
        <v>0</v>
      </c>
      <c r="I2852" s="115">
        <v>0</v>
      </c>
      <c r="J2852" s="115">
        <v>0</v>
      </c>
      <c r="K2852" s="115">
        <v>0</v>
      </c>
    </row>
    <row r="2853" spans="2:11" x14ac:dyDescent="0.25">
      <c r="B2853" s="115" t="s">
        <v>1241</v>
      </c>
      <c r="D2853" s="115" t="s">
        <v>8710</v>
      </c>
      <c r="E2853" s="115" t="s">
        <v>1242</v>
      </c>
      <c r="F2853" s="115">
        <v>0</v>
      </c>
      <c r="G2853" s="115">
        <v>0</v>
      </c>
      <c r="H2853" s="115">
        <v>0</v>
      </c>
      <c r="I2853" s="115">
        <v>0</v>
      </c>
      <c r="J2853" s="115">
        <v>0</v>
      </c>
      <c r="K2853" s="115">
        <v>0</v>
      </c>
    </row>
    <row r="2854" spans="2:11" x14ac:dyDescent="0.25">
      <c r="B2854" s="115" t="s">
        <v>1241</v>
      </c>
      <c r="D2854" s="115" t="s">
        <v>8710</v>
      </c>
      <c r="E2854" s="115" t="s">
        <v>1242</v>
      </c>
      <c r="F2854" s="115">
        <v>0</v>
      </c>
      <c r="G2854" s="115">
        <v>0</v>
      </c>
      <c r="H2854" s="115">
        <v>0</v>
      </c>
      <c r="I2854" s="115">
        <v>0</v>
      </c>
      <c r="J2854" s="115">
        <v>0</v>
      </c>
      <c r="K2854" s="115">
        <v>0</v>
      </c>
    </row>
    <row r="2855" spans="2:11" x14ac:dyDescent="0.25">
      <c r="B2855" s="115" t="s">
        <v>1241</v>
      </c>
      <c r="D2855" s="115" t="s">
        <v>8710</v>
      </c>
      <c r="E2855" s="115" t="s">
        <v>1242</v>
      </c>
      <c r="F2855" s="115">
        <v>0</v>
      </c>
      <c r="G2855" s="115">
        <v>0</v>
      </c>
      <c r="H2855" s="115">
        <v>0</v>
      </c>
      <c r="I2855" s="115">
        <v>0</v>
      </c>
      <c r="J2855" s="115">
        <v>0</v>
      </c>
      <c r="K2855" s="115">
        <v>0</v>
      </c>
    </row>
    <row r="2856" spans="2:11" x14ac:dyDescent="0.25">
      <c r="B2856" s="115" t="s">
        <v>1241</v>
      </c>
      <c r="D2856" s="115" t="s">
        <v>8710</v>
      </c>
      <c r="E2856" s="115" t="s">
        <v>1242</v>
      </c>
      <c r="F2856" s="115">
        <v>0</v>
      </c>
      <c r="G2856" s="115">
        <v>0</v>
      </c>
      <c r="H2856" s="115">
        <v>0</v>
      </c>
      <c r="I2856" s="115">
        <v>0</v>
      </c>
      <c r="J2856" s="115">
        <v>0</v>
      </c>
      <c r="K2856" s="115">
        <v>0</v>
      </c>
    </row>
    <row r="2857" spans="2:11" x14ac:dyDescent="0.25">
      <c r="B2857" s="115" t="s">
        <v>1241</v>
      </c>
      <c r="D2857" s="115" t="s">
        <v>8710</v>
      </c>
      <c r="E2857" s="115" t="s">
        <v>1242</v>
      </c>
      <c r="F2857" s="115">
        <v>0</v>
      </c>
      <c r="G2857" s="115">
        <v>0</v>
      </c>
      <c r="H2857" s="115">
        <v>0</v>
      </c>
      <c r="I2857" s="115">
        <v>0</v>
      </c>
      <c r="J2857" s="115">
        <v>0</v>
      </c>
      <c r="K2857" s="115">
        <v>0</v>
      </c>
    </row>
    <row r="2858" spans="2:11" x14ac:dyDescent="0.25">
      <c r="B2858" s="115" t="s">
        <v>1241</v>
      </c>
      <c r="D2858" s="115" t="s">
        <v>8710</v>
      </c>
      <c r="E2858" s="115" t="s">
        <v>1242</v>
      </c>
      <c r="F2858" s="115">
        <v>0</v>
      </c>
      <c r="G2858" s="115">
        <v>0</v>
      </c>
      <c r="H2858" s="115">
        <v>0</v>
      </c>
      <c r="I2858" s="115">
        <v>0</v>
      </c>
      <c r="J2858" s="115">
        <v>0</v>
      </c>
      <c r="K2858" s="115">
        <v>0</v>
      </c>
    </row>
    <row r="2859" spans="2:11" x14ac:dyDescent="0.25">
      <c r="B2859" s="115" t="s">
        <v>1241</v>
      </c>
      <c r="D2859" s="115" t="s">
        <v>8710</v>
      </c>
      <c r="E2859" s="115" t="s">
        <v>1242</v>
      </c>
      <c r="F2859" s="115">
        <v>0</v>
      </c>
      <c r="G2859" s="115">
        <v>0</v>
      </c>
      <c r="H2859" s="115">
        <v>0</v>
      </c>
      <c r="I2859" s="115">
        <v>0</v>
      </c>
      <c r="J2859" s="115">
        <v>0</v>
      </c>
      <c r="K2859" s="115">
        <v>0</v>
      </c>
    </row>
    <row r="2860" spans="2:11" x14ac:dyDescent="0.25">
      <c r="B2860" s="115" t="s">
        <v>1241</v>
      </c>
      <c r="D2860" s="115" t="s">
        <v>8710</v>
      </c>
      <c r="E2860" s="115" t="s">
        <v>1242</v>
      </c>
      <c r="F2860" s="115">
        <v>0</v>
      </c>
      <c r="G2860" s="115">
        <v>0</v>
      </c>
      <c r="H2860" s="115">
        <v>0</v>
      </c>
      <c r="I2860" s="115">
        <v>0</v>
      </c>
      <c r="J2860" s="115">
        <v>0</v>
      </c>
      <c r="K2860" s="115">
        <v>0</v>
      </c>
    </row>
    <row r="2861" spans="2:11" x14ac:dyDescent="0.25">
      <c r="B2861" s="115" t="s">
        <v>1241</v>
      </c>
      <c r="D2861" s="115" t="s">
        <v>8710</v>
      </c>
      <c r="E2861" s="115" t="s">
        <v>1242</v>
      </c>
      <c r="F2861" s="115">
        <v>0</v>
      </c>
      <c r="G2861" s="115">
        <v>0</v>
      </c>
      <c r="H2861" s="115">
        <v>0</v>
      </c>
      <c r="I2861" s="115">
        <v>0</v>
      </c>
      <c r="J2861" s="115">
        <v>0</v>
      </c>
      <c r="K2861" s="115">
        <v>0</v>
      </c>
    </row>
    <row r="2862" spans="2:11" x14ac:dyDescent="0.25">
      <c r="B2862" s="115" t="s">
        <v>1241</v>
      </c>
      <c r="D2862" s="115" t="s">
        <v>8710</v>
      </c>
      <c r="E2862" s="115" t="s">
        <v>1242</v>
      </c>
      <c r="F2862" s="115">
        <v>0</v>
      </c>
      <c r="G2862" s="115">
        <v>0</v>
      </c>
      <c r="H2862" s="115">
        <v>0</v>
      </c>
      <c r="I2862" s="115">
        <v>0</v>
      </c>
      <c r="J2862" s="115">
        <v>0</v>
      </c>
      <c r="K2862" s="115">
        <v>0</v>
      </c>
    </row>
    <row r="2863" spans="2:11" x14ac:dyDescent="0.25">
      <c r="B2863" s="115" t="s">
        <v>1241</v>
      </c>
      <c r="D2863" s="115" t="s">
        <v>8710</v>
      </c>
      <c r="E2863" s="115" t="s">
        <v>1242</v>
      </c>
      <c r="F2863" s="115">
        <v>0</v>
      </c>
      <c r="G2863" s="115">
        <v>0</v>
      </c>
      <c r="H2863" s="115">
        <v>0</v>
      </c>
      <c r="I2863" s="115">
        <v>0</v>
      </c>
      <c r="J2863" s="115">
        <v>0</v>
      </c>
      <c r="K2863" s="115">
        <v>0</v>
      </c>
    </row>
    <row r="2864" spans="2:11" x14ac:dyDescent="0.25">
      <c r="B2864" s="115" t="s">
        <v>1241</v>
      </c>
      <c r="D2864" s="115" t="s">
        <v>8710</v>
      </c>
      <c r="E2864" s="115" t="s">
        <v>1242</v>
      </c>
      <c r="F2864" s="115">
        <v>0</v>
      </c>
      <c r="G2864" s="115">
        <v>0</v>
      </c>
      <c r="H2864" s="115">
        <v>0</v>
      </c>
      <c r="I2864" s="115">
        <v>0</v>
      </c>
      <c r="J2864" s="115">
        <v>0</v>
      </c>
      <c r="K2864" s="115">
        <v>0</v>
      </c>
    </row>
    <row r="2865" spans="2:11" x14ac:dyDescent="0.25">
      <c r="B2865" s="115" t="s">
        <v>1241</v>
      </c>
      <c r="D2865" s="115" t="s">
        <v>8710</v>
      </c>
      <c r="E2865" s="115" t="s">
        <v>1242</v>
      </c>
      <c r="F2865" s="115">
        <v>0</v>
      </c>
      <c r="G2865" s="115">
        <v>0</v>
      </c>
      <c r="H2865" s="115">
        <v>0</v>
      </c>
      <c r="I2865" s="115">
        <v>0</v>
      </c>
      <c r="J2865" s="115">
        <v>0</v>
      </c>
      <c r="K2865" s="115">
        <v>0</v>
      </c>
    </row>
    <row r="2866" spans="2:11" x14ac:dyDescent="0.25">
      <c r="B2866" s="115" t="s">
        <v>1241</v>
      </c>
      <c r="D2866" s="115" t="s">
        <v>8710</v>
      </c>
      <c r="E2866" s="115" t="s">
        <v>1242</v>
      </c>
      <c r="F2866" s="115">
        <v>0</v>
      </c>
      <c r="G2866" s="115">
        <v>0</v>
      </c>
      <c r="H2866" s="115">
        <v>0</v>
      </c>
      <c r="I2866" s="115">
        <v>0</v>
      </c>
      <c r="J2866" s="115">
        <v>0</v>
      </c>
      <c r="K2866" s="115">
        <v>0</v>
      </c>
    </row>
    <row r="2867" spans="2:11" x14ac:dyDescent="0.25">
      <c r="B2867" s="115" t="s">
        <v>1241</v>
      </c>
      <c r="D2867" s="115" t="s">
        <v>8710</v>
      </c>
      <c r="E2867" s="115" t="s">
        <v>1242</v>
      </c>
      <c r="F2867" s="115">
        <v>0</v>
      </c>
      <c r="G2867" s="115">
        <v>0</v>
      </c>
      <c r="H2867" s="115">
        <v>0</v>
      </c>
      <c r="I2867" s="115">
        <v>0</v>
      </c>
      <c r="J2867" s="115">
        <v>0</v>
      </c>
      <c r="K2867" s="115">
        <v>0</v>
      </c>
    </row>
    <row r="2868" spans="2:11" x14ac:dyDescent="0.25">
      <c r="B2868" s="115" t="s">
        <v>1241</v>
      </c>
      <c r="D2868" s="115" t="s">
        <v>8710</v>
      </c>
      <c r="E2868" s="115" t="s">
        <v>1242</v>
      </c>
      <c r="F2868" s="115">
        <v>0</v>
      </c>
      <c r="G2868" s="115">
        <v>0</v>
      </c>
      <c r="H2868" s="115">
        <v>0</v>
      </c>
      <c r="I2868" s="115">
        <v>0</v>
      </c>
      <c r="J2868" s="115">
        <v>0</v>
      </c>
      <c r="K2868" s="115">
        <v>0</v>
      </c>
    </row>
    <row r="2869" spans="2:11" x14ac:dyDescent="0.25">
      <c r="B2869" s="115" t="s">
        <v>1241</v>
      </c>
      <c r="D2869" s="115" t="s">
        <v>8710</v>
      </c>
      <c r="E2869" s="115" t="s">
        <v>1242</v>
      </c>
      <c r="F2869" s="115">
        <v>0</v>
      </c>
      <c r="G2869" s="115">
        <v>0</v>
      </c>
      <c r="H2869" s="115">
        <v>0</v>
      </c>
      <c r="I2869" s="115">
        <v>0</v>
      </c>
      <c r="J2869" s="115">
        <v>0</v>
      </c>
      <c r="K2869" s="115">
        <v>0</v>
      </c>
    </row>
    <row r="2870" spans="2:11" x14ac:dyDescent="0.25">
      <c r="B2870" s="115" t="s">
        <v>1241</v>
      </c>
      <c r="D2870" s="115" t="s">
        <v>8710</v>
      </c>
      <c r="E2870" s="115" t="s">
        <v>1242</v>
      </c>
      <c r="F2870" s="115">
        <v>0</v>
      </c>
      <c r="G2870" s="115">
        <v>0</v>
      </c>
      <c r="H2870" s="115">
        <v>0</v>
      </c>
      <c r="I2870" s="115">
        <v>0</v>
      </c>
      <c r="J2870" s="115">
        <v>0</v>
      </c>
      <c r="K2870" s="115">
        <v>0</v>
      </c>
    </row>
    <row r="2871" spans="2:11" x14ac:dyDescent="0.25">
      <c r="B2871" s="115" t="s">
        <v>1241</v>
      </c>
      <c r="D2871" s="115" t="s">
        <v>8710</v>
      </c>
      <c r="E2871" s="115" t="s">
        <v>1242</v>
      </c>
      <c r="F2871" s="115">
        <v>0</v>
      </c>
      <c r="G2871" s="115">
        <v>0</v>
      </c>
      <c r="H2871" s="115">
        <v>0</v>
      </c>
      <c r="I2871" s="115">
        <v>0</v>
      </c>
      <c r="J2871" s="115">
        <v>0</v>
      </c>
      <c r="K2871" s="115">
        <v>0</v>
      </c>
    </row>
    <row r="2872" spans="2:11" x14ac:dyDescent="0.25">
      <c r="B2872" s="115" t="s">
        <v>1241</v>
      </c>
      <c r="D2872" s="115" t="s">
        <v>8710</v>
      </c>
      <c r="E2872" s="115" t="s">
        <v>1242</v>
      </c>
      <c r="F2872" s="115">
        <v>0</v>
      </c>
      <c r="G2872" s="115">
        <v>0</v>
      </c>
      <c r="H2872" s="115">
        <v>0</v>
      </c>
      <c r="I2872" s="115">
        <v>0</v>
      </c>
      <c r="J2872" s="115">
        <v>0</v>
      </c>
      <c r="K2872" s="115">
        <v>0</v>
      </c>
    </row>
    <row r="2873" spans="2:11" x14ac:dyDescent="0.25">
      <c r="B2873" s="115" t="s">
        <v>1241</v>
      </c>
      <c r="D2873" s="115" t="s">
        <v>8710</v>
      </c>
      <c r="E2873" s="115" t="s">
        <v>1242</v>
      </c>
      <c r="F2873" s="115">
        <v>0</v>
      </c>
      <c r="G2873" s="115">
        <v>0</v>
      </c>
      <c r="H2873" s="115">
        <v>0</v>
      </c>
      <c r="I2873" s="115">
        <v>0</v>
      </c>
      <c r="J2873" s="115">
        <v>0</v>
      </c>
      <c r="K2873" s="115">
        <v>0</v>
      </c>
    </row>
    <row r="2874" spans="2:11" x14ac:dyDescent="0.25">
      <c r="B2874" s="115" t="s">
        <v>1241</v>
      </c>
      <c r="D2874" s="115" t="s">
        <v>8710</v>
      </c>
      <c r="E2874" s="115" t="s">
        <v>1242</v>
      </c>
      <c r="F2874" s="115">
        <v>0</v>
      </c>
      <c r="G2874" s="115">
        <v>0</v>
      </c>
      <c r="H2874" s="115">
        <v>0</v>
      </c>
      <c r="I2874" s="115">
        <v>0</v>
      </c>
      <c r="J2874" s="115">
        <v>0</v>
      </c>
      <c r="K2874" s="115">
        <v>0</v>
      </c>
    </row>
    <row r="2875" spans="2:11" x14ac:dyDescent="0.25">
      <c r="B2875" s="115" t="s">
        <v>1241</v>
      </c>
      <c r="D2875" s="115" t="s">
        <v>8710</v>
      </c>
      <c r="E2875" s="115" t="s">
        <v>1242</v>
      </c>
      <c r="F2875" s="115">
        <v>0</v>
      </c>
      <c r="G2875" s="115">
        <v>0</v>
      </c>
      <c r="H2875" s="115">
        <v>0</v>
      </c>
      <c r="I2875" s="115">
        <v>0</v>
      </c>
      <c r="J2875" s="115">
        <v>0</v>
      </c>
      <c r="K2875" s="115">
        <v>0</v>
      </c>
    </row>
    <row r="2876" spans="2:11" x14ac:dyDescent="0.25">
      <c r="B2876" s="115" t="s">
        <v>1241</v>
      </c>
      <c r="D2876" s="115" t="s">
        <v>8710</v>
      </c>
      <c r="E2876" s="115" t="s">
        <v>1242</v>
      </c>
      <c r="F2876" s="115">
        <v>0</v>
      </c>
      <c r="G2876" s="115">
        <v>0</v>
      </c>
      <c r="H2876" s="115">
        <v>0</v>
      </c>
      <c r="I2876" s="115">
        <v>0</v>
      </c>
      <c r="J2876" s="115">
        <v>0</v>
      </c>
      <c r="K2876" s="115">
        <v>0</v>
      </c>
    </row>
    <row r="2877" spans="2:11" x14ac:dyDescent="0.25">
      <c r="B2877" s="115" t="s">
        <v>1241</v>
      </c>
      <c r="D2877" s="115" t="s">
        <v>8710</v>
      </c>
      <c r="E2877" s="115" t="s">
        <v>1242</v>
      </c>
      <c r="F2877" s="115">
        <v>0</v>
      </c>
      <c r="G2877" s="115">
        <v>0</v>
      </c>
      <c r="H2877" s="115">
        <v>0</v>
      </c>
      <c r="I2877" s="115">
        <v>0</v>
      </c>
      <c r="J2877" s="115">
        <v>0</v>
      </c>
      <c r="K2877" s="115">
        <v>0</v>
      </c>
    </row>
    <row r="2878" spans="2:11" x14ac:dyDescent="0.25">
      <c r="B2878" s="115" t="s">
        <v>1241</v>
      </c>
      <c r="D2878" s="115" t="s">
        <v>8710</v>
      </c>
      <c r="E2878" s="115" t="s">
        <v>1242</v>
      </c>
      <c r="F2878" s="115">
        <v>0</v>
      </c>
      <c r="G2878" s="115">
        <v>0</v>
      </c>
      <c r="H2878" s="115">
        <v>0</v>
      </c>
      <c r="I2878" s="115">
        <v>0</v>
      </c>
      <c r="J2878" s="115">
        <v>0</v>
      </c>
      <c r="K2878" s="115">
        <v>0</v>
      </c>
    </row>
    <row r="2879" spans="2:11" x14ac:dyDescent="0.25">
      <c r="B2879" s="115" t="s">
        <v>1241</v>
      </c>
      <c r="D2879" s="115" t="s">
        <v>8710</v>
      </c>
      <c r="E2879" s="115" t="s">
        <v>1242</v>
      </c>
      <c r="F2879" s="115">
        <v>0</v>
      </c>
      <c r="G2879" s="115">
        <v>0</v>
      </c>
      <c r="H2879" s="115">
        <v>0</v>
      </c>
      <c r="I2879" s="115">
        <v>0</v>
      </c>
      <c r="J2879" s="115">
        <v>0</v>
      </c>
      <c r="K2879" s="115">
        <v>0</v>
      </c>
    </row>
    <row r="2880" spans="2:11" x14ac:dyDescent="0.25">
      <c r="B2880" s="115" t="s">
        <v>1241</v>
      </c>
      <c r="D2880" s="115" t="s">
        <v>8710</v>
      </c>
      <c r="E2880" s="115" t="s">
        <v>1242</v>
      </c>
      <c r="F2880" s="115">
        <v>0</v>
      </c>
      <c r="G2880" s="115">
        <v>0</v>
      </c>
      <c r="H2880" s="115">
        <v>0</v>
      </c>
      <c r="I2880" s="115">
        <v>0</v>
      </c>
      <c r="J2880" s="115">
        <v>0</v>
      </c>
      <c r="K2880" s="115">
        <v>0</v>
      </c>
    </row>
    <row r="2881" spans="2:11" x14ac:dyDescent="0.25">
      <c r="B2881" s="115" t="s">
        <v>1241</v>
      </c>
      <c r="D2881" s="115" t="s">
        <v>8710</v>
      </c>
      <c r="E2881" s="115" t="s">
        <v>1242</v>
      </c>
      <c r="F2881" s="115">
        <v>0</v>
      </c>
      <c r="G2881" s="115">
        <v>0</v>
      </c>
      <c r="H2881" s="115">
        <v>0</v>
      </c>
      <c r="I2881" s="115">
        <v>0</v>
      </c>
      <c r="J2881" s="115">
        <v>0</v>
      </c>
      <c r="K2881" s="115">
        <v>0</v>
      </c>
    </row>
    <row r="2882" spans="2:11" x14ac:dyDescent="0.25">
      <c r="B2882" s="115" t="s">
        <v>1241</v>
      </c>
      <c r="D2882" s="115" t="s">
        <v>8710</v>
      </c>
      <c r="E2882" s="115" t="s">
        <v>1242</v>
      </c>
      <c r="F2882" s="115">
        <v>0</v>
      </c>
      <c r="G2882" s="115">
        <v>0</v>
      </c>
      <c r="H2882" s="115">
        <v>0</v>
      </c>
      <c r="I2882" s="115">
        <v>0</v>
      </c>
      <c r="J2882" s="115">
        <v>0</v>
      </c>
      <c r="K2882" s="115">
        <v>0</v>
      </c>
    </row>
    <row r="2883" spans="2:11" x14ac:dyDescent="0.25">
      <c r="B2883" s="115" t="s">
        <v>1241</v>
      </c>
      <c r="D2883" s="115" t="s">
        <v>8710</v>
      </c>
      <c r="E2883" s="115" t="s">
        <v>1242</v>
      </c>
      <c r="F2883" s="115">
        <v>0</v>
      </c>
      <c r="G2883" s="115">
        <v>0</v>
      </c>
      <c r="H2883" s="115">
        <v>0</v>
      </c>
      <c r="I2883" s="115">
        <v>0</v>
      </c>
      <c r="J2883" s="115">
        <v>0</v>
      </c>
      <c r="K2883" s="115">
        <v>0</v>
      </c>
    </row>
    <row r="2884" spans="2:11" x14ac:dyDescent="0.25">
      <c r="B2884" s="115" t="s">
        <v>1241</v>
      </c>
      <c r="D2884" s="115" t="s">
        <v>8710</v>
      </c>
      <c r="E2884" s="115" t="s">
        <v>1242</v>
      </c>
      <c r="F2884" s="115">
        <v>0</v>
      </c>
      <c r="G2884" s="115">
        <v>0</v>
      </c>
      <c r="H2884" s="115">
        <v>0</v>
      </c>
      <c r="I2884" s="115">
        <v>0</v>
      </c>
      <c r="J2884" s="115">
        <v>0</v>
      </c>
      <c r="K2884" s="115">
        <v>0</v>
      </c>
    </row>
    <row r="2885" spans="2:11" x14ac:dyDescent="0.25">
      <c r="B2885" s="115" t="s">
        <v>1241</v>
      </c>
      <c r="D2885" s="115" t="s">
        <v>8710</v>
      </c>
      <c r="E2885" s="115" t="s">
        <v>1242</v>
      </c>
      <c r="F2885" s="115">
        <v>0</v>
      </c>
      <c r="G2885" s="115">
        <v>0</v>
      </c>
      <c r="H2885" s="115">
        <v>0</v>
      </c>
      <c r="I2885" s="115">
        <v>0</v>
      </c>
      <c r="J2885" s="115">
        <v>0</v>
      </c>
      <c r="K2885" s="115">
        <v>0</v>
      </c>
    </row>
    <row r="2886" spans="2:11" x14ac:dyDescent="0.25">
      <c r="B2886" s="115" t="s">
        <v>1241</v>
      </c>
      <c r="D2886" s="115" t="s">
        <v>8710</v>
      </c>
      <c r="E2886" s="115" t="s">
        <v>1242</v>
      </c>
      <c r="F2886" s="115">
        <v>0</v>
      </c>
      <c r="G2886" s="115">
        <v>0</v>
      </c>
      <c r="H2886" s="115">
        <v>0</v>
      </c>
      <c r="I2886" s="115">
        <v>0</v>
      </c>
      <c r="J2886" s="115">
        <v>0</v>
      </c>
      <c r="K2886" s="115">
        <v>0</v>
      </c>
    </row>
    <row r="2887" spans="2:11" x14ac:dyDescent="0.25">
      <c r="B2887" s="115" t="s">
        <v>1241</v>
      </c>
      <c r="D2887" s="115" t="s">
        <v>8710</v>
      </c>
      <c r="E2887" s="115" t="s">
        <v>1242</v>
      </c>
      <c r="F2887" s="115">
        <v>0</v>
      </c>
      <c r="G2887" s="115">
        <v>0</v>
      </c>
      <c r="H2887" s="115">
        <v>0</v>
      </c>
      <c r="I2887" s="115">
        <v>0</v>
      </c>
      <c r="J2887" s="115">
        <v>0</v>
      </c>
      <c r="K2887" s="115">
        <v>0</v>
      </c>
    </row>
    <row r="2888" spans="2:11" x14ac:dyDescent="0.25">
      <c r="B2888" s="115" t="s">
        <v>1241</v>
      </c>
      <c r="D2888" s="115" t="s">
        <v>8710</v>
      </c>
      <c r="E2888" s="115" t="s">
        <v>1242</v>
      </c>
      <c r="F2888" s="115">
        <v>0</v>
      </c>
      <c r="G2888" s="115">
        <v>0</v>
      </c>
      <c r="H2888" s="115">
        <v>0</v>
      </c>
      <c r="I2888" s="115">
        <v>0</v>
      </c>
      <c r="J2888" s="115">
        <v>0</v>
      </c>
      <c r="K2888" s="115">
        <v>0</v>
      </c>
    </row>
    <row r="2889" spans="2:11" x14ac:dyDescent="0.25">
      <c r="B2889" s="115" t="s">
        <v>1241</v>
      </c>
      <c r="D2889" s="115" t="s">
        <v>8710</v>
      </c>
      <c r="E2889" s="115" t="s">
        <v>1242</v>
      </c>
      <c r="F2889" s="115">
        <v>0</v>
      </c>
      <c r="G2889" s="115">
        <v>0</v>
      </c>
      <c r="H2889" s="115">
        <v>0</v>
      </c>
      <c r="I2889" s="115">
        <v>0</v>
      </c>
      <c r="J2889" s="115">
        <v>0</v>
      </c>
      <c r="K2889" s="115">
        <v>0</v>
      </c>
    </row>
    <row r="2890" spans="2:11" x14ac:dyDescent="0.25">
      <c r="B2890" s="115" t="s">
        <v>1241</v>
      </c>
      <c r="D2890" s="115" t="s">
        <v>8710</v>
      </c>
      <c r="E2890" s="115" t="s">
        <v>1242</v>
      </c>
      <c r="F2890" s="115">
        <v>0</v>
      </c>
      <c r="G2890" s="115">
        <v>0</v>
      </c>
      <c r="H2890" s="115">
        <v>0</v>
      </c>
      <c r="I2890" s="115">
        <v>0</v>
      </c>
      <c r="J2890" s="115">
        <v>0</v>
      </c>
      <c r="K2890" s="115">
        <v>0</v>
      </c>
    </row>
    <row r="2891" spans="2:11" x14ac:dyDescent="0.25">
      <c r="B2891" s="115" t="s">
        <v>1241</v>
      </c>
      <c r="D2891" s="115" t="s">
        <v>8710</v>
      </c>
      <c r="E2891" s="115" t="s">
        <v>1242</v>
      </c>
      <c r="F2891" s="115">
        <v>0</v>
      </c>
      <c r="G2891" s="115">
        <v>0</v>
      </c>
      <c r="H2891" s="115">
        <v>0</v>
      </c>
      <c r="I2891" s="115">
        <v>0</v>
      </c>
      <c r="J2891" s="115">
        <v>0</v>
      </c>
      <c r="K2891" s="115">
        <v>0</v>
      </c>
    </row>
    <row r="2892" spans="2:11" x14ac:dyDescent="0.25">
      <c r="B2892" s="115" t="s">
        <v>1241</v>
      </c>
      <c r="D2892" s="115" t="s">
        <v>8710</v>
      </c>
      <c r="E2892" s="115" t="s">
        <v>1242</v>
      </c>
      <c r="F2892" s="115">
        <v>0</v>
      </c>
      <c r="G2892" s="115">
        <v>0</v>
      </c>
      <c r="H2892" s="115">
        <v>0</v>
      </c>
      <c r="I2892" s="115">
        <v>0</v>
      </c>
      <c r="J2892" s="115">
        <v>0</v>
      </c>
      <c r="K2892" s="115">
        <v>0</v>
      </c>
    </row>
    <row r="2893" spans="2:11" x14ac:dyDescent="0.25">
      <c r="B2893" s="115" t="s">
        <v>1241</v>
      </c>
      <c r="D2893" s="115" t="s">
        <v>8710</v>
      </c>
      <c r="E2893" s="115" t="s">
        <v>1242</v>
      </c>
      <c r="F2893" s="115">
        <v>0</v>
      </c>
      <c r="G2893" s="115">
        <v>0</v>
      </c>
      <c r="H2893" s="115">
        <v>0</v>
      </c>
      <c r="I2893" s="115">
        <v>0</v>
      </c>
      <c r="J2893" s="115">
        <v>0</v>
      </c>
      <c r="K2893" s="115">
        <v>0</v>
      </c>
    </row>
    <row r="2894" spans="2:11" x14ac:dyDescent="0.25">
      <c r="B2894" s="115" t="s">
        <v>1241</v>
      </c>
      <c r="D2894" s="115" t="s">
        <v>8710</v>
      </c>
      <c r="E2894" s="115" t="s">
        <v>1242</v>
      </c>
      <c r="F2894" s="115">
        <v>0</v>
      </c>
      <c r="G2894" s="115">
        <v>0</v>
      </c>
      <c r="H2894" s="115">
        <v>0</v>
      </c>
      <c r="I2894" s="115">
        <v>0</v>
      </c>
      <c r="J2894" s="115">
        <v>0</v>
      </c>
      <c r="K2894" s="115">
        <v>0</v>
      </c>
    </row>
    <row r="2895" spans="2:11" x14ac:dyDescent="0.25">
      <c r="B2895" s="115" t="s">
        <v>1241</v>
      </c>
      <c r="D2895" s="115" t="s">
        <v>8710</v>
      </c>
      <c r="E2895" s="115" t="s">
        <v>1242</v>
      </c>
      <c r="F2895" s="115">
        <v>0</v>
      </c>
      <c r="G2895" s="115">
        <v>0</v>
      </c>
      <c r="H2895" s="115">
        <v>0</v>
      </c>
      <c r="I2895" s="115">
        <v>0</v>
      </c>
      <c r="J2895" s="115">
        <v>0</v>
      </c>
      <c r="K2895" s="115">
        <v>0</v>
      </c>
    </row>
    <row r="2896" spans="2:11" x14ac:dyDescent="0.25">
      <c r="B2896" s="115" t="s">
        <v>1241</v>
      </c>
      <c r="D2896" s="115" t="s">
        <v>8710</v>
      </c>
      <c r="E2896" s="115" t="s">
        <v>1242</v>
      </c>
      <c r="F2896" s="115">
        <v>0</v>
      </c>
      <c r="G2896" s="115">
        <v>0</v>
      </c>
      <c r="H2896" s="115">
        <v>0</v>
      </c>
      <c r="I2896" s="115">
        <v>0</v>
      </c>
      <c r="J2896" s="115">
        <v>0</v>
      </c>
      <c r="K2896" s="115">
        <v>0</v>
      </c>
    </row>
    <row r="2897" spans="2:11" x14ac:dyDescent="0.25">
      <c r="B2897" s="115" t="s">
        <v>1241</v>
      </c>
      <c r="D2897" s="115" t="s">
        <v>8710</v>
      </c>
      <c r="E2897" s="115" t="s">
        <v>1242</v>
      </c>
      <c r="F2897" s="115">
        <v>0</v>
      </c>
      <c r="G2897" s="115">
        <v>0</v>
      </c>
      <c r="H2897" s="115">
        <v>0</v>
      </c>
      <c r="I2897" s="115">
        <v>0</v>
      </c>
      <c r="J2897" s="115">
        <v>0</v>
      </c>
      <c r="K2897" s="115">
        <v>0</v>
      </c>
    </row>
    <row r="2898" spans="2:11" x14ac:dyDescent="0.25">
      <c r="B2898" s="115" t="s">
        <v>1241</v>
      </c>
      <c r="D2898" s="115" t="s">
        <v>8710</v>
      </c>
      <c r="E2898" s="115" t="s">
        <v>1242</v>
      </c>
      <c r="F2898" s="115">
        <v>0</v>
      </c>
      <c r="G2898" s="115">
        <v>0</v>
      </c>
      <c r="H2898" s="115">
        <v>0</v>
      </c>
      <c r="I2898" s="115">
        <v>0</v>
      </c>
      <c r="J2898" s="115">
        <v>0</v>
      </c>
      <c r="K2898" s="115">
        <v>0</v>
      </c>
    </row>
    <row r="2899" spans="2:11" x14ac:dyDescent="0.25">
      <c r="B2899" s="115" t="s">
        <v>1241</v>
      </c>
      <c r="D2899" s="115" t="s">
        <v>8710</v>
      </c>
      <c r="E2899" s="115" t="s">
        <v>1242</v>
      </c>
      <c r="F2899" s="115">
        <v>0</v>
      </c>
      <c r="G2899" s="115">
        <v>0</v>
      </c>
      <c r="H2899" s="115">
        <v>0</v>
      </c>
      <c r="I2899" s="115">
        <v>0</v>
      </c>
      <c r="J2899" s="115">
        <v>0</v>
      </c>
      <c r="K2899" s="115">
        <v>0</v>
      </c>
    </row>
    <row r="2900" spans="2:11" x14ac:dyDescent="0.25">
      <c r="B2900" s="115" t="s">
        <v>1241</v>
      </c>
      <c r="D2900" s="115" t="s">
        <v>8710</v>
      </c>
      <c r="E2900" s="115" t="s">
        <v>1242</v>
      </c>
      <c r="F2900" s="115">
        <v>0</v>
      </c>
      <c r="G2900" s="115">
        <v>0</v>
      </c>
      <c r="H2900" s="115">
        <v>0</v>
      </c>
      <c r="I2900" s="115">
        <v>0</v>
      </c>
      <c r="J2900" s="115">
        <v>0</v>
      </c>
      <c r="K2900" s="115">
        <v>0</v>
      </c>
    </row>
    <row r="2901" spans="2:11" x14ac:dyDescent="0.25">
      <c r="B2901" s="115" t="s">
        <v>1241</v>
      </c>
      <c r="D2901" s="115" t="s">
        <v>8710</v>
      </c>
      <c r="E2901" s="115" t="s">
        <v>1242</v>
      </c>
      <c r="F2901" s="115">
        <v>0</v>
      </c>
      <c r="G2901" s="115">
        <v>0</v>
      </c>
      <c r="H2901" s="115">
        <v>0</v>
      </c>
      <c r="I2901" s="115">
        <v>0</v>
      </c>
      <c r="J2901" s="115">
        <v>0</v>
      </c>
      <c r="K2901" s="115">
        <v>0</v>
      </c>
    </row>
    <row r="2902" spans="2:11" x14ac:dyDescent="0.25">
      <c r="B2902" s="115" t="s">
        <v>1241</v>
      </c>
      <c r="D2902" s="115" t="s">
        <v>8710</v>
      </c>
      <c r="E2902" s="115" t="s">
        <v>1242</v>
      </c>
      <c r="F2902" s="115">
        <v>0</v>
      </c>
      <c r="G2902" s="115">
        <v>0</v>
      </c>
      <c r="H2902" s="115">
        <v>0</v>
      </c>
      <c r="I2902" s="115">
        <v>0</v>
      </c>
      <c r="J2902" s="115">
        <v>0</v>
      </c>
      <c r="K2902" s="115">
        <v>0</v>
      </c>
    </row>
    <row r="2903" spans="2:11" x14ac:dyDescent="0.25">
      <c r="B2903" s="115" t="s">
        <v>1241</v>
      </c>
      <c r="D2903" s="115" t="s">
        <v>8710</v>
      </c>
      <c r="E2903" s="115" t="s">
        <v>1242</v>
      </c>
      <c r="F2903" s="115">
        <v>0</v>
      </c>
      <c r="G2903" s="115">
        <v>0</v>
      </c>
      <c r="H2903" s="115">
        <v>0</v>
      </c>
      <c r="I2903" s="115">
        <v>0</v>
      </c>
      <c r="J2903" s="115">
        <v>0</v>
      </c>
      <c r="K2903" s="115">
        <v>0</v>
      </c>
    </row>
    <row r="2904" spans="2:11" x14ac:dyDescent="0.25">
      <c r="B2904" s="115" t="s">
        <v>1241</v>
      </c>
      <c r="D2904" s="115" t="s">
        <v>8710</v>
      </c>
      <c r="E2904" s="115" t="s">
        <v>1242</v>
      </c>
      <c r="F2904" s="115">
        <v>0</v>
      </c>
      <c r="G2904" s="115">
        <v>0</v>
      </c>
      <c r="H2904" s="115">
        <v>0</v>
      </c>
      <c r="I2904" s="115">
        <v>0</v>
      </c>
      <c r="J2904" s="115">
        <v>0</v>
      </c>
      <c r="K2904" s="115">
        <v>0</v>
      </c>
    </row>
    <row r="2905" spans="2:11" x14ac:dyDescent="0.25">
      <c r="B2905" s="115" t="s">
        <v>1241</v>
      </c>
      <c r="D2905" s="115" t="s">
        <v>8710</v>
      </c>
      <c r="E2905" s="115" t="s">
        <v>1242</v>
      </c>
      <c r="F2905" s="115">
        <v>0</v>
      </c>
      <c r="G2905" s="115">
        <v>0</v>
      </c>
      <c r="H2905" s="115">
        <v>0</v>
      </c>
      <c r="I2905" s="115">
        <v>0</v>
      </c>
      <c r="J2905" s="115">
        <v>0</v>
      </c>
      <c r="K2905" s="115">
        <v>0</v>
      </c>
    </row>
    <row r="2906" spans="2:11" x14ac:dyDescent="0.25">
      <c r="B2906" s="115" t="s">
        <v>1241</v>
      </c>
      <c r="D2906" s="115" t="s">
        <v>8710</v>
      </c>
      <c r="E2906" s="115" t="s">
        <v>1242</v>
      </c>
      <c r="F2906" s="115">
        <v>0</v>
      </c>
      <c r="G2906" s="115">
        <v>0</v>
      </c>
      <c r="H2906" s="115">
        <v>0</v>
      </c>
      <c r="I2906" s="115">
        <v>0</v>
      </c>
      <c r="J2906" s="115">
        <v>0</v>
      </c>
      <c r="K2906" s="115">
        <v>0</v>
      </c>
    </row>
    <row r="2907" spans="2:11" x14ac:dyDescent="0.25">
      <c r="B2907" s="115" t="s">
        <v>1241</v>
      </c>
      <c r="D2907" s="115" t="s">
        <v>8710</v>
      </c>
      <c r="E2907" s="115" t="s">
        <v>1242</v>
      </c>
      <c r="F2907" s="115">
        <v>0</v>
      </c>
      <c r="G2907" s="115">
        <v>0</v>
      </c>
      <c r="H2907" s="115">
        <v>0</v>
      </c>
      <c r="I2907" s="115">
        <v>0</v>
      </c>
      <c r="J2907" s="115">
        <v>0</v>
      </c>
      <c r="K2907" s="115">
        <v>0</v>
      </c>
    </row>
    <row r="2908" spans="2:11" x14ac:dyDescent="0.25">
      <c r="B2908" s="115" t="s">
        <v>1241</v>
      </c>
      <c r="D2908" s="115" t="s">
        <v>8710</v>
      </c>
      <c r="E2908" s="115" t="s">
        <v>1242</v>
      </c>
      <c r="F2908" s="115">
        <v>0</v>
      </c>
      <c r="G2908" s="115">
        <v>0</v>
      </c>
      <c r="H2908" s="115">
        <v>0</v>
      </c>
      <c r="I2908" s="115">
        <v>0</v>
      </c>
      <c r="J2908" s="115">
        <v>0</v>
      </c>
      <c r="K2908" s="115">
        <v>0</v>
      </c>
    </row>
    <row r="2909" spans="2:11" x14ac:dyDescent="0.25">
      <c r="B2909" s="115" t="s">
        <v>1241</v>
      </c>
      <c r="D2909" s="115" t="s">
        <v>8710</v>
      </c>
      <c r="E2909" s="115" t="s">
        <v>1242</v>
      </c>
      <c r="F2909" s="115">
        <v>0</v>
      </c>
      <c r="G2909" s="115">
        <v>0</v>
      </c>
      <c r="H2909" s="115">
        <v>0</v>
      </c>
      <c r="I2909" s="115">
        <v>0</v>
      </c>
      <c r="J2909" s="115">
        <v>0</v>
      </c>
      <c r="K2909" s="115">
        <v>0</v>
      </c>
    </row>
    <row r="2910" spans="2:11" x14ac:dyDescent="0.25">
      <c r="B2910" s="115" t="s">
        <v>1241</v>
      </c>
      <c r="D2910" s="115" t="s">
        <v>8710</v>
      </c>
      <c r="E2910" s="115" t="s">
        <v>1242</v>
      </c>
      <c r="F2910" s="115">
        <v>0</v>
      </c>
      <c r="G2910" s="115">
        <v>0</v>
      </c>
      <c r="H2910" s="115">
        <v>0</v>
      </c>
      <c r="I2910" s="115">
        <v>0</v>
      </c>
      <c r="J2910" s="115">
        <v>0</v>
      </c>
      <c r="K2910" s="115">
        <v>0</v>
      </c>
    </row>
    <row r="2911" spans="2:11" x14ac:dyDescent="0.25">
      <c r="B2911" s="115" t="s">
        <v>1241</v>
      </c>
      <c r="D2911" s="115" t="s">
        <v>8710</v>
      </c>
      <c r="E2911" s="115" t="s">
        <v>1242</v>
      </c>
      <c r="F2911" s="115">
        <v>0</v>
      </c>
      <c r="G2911" s="115">
        <v>0</v>
      </c>
      <c r="H2911" s="115">
        <v>0</v>
      </c>
      <c r="I2911" s="115">
        <v>0</v>
      </c>
      <c r="J2911" s="115">
        <v>0</v>
      </c>
      <c r="K2911" s="115">
        <v>0</v>
      </c>
    </row>
    <row r="2912" spans="2:11" x14ac:dyDescent="0.25">
      <c r="B2912" s="115" t="s">
        <v>1241</v>
      </c>
      <c r="D2912" s="115" t="s">
        <v>8710</v>
      </c>
      <c r="E2912" s="115" t="s">
        <v>1242</v>
      </c>
      <c r="F2912" s="115">
        <v>0</v>
      </c>
      <c r="G2912" s="115">
        <v>0</v>
      </c>
      <c r="H2912" s="115">
        <v>0</v>
      </c>
      <c r="I2912" s="115">
        <v>0</v>
      </c>
      <c r="J2912" s="115">
        <v>0</v>
      </c>
      <c r="K2912" s="115">
        <v>0</v>
      </c>
    </row>
    <row r="2913" spans="1:11" x14ac:dyDescent="0.25">
      <c r="B2913" s="115" t="s">
        <v>1241</v>
      </c>
      <c r="D2913" s="115" t="s">
        <v>8710</v>
      </c>
      <c r="E2913" s="115" t="s">
        <v>1242</v>
      </c>
      <c r="F2913" s="115">
        <v>0</v>
      </c>
      <c r="G2913" s="115">
        <v>0</v>
      </c>
      <c r="H2913" s="115">
        <v>0</v>
      </c>
      <c r="I2913" s="115">
        <v>0</v>
      </c>
      <c r="J2913" s="115">
        <v>0</v>
      </c>
      <c r="K2913" s="115">
        <v>0</v>
      </c>
    </row>
    <row r="2914" spans="1:11" x14ac:dyDescent="0.25">
      <c r="B2914" s="115" t="s">
        <v>1241</v>
      </c>
      <c r="D2914" s="115" t="s">
        <v>8710</v>
      </c>
      <c r="E2914" s="115" t="s">
        <v>1242</v>
      </c>
      <c r="F2914" s="115">
        <v>0</v>
      </c>
      <c r="G2914" s="115">
        <v>0</v>
      </c>
      <c r="H2914" s="115">
        <v>0</v>
      </c>
      <c r="I2914" s="115">
        <v>0</v>
      </c>
      <c r="J2914" s="115">
        <v>0</v>
      </c>
      <c r="K2914" s="115">
        <v>0</v>
      </c>
    </row>
    <row r="2915" spans="1:11" x14ac:dyDescent="0.25">
      <c r="B2915" s="115" t="s">
        <v>1241</v>
      </c>
      <c r="D2915" s="115" t="s">
        <v>8710</v>
      </c>
      <c r="E2915" s="115" t="s">
        <v>1242</v>
      </c>
      <c r="F2915" s="115">
        <v>0</v>
      </c>
      <c r="G2915" s="115">
        <v>0</v>
      </c>
      <c r="H2915" s="115">
        <v>0</v>
      </c>
      <c r="I2915" s="115">
        <v>0</v>
      </c>
      <c r="J2915" s="115">
        <v>0</v>
      </c>
      <c r="K2915" s="115">
        <v>0</v>
      </c>
    </row>
    <row r="2916" spans="1:11" x14ac:dyDescent="0.25">
      <c r="A2916" s="115">
        <v>1</v>
      </c>
      <c r="B2916" s="115" t="s">
        <v>3242</v>
      </c>
      <c r="D2916" s="115" t="s">
        <v>9999</v>
      </c>
      <c r="E2916" s="115" t="s">
        <v>3243</v>
      </c>
      <c r="F2916" s="115">
        <v>-700</v>
      </c>
      <c r="G2916" s="115">
        <v>0</v>
      </c>
      <c r="H2916" s="115">
        <v>0</v>
      </c>
      <c r="I2916" s="115">
        <v>232</v>
      </c>
      <c r="J2916" s="115">
        <v>0</v>
      </c>
      <c r="K2916" s="115">
        <v>0</v>
      </c>
    </row>
    <row r="2917" spans="1:11" x14ac:dyDescent="0.25">
      <c r="B2917" s="115" t="s">
        <v>3244</v>
      </c>
      <c r="D2917" s="115" t="s">
        <v>10000</v>
      </c>
      <c r="E2917" s="115" t="s">
        <v>3245</v>
      </c>
      <c r="F2917" s="115">
        <v>0</v>
      </c>
      <c r="G2917" s="115">
        <v>0</v>
      </c>
      <c r="H2917" s="115">
        <v>0</v>
      </c>
      <c r="I2917" s="115">
        <v>0</v>
      </c>
      <c r="J2917" s="115">
        <v>0</v>
      </c>
      <c r="K2917" s="115">
        <v>27</v>
      </c>
    </row>
    <row r="2918" spans="1:11" x14ac:dyDescent="0.25">
      <c r="B2918" s="115" t="s">
        <v>1241</v>
      </c>
      <c r="D2918" s="115" t="s">
        <v>10001</v>
      </c>
      <c r="E2918" s="115" t="s">
        <v>3246</v>
      </c>
      <c r="F2918" s="115">
        <v>163</v>
      </c>
      <c r="G2918" s="115">
        <v>0</v>
      </c>
      <c r="H2918" s="115">
        <v>331</v>
      </c>
      <c r="I2918" s="115">
        <v>-641</v>
      </c>
      <c r="J2918" s="115">
        <v>-496</v>
      </c>
      <c r="K2918" s="115">
        <v>0</v>
      </c>
    </row>
    <row r="2919" spans="1:11" x14ac:dyDescent="0.25">
      <c r="A2919" s="115">
        <v>1</v>
      </c>
      <c r="B2919" s="115" t="s">
        <v>3247</v>
      </c>
      <c r="D2919" s="115" t="s">
        <v>10002</v>
      </c>
      <c r="E2919" s="115" t="s">
        <v>3248</v>
      </c>
      <c r="F2919" s="115">
        <v>-2329</v>
      </c>
      <c r="G2919" s="115">
        <v>-2014</v>
      </c>
      <c r="H2919" s="115">
        <v>0</v>
      </c>
      <c r="I2919" s="115">
        <v>571</v>
      </c>
      <c r="J2919" s="115">
        <v>0</v>
      </c>
      <c r="K2919" s="115">
        <v>0</v>
      </c>
    </row>
    <row r="2920" spans="1:11" x14ac:dyDescent="0.25">
      <c r="B2920" s="115" t="s">
        <v>1241</v>
      </c>
      <c r="D2920" s="115" t="s">
        <v>10003</v>
      </c>
      <c r="E2920" s="115" t="s">
        <v>3249</v>
      </c>
      <c r="F2920" s="115">
        <v>0</v>
      </c>
      <c r="G2920" s="115">
        <v>0</v>
      </c>
      <c r="H2920" s="115">
        <v>0</v>
      </c>
      <c r="I2920" s="115">
        <v>-435</v>
      </c>
      <c r="J2920" s="115">
        <v>0</v>
      </c>
      <c r="K2920" s="115">
        <v>-8</v>
      </c>
    </row>
    <row r="2921" spans="1:11" x14ac:dyDescent="0.25">
      <c r="B2921" s="115" t="s">
        <v>1241</v>
      </c>
      <c r="D2921" s="115" t="s">
        <v>10004</v>
      </c>
      <c r="E2921" s="115" t="s">
        <v>3250</v>
      </c>
      <c r="F2921" s="115">
        <v>0</v>
      </c>
      <c r="G2921" s="115">
        <v>1330</v>
      </c>
      <c r="H2921" s="115">
        <v>0</v>
      </c>
      <c r="I2921" s="115">
        <v>-589</v>
      </c>
      <c r="J2921" s="115">
        <v>788</v>
      </c>
      <c r="K2921" s="115">
        <v>0</v>
      </c>
    </row>
    <row r="2922" spans="1:11" x14ac:dyDescent="0.25">
      <c r="B2922" s="115" t="s">
        <v>3251</v>
      </c>
      <c r="C2922" s="115" t="s">
        <v>1239</v>
      </c>
      <c r="D2922" s="115" t="s">
        <v>10005</v>
      </c>
      <c r="E2922" s="115" t="s">
        <v>3252</v>
      </c>
      <c r="F2922" s="115">
        <v>956</v>
      </c>
      <c r="G2922" s="115">
        <v>0</v>
      </c>
      <c r="H2922" s="115">
        <v>0</v>
      </c>
      <c r="I2922" s="115">
        <v>0</v>
      </c>
      <c r="J2922" s="115">
        <v>0</v>
      </c>
      <c r="K2922" s="115">
        <v>-3752</v>
      </c>
    </row>
    <row r="2923" spans="1:11" x14ac:dyDescent="0.25">
      <c r="A2923" s="115" t="s">
        <v>1239</v>
      </c>
      <c r="B2923" s="115" t="s">
        <v>3253</v>
      </c>
      <c r="D2923" s="115" t="s">
        <v>10006</v>
      </c>
      <c r="E2923" s="115" t="s">
        <v>3254</v>
      </c>
      <c r="F2923" s="115">
        <v>975</v>
      </c>
      <c r="G2923" s="115">
        <v>348</v>
      </c>
      <c r="H2923" s="115">
        <v>0</v>
      </c>
      <c r="I2923" s="115">
        <v>293</v>
      </c>
      <c r="J2923" s="115">
        <v>-40</v>
      </c>
      <c r="K2923" s="115">
        <v>253</v>
      </c>
    </row>
    <row r="2924" spans="1:11" x14ac:dyDescent="0.25">
      <c r="A2924" s="115" t="s">
        <v>1239</v>
      </c>
      <c r="B2924" s="115" t="s">
        <v>3255</v>
      </c>
      <c r="D2924" s="115" t="s">
        <v>10007</v>
      </c>
      <c r="E2924" s="115" t="s">
        <v>3256</v>
      </c>
      <c r="F2924" s="115">
        <v>0</v>
      </c>
      <c r="G2924" s="115">
        <v>0</v>
      </c>
      <c r="H2924" s="115">
        <v>0</v>
      </c>
      <c r="I2924" s="115">
        <v>0</v>
      </c>
      <c r="J2924" s="115">
        <v>0</v>
      </c>
      <c r="K2924" s="115">
        <v>3302</v>
      </c>
    </row>
    <row r="2925" spans="1:11" x14ac:dyDescent="0.25">
      <c r="B2925" s="115" t="s">
        <v>3257</v>
      </c>
      <c r="D2925" s="115" t="s">
        <v>10008</v>
      </c>
      <c r="E2925" s="115" t="s">
        <v>3258</v>
      </c>
      <c r="F2925" s="115">
        <v>0</v>
      </c>
      <c r="G2925" s="115">
        <v>-5517</v>
      </c>
      <c r="H2925" s="115">
        <v>2557</v>
      </c>
      <c r="I2925" s="115">
        <v>-613</v>
      </c>
      <c r="J2925" s="115">
        <v>-587</v>
      </c>
      <c r="K2925" s="115">
        <v>-255</v>
      </c>
    </row>
    <row r="2926" spans="1:11" x14ac:dyDescent="0.25">
      <c r="B2926" s="115" t="s">
        <v>3259</v>
      </c>
      <c r="D2926" s="115" t="s">
        <v>10009</v>
      </c>
      <c r="E2926" s="115" t="s">
        <v>3260</v>
      </c>
      <c r="F2926" s="115">
        <v>525</v>
      </c>
      <c r="G2926" s="115">
        <v>0</v>
      </c>
      <c r="H2926" s="115">
        <v>232</v>
      </c>
      <c r="I2926" s="115">
        <v>-4462</v>
      </c>
      <c r="J2926" s="115">
        <v>0</v>
      </c>
      <c r="K2926" s="115">
        <v>0</v>
      </c>
    </row>
    <row r="2927" spans="1:11" x14ac:dyDescent="0.25">
      <c r="B2927" s="115" t="s">
        <v>2139</v>
      </c>
      <c r="D2927" s="115" t="s">
        <v>10010</v>
      </c>
      <c r="E2927" s="115" t="s">
        <v>3261</v>
      </c>
      <c r="F2927" s="115">
        <v>-398</v>
      </c>
      <c r="G2927" s="115">
        <v>-338</v>
      </c>
      <c r="H2927" s="115">
        <v>229</v>
      </c>
      <c r="I2927" s="115">
        <v>-240</v>
      </c>
      <c r="J2927" s="115">
        <v>0</v>
      </c>
      <c r="K2927" s="115">
        <v>0</v>
      </c>
    </row>
    <row r="2928" spans="1:11" x14ac:dyDescent="0.25">
      <c r="B2928" s="115" t="s">
        <v>1241</v>
      </c>
      <c r="D2928" s="115" t="s">
        <v>10011</v>
      </c>
      <c r="E2928" s="115" t="s">
        <v>3262</v>
      </c>
      <c r="F2928" s="115">
        <v>0</v>
      </c>
      <c r="G2928" s="115">
        <v>-1423</v>
      </c>
      <c r="H2928" s="115">
        <v>30</v>
      </c>
      <c r="I2928" s="115">
        <v>-84</v>
      </c>
      <c r="J2928" s="115">
        <v>0</v>
      </c>
      <c r="K2928" s="115">
        <v>-3539</v>
      </c>
    </row>
    <row r="2929" spans="1:11" x14ac:dyDescent="0.25">
      <c r="A2929" s="115">
        <v>4</v>
      </c>
      <c r="B2929" s="115" t="s">
        <v>3263</v>
      </c>
      <c r="D2929" s="115" t="s">
        <v>10012</v>
      </c>
      <c r="E2929" s="115" t="s">
        <v>3264</v>
      </c>
      <c r="F2929" s="115">
        <v>59</v>
      </c>
      <c r="G2929" s="115">
        <v>-300</v>
      </c>
      <c r="H2929" s="115">
        <v>1309</v>
      </c>
      <c r="I2929" s="115">
        <v>0</v>
      </c>
      <c r="J2929" s="115">
        <v>407</v>
      </c>
      <c r="K2929" s="115">
        <v>0</v>
      </c>
    </row>
    <row r="2930" spans="1:11" x14ac:dyDescent="0.25">
      <c r="B2930" s="115" t="s">
        <v>3265</v>
      </c>
      <c r="D2930" s="115" t="s">
        <v>10013</v>
      </c>
      <c r="E2930" s="115" t="s">
        <v>3266</v>
      </c>
      <c r="F2930" s="115">
        <v>-208</v>
      </c>
      <c r="G2930" s="115">
        <v>0</v>
      </c>
      <c r="H2930" s="115">
        <v>0</v>
      </c>
      <c r="I2930" s="115">
        <v>-127</v>
      </c>
      <c r="J2930" s="115">
        <v>0</v>
      </c>
      <c r="K2930" s="115">
        <v>-199</v>
      </c>
    </row>
    <row r="2931" spans="1:11" x14ac:dyDescent="0.25">
      <c r="B2931" s="115" t="s">
        <v>3267</v>
      </c>
      <c r="D2931" s="115" t="s">
        <v>10014</v>
      </c>
      <c r="E2931" s="115" t="s">
        <v>3268</v>
      </c>
      <c r="F2931" s="115">
        <v>0</v>
      </c>
      <c r="G2931" s="115">
        <v>0</v>
      </c>
      <c r="H2931" s="115">
        <v>0</v>
      </c>
      <c r="I2931" s="115">
        <v>11219</v>
      </c>
      <c r="J2931" s="115">
        <v>0</v>
      </c>
      <c r="K2931" s="115">
        <v>-3782</v>
      </c>
    </row>
    <row r="2932" spans="1:11" x14ac:dyDescent="0.25">
      <c r="B2932" s="115" t="s">
        <v>3269</v>
      </c>
      <c r="D2932" s="115" t="s">
        <v>10015</v>
      </c>
      <c r="E2932" s="115" t="s">
        <v>3270</v>
      </c>
      <c r="F2932" s="115">
        <v>3295</v>
      </c>
      <c r="G2932" s="115">
        <v>-392</v>
      </c>
      <c r="H2932" s="115">
        <v>0</v>
      </c>
      <c r="I2932" s="115">
        <v>0</v>
      </c>
      <c r="J2932" s="115">
        <v>0</v>
      </c>
      <c r="K2932" s="115">
        <v>35</v>
      </c>
    </row>
    <row r="2933" spans="1:11" x14ac:dyDescent="0.25">
      <c r="B2933" s="115" t="s">
        <v>3271</v>
      </c>
      <c r="D2933" s="115" t="s">
        <v>10016</v>
      </c>
      <c r="E2933" s="115" t="s">
        <v>3272</v>
      </c>
      <c r="F2933" s="115">
        <v>0</v>
      </c>
      <c r="G2933" s="115">
        <v>-1796</v>
      </c>
      <c r="H2933" s="115">
        <v>0</v>
      </c>
      <c r="I2933" s="115">
        <v>0</v>
      </c>
      <c r="J2933" s="115">
        <v>-373</v>
      </c>
      <c r="K2933" s="115">
        <v>0</v>
      </c>
    </row>
    <row r="2934" spans="1:11" x14ac:dyDescent="0.25">
      <c r="A2934" s="115" t="s">
        <v>1239</v>
      </c>
      <c r="B2934" s="115" t="s">
        <v>3273</v>
      </c>
      <c r="D2934" s="115" t="s">
        <v>10017</v>
      </c>
      <c r="E2934" s="115" t="s">
        <v>1242</v>
      </c>
      <c r="F2934" s="115">
        <v>0</v>
      </c>
      <c r="G2934" s="115">
        <v>0</v>
      </c>
      <c r="H2934" s="115">
        <v>0</v>
      </c>
      <c r="I2934" s="115">
        <v>0</v>
      </c>
      <c r="J2934" s="115">
        <v>0</v>
      </c>
      <c r="K2934" s="115">
        <v>0</v>
      </c>
    </row>
    <row r="2935" spans="1:11" x14ac:dyDescent="0.25">
      <c r="B2935" s="115" t="s">
        <v>3274</v>
      </c>
      <c r="D2935" s="115" t="s">
        <v>10018</v>
      </c>
      <c r="E2935" s="115" t="s">
        <v>3275</v>
      </c>
      <c r="F2935" s="115">
        <v>419</v>
      </c>
      <c r="G2935" s="115">
        <v>-48</v>
      </c>
      <c r="H2935" s="115">
        <v>0</v>
      </c>
      <c r="I2935" s="115">
        <v>-89024</v>
      </c>
      <c r="J2935" s="115">
        <v>-3923</v>
      </c>
      <c r="K2935" s="115">
        <v>0</v>
      </c>
    </row>
    <row r="2936" spans="1:11" x14ac:dyDescent="0.25">
      <c r="B2936" s="115" t="s">
        <v>1241</v>
      </c>
      <c r="D2936" s="115" t="s">
        <v>10019</v>
      </c>
      <c r="E2936" s="115" t="s">
        <v>3276</v>
      </c>
      <c r="F2936" s="115">
        <v>21614</v>
      </c>
      <c r="G2936" s="115">
        <v>19309</v>
      </c>
      <c r="H2936" s="115">
        <v>-2724</v>
      </c>
      <c r="I2936" s="115">
        <v>-562</v>
      </c>
      <c r="J2936" s="115">
        <v>-1376</v>
      </c>
      <c r="K2936" s="115">
        <v>-20417</v>
      </c>
    </row>
    <row r="2937" spans="1:11" x14ac:dyDescent="0.25">
      <c r="B2937" s="115" t="s">
        <v>1241</v>
      </c>
      <c r="D2937" s="115" t="s">
        <v>10020</v>
      </c>
      <c r="E2937" s="115" t="s">
        <v>3277</v>
      </c>
      <c r="F2937" s="115">
        <v>2945</v>
      </c>
      <c r="G2937" s="115">
        <v>0</v>
      </c>
      <c r="H2937" s="115">
        <v>2337</v>
      </c>
      <c r="I2937" s="115">
        <v>0</v>
      </c>
      <c r="J2937" s="115">
        <v>0</v>
      </c>
      <c r="K2937" s="115">
        <v>3051</v>
      </c>
    </row>
    <row r="2938" spans="1:11" x14ac:dyDescent="0.25">
      <c r="A2938" s="115" t="s">
        <v>1239</v>
      </c>
      <c r="B2938" s="115" t="s">
        <v>3278</v>
      </c>
      <c r="D2938" s="115" t="s">
        <v>8710</v>
      </c>
      <c r="E2938" s="115" t="s">
        <v>1242</v>
      </c>
      <c r="F2938" s="115">
        <v>0</v>
      </c>
      <c r="G2938" s="115">
        <v>0</v>
      </c>
      <c r="H2938" s="115">
        <v>0</v>
      </c>
      <c r="I2938" s="115">
        <v>0</v>
      </c>
      <c r="J2938" s="115">
        <v>0</v>
      </c>
      <c r="K2938" s="115">
        <v>0</v>
      </c>
    </row>
    <row r="2939" spans="1:11" x14ac:dyDescent="0.25">
      <c r="B2939" s="115" t="s">
        <v>1241</v>
      </c>
      <c r="D2939" s="115" t="s">
        <v>8710</v>
      </c>
      <c r="E2939" s="115" t="s">
        <v>1242</v>
      </c>
      <c r="F2939" s="115">
        <v>0</v>
      </c>
      <c r="G2939" s="115">
        <v>0</v>
      </c>
      <c r="H2939" s="115">
        <v>0</v>
      </c>
      <c r="I2939" s="115">
        <v>0</v>
      </c>
      <c r="J2939" s="115">
        <v>0</v>
      </c>
      <c r="K2939" s="115">
        <v>0</v>
      </c>
    </row>
    <row r="2940" spans="1:11" x14ac:dyDescent="0.25">
      <c r="B2940" s="115" t="s">
        <v>1241</v>
      </c>
      <c r="D2940" s="115" t="s">
        <v>8710</v>
      </c>
      <c r="E2940" s="115" t="s">
        <v>1242</v>
      </c>
      <c r="F2940" s="115">
        <v>0</v>
      </c>
      <c r="G2940" s="115">
        <v>0</v>
      </c>
      <c r="H2940" s="115">
        <v>0</v>
      </c>
      <c r="I2940" s="115">
        <v>0</v>
      </c>
      <c r="J2940" s="115">
        <v>0</v>
      </c>
      <c r="K2940" s="115">
        <v>0</v>
      </c>
    </row>
    <row r="2941" spans="1:11" x14ac:dyDescent="0.25">
      <c r="B2941" s="115" t="s">
        <v>1241</v>
      </c>
      <c r="D2941" s="115" t="s">
        <v>8710</v>
      </c>
      <c r="E2941" s="115" t="s">
        <v>1242</v>
      </c>
      <c r="F2941" s="115">
        <v>0</v>
      </c>
      <c r="G2941" s="115">
        <v>0</v>
      </c>
      <c r="H2941" s="115">
        <v>0</v>
      </c>
      <c r="I2941" s="115">
        <v>0</v>
      </c>
      <c r="J2941" s="115">
        <v>0</v>
      </c>
      <c r="K2941" s="115">
        <v>0</v>
      </c>
    </row>
    <row r="2942" spans="1:11" x14ac:dyDescent="0.25">
      <c r="B2942" s="115" t="s">
        <v>1241</v>
      </c>
      <c r="D2942" s="115" t="s">
        <v>8710</v>
      </c>
      <c r="E2942" s="115" t="s">
        <v>1242</v>
      </c>
      <c r="F2942" s="115">
        <v>0</v>
      </c>
      <c r="G2942" s="115">
        <v>0</v>
      </c>
      <c r="H2942" s="115">
        <v>0</v>
      </c>
      <c r="I2942" s="115">
        <v>0</v>
      </c>
      <c r="J2942" s="115">
        <v>0</v>
      </c>
      <c r="K2942" s="115">
        <v>0</v>
      </c>
    </row>
    <row r="2943" spans="1:11" x14ac:dyDescent="0.25">
      <c r="B2943" s="115" t="s">
        <v>1241</v>
      </c>
      <c r="D2943" s="115" t="s">
        <v>8710</v>
      </c>
      <c r="E2943" s="115" t="s">
        <v>1242</v>
      </c>
      <c r="F2943" s="115">
        <v>0</v>
      </c>
      <c r="G2943" s="115">
        <v>0</v>
      </c>
      <c r="H2943" s="115">
        <v>0</v>
      </c>
      <c r="I2943" s="115">
        <v>0</v>
      </c>
      <c r="J2943" s="115">
        <v>0</v>
      </c>
      <c r="K2943" s="115">
        <v>0</v>
      </c>
    </row>
    <row r="2944" spans="1:11" x14ac:dyDescent="0.25">
      <c r="B2944" s="115" t="s">
        <v>1241</v>
      </c>
      <c r="D2944" s="115" t="s">
        <v>8710</v>
      </c>
      <c r="E2944" s="115" t="s">
        <v>1242</v>
      </c>
      <c r="F2944" s="115">
        <v>0</v>
      </c>
      <c r="G2944" s="115">
        <v>0</v>
      </c>
      <c r="H2944" s="115">
        <v>0</v>
      </c>
      <c r="I2944" s="115">
        <v>0</v>
      </c>
      <c r="J2944" s="115">
        <v>0</v>
      </c>
      <c r="K2944" s="115">
        <v>0</v>
      </c>
    </row>
    <row r="2945" spans="2:11" x14ac:dyDescent="0.25">
      <c r="B2945" s="115" t="s">
        <v>1241</v>
      </c>
      <c r="D2945" s="115" t="s">
        <v>8710</v>
      </c>
      <c r="E2945" s="115" t="s">
        <v>1242</v>
      </c>
      <c r="F2945" s="115">
        <v>0</v>
      </c>
      <c r="G2945" s="115">
        <v>0</v>
      </c>
      <c r="H2945" s="115">
        <v>0</v>
      </c>
      <c r="I2945" s="115">
        <v>0</v>
      </c>
      <c r="J2945" s="115">
        <v>0</v>
      </c>
      <c r="K2945" s="115">
        <v>0</v>
      </c>
    </row>
    <row r="2946" spans="2:11" x14ac:dyDescent="0.25">
      <c r="B2946" s="115" t="s">
        <v>1241</v>
      </c>
      <c r="D2946" s="115" t="s">
        <v>8710</v>
      </c>
      <c r="E2946" s="115" t="s">
        <v>1242</v>
      </c>
      <c r="F2946" s="115">
        <v>0</v>
      </c>
      <c r="G2946" s="115">
        <v>0</v>
      </c>
      <c r="H2946" s="115">
        <v>0</v>
      </c>
      <c r="I2946" s="115">
        <v>0</v>
      </c>
      <c r="J2946" s="115">
        <v>0</v>
      </c>
      <c r="K2946" s="115">
        <v>0</v>
      </c>
    </row>
    <row r="2947" spans="2:11" x14ac:dyDescent="0.25">
      <c r="B2947" s="115" t="s">
        <v>1241</v>
      </c>
      <c r="D2947" s="115" t="s">
        <v>8710</v>
      </c>
      <c r="E2947" s="115" t="s">
        <v>1242</v>
      </c>
      <c r="F2947" s="115">
        <v>0</v>
      </c>
      <c r="G2947" s="115">
        <v>0</v>
      </c>
      <c r="H2947" s="115">
        <v>0</v>
      </c>
      <c r="I2947" s="115">
        <v>0</v>
      </c>
      <c r="J2947" s="115">
        <v>0</v>
      </c>
      <c r="K2947" s="115">
        <v>0</v>
      </c>
    </row>
    <row r="2948" spans="2:11" x14ac:dyDescent="0.25">
      <c r="B2948" s="115" t="s">
        <v>1241</v>
      </c>
      <c r="D2948" s="115" t="s">
        <v>8710</v>
      </c>
      <c r="E2948" s="115" t="s">
        <v>1242</v>
      </c>
      <c r="F2948" s="115">
        <v>0</v>
      </c>
      <c r="G2948" s="115">
        <v>0</v>
      </c>
      <c r="H2948" s="115">
        <v>0</v>
      </c>
      <c r="I2948" s="115">
        <v>0</v>
      </c>
      <c r="J2948" s="115">
        <v>0</v>
      </c>
      <c r="K2948" s="115">
        <v>0</v>
      </c>
    </row>
    <row r="2949" spans="2:11" x14ac:dyDescent="0.25">
      <c r="B2949" s="115" t="s">
        <v>1241</v>
      </c>
      <c r="D2949" s="115" t="s">
        <v>8710</v>
      </c>
      <c r="E2949" s="115" t="s">
        <v>1242</v>
      </c>
      <c r="F2949" s="115">
        <v>0</v>
      </c>
      <c r="G2949" s="115">
        <v>0</v>
      </c>
      <c r="H2949" s="115">
        <v>0</v>
      </c>
      <c r="I2949" s="115">
        <v>0</v>
      </c>
      <c r="J2949" s="115">
        <v>0</v>
      </c>
      <c r="K2949" s="115">
        <v>0</v>
      </c>
    </row>
    <row r="2950" spans="2:11" x14ac:dyDescent="0.25">
      <c r="B2950" s="115" t="s">
        <v>1241</v>
      </c>
      <c r="D2950" s="115" t="s">
        <v>8710</v>
      </c>
      <c r="E2950" s="115" t="s">
        <v>1242</v>
      </c>
      <c r="F2950" s="115">
        <v>0</v>
      </c>
      <c r="G2950" s="115">
        <v>0</v>
      </c>
      <c r="H2950" s="115">
        <v>0</v>
      </c>
      <c r="I2950" s="115">
        <v>0</v>
      </c>
      <c r="J2950" s="115">
        <v>0</v>
      </c>
      <c r="K2950" s="115">
        <v>0</v>
      </c>
    </row>
    <row r="2951" spans="2:11" x14ac:dyDescent="0.25">
      <c r="B2951" s="115" t="s">
        <v>1241</v>
      </c>
      <c r="D2951" s="115" t="s">
        <v>8710</v>
      </c>
      <c r="E2951" s="115" t="s">
        <v>1242</v>
      </c>
      <c r="F2951" s="115">
        <v>0</v>
      </c>
      <c r="G2951" s="115">
        <v>0</v>
      </c>
      <c r="H2951" s="115">
        <v>0</v>
      </c>
      <c r="I2951" s="115">
        <v>0</v>
      </c>
      <c r="J2951" s="115">
        <v>0</v>
      </c>
      <c r="K2951" s="115">
        <v>0</v>
      </c>
    </row>
    <row r="2952" spans="2:11" x14ac:dyDescent="0.25">
      <c r="B2952" s="115" t="s">
        <v>1241</v>
      </c>
      <c r="D2952" s="115" t="s">
        <v>8710</v>
      </c>
      <c r="E2952" s="115" t="s">
        <v>1242</v>
      </c>
      <c r="F2952" s="115">
        <v>0</v>
      </c>
      <c r="G2952" s="115">
        <v>0</v>
      </c>
      <c r="H2952" s="115">
        <v>0</v>
      </c>
      <c r="I2952" s="115">
        <v>0</v>
      </c>
      <c r="J2952" s="115">
        <v>0</v>
      </c>
      <c r="K2952" s="115">
        <v>0</v>
      </c>
    </row>
    <row r="2953" spans="2:11" x14ac:dyDescent="0.25">
      <c r="B2953" s="115" t="s">
        <v>1241</v>
      </c>
      <c r="D2953" s="115" t="s">
        <v>8710</v>
      </c>
      <c r="E2953" s="115" t="s">
        <v>1242</v>
      </c>
      <c r="F2953" s="115">
        <v>0</v>
      </c>
      <c r="G2953" s="115">
        <v>0</v>
      </c>
      <c r="H2953" s="115">
        <v>0</v>
      </c>
      <c r="I2953" s="115">
        <v>0</v>
      </c>
      <c r="J2953" s="115">
        <v>0</v>
      </c>
      <c r="K2953" s="115">
        <v>0</v>
      </c>
    </row>
    <row r="2954" spans="2:11" x14ac:dyDescent="0.25">
      <c r="B2954" s="115" t="s">
        <v>1241</v>
      </c>
      <c r="D2954" s="115" t="s">
        <v>8710</v>
      </c>
      <c r="E2954" s="115" t="s">
        <v>1242</v>
      </c>
      <c r="F2954" s="115">
        <v>0</v>
      </c>
      <c r="G2954" s="115">
        <v>0</v>
      </c>
      <c r="H2954" s="115">
        <v>0</v>
      </c>
      <c r="I2954" s="115">
        <v>0</v>
      </c>
      <c r="J2954" s="115">
        <v>0</v>
      </c>
      <c r="K2954" s="115">
        <v>0</v>
      </c>
    </row>
    <row r="2955" spans="2:11" x14ac:dyDescent="0.25">
      <c r="B2955" s="115" t="s">
        <v>1241</v>
      </c>
      <c r="D2955" s="115" t="s">
        <v>8710</v>
      </c>
      <c r="E2955" s="115" t="s">
        <v>1242</v>
      </c>
      <c r="F2955" s="115">
        <v>0</v>
      </c>
      <c r="G2955" s="115">
        <v>0</v>
      </c>
      <c r="H2955" s="115">
        <v>0</v>
      </c>
      <c r="I2955" s="115">
        <v>0</v>
      </c>
      <c r="J2955" s="115">
        <v>0</v>
      </c>
      <c r="K2955" s="115">
        <v>0</v>
      </c>
    </row>
    <row r="2956" spans="2:11" x14ac:dyDescent="0.25">
      <c r="B2956" s="115" t="s">
        <v>1241</v>
      </c>
      <c r="D2956" s="115" t="s">
        <v>8710</v>
      </c>
      <c r="E2956" s="115" t="s">
        <v>1242</v>
      </c>
      <c r="F2956" s="115">
        <v>0</v>
      </c>
      <c r="G2956" s="115">
        <v>0</v>
      </c>
      <c r="H2956" s="115">
        <v>0</v>
      </c>
      <c r="I2956" s="115">
        <v>0</v>
      </c>
      <c r="J2956" s="115">
        <v>0</v>
      </c>
      <c r="K2956" s="115">
        <v>0</v>
      </c>
    </row>
    <row r="2957" spans="2:11" x14ac:dyDescent="0.25">
      <c r="B2957" s="115" t="s">
        <v>1241</v>
      </c>
      <c r="D2957" s="115" t="s">
        <v>8710</v>
      </c>
      <c r="E2957" s="115" t="s">
        <v>1242</v>
      </c>
      <c r="F2957" s="115">
        <v>0</v>
      </c>
      <c r="G2957" s="115">
        <v>0</v>
      </c>
      <c r="H2957" s="115">
        <v>0</v>
      </c>
      <c r="I2957" s="115">
        <v>0</v>
      </c>
      <c r="J2957" s="115">
        <v>0</v>
      </c>
      <c r="K2957" s="115">
        <v>0</v>
      </c>
    </row>
    <row r="2958" spans="2:11" x14ac:dyDescent="0.25">
      <c r="B2958" s="115" t="s">
        <v>1241</v>
      </c>
      <c r="D2958" s="115" t="s">
        <v>8710</v>
      </c>
      <c r="E2958" s="115" t="s">
        <v>1242</v>
      </c>
      <c r="F2958" s="115">
        <v>0</v>
      </c>
      <c r="G2958" s="115">
        <v>0</v>
      </c>
      <c r="H2958" s="115">
        <v>0</v>
      </c>
      <c r="I2958" s="115">
        <v>0</v>
      </c>
      <c r="J2958" s="115">
        <v>0</v>
      </c>
      <c r="K2958" s="115">
        <v>0</v>
      </c>
    </row>
    <row r="2959" spans="2:11" x14ac:dyDescent="0.25">
      <c r="B2959" s="115" t="s">
        <v>1241</v>
      </c>
      <c r="D2959" s="115" t="s">
        <v>8710</v>
      </c>
      <c r="E2959" s="115" t="s">
        <v>1242</v>
      </c>
      <c r="F2959" s="115">
        <v>0</v>
      </c>
      <c r="G2959" s="115">
        <v>0</v>
      </c>
      <c r="H2959" s="115">
        <v>0</v>
      </c>
      <c r="I2959" s="115">
        <v>0</v>
      </c>
      <c r="J2959" s="115">
        <v>0</v>
      </c>
      <c r="K2959" s="115">
        <v>0</v>
      </c>
    </row>
    <row r="2960" spans="2:11" x14ac:dyDescent="0.25">
      <c r="B2960" s="115" t="s">
        <v>1241</v>
      </c>
      <c r="D2960" s="115" t="s">
        <v>8710</v>
      </c>
      <c r="E2960" s="115" t="s">
        <v>1242</v>
      </c>
      <c r="F2960" s="115">
        <v>0</v>
      </c>
      <c r="G2960" s="115">
        <v>0</v>
      </c>
      <c r="H2960" s="115">
        <v>0</v>
      </c>
      <c r="I2960" s="115">
        <v>0</v>
      </c>
      <c r="J2960" s="115">
        <v>0</v>
      </c>
      <c r="K2960" s="115">
        <v>0</v>
      </c>
    </row>
    <row r="2961" spans="1:11" x14ac:dyDescent="0.25">
      <c r="B2961" s="115" t="s">
        <v>3279</v>
      </c>
      <c r="C2961" s="115" t="s">
        <v>1239</v>
      </c>
      <c r="D2961" s="158" t="s">
        <v>10021</v>
      </c>
      <c r="E2961" s="115" t="s">
        <v>3280</v>
      </c>
      <c r="F2961" s="115">
        <v>-10</v>
      </c>
      <c r="G2961" s="115">
        <v>-888</v>
      </c>
      <c r="H2961" s="115">
        <v>0</v>
      </c>
      <c r="I2961" s="115">
        <v>0</v>
      </c>
      <c r="J2961" s="115">
        <v>-342</v>
      </c>
      <c r="K2961" s="115">
        <v>0</v>
      </c>
    </row>
    <row r="2962" spans="1:11" x14ac:dyDescent="0.25">
      <c r="B2962" s="115" t="s">
        <v>1241</v>
      </c>
      <c r="D2962" s="115" t="s">
        <v>10022</v>
      </c>
      <c r="E2962" s="115" t="s">
        <v>1242</v>
      </c>
      <c r="F2962" s="115">
        <v>0</v>
      </c>
      <c r="G2962" s="115">
        <v>0</v>
      </c>
      <c r="H2962" s="115">
        <v>0</v>
      </c>
      <c r="I2962" s="115">
        <v>0</v>
      </c>
      <c r="J2962" s="115">
        <v>0</v>
      </c>
      <c r="K2962" s="115">
        <v>0</v>
      </c>
    </row>
    <row r="2963" spans="1:11" x14ac:dyDescent="0.25">
      <c r="B2963" s="115" t="s">
        <v>2653</v>
      </c>
      <c r="D2963" s="115" t="s">
        <v>10023</v>
      </c>
      <c r="E2963" s="115" t="s">
        <v>3281</v>
      </c>
      <c r="F2963" s="115">
        <v>0</v>
      </c>
      <c r="G2963" s="115">
        <v>-10</v>
      </c>
      <c r="H2963" s="115">
        <v>0</v>
      </c>
      <c r="I2963" s="115">
        <v>428</v>
      </c>
      <c r="J2963" s="115">
        <v>341</v>
      </c>
      <c r="K2963" s="115">
        <v>185</v>
      </c>
    </row>
    <row r="2964" spans="1:11" x14ac:dyDescent="0.25">
      <c r="B2964" s="115" t="s">
        <v>3282</v>
      </c>
      <c r="C2964" s="115" t="s">
        <v>1239</v>
      </c>
      <c r="D2964" s="115" t="s">
        <v>10024</v>
      </c>
      <c r="E2964" s="115" t="s">
        <v>3283</v>
      </c>
      <c r="F2964" s="115">
        <v>-173</v>
      </c>
      <c r="G2964" s="115">
        <v>1068</v>
      </c>
      <c r="H2964" s="115">
        <v>1760</v>
      </c>
      <c r="I2964" s="115">
        <v>0</v>
      </c>
      <c r="J2964" s="115">
        <v>-255</v>
      </c>
      <c r="K2964" s="115">
        <v>0</v>
      </c>
    </row>
    <row r="2965" spans="1:11" x14ac:dyDescent="0.25">
      <c r="B2965" s="115" t="s">
        <v>1241</v>
      </c>
      <c r="D2965" s="115" t="s">
        <v>10025</v>
      </c>
      <c r="E2965" s="115" t="s">
        <v>3284</v>
      </c>
      <c r="F2965" s="115">
        <v>12</v>
      </c>
      <c r="G2965" s="115">
        <v>0</v>
      </c>
      <c r="H2965" s="115">
        <v>0</v>
      </c>
      <c r="I2965" s="115">
        <v>0</v>
      </c>
      <c r="J2965" s="115">
        <v>14</v>
      </c>
      <c r="K2965" s="115">
        <v>0</v>
      </c>
    </row>
    <row r="2966" spans="1:11" x14ac:dyDescent="0.25">
      <c r="B2966" s="115" t="s">
        <v>3285</v>
      </c>
      <c r="D2966" s="115" t="s">
        <v>10026</v>
      </c>
      <c r="E2966" s="115" t="s">
        <v>3286</v>
      </c>
      <c r="F2966" s="115">
        <v>0</v>
      </c>
      <c r="G2966" s="115">
        <v>0</v>
      </c>
      <c r="H2966" s="115">
        <v>825</v>
      </c>
      <c r="I2966" s="115">
        <v>0</v>
      </c>
      <c r="J2966" s="115">
        <v>495</v>
      </c>
      <c r="K2966" s="115">
        <v>-768</v>
      </c>
    </row>
    <row r="2967" spans="1:11" x14ac:dyDescent="0.25">
      <c r="B2967" s="115" t="s">
        <v>1241</v>
      </c>
      <c r="D2967" s="115" t="s">
        <v>10027</v>
      </c>
      <c r="E2967" s="115" t="s">
        <v>3287</v>
      </c>
      <c r="F2967" s="115">
        <v>0</v>
      </c>
      <c r="G2967" s="115">
        <v>452</v>
      </c>
      <c r="H2967" s="115">
        <v>0</v>
      </c>
      <c r="I2967" s="115">
        <v>0</v>
      </c>
      <c r="J2967" s="115">
        <v>0</v>
      </c>
      <c r="K2967" s="115">
        <v>0</v>
      </c>
    </row>
    <row r="2968" spans="1:11" x14ac:dyDescent="0.25">
      <c r="A2968" s="115">
        <v>2</v>
      </c>
      <c r="B2968" s="115" t="s">
        <v>3288</v>
      </c>
      <c r="D2968" s="115" t="s">
        <v>10028</v>
      </c>
      <c r="E2968" s="115" t="s">
        <v>3289</v>
      </c>
      <c r="F2968" s="115">
        <v>0</v>
      </c>
      <c r="G2968" s="115">
        <v>-433</v>
      </c>
      <c r="H2968" s="115">
        <v>252</v>
      </c>
      <c r="I2968" s="115">
        <v>0</v>
      </c>
      <c r="J2968" s="115">
        <v>54</v>
      </c>
      <c r="K2968" s="115">
        <v>411</v>
      </c>
    </row>
    <row r="2969" spans="1:11" x14ac:dyDescent="0.25">
      <c r="B2969" s="115" t="s">
        <v>3290</v>
      </c>
      <c r="D2969" s="115" t="s">
        <v>10029</v>
      </c>
      <c r="E2969" s="115" t="s">
        <v>1242</v>
      </c>
      <c r="F2969" s="115">
        <v>330</v>
      </c>
      <c r="G2969" s="115">
        <v>0</v>
      </c>
      <c r="H2969" s="115">
        <v>0</v>
      </c>
      <c r="I2969" s="115">
        <v>0</v>
      </c>
      <c r="J2969" s="115">
        <v>0</v>
      </c>
      <c r="K2969" s="115">
        <v>0</v>
      </c>
    </row>
    <row r="2970" spans="1:11" x14ac:dyDescent="0.25">
      <c r="A2970" s="115">
        <v>1</v>
      </c>
      <c r="B2970" s="115" t="s">
        <v>2517</v>
      </c>
      <c r="C2970" s="115" t="s">
        <v>1239</v>
      </c>
      <c r="D2970" s="115" t="s">
        <v>10030</v>
      </c>
      <c r="E2970" s="115" t="s">
        <v>3291</v>
      </c>
      <c r="F2970" s="115">
        <v>-137</v>
      </c>
      <c r="G2970" s="115">
        <v>0</v>
      </c>
      <c r="H2970" s="115">
        <v>1037</v>
      </c>
      <c r="I2970" s="115">
        <v>-802</v>
      </c>
      <c r="J2970" s="115">
        <v>-65</v>
      </c>
      <c r="K2970" s="115">
        <v>-615</v>
      </c>
    </row>
    <row r="2971" spans="1:11" x14ac:dyDescent="0.25">
      <c r="A2971" s="115" t="s">
        <v>1239</v>
      </c>
      <c r="B2971" s="115" t="s">
        <v>3292</v>
      </c>
      <c r="C2971" s="115" t="s">
        <v>1239</v>
      </c>
      <c r="D2971" s="115" t="s">
        <v>10031</v>
      </c>
      <c r="E2971" s="115" t="s">
        <v>3293</v>
      </c>
      <c r="F2971" s="115">
        <v>-34</v>
      </c>
      <c r="G2971" s="115">
        <v>-68</v>
      </c>
      <c r="H2971" s="115">
        <v>0</v>
      </c>
      <c r="I2971" s="115">
        <v>68</v>
      </c>
      <c r="J2971" s="115">
        <v>-2922</v>
      </c>
      <c r="K2971" s="115">
        <v>0</v>
      </c>
    </row>
    <row r="2972" spans="1:11" x14ac:dyDescent="0.25">
      <c r="B2972" s="115" t="s">
        <v>1241</v>
      </c>
      <c r="D2972" s="115" t="s">
        <v>10032</v>
      </c>
      <c r="E2972" s="115" t="s">
        <v>3294</v>
      </c>
      <c r="F2972" s="115">
        <v>0</v>
      </c>
      <c r="G2972" s="115">
        <v>-254</v>
      </c>
      <c r="H2972" s="115">
        <v>-172</v>
      </c>
      <c r="I2972" s="115">
        <v>138</v>
      </c>
      <c r="J2972" s="115">
        <v>-225</v>
      </c>
      <c r="K2972" s="115">
        <v>0</v>
      </c>
    </row>
    <row r="2973" spans="1:11" x14ac:dyDescent="0.25">
      <c r="B2973" s="115" t="s">
        <v>1241</v>
      </c>
      <c r="D2973" s="115" t="s">
        <v>10033</v>
      </c>
      <c r="E2973" s="115" t="s">
        <v>3295</v>
      </c>
      <c r="F2973" s="115">
        <v>-172</v>
      </c>
      <c r="G2973" s="115">
        <v>0</v>
      </c>
      <c r="H2973" s="115">
        <v>200</v>
      </c>
      <c r="I2973" s="115">
        <v>77</v>
      </c>
      <c r="J2973" s="115">
        <v>82</v>
      </c>
      <c r="K2973" s="115">
        <v>0</v>
      </c>
    </row>
    <row r="2974" spans="1:11" x14ac:dyDescent="0.25">
      <c r="A2974" s="115">
        <v>2</v>
      </c>
      <c r="B2974" s="115" t="s">
        <v>3296</v>
      </c>
      <c r="D2974" s="115" t="s">
        <v>10034</v>
      </c>
      <c r="E2974" s="115" t="s">
        <v>3297</v>
      </c>
      <c r="F2974" s="115">
        <v>-148</v>
      </c>
      <c r="G2974" s="115">
        <v>-21</v>
      </c>
      <c r="H2974" s="115">
        <v>-1645</v>
      </c>
      <c r="I2974" s="115">
        <v>-2628</v>
      </c>
      <c r="J2974" s="115">
        <v>0</v>
      </c>
      <c r="K2974" s="115">
        <v>-121</v>
      </c>
    </row>
    <row r="2975" spans="1:11" x14ac:dyDescent="0.25">
      <c r="B2975" s="115" t="s">
        <v>1241</v>
      </c>
      <c r="C2975" s="115" t="s">
        <v>1239</v>
      </c>
      <c r="D2975" s="115" t="s">
        <v>10035</v>
      </c>
      <c r="E2975" s="115" t="s">
        <v>3298</v>
      </c>
      <c r="F2975" s="115">
        <v>0</v>
      </c>
      <c r="G2975" s="115">
        <v>-38</v>
      </c>
      <c r="H2975" s="115">
        <v>0</v>
      </c>
      <c r="I2975" s="115">
        <v>0</v>
      </c>
      <c r="J2975" s="115">
        <v>-38</v>
      </c>
      <c r="K2975" s="115">
        <v>0</v>
      </c>
    </row>
    <row r="2976" spans="1:11" x14ac:dyDescent="0.25">
      <c r="B2976" s="115" t="s">
        <v>3299</v>
      </c>
      <c r="D2976" s="115" t="s">
        <v>10036</v>
      </c>
      <c r="E2976" s="115" t="s">
        <v>3300</v>
      </c>
      <c r="F2976" s="115">
        <v>0</v>
      </c>
      <c r="G2976" s="115">
        <v>0</v>
      </c>
      <c r="H2976" s="115">
        <v>0</v>
      </c>
      <c r="I2976" s="115">
        <v>0</v>
      </c>
      <c r="J2976" s="115">
        <v>-1856</v>
      </c>
      <c r="K2976" s="115">
        <v>0</v>
      </c>
    </row>
    <row r="2977" spans="1:11" x14ac:dyDescent="0.25">
      <c r="A2977" s="115">
        <v>1</v>
      </c>
      <c r="B2977" s="115" t="s">
        <v>3301</v>
      </c>
      <c r="D2977" s="115" t="s">
        <v>10037</v>
      </c>
      <c r="E2977" s="115" t="s">
        <v>3302</v>
      </c>
      <c r="F2977" s="115">
        <v>1016</v>
      </c>
      <c r="G2977" s="115">
        <v>2580</v>
      </c>
      <c r="H2977" s="115">
        <v>-317</v>
      </c>
      <c r="I2977" s="115">
        <v>0</v>
      </c>
      <c r="J2977" s="115">
        <v>0</v>
      </c>
      <c r="K2977" s="115">
        <v>0</v>
      </c>
    </row>
    <row r="2978" spans="1:11" x14ac:dyDescent="0.25">
      <c r="A2978" s="115">
        <v>-1</v>
      </c>
      <c r="B2978" s="115" t="s">
        <v>3303</v>
      </c>
      <c r="D2978" s="115" t="s">
        <v>10038</v>
      </c>
      <c r="E2978" s="115" t="s">
        <v>3304</v>
      </c>
      <c r="F2978" s="115">
        <v>92</v>
      </c>
      <c r="G2978" s="115">
        <v>0</v>
      </c>
      <c r="H2978" s="115">
        <v>-2060</v>
      </c>
      <c r="I2978" s="115">
        <v>0</v>
      </c>
      <c r="J2978" s="115">
        <v>0</v>
      </c>
      <c r="K2978" s="115">
        <v>-275</v>
      </c>
    </row>
    <row r="2979" spans="1:11" x14ac:dyDescent="0.25">
      <c r="B2979" s="115" t="s">
        <v>3305</v>
      </c>
      <c r="D2979" s="115" t="s">
        <v>10039</v>
      </c>
      <c r="E2979" s="115" t="s">
        <v>1242</v>
      </c>
      <c r="F2979" s="115">
        <v>0</v>
      </c>
      <c r="G2979" s="115">
        <v>0</v>
      </c>
      <c r="H2979" s="115">
        <v>0</v>
      </c>
      <c r="I2979" s="115">
        <v>0</v>
      </c>
      <c r="J2979" s="115">
        <v>0</v>
      </c>
      <c r="K2979" s="115">
        <v>0</v>
      </c>
    </row>
    <row r="2980" spans="1:11" x14ac:dyDescent="0.25">
      <c r="B2980" s="115" t="s">
        <v>1241</v>
      </c>
      <c r="D2980" s="115" t="s">
        <v>10040</v>
      </c>
      <c r="E2980" s="115" t="s">
        <v>3306</v>
      </c>
      <c r="F2980" s="115">
        <v>-7312</v>
      </c>
      <c r="G2980" s="115">
        <v>239</v>
      </c>
      <c r="H2980" s="115">
        <v>-224</v>
      </c>
      <c r="I2980" s="115">
        <v>0</v>
      </c>
      <c r="J2980" s="115">
        <v>-6471</v>
      </c>
      <c r="K2980" s="115">
        <v>-73694</v>
      </c>
    </row>
    <row r="2981" spans="1:11" x14ac:dyDescent="0.25">
      <c r="B2981" s="115" t="s">
        <v>1241</v>
      </c>
      <c r="D2981" s="115" t="s">
        <v>10041</v>
      </c>
      <c r="E2981" s="115" t="s">
        <v>3307</v>
      </c>
      <c r="F2981" s="115">
        <v>0</v>
      </c>
      <c r="G2981" s="115">
        <v>22711</v>
      </c>
      <c r="H2981" s="115">
        <v>15271</v>
      </c>
      <c r="I2981" s="115">
        <v>-2262</v>
      </c>
      <c r="J2981" s="115">
        <v>-1044</v>
      </c>
      <c r="K2981" s="115">
        <v>-1868</v>
      </c>
    </row>
    <row r="2982" spans="1:11" x14ac:dyDescent="0.25">
      <c r="A2982" s="115">
        <v>-13</v>
      </c>
      <c r="B2982" s="115" t="s">
        <v>3308</v>
      </c>
      <c r="D2982" s="115" t="s">
        <v>10042</v>
      </c>
      <c r="E2982" s="115" t="s">
        <v>3309</v>
      </c>
      <c r="F2982" s="115">
        <v>0</v>
      </c>
      <c r="G2982" s="115">
        <v>1169</v>
      </c>
      <c r="H2982" s="115">
        <v>0</v>
      </c>
      <c r="I2982" s="115">
        <v>1750</v>
      </c>
      <c r="J2982" s="115">
        <v>0</v>
      </c>
      <c r="K2982" s="115">
        <v>0</v>
      </c>
    </row>
    <row r="2983" spans="1:11" x14ac:dyDescent="0.25">
      <c r="A2983" s="115">
        <v>1</v>
      </c>
      <c r="B2983" s="115" t="s">
        <v>3310</v>
      </c>
      <c r="D2983" s="115" t="s">
        <v>10043</v>
      </c>
      <c r="E2983" s="115" t="s">
        <v>3311</v>
      </c>
      <c r="F2983" s="115">
        <v>0</v>
      </c>
      <c r="G2983" s="115">
        <v>0</v>
      </c>
      <c r="H2983" s="115">
        <v>7710</v>
      </c>
      <c r="I2983" s="115">
        <v>0</v>
      </c>
      <c r="J2983" s="115">
        <v>-1591</v>
      </c>
      <c r="K2983" s="115">
        <v>1376</v>
      </c>
    </row>
    <row r="2984" spans="1:11" x14ac:dyDescent="0.25">
      <c r="A2984" s="115" t="s">
        <v>1239</v>
      </c>
      <c r="B2984" s="115" t="s">
        <v>3312</v>
      </c>
      <c r="D2984" s="115" t="s">
        <v>10044</v>
      </c>
      <c r="E2984" s="115" t="s">
        <v>3313</v>
      </c>
      <c r="F2984" s="115">
        <v>0</v>
      </c>
      <c r="G2984" s="115">
        <v>-277</v>
      </c>
      <c r="H2984" s="115">
        <v>0</v>
      </c>
      <c r="I2984" s="115">
        <v>0</v>
      </c>
      <c r="J2984" s="115">
        <v>0</v>
      </c>
      <c r="K2984" s="115">
        <v>3</v>
      </c>
    </row>
    <row r="2985" spans="1:11" x14ac:dyDescent="0.25">
      <c r="B2985" s="115" t="s">
        <v>3314</v>
      </c>
      <c r="D2985" s="115" t="s">
        <v>10045</v>
      </c>
      <c r="E2985" s="115" t="s">
        <v>3315</v>
      </c>
      <c r="F2985" s="115">
        <v>0</v>
      </c>
      <c r="G2985" s="115">
        <v>0</v>
      </c>
      <c r="H2985" s="115">
        <v>0</v>
      </c>
      <c r="I2985" s="115">
        <v>211</v>
      </c>
      <c r="J2985" s="115">
        <v>0</v>
      </c>
      <c r="K2985" s="115">
        <v>0</v>
      </c>
    </row>
    <row r="2986" spans="1:11" x14ac:dyDescent="0.25">
      <c r="B2986" s="115" t="s">
        <v>3316</v>
      </c>
      <c r="D2986" s="115" t="s">
        <v>10046</v>
      </c>
      <c r="E2986" s="115" t="s">
        <v>3317</v>
      </c>
      <c r="F2986" s="115">
        <v>4</v>
      </c>
      <c r="G2986" s="115">
        <v>935</v>
      </c>
      <c r="H2986" s="115">
        <v>56</v>
      </c>
      <c r="I2986" s="115">
        <v>0</v>
      </c>
      <c r="J2986" s="115">
        <v>-410</v>
      </c>
      <c r="K2986" s="115">
        <v>1230</v>
      </c>
    </row>
    <row r="2987" spans="1:11" x14ac:dyDescent="0.25">
      <c r="A2987" s="115" t="s">
        <v>1239</v>
      </c>
      <c r="B2987" s="115" t="s">
        <v>3318</v>
      </c>
      <c r="D2987" s="115" t="s">
        <v>10047</v>
      </c>
      <c r="E2987" s="115" t="s">
        <v>3319</v>
      </c>
      <c r="F2987" s="115">
        <v>0</v>
      </c>
      <c r="G2987" s="115">
        <v>70</v>
      </c>
      <c r="H2987" s="115">
        <v>0</v>
      </c>
      <c r="I2987" s="115">
        <v>0</v>
      </c>
      <c r="J2987" s="115">
        <v>0</v>
      </c>
      <c r="K2987" s="115">
        <v>0</v>
      </c>
    </row>
    <row r="2988" spans="1:11" x14ac:dyDescent="0.25">
      <c r="B2988" s="115" t="s">
        <v>3320</v>
      </c>
      <c r="D2988" s="115" t="s">
        <v>10048</v>
      </c>
      <c r="E2988" s="115" t="s">
        <v>3321</v>
      </c>
      <c r="F2988" s="115">
        <v>0</v>
      </c>
      <c r="G2988" s="115">
        <v>97</v>
      </c>
      <c r="H2988" s="115">
        <v>0</v>
      </c>
      <c r="I2988" s="115">
        <v>81</v>
      </c>
      <c r="J2988" s="115">
        <v>0</v>
      </c>
      <c r="K2988" s="115">
        <v>0</v>
      </c>
    </row>
    <row r="2989" spans="1:11" x14ac:dyDescent="0.25">
      <c r="B2989" s="115" t="s">
        <v>1241</v>
      </c>
      <c r="D2989" s="115" t="s">
        <v>10049</v>
      </c>
      <c r="E2989" s="115" t="s">
        <v>3322</v>
      </c>
      <c r="F2989" s="115">
        <v>0</v>
      </c>
      <c r="G2989" s="115">
        <v>-1</v>
      </c>
      <c r="H2989" s="115">
        <v>-720</v>
      </c>
      <c r="I2989" s="115">
        <v>0</v>
      </c>
      <c r="J2989" s="115">
        <v>0</v>
      </c>
      <c r="K2989" s="115">
        <v>-159</v>
      </c>
    </row>
    <row r="2990" spans="1:11" x14ac:dyDescent="0.25">
      <c r="A2990" s="115">
        <v>2</v>
      </c>
      <c r="B2990" s="115" t="s">
        <v>3192</v>
      </c>
      <c r="D2990" s="115" t="s">
        <v>10050</v>
      </c>
      <c r="E2990" s="115" t="s">
        <v>3323</v>
      </c>
      <c r="F2990" s="115">
        <v>0</v>
      </c>
      <c r="G2990" s="115">
        <v>0</v>
      </c>
      <c r="H2990" s="115">
        <v>0</v>
      </c>
      <c r="I2990" s="115">
        <v>-316</v>
      </c>
      <c r="J2990" s="115">
        <v>611</v>
      </c>
      <c r="K2990" s="115">
        <v>423</v>
      </c>
    </row>
    <row r="2991" spans="1:11" x14ac:dyDescent="0.25">
      <c r="B2991" s="115" t="s">
        <v>1241</v>
      </c>
      <c r="D2991" s="115" t="s">
        <v>10051</v>
      </c>
      <c r="E2991" s="115" t="s">
        <v>3324</v>
      </c>
      <c r="F2991" s="115">
        <v>0</v>
      </c>
      <c r="G2991" s="115">
        <v>322</v>
      </c>
      <c r="H2991" s="115">
        <v>198</v>
      </c>
      <c r="I2991" s="115">
        <v>149</v>
      </c>
      <c r="J2991" s="115">
        <v>119</v>
      </c>
      <c r="K2991" s="115">
        <v>163</v>
      </c>
    </row>
    <row r="2992" spans="1:11" x14ac:dyDescent="0.25">
      <c r="B2992" s="115" t="s">
        <v>3325</v>
      </c>
      <c r="D2992" s="115" t="s">
        <v>10052</v>
      </c>
      <c r="E2992" s="115" t="s">
        <v>3326</v>
      </c>
      <c r="F2992" s="115">
        <v>0</v>
      </c>
      <c r="G2992" s="115">
        <v>0</v>
      </c>
      <c r="H2992" s="115">
        <v>0</v>
      </c>
      <c r="I2992" s="115">
        <v>434</v>
      </c>
      <c r="J2992" s="115">
        <v>0</v>
      </c>
      <c r="K2992" s="115">
        <v>304</v>
      </c>
    </row>
    <row r="2993" spans="1:11" x14ac:dyDescent="0.25">
      <c r="A2993" s="115">
        <v>-3</v>
      </c>
      <c r="B2993" s="115" t="s">
        <v>3327</v>
      </c>
      <c r="D2993" s="115" t="s">
        <v>10053</v>
      </c>
      <c r="E2993" s="115" t="s">
        <v>3328</v>
      </c>
      <c r="F2993" s="115">
        <v>2248</v>
      </c>
      <c r="G2993" s="115">
        <v>-206</v>
      </c>
      <c r="H2993" s="115">
        <v>31</v>
      </c>
      <c r="I2993" s="115">
        <v>163</v>
      </c>
      <c r="J2993" s="115">
        <v>0</v>
      </c>
      <c r="K2993" s="115">
        <v>-204</v>
      </c>
    </row>
    <row r="2994" spans="1:11" x14ac:dyDescent="0.25">
      <c r="B2994" s="115">
        <f>-52   -344</f>
        <v>-396</v>
      </c>
      <c r="D2994" s="115" t="s">
        <v>10054</v>
      </c>
      <c r="E2994" s="115" t="s">
        <v>3329</v>
      </c>
      <c r="F2994" s="115">
        <v>-607</v>
      </c>
      <c r="G2994" s="115">
        <v>-1183</v>
      </c>
      <c r="H2994" s="115">
        <v>0</v>
      </c>
      <c r="I2994" s="115">
        <v>0</v>
      </c>
      <c r="J2994" s="115">
        <v>0</v>
      </c>
      <c r="K2994" s="115">
        <v>127</v>
      </c>
    </row>
    <row r="2995" spans="1:11" x14ac:dyDescent="0.25">
      <c r="B2995" s="115" t="s">
        <v>3330</v>
      </c>
      <c r="D2995" s="115" t="s">
        <v>10055</v>
      </c>
      <c r="E2995" s="115" t="s">
        <v>3331</v>
      </c>
      <c r="F2995" s="115">
        <v>18</v>
      </c>
      <c r="G2995" s="115">
        <v>325</v>
      </c>
      <c r="H2995" s="115">
        <v>0</v>
      </c>
      <c r="I2995" s="115">
        <v>0</v>
      </c>
      <c r="J2995" s="115">
        <v>0</v>
      </c>
      <c r="K2995" s="115">
        <v>0</v>
      </c>
    </row>
    <row r="2996" spans="1:11" x14ac:dyDescent="0.25">
      <c r="B2996" s="115" t="s">
        <v>3332</v>
      </c>
      <c r="D2996" s="115" t="s">
        <v>10056</v>
      </c>
      <c r="E2996" s="115" t="s">
        <v>3333</v>
      </c>
      <c r="F2996" s="115">
        <v>-3041</v>
      </c>
      <c r="G2996" s="115">
        <v>657</v>
      </c>
      <c r="H2996" s="115">
        <v>0</v>
      </c>
      <c r="I2996" s="115">
        <v>228</v>
      </c>
      <c r="J2996" s="115">
        <v>2212</v>
      </c>
      <c r="K2996" s="115">
        <v>-218</v>
      </c>
    </row>
    <row r="2997" spans="1:11" x14ac:dyDescent="0.25">
      <c r="B2997" s="115" t="s">
        <v>3334</v>
      </c>
      <c r="D2997" s="115" t="s">
        <v>10057</v>
      </c>
      <c r="E2997" s="115" t="s">
        <v>3335</v>
      </c>
      <c r="F2997" s="115">
        <v>54</v>
      </c>
      <c r="G2997" s="115">
        <v>0</v>
      </c>
      <c r="H2997" s="115">
        <v>941</v>
      </c>
      <c r="I2997" s="115">
        <v>0</v>
      </c>
      <c r="J2997" s="115">
        <v>0</v>
      </c>
      <c r="K2997" s="115">
        <v>-1223</v>
      </c>
    </row>
    <row r="2998" spans="1:11" x14ac:dyDescent="0.25">
      <c r="B2998" s="115" t="s">
        <v>3336</v>
      </c>
      <c r="D2998" s="115" t="s">
        <v>10058</v>
      </c>
      <c r="E2998" s="115" t="s">
        <v>3337</v>
      </c>
      <c r="F2998" s="115">
        <v>0</v>
      </c>
      <c r="G2998" s="115">
        <v>81</v>
      </c>
      <c r="H2998" s="115">
        <v>0</v>
      </c>
      <c r="I2998" s="115">
        <v>216</v>
      </c>
      <c r="J2998" s="115">
        <v>120</v>
      </c>
      <c r="K2998" s="115">
        <v>241</v>
      </c>
    </row>
    <row r="2999" spans="1:11" x14ac:dyDescent="0.25">
      <c r="B2999" s="115" t="s">
        <v>1241</v>
      </c>
      <c r="D2999" s="115" t="s">
        <v>10059</v>
      </c>
      <c r="E2999" s="115" t="s">
        <v>3338</v>
      </c>
      <c r="F2999" s="115">
        <v>0</v>
      </c>
      <c r="G2999" s="115">
        <v>252</v>
      </c>
      <c r="H2999" s="115">
        <v>0</v>
      </c>
      <c r="I2999" s="115">
        <v>535</v>
      </c>
      <c r="J2999" s="115">
        <v>-5459</v>
      </c>
      <c r="K2999" s="115">
        <v>879</v>
      </c>
    </row>
    <row r="3000" spans="1:11" x14ac:dyDescent="0.25">
      <c r="B3000" s="115" t="s">
        <v>3339</v>
      </c>
      <c r="D3000" s="115" t="s">
        <v>10060</v>
      </c>
      <c r="E3000" s="115" t="s">
        <v>3340</v>
      </c>
      <c r="F3000" s="115">
        <v>0</v>
      </c>
      <c r="G3000" s="115">
        <v>0</v>
      </c>
      <c r="H3000" s="115">
        <v>0</v>
      </c>
      <c r="I3000" s="115">
        <v>-139</v>
      </c>
      <c r="J3000" s="115">
        <v>-70</v>
      </c>
      <c r="K3000" s="115">
        <v>-137</v>
      </c>
    </row>
    <row r="3001" spans="1:11" x14ac:dyDescent="0.25">
      <c r="A3001" s="115">
        <v>1</v>
      </c>
      <c r="B3001" s="115" t="s">
        <v>3341</v>
      </c>
      <c r="D3001" s="115" t="s">
        <v>10061</v>
      </c>
      <c r="E3001" s="115" t="s">
        <v>3342</v>
      </c>
      <c r="F3001" s="115">
        <v>0</v>
      </c>
      <c r="G3001" s="115">
        <v>0</v>
      </c>
      <c r="H3001" s="115">
        <v>-66</v>
      </c>
      <c r="I3001" s="115">
        <v>0</v>
      </c>
      <c r="J3001" s="115">
        <v>153</v>
      </c>
      <c r="K3001" s="115">
        <v>0</v>
      </c>
    </row>
    <row r="3002" spans="1:11" x14ac:dyDescent="0.25">
      <c r="B3002" s="115" t="s">
        <v>3084</v>
      </c>
      <c r="D3002" s="115" t="s">
        <v>10062</v>
      </c>
      <c r="E3002" s="115" t="s">
        <v>3343</v>
      </c>
      <c r="F3002" s="115">
        <v>0</v>
      </c>
      <c r="G3002" s="115">
        <v>0</v>
      </c>
      <c r="H3002" s="115">
        <v>0</v>
      </c>
      <c r="I3002" s="115">
        <v>0</v>
      </c>
      <c r="J3002" s="115">
        <v>0</v>
      </c>
      <c r="K3002" s="115">
        <v>364</v>
      </c>
    </row>
    <row r="3003" spans="1:11" x14ac:dyDescent="0.25">
      <c r="B3003" s="115" t="s">
        <v>3344</v>
      </c>
      <c r="C3003" s="115" t="s">
        <v>1239</v>
      </c>
      <c r="D3003" s="115" t="s">
        <v>10063</v>
      </c>
      <c r="E3003" s="115" t="s">
        <v>3345</v>
      </c>
      <c r="F3003" s="115">
        <v>0</v>
      </c>
      <c r="G3003" s="115">
        <v>-3060</v>
      </c>
      <c r="H3003" s="115">
        <v>794</v>
      </c>
      <c r="I3003" s="115">
        <v>0</v>
      </c>
      <c r="J3003" s="115">
        <v>0</v>
      </c>
      <c r="K3003" s="115">
        <v>0</v>
      </c>
    </row>
    <row r="3004" spans="1:11" x14ac:dyDescent="0.25">
      <c r="B3004" s="115" t="s">
        <v>1241</v>
      </c>
      <c r="D3004" s="115" t="s">
        <v>10064</v>
      </c>
      <c r="E3004" s="115" t="s">
        <v>3346</v>
      </c>
      <c r="F3004" s="115">
        <v>-10025</v>
      </c>
      <c r="G3004" s="115">
        <v>-4294</v>
      </c>
      <c r="H3004" s="115">
        <v>-995</v>
      </c>
      <c r="I3004" s="115">
        <v>2019</v>
      </c>
      <c r="J3004" s="115">
        <v>0</v>
      </c>
      <c r="K3004" s="115">
        <v>0</v>
      </c>
    </row>
    <row r="3005" spans="1:11" x14ac:dyDescent="0.25">
      <c r="B3005" s="115" t="s">
        <v>1241</v>
      </c>
      <c r="D3005" s="115" t="s">
        <v>10065</v>
      </c>
      <c r="E3005" s="115" t="s">
        <v>3347</v>
      </c>
      <c r="F3005" s="115">
        <v>779</v>
      </c>
      <c r="G3005" s="115">
        <v>0</v>
      </c>
      <c r="H3005" s="115">
        <v>0</v>
      </c>
      <c r="I3005" s="115">
        <v>1603</v>
      </c>
      <c r="J3005" s="115">
        <v>-701</v>
      </c>
      <c r="K3005" s="115">
        <v>0</v>
      </c>
    </row>
    <row r="3006" spans="1:11" x14ac:dyDescent="0.25">
      <c r="B3006" s="115" t="s">
        <v>1241</v>
      </c>
      <c r="D3006" s="115" t="s">
        <v>10066</v>
      </c>
      <c r="E3006" s="115" t="s">
        <v>3348</v>
      </c>
      <c r="F3006" s="115">
        <v>0</v>
      </c>
      <c r="G3006" s="115">
        <v>-460</v>
      </c>
      <c r="H3006" s="115">
        <v>-619</v>
      </c>
      <c r="I3006" s="115">
        <v>384</v>
      </c>
      <c r="J3006" s="115">
        <v>74</v>
      </c>
      <c r="K3006" s="115">
        <v>46</v>
      </c>
    </row>
    <row r="3007" spans="1:11" x14ac:dyDescent="0.25">
      <c r="A3007" s="115">
        <v>1</v>
      </c>
      <c r="B3007" s="115" t="s">
        <v>3349</v>
      </c>
      <c r="D3007" s="115" t="s">
        <v>10067</v>
      </c>
      <c r="E3007" s="115" t="s">
        <v>3350</v>
      </c>
      <c r="F3007" s="115">
        <v>0</v>
      </c>
      <c r="G3007" s="115">
        <v>0</v>
      </c>
      <c r="H3007" s="115">
        <v>0</v>
      </c>
      <c r="I3007" s="115">
        <v>-43</v>
      </c>
      <c r="J3007" s="115">
        <v>46</v>
      </c>
      <c r="K3007" s="115">
        <v>0</v>
      </c>
    </row>
    <row r="3008" spans="1:11" x14ac:dyDescent="0.25">
      <c r="B3008" s="115" t="s">
        <v>1241</v>
      </c>
      <c r="D3008" s="115" t="s">
        <v>10068</v>
      </c>
      <c r="E3008" s="115" t="s">
        <v>3351</v>
      </c>
      <c r="F3008" s="115">
        <v>0</v>
      </c>
      <c r="G3008" s="115">
        <v>124</v>
      </c>
      <c r="H3008" s="115">
        <v>0</v>
      </c>
      <c r="I3008" s="115">
        <v>0</v>
      </c>
      <c r="J3008" s="115">
        <v>11</v>
      </c>
      <c r="K3008" s="115">
        <v>0</v>
      </c>
    </row>
    <row r="3009" spans="1:11" x14ac:dyDescent="0.25">
      <c r="B3009" s="115" t="s">
        <v>3352</v>
      </c>
      <c r="D3009" s="115" t="s">
        <v>10069</v>
      </c>
      <c r="E3009" s="115" t="s">
        <v>3353</v>
      </c>
      <c r="F3009" s="115">
        <v>1349</v>
      </c>
      <c r="G3009" s="115">
        <v>0</v>
      </c>
      <c r="H3009" s="115">
        <v>-130</v>
      </c>
      <c r="I3009" s="115">
        <v>585</v>
      </c>
      <c r="J3009" s="115">
        <v>300</v>
      </c>
      <c r="K3009" s="115">
        <v>1252</v>
      </c>
    </row>
    <row r="3010" spans="1:11" x14ac:dyDescent="0.25">
      <c r="B3010" s="115" t="s">
        <v>3354</v>
      </c>
      <c r="D3010" s="115" t="s">
        <v>10070</v>
      </c>
      <c r="E3010" s="115" t="s">
        <v>3355</v>
      </c>
      <c r="F3010" s="115">
        <v>0</v>
      </c>
      <c r="G3010" s="115">
        <v>0</v>
      </c>
      <c r="H3010" s="115">
        <v>0</v>
      </c>
      <c r="I3010" s="115">
        <v>0</v>
      </c>
      <c r="J3010" s="115">
        <v>0</v>
      </c>
      <c r="K3010" s="115">
        <v>-21</v>
      </c>
    </row>
    <row r="3011" spans="1:11" x14ac:dyDescent="0.25">
      <c r="B3011" s="115" t="s">
        <v>1241</v>
      </c>
      <c r="D3011" s="115" t="s">
        <v>10071</v>
      </c>
      <c r="E3011" s="115" t="s">
        <v>3356</v>
      </c>
      <c r="F3011" s="115">
        <v>0</v>
      </c>
      <c r="G3011" s="115">
        <v>-38</v>
      </c>
      <c r="H3011" s="115">
        <v>0</v>
      </c>
      <c r="I3011" s="115">
        <v>0</v>
      </c>
      <c r="J3011" s="115">
        <v>0</v>
      </c>
      <c r="K3011" s="115">
        <v>0</v>
      </c>
    </row>
    <row r="3012" spans="1:11" x14ac:dyDescent="0.25">
      <c r="B3012" s="115" t="s">
        <v>3357</v>
      </c>
      <c r="D3012" s="115" t="s">
        <v>10072</v>
      </c>
      <c r="E3012" s="115" t="s">
        <v>3358</v>
      </c>
      <c r="F3012" s="115">
        <v>-115</v>
      </c>
      <c r="G3012" s="115">
        <v>0</v>
      </c>
      <c r="H3012" s="115">
        <v>0</v>
      </c>
      <c r="I3012" s="115">
        <v>-486</v>
      </c>
      <c r="J3012" s="115">
        <v>1168</v>
      </c>
      <c r="K3012" s="115">
        <v>0</v>
      </c>
    </row>
    <row r="3013" spans="1:11" x14ac:dyDescent="0.25">
      <c r="A3013" s="115" t="s">
        <v>1239</v>
      </c>
      <c r="B3013" s="115" t="s">
        <v>3359</v>
      </c>
      <c r="D3013" s="115" t="s">
        <v>10073</v>
      </c>
      <c r="E3013" s="115" t="s">
        <v>3360</v>
      </c>
      <c r="F3013" s="115">
        <v>0</v>
      </c>
      <c r="G3013" s="115">
        <v>-473</v>
      </c>
      <c r="H3013" s="115">
        <v>358</v>
      </c>
      <c r="I3013" s="115">
        <v>352</v>
      </c>
      <c r="J3013" s="115">
        <v>0</v>
      </c>
      <c r="K3013" s="115">
        <v>0</v>
      </c>
    </row>
    <row r="3014" spans="1:11" x14ac:dyDescent="0.25">
      <c r="A3014" s="115" t="s">
        <v>1239</v>
      </c>
      <c r="B3014" s="115" t="s">
        <v>3361</v>
      </c>
      <c r="D3014" s="115" t="s">
        <v>10074</v>
      </c>
      <c r="E3014" s="115" t="s">
        <v>3362</v>
      </c>
      <c r="F3014" s="115">
        <v>-329</v>
      </c>
      <c r="G3014" s="115">
        <v>267</v>
      </c>
      <c r="H3014" s="115">
        <v>-89</v>
      </c>
      <c r="I3014" s="115">
        <v>744</v>
      </c>
      <c r="J3014" s="115">
        <v>-138</v>
      </c>
      <c r="K3014" s="115">
        <v>-284</v>
      </c>
    </row>
    <row r="3015" spans="1:11" x14ac:dyDescent="0.25">
      <c r="B3015" s="115" t="s">
        <v>1241</v>
      </c>
      <c r="D3015" s="115" t="s">
        <v>10075</v>
      </c>
      <c r="E3015" s="115" t="s">
        <v>3363</v>
      </c>
      <c r="F3015" s="115">
        <v>0</v>
      </c>
      <c r="G3015" s="115">
        <v>736</v>
      </c>
      <c r="H3015" s="115">
        <v>0</v>
      </c>
      <c r="I3015" s="115">
        <v>350</v>
      </c>
      <c r="J3015" s="115">
        <v>772</v>
      </c>
      <c r="K3015" s="115">
        <v>-2481</v>
      </c>
    </row>
    <row r="3016" spans="1:11" x14ac:dyDescent="0.25">
      <c r="B3016" s="115" t="s">
        <v>3364</v>
      </c>
      <c r="D3016" s="115" t="s">
        <v>10076</v>
      </c>
      <c r="E3016" s="115" t="s">
        <v>3365</v>
      </c>
      <c r="F3016" s="115">
        <v>-1</v>
      </c>
      <c r="G3016" s="115">
        <v>-160</v>
      </c>
      <c r="H3016" s="115">
        <v>0</v>
      </c>
      <c r="I3016" s="115">
        <v>3517</v>
      </c>
      <c r="J3016" s="115">
        <v>185</v>
      </c>
      <c r="K3016" s="115">
        <v>273</v>
      </c>
    </row>
    <row r="3017" spans="1:11" x14ac:dyDescent="0.25">
      <c r="B3017" s="115" t="s">
        <v>3366</v>
      </c>
      <c r="D3017" s="115" t="s">
        <v>10077</v>
      </c>
      <c r="E3017" s="115" t="s">
        <v>3367</v>
      </c>
      <c r="F3017" s="115">
        <v>0</v>
      </c>
      <c r="G3017" s="115">
        <v>0</v>
      </c>
      <c r="H3017" s="115">
        <v>0</v>
      </c>
      <c r="I3017" s="115">
        <v>-17</v>
      </c>
      <c r="J3017" s="115">
        <v>-190</v>
      </c>
      <c r="K3017" s="115">
        <v>0</v>
      </c>
    </row>
    <row r="3018" spans="1:11" x14ac:dyDescent="0.25">
      <c r="B3018" s="115" t="s">
        <v>3368</v>
      </c>
      <c r="D3018" s="115" t="s">
        <v>10078</v>
      </c>
      <c r="E3018" s="115" t="s">
        <v>3369</v>
      </c>
      <c r="F3018" s="115">
        <v>0</v>
      </c>
      <c r="G3018" s="115">
        <v>0</v>
      </c>
      <c r="H3018" s="115">
        <v>0</v>
      </c>
      <c r="I3018" s="115">
        <v>0</v>
      </c>
      <c r="J3018" s="115">
        <v>0</v>
      </c>
      <c r="K3018" s="115">
        <v>304</v>
      </c>
    </row>
    <row r="3019" spans="1:11" x14ac:dyDescent="0.25">
      <c r="B3019" s="115" t="s">
        <v>3370</v>
      </c>
      <c r="D3019" s="115" t="s">
        <v>10079</v>
      </c>
      <c r="E3019" s="115" t="s">
        <v>3371</v>
      </c>
      <c r="F3019" s="115">
        <v>0</v>
      </c>
      <c r="G3019" s="115">
        <v>246</v>
      </c>
      <c r="H3019" s="115">
        <v>1798</v>
      </c>
      <c r="I3019" s="115">
        <v>-340</v>
      </c>
      <c r="J3019" s="115">
        <v>-340</v>
      </c>
      <c r="K3019" s="115">
        <v>-452</v>
      </c>
    </row>
    <row r="3020" spans="1:11" x14ac:dyDescent="0.25">
      <c r="A3020" s="115" t="s">
        <v>1239</v>
      </c>
      <c r="B3020" s="115" t="s">
        <v>3372</v>
      </c>
      <c r="D3020" s="115" t="s">
        <v>10080</v>
      </c>
      <c r="E3020" s="115" t="s">
        <v>3373</v>
      </c>
      <c r="F3020" s="115">
        <v>106</v>
      </c>
      <c r="G3020" s="115">
        <v>0</v>
      </c>
      <c r="H3020" s="115">
        <v>0</v>
      </c>
      <c r="I3020" s="115">
        <v>-2261</v>
      </c>
      <c r="J3020" s="115">
        <v>76</v>
      </c>
      <c r="K3020" s="115">
        <v>0</v>
      </c>
    </row>
    <row r="3021" spans="1:11" x14ac:dyDescent="0.25">
      <c r="A3021" s="115" t="s">
        <v>1239</v>
      </c>
      <c r="B3021" s="115" t="s">
        <v>2765</v>
      </c>
      <c r="D3021" s="115" t="s">
        <v>10081</v>
      </c>
      <c r="E3021" s="115" t="s">
        <v>3374</v>
      </c>
      <c r="F3021" s="115">
        <v>0</v>
      </c>
      <c r="G3021" s="115">
        <v>680</v>
      </c>
      <c r="H3021" s="115">
        <v>-24</v>
      </c>
      <c r="I3021" s="115">
        <v>217</v>
      </c>
      <c r="J3021" s="115">
        <v>0</v>
      </c>
      <c r="K3021" s="115">
        <v>0</v>
      </c>
    </row>
    <row r="3022" spans="1:11" x14ac:dyDescent="0.25">
      <c r="B3022" s="115" t="s">
        <v>1241</v>
      </c>
      <c r="D3022" s="115" t="s">
        <v>10082</v>
      </c>
      <c r="E3022" s="115" t="s">
        <v>3375</v>
      </c>
      <c r="F3022" s="115">
        <v>0</v>
      </c>
      <c r="G3022" s="115">
        <v>-129</v>
      </c>
      <c r="H3022" s="115">
        <v>1264</v>
      </c>
      <c r="I3022" s="115">
        <v>-5242</v>
      </c>
      <c r="J3022" s="115">
        <v>0</v>
      </c>
      <c r="K3022" s="115">
        <v>1164</v>
      </c>
    </row>
    <row r="3023" spans="1:11" x14ac:dyDescent="0.25">
      <c r="A3023" s="115">
        <v>2</v>
      </c>
      <c r="B3023" s="115" t="s">
        <v>3376</v>
      </c>
      <c r="D3023" s="115" t="s">
        <v>10083</v>
      </c>
      <c r="E3023" s="115" t="s">
        <v>3377</v>
      </c>
      <c r="F3023" s="115">
        <v>0</v>
      </c>
      <c r="G3023" s="115">
        <v>3141</v>
      </c>
      <c r="H3023" s="115">
        <v>1037</v>
      </c>
      <c r="I3023" s="115">
        <v>1285</v>
      </c>
      <c r="J3023" s="115">
        <v>-185</v>
      </c>
      <c r="K3023" s="115">
        <v>-40</v>
      </c>
    </row>
    <row r="3024" spans="1:11" x14ac:dyDescent="0.25">
      <c r="B3024" s="115" t="s">
        <v>3378</v>
      </c>
      <c r="D3024" s="115" t="s">
        <v>10084</v>
      </c>
      <c r="E3024" s="115" t="s">
        <v>3379</v>
      </c>
      <c r="F3024" s="115">
        <v>-232</v>
      </c>
      <c r="G3024" s="115">
        <v>0</v>
      </c>
      <c r="H3024" s="115">
        <v>-325</v>
      </c>
      <c r="I3024" s="115">
        <v>0</v>
      </c>
      <c r="J3024" s="115">
        <v>471</v>
      </c>
      <c r="K3024" s="115">
        <v>0</v>
      </c>
    </row>
    <row r="3025" spans="1:11" x14ac:dyDescent="0.25">
      <c r="B3025" s="115" t="s">
        <v>1241</v>
      </c>
      <c r="D3025" s="115" t="s">
        <v>10085</v>
      </c>
      <c r="E3025" s="115" t="s">
        <v>3380</v>
      </c>
      <c r="F3025" s="115">
        <v>0</v>
      </c>
      <c r="G3025" s="115">
        <v>0</v>
      </c>
      <c r="H3025" s="115">
        <v>0</v>
      </c>
      <c r="I3025" s="115">
        <v>-20</v>
      </c>
      <c r="J3025" s="115">
        <v>0</v>
      </c>
      <c r="K3025" s="115">
        <v>88</v>
      </c>
    </row>
    <row r="3026" spans="1:11" x14ac:dyDescent="0.25">
      <c r="A3026" s="115">
        <v>1</v>
      </c>
      <c r="B3026" s="115" t="s">
        <v>3381</v>
      </c>
      <c r="D3026" s="115" t="s">
        <v>10086</v>
      </c>
      <c r="E3026" s="115" t="s">
        <v>1242</v>
      </c>
      <c r="F3026" s="115">
        <v>-5200</v>
      </c>
      <c r="G3026" s="115">
        <v>0</v>
      </c>
      <c r="H3026" s="115">
        <v>0</v>
      </c>
      <c r="I3026" s="115">
        <v>0</v>
      </c>
      <c r="J3026" s="115">
        <v>0</v>
      </c>
      <c r="K3026" s="115">
        <v>0</v>
      </c>
    </row>
    <row r="3027" spans="1:11" x14ac:dyDescent="0.25">
      <c r="A3027" s="115">
        <v>-17</v>
      </c>
      <c r="B3027" s="115" t="s">
        <v>3382</v>
      </c>
      <c r="D3027" s="115" t="s">
        <v>10087</v>
      </c>
      <c r="E3027" s="115" t="s">
        <v>3383</v>
      </c>
      <c r="F3027" s="115">
        <v>-3118</v>
      </c>
      <c r="G3027" s="115">
        <v>-1682</v>
      </c>
      <c r="H3027" s="115">
        <v>0</v>
      </c>
      <c r="I3027" s="115">
        <v>0</v>
      </c>
      <c r="J3027" s="115">
        <v>0</v>
      </c>
      <c r="K3027" s="115">
        <v>0</v>
      </c>
    </row>
    <row r="3028" spans="1:11" x14ac:dyDescent="0.25">
      <c r="A3028" s="115">
        <v>2</v>
      </c>
      <c r="B3028" s="115" t="s">
        <v>3384</v>
      </c>
      <c r="C3028" s="115" t="s">
        <v>1239</v>
      </c>
      <c r="D3028" s="115" t="s">
        <v>10088</v>
      </c>
      <c r="E3028" s="115" t="s">
        <v>3385</v>
      </c>
      <c r="F3028" s="115">
        <v>0</v>
      </c>
      <c r="G3028" s="115">
        <v>532</v>
      </c>
      <c r="H3028" s="115">
        <v>3250</v>
      </c>
      <c r="I3028" s="115">
        <v>0</v>
      </c>
      <c r="J3028" s="115">
        <v>0</v>
      </c>
      <c r="K3028" s="115">
        <v>0</v>
      </c>
    </row>
    <row r="3029" spans="1:11" x14ac:dyDescent="0.25">
      <c r="B3029" s="115" t="s">
        <v>3386</v>
      </c>
      <c r="D3029" s="115" t="s">
        <v>10089</v>
      </c>
      <c r="E3029" s="115" t="s">
        <v>3387</v>
      </c>
      <c r="F3029" s="115">
        <v>-11713</v>
      </c>
      <c r="G3029" s="115">
        <v>6783</v>
      </c>
      <c r="H3029" s="115">
        <v>-869</v>
      </c>
      <c r="I3029" s="115">
        <v>-4651</v>
      </c>
      <c r="J3029" s="115">
        <v>-1431</v>
      </c>
      <c r="K3029" s="115">
        <v>-2473</v>
      </c>
    </row>
    <row r="3030" spans="1:11" x14ac:dyDescent="0.25">
      <c r="B3030" s="115" t="s">
        <v>1241</v>
      </c>
      <c r="D3030" s="115" t="s">
        <v>10090</v>
      </c>
      <c r="E3030" s="115" t="s">
        <v>3388</v>
      </c>
      <c r="F3030" s="115">
        <v>0</v>
      </c>
      <c r="G3030" s="115">
        <v>0</v>
      </c>
      <c r="H3030" s="115">
        <v>887</v>
      </c>
      <c r="I3030" s="115">
        <v>31</v>
      </c>
      <c r="J3030" s="115">
        <v>0</v>
      </c>
      <c r="K3030" s="115">
        <v>0</v>
      </c>
    </row>
    <row r="3031" spans="1:11" x14ac:dyDescent="0.25">
      <c r="B3031" s="115" t="s">
        <v>1241</v>
      </c>
      <c r="D3031" s="115" t="s">
        <v>10091</v>
      </c>
      <c r="E3031" s="115" t="s">
        <v>3389</v>
      </c>
      <c r="F3031" s="115">
        <v>-2190</v>
      </c>
      <c r="G3031" s="115">
        <v>0</v>
      </c>
      <c r="H3031" s="115">
        <v>0</v>
      </c>
      <c r="I3031" s="115">
        <v>249</v>
      </c>
      <c r="J3031" s="115">
        <v>0</v>
      </c>
      <c r="K3031" s="115">
        <v>-256</v>
      </c>
    </row>
    <row r="3032" spans="1:11" x14ac:dyDescent="0.25">
      <c r="B3032" s="115" t="s">
        <v>3390</v>
      </c>
      <c r="C3032" s="115" t="s">
        <v>1239</v>
      </c>
      <c r="D3032" s="115" t="s">
        <v>10092</v>
      </c>
      <c r="E3032" s="115" t="s">
        <v>3391</v>
      </c>
      <c r="F3032" s="115">
        <v>0</v>
      </c>
      <c r="G3032" s="115">
        <v>1562</v>
      </c>
      <c r="H3032" s="115">
        <v>-1327</v>
      </c>
      <c r="I3032" s="115">
        <v>-2591</v>
      </c>
      <c r="J3032" s="115">
        <v>-2672</v>
      </c>
      <c r="K3032" s="115">
        <v>-1642</v>
      </c>
    </row>
    <row r="3033" spans="1:11" x14ac:dyDescent="0.25">
      <c r="A3033" s="115" t="s">
        <v>1239</v>
      </c>
      <c r="B3033" s="115" t="s">
        <v>3392</v>
      </c>
      <c r="D3033" s="115" t="s">
        <v>10093</v>
      </c>
      <c r="E3033" s="115" t="s">
        <v>3393</v>
      </c>
      <c r="F3033" s="115">
        <v>0</v>
      </c>
      <c r="G3033" s="115">
        <v>0</v>
      </c>
      <c r="H3033" s="115">
        <v>0</v>
      </c>
      <c r="I3033" s="115">
        <v>0</v>
      </c>
      <c r="J3033" s="115">
        <v>143</v>
      </c>
      <c r="K3033" s="115">
        <v>0</v>
      </c>
    </row>
    <row r="3034" spans="1:11" x14ac:dyDescent="0.25">
      <c r="B3034" s="115" t="s">
        <v>1241</v>
      </c>
      <c r="D3034" s="115" t="s">
        <v>10094</v>
      </c>
      <c r="E3034" s="115" t="s">
        <v>1242</v>
      </c>
      <c r="F3034" s="115">
        <v>-24</v>
      </c>
      <c r="G3034" s="115">
        <v>0</v>
      </c>
      <c r="H3034" s="115">
        <v>0</v>
      </c>
      <c r="I3034" s="115">
        <v>0</v>
      </c>
      <c r="J3034" s="115">
        <v>0</v>
      </c>
      <c r="K3034" s="115">
        <v>0</v>
      </c>
    </row>
    <row r="3035" spans="1:11" x14ac:dyDescent="0.25">
      <c r="B3035" s="115" t="s">
        <v>2830</v>
      </c>
      <c r="D3035" s="115" t="s">
        <v>10095</v>
      </c>
      <c r="E3035" s="115" t="s">
        <v>3394</v>
      </c>
      <c r="F3035" s="115">
        <v>0</v>
      </c>
      <c r="G3035" s="115">
        <v>0</v>
      </c>
      <c r="H3035" s="115">
        <v>-2833</v>
      </c>
      <c r="I3035" s="115">
        <v>-2113</v>
      </c>
      <c r="J3035" s="115">
        <v>0</v>
      </c>
      <c r="K3035" s="115">
        <v>1907</v>
      </c>
    </row>
    <row r="3036" spans="1:11" x14ac:dyDescent="0.25">
      <c r="B3036" s="115" t="s">
        <v>1241</v>
      </c>
      <c r="D3036" s="115" t="s">
        <v>10096</v>
      </c>
      <c r="E3036" s="115" t="s">
        <v>3395</v>
      </c>
      <c r="F3036" s="115">
        <v>2383</v>
      </c>
      <c r="G3036" s="115">
        <v>-669</v>
      </c>
      <c r="H3036" s="115">
        <v>-511</v>
      </c>
      <c r="I3036" s="115">
        <v>0</v>
      </c>
      <c r="J3036" s="115">
        <v>0</v>
      </c>
      <c r="K3036" s="115">
        <v>-174</v>
      </c>
    </row>
    <row r="3037" spans="1:11" x14ac:dyDescent="0.25">
      <c r="A3037" s="115">
        <v>1</v>
      </c>
      <c r="B3037" s="115" t="s">
        <v>1958</v>
      </c>
      <c r="D3037" s="115" t="s">
        <v>10097</v>
      </c>
      <c r="E3037" s="115" t="s">
        <v>3396</v>
      </c>
      <c r="F3037" s="115">
        <v>277</v>
      </c>
      <c r="G3037" s="115">
        <v>261</v>
      </c>
      <c r="H3037" s="115">
        <v>698</v>
      </c>
      <c r="I3037" s="115">
        <v>495</v>
      </c>
      <c r="J3037" s="115">
        <v>-154</v>
      </c>
      <c r="K3037" s="115">
        <v>0</v>
      </c>
    </row>
    <row r="3038" spans="1:11" x14ac:dyDescent="0.25">
      <c r="B3038" s="115" t="s">
        <v>1241</v>
      </c>
      <c r="D3038" s="115" t="s">
        <v>10098</v>
      </c>
      <c r="E3038" s="115" t="s">
        <v>3397</v>
      </c>
      <c r="F3038" s="115">
        <v>2363</v>
      </c>
      <c r="G3038" s="115">
        <v>0</v>
      </c>
      <c r="H3038" s="115">
        <v>318</v>
      </c>
      <c r="I3038" s="115">
        <v>181</v>
      </c>
      <c r="J3038" s="115">
        <v>-64</v>
      </c>
      <c r="K3038" s="115">
        <v>0</v>
      </c>
    </row>
    <row r="3039" spans="1:11" x14ac:dyDescent="0.25">
      <c r="A3039" s="115">
        <v>-1</v>
      </c>
      <c r="B3039" s="115" t="s">
        <v>3398</v>
      </c>
      <c r="C3039" s="115" t="s">
        <v>1239</v>
      </c>
      <c r="D3039" s="115" t="s">
        <v>10099</v>
      </c>
      <c r="E3039" s="115" t="s">
        <v>3399</v>
      </c>
      <c r="F3039" s="115">
        <v>-4636</v>
      </c>
      <c r="G3039" s="115">
        <v>0</v>
      </c>
      <c r="H3039" s="115">
        <v>-4095</v>
      </c>
      <c r="I3039" s="115">
        <v>-1487</v>
      </c>
      <c r="J3039" s="115">
        <v>1144</v>
      </c>
      <c r="K3039" s="115">
        <v>-160</v>
      </c>
    </row>
    <row r="3040" spans="1:11" x14ac:dyDescent="0.25">
      <c r="B3040" s="115" t="s">
        <v>3400</v>
      </c>
      <c r="C3040" s="115" t="s">
        <v>1239</v>
      </c>
      <c r="D3040" s="115" t="s">
        <v>10100</v>
      </c>
      <c r="E3040" s="115" t="s">
        <v>3401</v>
      </c>
      <c r="F3040" s="115">
        <v>0</v>
      </c>
      <c r="G3040" s="115">
        <v>0</v>
      </c>
      <c r="H3040" s="115">
        <v>8</v>
      </c>
      <c r="I3040" s="115">
        <v>50</v>
      </c>
      <c r="J3040" s="115">
        <v>0</v>
      </c>
      <c r="K3040" s="115">
        <v>-645</v>
      </c>
    </row>
    <row r="3041" spans="1:11" x14ac:dyDescent="0.25">
      <c r="A3041" s="115" t="s">
        <v>1239</v>
      </c>
      <c r="B3041" s="115" t="s">
        <v>3402</v>
      </c>
      <c r="D3041" s="115" t="s">
        <v>10101</v>
      </c>
      <c r="E3041" s="115" t="s">
        <v>3403</v>
      </c>
      <c r="F3041" s="115">
        <v>0</v>
      </c>
      <c r="G3041" s="115">
        <v>0</v>
      </c>
      <c r="H3041" s="115">
        <v>0</v>
      </c>
      <c r="I3041" s="115">
        <v>0</v>
      </c>
      <c r="J3041" s="115">
        <v>1462</v>
      </c>
      <c r="K3041" s="115">
        <v>0</v>
      </c>
    </row>
    <row r="3042" spans="1:11" x14ac:dyDescent="0.25">
      <c r="B3042" s="115" t="s">
        <v>3404</v>
      </c>
      <c r="D3042" s="115" t="s">
        <v>10102</v>
      </c>
      <c r="E3042" s="115" t="s">
        <v>3405</v>
      </c>
      <c r="F3042" s="115">
        <v>129</v>
      </c>
      <c r="G3042" s="115">
        <v>-2408</v>
      </c>
      <c r="H3042" s="115">
        <v>-3015</v>
      </c>
      <c r="I3042" s="115">
        <v>405</v>
      </c>
      <c r="J3042" s="115">
        <v>-3375</v>
      </c>
      <c r="K3042" s="115">
        <v>-1010</v>
      </c>
    </row>
    <row r="3043" spans="1:11" x14ac:dyDescent="0.25">
      <c r="A3043" s="115">
        <v>-3</v>
      </c>
      <c r="B3043" s="115" t="s">
        <v>3406</v>
      </c>
      <c r="D3043" s="115" t="s">
        <v>10103</v>
      </c>
      <c r="E3043" s="115" t="s">
        <v>3407</v>
      </c>
      <c r="F3043" s="115">
        <v>0</v>
      </c>
      <c r="G3043" s="115">
        <v>0</v>
      </c>
      <c r="H3043" s="115">
        <v>-2261</v>
      </c>
      <c r="I3043" s="115">
        <v>137</v>
      </c>
      <c r="J3043" s="115">
        <v>0</v>
      </c>
      <c r="K3043" s="115">
        <v>244</v>
      </c>
    </row>
    <row r="3044" spans="1:11" x14ac:dyDescent="0.25">
      <c r="B3044" s="115" t="s">
        <v>1241</v>
      </c>
      <c r="D3044" s="115" t="s">
        <v>10104</v>
      </c>
      <c r="E3044" s="115" t="s">
        <v>3408</v>
      </c>
      <c r="F3044" s="115">
        <v>96</v>
      </c>
      <c r="G3044" s="115">
        <v>-90</v>
      </c>
      <c r="H3044" s="115">
        <v>368</v>
      </c>
      <c r="I3044" s="115">
        <v>0</v>
      </c>
      <c r="J3044" s="115">
        <v>0</v>
      </c>
      <c r="K3044" s="115">
        <v>0</v>
      </c>
    </row>
    <row r="3045" spans="1:11" x14ac:dyDescent="0.25">
      <c r="B3045" s="115" t="s">
        <v>1241</v>
      </c>
      <c r="D3045" s="115" t="s">
        <v>10105</v>
      </c>
      <c r="E3045" s="115" t="s">
        <v>3409</v>
      </c>
      <c r="F3045" s="115">
        <v>1061</v>
      </c>
      <c r="G3045" s="115">
        <v>410</v>
      </c>
      <c r="H3045" s="115">
        <v>592</v>
      </c>
      <c r="I3045" s="115">
        <v>0</v>
      </c>
      <c r="J3045" s="115">
        <v>-1488</v>
      </c>
      <c r="K3045" s="115">
        <v>-2133</v>
      </c>
    </row>
    <row r="3046" spans="1:11" x14ac:dyDescent="0.25">
      <c r="A3046" s="115">
        <v>1</v>
      </c>
      <c r="B3046" s="115" t="s">
        <v>3410</v>
      </c>
      <c r="D3046" s="115" t="s">
        <v>10106</v>
      </c>
      <c r="E3046" s="115" t="s">
        <v>3411</v>
      </c>
      <c r="F3046" s="115">
        <v>-2613</v>
      </c>
      <c r="G3046" s="115">
        <v>-986</v>
      </c>
      <c r="H3046" s="115">
        <v>1657</v>
      </c>
      <c r="I3046" s="115">
        <v>-172</v>
      </c>
      <c r="J3046" s="115">
        <v>-57</v>
      </c>
      <c r="K3046" s="115">
        <v>0</v>
      </c>
    </row>
    <row r="3047" spans="1:11" x14ac:dyDescent="0.25">
      <c r="A3047" s="115" t="s">
        <v>1239</v>
      </c>
      <c r="B3047" s="115" t="s">
        <v>3412</v>
      </c>
      <c r="D3047" s="115" t="s">
        <v>10107</v>
      </c>
      <c r="E3047" s="115" t="s">
        <v>3413</v>
      </c>
      <c r="F3047" s="115">
        <v>0</v>
      </c>
      <c r="G3047" s="115">
        <v>-574</v>
      </c>
      <c r="H3047" s="115">
        <v>0</v>
      </c>
      <c r="I3047" s="115">
        <v>220</v>
      </c>
      <c r="J3047" s="115">
        <v>0</v>
      </c>
      <c r="K3047" s="115">
        <v>0</v>
      </c>
    </row>
    <row r="3048" spans="1:11" x14ac:dyDescent="0.25">
      <c r="B3048" s="115" t="s">
        <v>1241</v>
      </c>
      <c r="D3048" s="115" t="s">
        <v>10108</v>
      </c>
      <c r="E3048" s="115" t="s">
        <v>3414</v>
      </c>
      <c r="F3048" s="115">
        <v>0</v>
      </c>
      <c r="G3048" s="115">
        <v>0</v>
      </c>
      <c r="H3048" s="115">
        <v>1098</v>
      </c>
      <c r="I3048" s="115">
        <v>0</v>
      </c>
      <c r="J3048" s="115">
        <v>675</v>
      </c>
      <c r="K3048" s="115">
        <v>116</v>
      </c>
    </row>
    <row r="3049" spans="1:11" x14ac:dyDescent="0.25">
      <c r="B3049" s="115" t="s">
        <v>3415</v>
      </c>
      <c r="C3049" s="115" t="s">
        <v>1239</v>
      </c>
      <c r="D3049" s="115" t="s">
        <v>10109</v>
      </c>
      <c r="E3049" s="115" t="s">
        <v>3416</v>
      </c>
      <c r="F3049" s="115">
        <v>0</v>
      </c>
      <c r="G3049" s="115">
        <v>0</v>
      </c>
      <c r="H3049" s="115">
        <v>0</v>
      </c>
      <c r="I3049" s="115">
        <v>0</v>
      </c>
      <c r="J3049" s="115">
        <v>0</v>
      </c>
      <c r="K3049" s="115">
        <v>13209</v>
      </c>
    </row>
    <row r="3050" spans="1:11" x14ac:dyDescent="0.25">
      <c r="A3050" s="115">
        <v>14</v>
      </c>
      <c r="B3050" s="115" t="s">
        <v>3417</v>
      </c>
      <c r="D3050" s="115" t="s">
        <v>10110</v>
      </c>
      <c r="E3050" s="115" t="s">
        <v>3418</v>
      </c>
      <c r="F3050" s="115">
        <v>-15819</v>
      </c>
      <c r="G3050" s="115">
        <v>0</v>
      </c>
      <c r="H3050" s="115">
        <v>0</v>
      </c>
      <c r="I3050" s="115">
        <v>0</v>
      </c>
      <c r="J3050" s="115">
        <v>0</v>
      </c>
      <c r="K3050" s="115">
        <v>-2411</v>
      </c>
    </row>
    <row r="3051" spans="1:11" x14ac:dyDescent="0.25">
      <c r="B3051" s="115" t="s">
        <v>3419</v>
      </c>
      <c r="D3051" s="115" t="s">
        <v>10111</v>
      </c>
      <c r="E3051" s="115" t="s">
        <v>3420</v>
      </c>
      <c r="F3051" s="115">
        <v>-8455</v>
      </c>
      <c r="G3051" s="115">
        <v>-7921</v>
      </c>
      <c r="H3051" s="115">
        <v>0</v>
      </c>
      <c r="I3051" s="115">
        <v>0</v>
      </c>
      <c r="J3051" s="115">
        <v>0</v>
      </c>
      <c r="K3051" s="115">
        <v>0</v>
      </c>
    </row>
    <row r="3052" spans="1:11" x14ac:dyDescent="0.25">
      <c r="A3052" s="115">
        <v>2</v>
      </c>
      <c r="B3052" s="115" t="s">
        <v>3421</v>
      </c>
      <c r="C3052" s="115" t="s">
        <v>1239</v>
      </c>
      <c r="D3052" s="115" t="s">
        <v>10112</v>
      </c>
      <c r="E3052" s="115" t="s">
        <v>3422</v>
      </c>
      <c r="F3052" s="115">
        <v>-4590</v>
      </c>
      <c r="G3052" s="115">
        <v>2575</v>
      </c>
      <c r="H3052" s="115">
        <v>-195</v>
      </c>
      <c r="I3052" s="115">
        <v>-14996</v>
      </c>
      <c r="J3052" s="115">
        <v>-2092</v>
      </c>
      <c r="K3052" s="115">
        <v>-1594</v>
      </c>
    </row>
    <row r="3053" spans="1:11" x14ac:dyDescent="0.25">
      <c r="B3053" s="115" t="s">
        <v>1241</v>
      </c>
      <c r="D3053" s="115" t="s">
        <v>10113</v>
      </c>
      <c r="E3053" s="115" t="s">
        <v>3423</v>
      </c>
      <c r="F3053" s="115">
        <v>0</v>
      </c>
      <c r="G3053" s="115">
        <v>0</v>
      </c>
      <c r="H3053" s="115">
        <v>1601</v>
      </c>
      <c r="I3053" s="115">
        <v>1098</v>
      </c>
      <c r="J3053" s="115">
        <v>0</v>
      </c>
      <c r="K3053" s="115">
        <v>0</v>
      </c>
    </row>
    <row r="3054" spans="1:11" x14ac:dyDescent="0.25">
      <c r="B3054" s="115" t="s">
        <v>1241</v>
      </c>
      <c r="D3054" s="115" t="s">
        <v>10114</v>
      </c>
      <c r="E3054" s="115" t="s">
        <v>3424</v>
      </c>
      <c r="F3054" s="115">
        <v>741</v>
      </c>
      <c r="G3054" s="115">
        <v>0</v>
      </c>
      <c r="H3054" s="115">
        <v>0</v>
      </c>
      <c r="I3054" s="115">
        <v>473</v>
      </c>
      <c r="J3054" s="115">
        <v>0</v>
      </c>
      <c r="K3054" s="115">
        <v>-446</v>
      </c>
    </row>
    <row r="3055" spans="1:11" x14ac:dyDescent="0.25">
      <c r="B3055" s="115" t="s">
        <v>3425</v>
      </c>
      <c r="D3055" s="115" t="s">
        <v>10115</v>
      </c>
      <c r="E3055" s="115" t="s">
        <v>3426</v>
      </c>
      <c r="F3055" s="115">
        <v>0</v>
      </c>
      <c r="G3055" s="115">
        <v>1914</v>
      </c>
      <c r="H3055" s="115">
        <v>327</v>
      </c>
      <c r="I3055" s="115">
        <v>-2825</v>
      </c>
      <c r="J3055" s="115">
        <v>-2500</v>
      </c>
      <c r="K3055" s="115">
        <v>-2548</v>
      </c>
    </row>
    <row r="3056" spans="1:11" x14ac:dyDescent="0.25">
      <c r="A3056" s="115">
        <v>-1</v>
      </c>
      <c r="B3056" s="115" t="s">
        <v>3427</v>
      </c>
      <c r="D3056" s="115" t="s">
        <v>10116</v>
      </c>
      <c r="E3056" s="115" t="s">
        <v>3428</v>
      </c>
      <c r="F3056" s="115">
        <v>0</v>
      </c>
      <c r="G3056" s="115">
        <v>0</v>
      </c>
      <c r="H3056" s="115">
        <v>0</v>
      </c>
      <c r="I3056" s="115">
        <v>0</v>
      </c>
      <c r="J3056" s="115">
        <v>407</v>
      </c>
      <c r="K3056" s="115">
        <v>0</v>
      </c>
    </row>
    <row r="3057" spans="1:11" x14ac:dyDescent="0.25">
      <c r="B3057" s="115" t="s">
        <v>1241</v>
      </c>
      <c r="D3057" s="115" t="s">
        <v>10117</v>
      </c>
      <c r="E3057" s="115" t="s">
        <v>1242</v>
      </c>
      <c r="F3057" s="115">
        <v>176</v>
      </c>
      <c r="G3057" s="115">
        <v>0</v>
      </c>
      <c r="H3057" s="115">
        <v>0</v>
      </c>
      <c r="I3057" s="115">
        <v>0</v>
      </c>
      <c r="J3057" s="115">
        <v>0</v>
      </c>
      <c r="K3057" s="115">
        <v>0</v>
      </c>
    </row>
    <row r="3058" spans="1:11" x14ac:dyDescent="0.25">
      <c r="B3058" s="115" t="s">
        <v>1617</v>
      </c>
      <c r="D3058" s="115" t="s">
        <v>10118</v>
      </c>
      <c r="E3058" s="115" t="s">
        <v>3429</v>
      </c>
      <c r="F3058" s="115">
        <v>0</v>
      </c>
      <c r="G3058" s="115">
        <v>0</v>
      </c>
      <c r="H3058" s="115">
        <v>-3464</v>
      </c>
      <c r="I3058" s="115">
        <v>10</v>
      </c>
      <c r="J3058" s="115">
        <v>0</v>
      </c>
      <c r="K3058" s="115">
        <v>1961</v>
      </c>
    </row>
    <row r="3059" spans="1:11" x14ac:dyDescent="0.25">
      <c r="B3059" s="115" t="s">
        <v>1241</v>
      </c>
      <c r="D3059" s="115" t="s">
        <v>10119</v>
      </c>
      <c r="E3059" s="115" t="s">
        <v>3430</v>
      </c>
      <c r="F3059" s="115">
        <v>2956</v>
      </c>
      <c r="G3059" s="115">
        <v>-1200</v>
      </c>
      <c r="H3059" s="115">
        <v>-1344</v>
      </c>
      <c r="I3059" s="115">
        <v>0</v>
      </c>
      <c r="J3059" s="115">
        <v>0</v>
      </c>
      <c r="K3059" s="115">
        <v>-1711</v>
      </c>
    </row>
    <row r="3060" spans="1:11" x14ac:dyDescent="0.25">
      <c r="A3060" s="115">
        <v>6</v>
      </c>
      <c r="B3060" s="115" t="s">
        <v>2250</v>
      </c>
      <c r="D3060" s="115" t="s">
        <v>10120</v>
      </c>
      <c r="E3060" s="115" t="s">
        <v>3431</v>
      </c>
      <c r="F3060" s="115">
        <v>-750</v>
      </c>
      <c r="G3060" s="115">
        <v>-318</v>
      </c>
      <c r="H3060" s="115">
        <v>683</v>
      </c>
      <c r="I3060" s="115">
        <v>861</v>
      </c>
      <c r="J3060" s="115">
        <v>-642</v>
      </c>
      <c r="K3060" s="115">
        <v>0</v>
      </c>
    </row>
    <row r="3061" spans="1:11" x14ac:dyDescent="0.25">
      <c r="B3061" s="115" t="s">
        <v>1241</v>
      </c>
      <c r="D3061" s="115" t="s">
        <v>10121</v>
      </c>
      <c r="E3061" s="115" t="s">
        <v>3432</v>
      </c>
      <c r="F3061" s="115">
        <v>1839</v>
      </c>
      <c r="G3061" s="115">
        <v>0</v>
      </c>
      <c r="H3061" s="115">
        <v>-632</v>
      </c>
      <c r="I3061" s="115">
        <v>195</v>
      </c>
      <c r="J3061" s="115">
        <v>622</v>
      </c>
      <c r="K3061" s="115">
        <v>0</v>
      </c>
    </row>
    <row r="3062" spans="1:11" x14ac:dyDescent="0.25">
      <c r="A3062" s="115">
        <v>-2</v>
      </c>
      <c r="B3062" s="115" t="s">
        <v>3433</v>
      </c>
      <c r="C3062" s="115">
        <v>-2</v>
      </c>
      <c r="D3062" s="115" t="s">
        <v>10122</v>
      </c>
      <c r="E3062" s="115" t="s">
        <v>3434</v>
      </c>
      <c r="F3062" s="115">
        <v>-5221</v>
      </c>
      <c r="G3062" s="115">
        <v>0</v>
      </c>
      <c r="H3062" s="115">
        <v>-1695</v>
      </c>
      <c r="I3062" s="115">
        <v>-1304</v>
      </c>
      <c r="J3062" s="115">
        <v>368</v>
      </c>
      <c r="K3062" s="115">
        <v>-5</v>
      </c>
    </row>
    <row r="3063" spans="1:11" x14ac:dyDescent="0.25">
      <c r="B3063" s="115" t="s">
        <v>3435</v>
      </c>
      <c r="C3063" s="115" t="s">
        <v>1239</v>
      </c>
      <c r="D3063" s="115" t="s">
        <v>10123</v>
      </c>
      <c r="E3063" s="115" t="s">
        <v>3436</v>
      </c>
      <c r="F3063" s="115">
        <v>0</v>
      </c>
      <c r="G3063" s="115">
        <v>0</v>
      </c>
      <c r="H3063" s="115">
        <v>1057</v>
      </c>
      <c r="I3063" s="115">
        <v>1990</v>
      </c>
      <c r="J3063" s="115">
        <v>0</v>
      </c>
      <c r="K3063" s="115">
        <v>-1825</v>
      </c>
    </row>
    <row r="3064" spans="1:11" x14ac:dyDescent="0.25">
      <c r="A3064" s="115" t="s">
        <v>1239</v>
      </c>
      <c r="B3064" s="115" t="s">
        <v>3437</v>
      </c>
      <c r="D3064" s="115" t="s">
        <v>10124</v>
      </c>
      <c r="E3064" s="115" t="s">
        <v>3438</v>
      </c>
      <c r="F3064" s="115">
        <v>0</v>
      </c>
      <c r="G3064" s="115">
        <v>0</v>
      </c>
      <c r="H3064" s="115">
        <v>0</v>
      </c>
      <c r="I3064" s="115">
        <v>0</v>
      </c>
      <c r="J3064" s="115">
        <v>2053</v>
      </c>
      <c r="K3064" s="115">
        <v>0</v>
      </c>
    </row>
    <row r="3065" spans="1:11" x14ac:dyDescent="0.25">
      <c r="A3065" s="115" t="s">
        <v>1239</v>
      </c>
      <c r="B3065" s="115" t="s">
        <v>3439</v>
      </c>
      <c r="D3065" s="115" t="s">
        <v>10125</v>
      </c>
      <c r="E3065" s="115" t="s">
        <v>3440</v>
      </c>
      <c r="F3065" s="115">
        <v>-1108</v>
      </c>
      <c r="G3065" s="115">
        <v>438</v>
      </c>
      <c r="H3065" s="115">
        <v>-23390</v>
      </c>
      <c r="I3065" s="115">
        <v>-5001</v>
      </c>
      <c r="J3065" s="115">
        <v>-5088</v>
      </c>
      <c r="K3065" s="115">
        <v>-2829</v>
      </c>
    </row>
    <row r="3066" spans="1:11" x14ac:dyDescent="0.25">
      <c r="A3066" s="115">
        <v>-2</v>
      </c>
      <c r="B3066" s="115" t="s">
        <v>3441</v>
      </c>
      <c r="D3066" s="115" t="s">
        <v>10126</v>
      </c>
      <c r="E3066" s="115" t="s">
        <v>3442</v>
      </c>
      <c r="F3066" s="115">
        <v>0</v>
      </c>
      <c r="G3066" s="115">
        <v>0</v>
      </c>
      <c r="H3066" s="115">
        <v>-913</v>
      </c>
      <c r="I3066" s="115">
        <v>-59</v>
      </c>
      <c r="J3066" s="115">
        <v>0</v>
      </c>
      <c r="K3066" s="115">
        <v>2622</v>
      </c>
    </row>
    <row r="3067" spans="1:11" x14ac:dyDescent="0.25">
      <c r="B3067" s="115" t="s">
        <v>1241</v>
      </c>
      <c r="C3067" s="115" t="s">
        <v>1239</v>
      </c>
      <c r="D3067" s="115" t="s">
        <v>10127</v>
      </c>
      <c r="E3067" s="115" t="s">
        <v>3443</v>
      </c>
      <c r="F3067" s="115">
        <v>638</v>
      </c>
      <c r="G3067" s="115">
        <v>291</v>
      </c>
      <c r="H3067" s="115">
        <v>-257</v>
      </c>
      <c r="I3067" s="115">
        <v>0</v>
      </c>
      <c r="J3067" s="115">
        <v>0</v>
      </c>
      <c r="K3067" s="115">
        <v>0</v>
      </c>
    </row>
    <row r="3068" spans="1:11" x14ac:dyDescent="0.25">
      <c r="B3068" s="115" t="s">
        <v>1241</v>
      </c>
      <c r="D3068" s="115" t="s">
        <v>10128</v>
      </c>
      <c r="E3068" s="115" t="s">
        <v>3444</v>
      </c>
      <c r="F3068" s="115">
        <v>176</v>
      </c>
      <c r="G3068" s="115">
        <v>56</v>
      </c>
      <c r="H3068" s="115">
        <v>-223</v>
      </c>
      <c r="I3068" s="115">
        <v>0</v>
      </c>
      <c r="J3068" s="115">
        <v>-3076</v>
      </c>
      <c r="K3068" s="115">
        <v>-535</v>
      </c>
    </row>
    <row r="3069" spans="1:11" x14ac:dyDescent="0.25">
      <c r="A3069" s="115">
        <v>-15</v>
      </c>
      <c r="B3069" s="115" t="s">
        <v>2934</v>
      </c>
      <c r="D3069" s="115" t="s">
        <v>10129</v>
      </c>
      <c r="E3069" s="115" t="s">
        <v>3445</v>
      </c>
      <c r="F3069" s="115">
        <v>-434</v>
      </c>
      <c r="G3069" s="115">
        <v>214</v>
      </c>
      <c r="H3069" s="115">
        <v>1537</v>
      </c>
      <c r="I3069" s="115">
        <v>-433</v>
      </c>
      <c r="J3069" s="115">
        <v>-159</v>
      </c>
      <c r="K3069" s="115">
        <v>0</v>
      </c>
    </row>
    <row r="3070" spans="1:11" x14ac:dyDescent="0.25">
      <c r="B3070" s="115" t="s">
        <v>3446</v>
      </c>
      <c r="D3070" s="115" t="s">
        <v>10130</v>
      </c>
      <c r="E3070" s="115" t="s">
        <v>3447</v>
      </c>
      <c r="F3070" s="115">
        <v>0</v>
      </c>
      <c r="G3070" s="115">
        <v>1315</v>
      </c>
      <c r="H3070" s="115">
        <v>0</v>
      </c>
      <c r="I3070" s="115">
        <v>-677</v>
      </c>
      <c r="J3070" s="115">
        <v>0</v>
      </c>
      <c r="K3070" s="115">
        <v>0</v>
      </c>
    </row>
    <row r="3071" spans="1:11" x14ac:dyDescent="0.25">
      <c r="B3071" s="115" t="s">
        <v>1241</v>
      </c>
      <c r="D3071" s="115" t="s">
        <v>10131</v>
      </c>
      <c r="E3071" s="115" t="s">
        <v>3448</v>
      </c>
      <c r="F3071" s="115">
        <v>0</v>
      </c>
      <c r="G3071" s="115">
        <v>0</v>
      </c>
      <c r="H3071" s="115">
        <v>1289</v>
      </c>
      <c r="I3071" s="115">
        <v>0</v>
      </c>
      <c r="J3071" s="115">
        <v>-467</v>
      </c>
      <c r="K3071" s="115">
        <v>90</v>
      </c>
    </row>
    <row r="3072" spans="1:11" x14ac:dyDescent="0.25">
      <c r="B3072" s="115" t="s">
        <v>1408</v>
      </c>
      <c r="C3072" s="115" t="s">
        <v>1239</v>
      </c>
      <c r="D3072" s="115" t="s">
        <v>10132</v>
      </c>
      <c r="E3072" s="115" t="s">
        <v>3449</v>
      </c>
      <c r="F3072" s="115">
        <v>0</v>
      </c>
      <c r="G3072" s="115">
        <v>0</v>
      </c>
      <c r="H3072" s="115">
        <v>0</v>
      </c>
      <c r="I3072" s="115">
        <v>0</v>
      </c>
      <c r="J3072" s="115">
        <v>0</v>
      </c>
      <c r="K3072" s="115">
        <v>3434</v>
      </c>
    </row>
    <row r="3073" spans="1:11" x14ac:dyDescent="0.25">
      <c r="A3073" s="115">
        <v>6</v>
      </c>
      <c r="B3073" s="115" t="s">
        <v>3450</v>
      </c>
      <c r="D3073" s="115" t="s">
        <v>10133</v>
      </c>
      <c r="E3073" s="115" t="s">
        <v>3451</v>
      </c>
      <c r="F3073" s="115">
        <v>-3482</v>
      </c>
      <c r="G3073" s="115">
        <v>0</v>
      </c>
      <c r="H3073" s="115">
        <v>0</v>
      </c>
      <c r="I3073" s="115">
        <v>0</v>
      </c>
      <c r="J3073" s="115">
        <v>0</v>
      </c>
      <c r="K3073" s="115">
        <v>-929</v>
      </c>
    </row>
    <row r="3074" spans="1:11" x14ac:dyDescent="0.25">
      <c r="B3074" s="115" t="s">
        <v>3452</v>
      </c>
      <c r="D3074" s="115" t="s">
        <v>10134</v>
      </c>
      <c r="E3074" s="115" t="s">
        <v>3453</v>
      </c>
      <c r="F3074" s="115">
        <v>-3281</v>
      </c>
      <c r="G3074" s="115">
        <v>-3660</v>
      </c>
      <c r="H3074" s="115">
        <v>0</v>
      </c>
      <c r="I3074" s="115">
        <v>0</v>
      </c>
      <c r="J3074" s="115">
        <v>0</v>
      </c>
      <c r="K3074" s="115">
        <v>0</v>
      </c>
    </row>
    <row r="3075" spans="1:11" x14ac:dyDescent="0.25">
      <c r="A3075" s="115">
        <v>1</v>
      </c>
      <c r="B3075" s="115" t="s">
        <v>3454</v>
      </c>
      <c r="D3075" s="115" t="s">
        <v>10135</v>
      </c>
      <c r="E3075" s="115" t="s">
        <v>3455</v>
      </c>
      <c r="F3075" s="115">
        <v>-665</v>
      </c>
      <c r="G3075" s="115">
        <v>22150</v>
      </c>
      <c r="H3075" s="115">
        <v>-828</v>
      </c>
      <c r="I3075" s="115">
        <v>92</v>
      </c>
      <c r="J3075" s="115">
        <v>-7862</v>
      </c>
      <c r="K3075" s="115">
        <v>-5108</v>
      </c>
    </row>
    <row r="3076" spans="1:11" x14ac:dyDescent="0.25">
      <c r="A3076" s="115">
        <v>-3</v>
      </c>
      <c r="B3076" s="115" t="s">
        <v>3456</v>
      </c>
      <c r="D3076" s="115" t="s">
        <v>10136</v>
      </c>
      <c r="E3076" s="115" t="s">
        <v>3457</v>
      </c>
      <c r="F3076" s="115">
        <v>0</v>
      </c>
      <c r="G3076" s="115">
        <v>0</v>
      </c>
      <c r="H3076" s="115">
        <v>0</v>
      </c>
      <c r="I3076" s="115">
        <v>4274</v>
      </c>
      <c r="J3076" s="115">
        <v>1306</v>
      </c>
      <c r="K3076" s="115">
        <v>0</v>
      </c>
    </row>
    <row r="3077" spans="1:11" x14ac:dyDescent="0.25">
      <c r="B3077" s="115" t="s">
        <v>1241</v>
      </c>
      <c r="D3077" s="115" t="s">
        <v>10137</v>
      </c>
      <c r="E3077" s="115" t="s">
        <v>3458</v>
      </c>
      <c r="F3077" s="115">
        <v>0</v>
      </c>
      <c r="G3077" s="115">
        <v>-7516</v>
      </c>
      <c r="H3077" s="115">
        <v>0</v>
      </c>
      <c r="I3077" s="115">
        <v>0</v>
      </c>
      <c r="J3077" s="115">
        <v>757</v>
      </c>
      <c r="K3077" s="115">
        <v>0</v>
      </c>
    </row>
    <row r="3078" spans="1:11" x14ac:dyDescent="0.25">
      <c r="A3078" s="115" t="s">
        <v>1239</v>
      </c>
      <c r="B3078" s="115" t="s">
        <v>3459</v>
      </c>
      <c r="D3078" s="115" t="s">
        <v>10138</v>
      </c>
      <c r="E3078" s="115" t="s">
        <v>3460</v>
      </c>
      <c r="F3078" s="115">
        <v>593</v>
      </c>
      <c r="G3078" s="115">
        <v>0</v>
      </c>
      <c r="H3078" s="115">
        <v>2864</v>
      </c>
      <c r="I3078" s="115">
        <v>494</v>
      </c>
      <c r="J3078" s="115">
        <v>-3624</v>
      </c>
      <c r="K3078" s="115">
        <v>-3458</v>
      </c>
    </row>
    <row r="3079" spans="1:11" x14ac:dyDescent="0.25">
      <c r="A3079" s="115">
        <v>-4</v>
      </c>
      <c r="B3079" s="115" t="s">
        <v>3461</v>
      </c>
      <c r="D3079" s="115" t="s">
        <v>10139</v>
      </c>
      <c r="E3079" s="115" t="s">
        <v>3462</v>
      </c>
      <c r="F3079" s="115">
        <v>0</v>
      </c>
      <c r="G3079" s="115">
        <v>0</v>
      </c>
      <c r="H3079" s="115">
        <v>0</v>
      </c>
      <c r="I3079" s="115">
        <v>0</v>
      </c>
      <c r="J3079" s="115">
        <v>0</v>
      </c>
      <c r="K3079" s="115">
        <v>62</v>
      </c>
    </row>
    <row r="3080" spans="1:11" x14ac:dyDescent="0.25">
      <c r="B3080" s="115" t="s">
        <v>1241</v>
      </c>
      <c r="D3080" s="115" t="s">
        <v>10140</v>
      </c>
      <c r="E3080" s="115" t="s">
        <v>3463</v>
      </c>
      <c r="F3080" s="115">
        <v>0</v>
      </c>
      <c r="G3080" s="115">
        <v>148</v>
      </c>
      <c r="H3080" s="115">
        <v>0</v>
      </c>
      <c r="I3080" s="115">
        <v>0</v>
      </c>
      <c r="J3080" s="115">
        <v>0</v>
      </c>
      <c r="K3080" s="115">
        <v>0</v>
      </c>
    </row>
    <row r="3081" spans="1:11" x14ac:dyDescent="0.25">
      <c r="B3081" s="115" t="s">
        <v>3464</v>
      </c>
      <c r="D3081" s="115" t="s">
        <v>10141</v>
      </c>
      <c r="E3081" s="115" t="s">
        <v>3465</v>
      </c>
      <c r="F3081" s="115">
        <v>951</v>
      </c>
      <c r="G3081" s="115">
        <v>0</v>
      </c>
      <c r="H3081" s="115">
        <v>0</v>
      </c>
      <c r="I3081" s="115">
        <v>-6112</v>
      </c>
      <c r="J3081" s="115">
        <v>2166</v>
      </c>
      <c r="K3081" s="115">
        <v>0</v>
      </c>
    </row>
    <row r="3082" spans="1:11" x14ac:dyDescent="0.25">
      <c r="A3082" s="115">
        <v>-20</v>
      </c>
      <c r="B3082" s="115" t="s">
        <v>3010</v>
      </c>
      <c r="D3082" s="115" t="s">
        <v>10142</v>
      </c>
      <c r="E3082" s="115" t="s">
        <v>3466</v>
      </c>
      <c r="F3082" s="115">
        <v>0</v>
      </c>
      <c r="G3082" s="115">
        <v>2600</v>
      </c>
      <c r="H3082" s="115">
        <v>-1136</v>
      </c>
      <c r="I3082" s="115">
        <v>-781</v>
      </c>
      <c r="J3082" s="115">
        <v>0</v>
      </c>
      <c r="K3082" s="115">
        <v>0</v>
      </c>
    </row>
    <row r="3083" spans="1:11" x14ac:dyDescent="0.25">
      <c r="A3083" s="115" t="s">
        <v>1239</v>
      </c>
      <c r="B3083" s="115" t="s">
        <v>3467</v>
      </c>
      <c r="D3083" s="115" t="s">
        <v>10143</v>
      </c>
      <c r="E3083" s="115" t="s">
        <v>3468</v>
      </c>
      <c r="F3083" s="115">
        <v>-2293</v>
      </c>
      <c r="G3083" s="115">
        <v>-847</v>
      </c>
      <c r="H3083" s="115">
        <v>-1072</v>
      </c>
      <c r="I3083" s="115">
        <v>-1025</v>
      </c>
      <c r="J3083" s="115">
        <v>50</v>
      </c>
      <c r="K3083" s="115">
        <v>-1947</v>
      </c>
    </row>
    <row r="3084" spans="1:11" x14ac:dyDescent="0.25">
      <c r="B3084" s="115" t="s">
        <v>1241</v>
      </c>
      <c r="D3084" s="115" t="s">
        <v>10144</v>
      </c>
      <c r="E3084" s="115" t="s">
        <v>3469</v>
      </c>
      <c r="F3084" s="115">
        <v>0</v>
      </c>
      <c r="G3084" s="115">
        <v>2375</v>
      </c>
      <c r="H3084" s="115">
        <v>0</v>
      </c>
      <c r="I3084" s="115">
        <v>-2237</v>
      </c>
      <c r="J3084" s="115">
        <v>136</v>
      </c>
      <c r="K3084" s="115">
        <v>62</v>
      </c>
    </row>
    <row r="3085" spans="1:11" x14ac:dyDescent="0.25">
      <c r="B3085" s="115" t="s">
        <v>3470</v>
      </c>
      <c r="D3085" s="115" t="s">
        <v>10145</v>
      </c>
      <c r="E3085" s="115" t="s">
        <v>3471</v>
      </c>
      <c r="F3085" s="115">
        <v>-23761</v>
      </c>
      <c r="G3085" s="115">
        <v>-11401</v>
      </c>
      <c r="H3085" s="115">
        <v>0</v>
      </c>
      <c r="I3085" s="115">
        <v>-2468</v>
      </c>
      <c r="J3085" s="115">
        <v>-2210</v>
      </c>
      <c r="K3085" s="115">
        <v>133</v>
      </c>
    </row>
    <row r="3086" spans="1:11" x14ac:dyDescent="0.25">
      <c r="B3086" s="115" t="s">
        <v>1302</v>
      </c>
      <c r="D3086" s="115" t="s">
        <v>10146</v>
      </c>
      <c r="E3086" s="115" t="s">
        <v>3472</v>
      </c>
      <c r="F3086" s="115">
        <v>0</v>
      </c>
      <c r="G3086" s="115">
        <v>0</v>
      </c>
      <c r="H3086" s="115">
        <v>0</v>
      </c>
      <c r="I3086" s="115">
        <v>-594</v>
      </c>
      <c r="J3086" s="115">
        <v>-233</v>
      </c>
      <c r="K3086" s="115">
        <v>0</v>
      </c>
    </row>
    <row r="3087" spans="1:11" x14ac:dyDescent="0.25">
      <c r="A3087" s="115">
        <v>-1</v>
      </c>
      <c r="B3087" s="115" t="s">
        <v>3473</v>
      </c>
      <c r="D3087" s="115" t="s">
        <v>10147</v>
      </c>
      <c r="E3087" s="115" t="s">
        <v>3474</v>
      </c>
      <c r="F3087" s="115">
        <v>0</v>
      </c>
      <c r="G3087" s="115">
        <v>0</v>
      </c>
      <c r="H3087" s="115">
        <v>0</v>
      </c>
      <c r="I3087" s="115">
        <v>0</v>
      </c>
      <c r="J3087" s="115">
        <v>0</v>
      </c>
      <c r="K3087" s="115">
        <v>2332</v>
      </c>
    </row>
    <row r="3088" spans="1:11" x14ac:dyDescent="0.25">
      <c r="B3088" s="115" t="s">
        <v>3475</v>
      </c>
      <c r="D3088" s="115" t="s">
        <v>10148</v>
      </c>
      <c r="E3088" s="115" t="s">
        <v>3476</v>
      </c>
      <c r="F3088" s="115">
        <v>0</v>
      </c>
      <c r="G3088" s="115">
        <v>-2212</v>
      </c>
      <c r="H3088" s="115">
        <v>1263</v>
      </c>
      <c r="I3088" s="115">
        <v>-3902</v>
      </c>
      <c r="J3088" s="115">
        <v>-23262</v>
      </c>
      <c r="K3088" s="115">
        <v>-10897</v>
      </c>
    </row>
    <row r="3089" spans="1:11" x14ac:dyDescent="0.25">
      <c r="A3089" s="115">
        <v>-3</v>
      </c>
      <c r="B3089" s="115" t="s">
        <v>3477</v>
      </c>
      <c r="C3089" s="115" t="s">
        <v>1239</v>
      </c>
      <c r="D3089" s="115" t="s">
        <v>10149</v>
      </c>
      <c r="E3089" s="115" t="s">
        <v>3478</v>
      </c>
      <c r="F3089" s="115">
        <v>201</v>
      </c>
      <c r="G3089" s="115">
        <v>0</v>
      </c>
      <c r="H3089" s="115">
        <v>0</v>
      </c>
      <c r="I3089" s="115">
        <v>-310</v>
      </c>
      <c r="J3089" s="115">
        <v>79</v>
      </c>
      <c r="K3089" s="115">
        <v>0</v>
      </c>
    </row>
    <row r="3090" spans="1:11" x14ac:dyDescent="0.25">
      <c r="A3090" s="115">
        <v>3</v>
      </c>
      <c r="B3090" s="115" t="s">
        <v>3479</v>
      </c>
      <c r="D3090" s="115" t="s">
        <v>10150</v>
      </c>
      <c r="E3090" s="115" t="s">
        <v>3480</v>
      </c>
      <c r="F3090" s="115">
        <v>0</v>
      </c>
      <c r="G3090" s="115">
        <v>-374</v>
      </c>
      <c r="H3090" s="115">
        <v>-1</v>
      </c>
      <c r="I3090" s="115">
        <v>-85</v>
      </c>
      <c r="J3090" s="115">
        <v>0</v>
      </c>
      <c r="K3090" s="115">
        <v>0</v>
      </c>
    </row>
    <row r="3091" spans="1:11" x14ac:dyDescent="0.25">
      <c r="B3091" s="115" t="s">
        <v>1241</v>
      </c>
      <c r="D3091" s="115" t="s">
        <v>10151</v>
      </c>
      <c r="E3091" s="115" t="s">
        <v>3481</v>
      </c>
      <c r="F3091" s="115">
        <v>0</v>
      </c>
      <c r="G3091" s="115">
        <v>1111</v>
      </c>
      <c r="H3091" s="115">
        <v>-137</v>
      </c>
      <c r="I3091" s="115">
        <v>-95</v>
      </c>
      <c r="J3091" s="115">
        <v>0</v>
      </c>
      <c r="K3091" s="115">
        <v>-9869</v>
      </c>
    </row>
    <row r="3092" spans="1:11" x14ac:dyDescent="0.25">
      <c r="B3092" s="115" t="s">
        <v>3482</v>
      </c>
      <c r="D3092" s="115" t="s">
        <v>10152</v>
      </c>
      <c r="E3092" s="115" t="s">
        <v>3483</v>
      </c>
      <c r="F3092" s="115">
        <v>0</v>
      </c>
      <c r="G3092" s="115">
        <v>988</v>
      </c>
      <c r="H3092" s="115">
        <v>2544</v>
      </c>
      <c r="I3092" s="115">
        <v>4532</v>
      </c>
      <c r="J3092" s="115">
        <v>-1787</v>
      </c>
      <c r="K3092" s="115">
        <v>-1476</v>
      </c>
    </row>
    <row r="3093" spans="1:11" x14ac:dyDescent="0.25">
      <c r="B3093" s="115" t="s">
        <v>3484</v>
      </c>
      <c r="D3093" s="115" t="s">
        <v>10153</v>
      </c>
      <c r="E3093" s="115" t="s">
        <v>3485</v>
      </c>
      <c r="F3093" s="115">
        <v>1138</v>
      </c>
      <c r="G3093" s="115">
        <v>0</v>
      </c>
      <c r="H3093" s="115">
        <v>823</v>
      </c>
      <c r="I3093" s="115">
        <v>0</v>
      </c>
      <c r="J3093" s="115">
        <v>806</v>
      </c>
      <c r="K3093" s="115">
        <v>0</v>
      </c>
    </row>
    <row r="3094" spans="1:11" x14ac:dyDescent="0.25">
      <c r="B3094" s="115" t="s">
        <v>1241</v>
      </c>
      <c r="D3094" s="115" t="s">
        <v>10154</v>
      </c>
      <c r="E3094" s="115" t="s">
        <v>3486</v>
      </c>
      <c r="F3094" s="115">
        <v>0</v>
      </c>
      <c r="G3094" s="115">
        <v>0</v>
      </c>
      <c r="H3094" s="115">
        <v>0</v>
      </c>
      <c r="I3094" s="115">
        <v>1652</v>
      </c>
      <c r="J3094" s="115">
        <v>0</v>
      </c>
      <c r="K3094" s="115">
        <v>-406</v>
      </c>
    </row>
    <row r="3095" spans="1:11" x14ac:dyDescent="0.25">
      <c r="B3095" s="115" t="s">
        <v>3487</v>
      </c>
      <c r="D3095" s="115" t="s">
        <v>10155</v>
      </c>
      <c r="E3095" s="115" t="s">
        <v>1242</v>
      </c>
      <c r="F3095" s="115">
        <v>-2057</v>
      </c>
      <c r="G3095" s="115">
        <v>0</v>
      </c>
      <c r="H3095" s="115">
        <v>0</v>
      </c>
      <c r="I3095" s="115">
        <v>0</v>
      </c>
      <c r="J3095" s="115">
        <v>0</v>
      </c>
      <c r="K3095" s="115">
        <v>0</v>
      </c>
    </row>
    <row r="3096" spans="1:11" x14ac:dyDescent="0.25">
      <c r="A3096" s="115">
        <v>6</v>
      </c>
      <c r="B3096" s="115" t="s">
        <v>3488</v>
      </c>
      <c r="C3096" s="115" t="s">
        <v>1239</v>
      </c>
      <c r="D3096" s="115" t="s">
        <v>10156</v>
      </c>
      <c r="E3096" s="115" t="s">
        <v>3489</v>
      </c>
      <c r="F3096" s="115">
        <v>-215</v>
      </c>
      <c r="G3096" s="115">
        <v>-3665</v>
      </c>
      <c r="H3096" s="115">
        <v>0</v>
      </c>
      <c r="I3096" s="115">
        <v>0</v>
      </c>
      <c r="J3096" s="115">
        <v>0</v>
      </c>
      <c r="K3096" s="115">
        <v>0</v>
      </c>
    </row>
    <row r="3097" spans="1:11" x14ac:dyDescent="0.25">
      <c r="A3097" s="115">
        <v>1</v>
      </c>
      <c r="B3097" s="115" t="s">
        <v>3490</v>
      </c>
      <c r="C3097" s="115" t="s">
        <v>1239</v>
      </c>
      <c r="D3097" s="115" t="s">
        <v>10157</v>
      </c>
      <c r="E3097" s="115" t="s">
        <v>3491</v>
      </c>
      <c r="F3097" s="115">
        <v>0</v>
      </c>
      <c r="G3097" s="115">
        <v>5002</v>
      </c>
      <c r="H3097" s="115">
        <v>2828</v>
      </c>
      <c r="I3097" s="115">
        <v>0</v>
      </c>
      <c r="J3097" s="115">
        <v>0</v>
      </c>
      <c r="K3097" s="115">
        <v>0</v>
      </c>
    </row>
    <row r="3098" spans="1:11" x14ac:dyDescent="0.25">
      <c r="B3098" s="115" t="s">
        <v>3492</v>
      </c>
      <c r="D3098" s="115" t="s">
        <v>10158</v>
      </c>
      <c r="E3098" s="115" t="s">
        <v>3493</v>
      </c>
      <c r="F3098" s="115">
        <v>-544</v>
      </c>
      <c r="G3098" s="115">
        <v>-188</v>
      </c>
      <c r="H3098" s="115">
        <v>14321</v>
      </c>
      <c r="I3098" s="115">
        <v>23300</v>
      </c>
      <c r="J3098" s="115">
        <v>-1672</v>
      </c>
      <c r="K3098" s="115">
        <v>84</v>
      </c>
    </row>
    <row r="3099" spans="1:11" x14ac:dyDescent="0.25">
      <c r="A3099" s="115">
        <v>-8</v>
      </c>
      <c r="B3099" s="115" t="s">
        <v>3494</v>
      </c>
      <c r="C3099" s="115" t="s">
        <v>1239</v>
      </c>
      <c r="D3099" s="115" t="s">
        <v>10159</v>
      </c>
      <c r="E3099" s="115" t="s">
        <v>3495</v>
      </c>
      <c r="F3099" s="115">
        <v>0</v>
      </c>
      <c r="G3099" s="115">
        <v>-912</v>
      </c>
      <c r="H3099" s="115">
        <v>0</v>
      </c>
      <c r="I3099" s="115">
        <v>0</v>
      </c>
      <c r="J3099" s="115">
        <v>0</v>
      </c>
      <c r="K3099" s="115">
        <v>4419</v>
      </c>
    </row>
    <row r="3100" spans="1:11" x14ac:dyDescent="0.25">
      <c r="A3100" s="115">
        <v>1</v>
      </c>
      <c r="B3100" s="115" t="s">
        <v>3496</v>
      </c>
      <c r="D3100" s="115" t="s">
        <v>10160</v>
      </c>
      <c r="E3100" s="115" t="s">
        <v>3497</v>
      </c>
      <c r="F3100" s="115">
        <v>0</v>
      </c>
      <c r="G3100" s="115">
        <v>0</v>
      </c>
      <c r="H3100" s="115">
        <v>0</v>
      </c>
      <c r="I3100" s="115">
        <v>-7509</v>
      </c>
      <c r="J3100" s="115">
        <v>0</v>
      </c>
      <c r="K3100" s="115">
        <v>0</v>
      </c>
    </row>
    <row r="3101" spans="1:11" x14ac:dyDescent="0.25">
      <c r="B3101" s="115" t="s">
        <v>3498</v>
      </c>
      <c r="D3101" s="115" t="s">
        <v>10161</v>
      </c>
      <c r="E3101" s="115" t="s">
        <v>3499</v>
      </c>
      <c r="F3101" s="115">
        <v>-213</v>
      </c>
      <c r="G3101" s="115">
        <v>3157</v>
      </c>
      <c r="H3101" s="115">
        <v>949</v>
      </c>
      <c r="I3101" s="115">
        <v>0</v>
      </c>
      <c r="J3101" s="115">
        <v>2604</v>
      </c>
      <c r="K3101" s="115">
        <v>427</v>
      </c>
    </row>
    <row r="3102" spans="1:11" x14ac:dyDescent="0.25">
      <c r="A3102" s="115">
        <v>-3</v>
      </c>
      <c r="B3102" s="115" t="s">
        <v>3500</v>
      </c>
      <c r="C3102" s="115" t="s">
        <v>1239</v>
      </c>
      <c r="D3102" s="115" t="s">
        <v>10162</v>
      </c>
      <c r="E3102" s="115" t="s">
        <v>3501</v>
      </c>
      <c r="F3102" s="115">
        <v>0</v>
      </c>
      <c r="G3102" s="115">
        <v>104</v>
      </c>
      <c r="H3102" s="115">
        <v>0</v>
      </c>
      <c r="I3102" s="115">
        <v>0</v>
      </c>
      <c r="J3102" s="115">
        <v>0</v>
      </c>
      <c r="K3102" s="115">
        <v>0</v>
      </c>
    </row>
    <row r="3103" spans="1:11" x14ac:dyDescent="0.25">
      <c r="B3103" s="115" t="s">
        <v>3502</v>
      </c>
      <c r="D3103" s="115" t="s">
        <v>10163</v>
      </c>
      <c r="E3103" s="115" t="s">
        <v>3503</v>
      </c>
      <c r="F3103" s="115">
        <v>0</v>
      </c>
      <c r="G3103" s="115">
        <v>312</v>
      </c>
      <c r="H3103" s="115">
        <v>0</v>
      </c>
      <c r="I3103" s="115">
        <v>132</v>
      </c>
      <c r="J3103" s="115">
        <v>0</v>
      </c>
      <c r="K3103" s="115">
        <v>0</v>
      </c>
    </row>
    <row r="3104" spans="1:11" x14ac:dyDescent="0.25">
      <c r="B3104" s="115" t="s">
        <v>1241</v>
      </c>
      <c r="D3104" s="115" t="s">
        <v>10164</v>
      </c>
      <c r="E3104" s="115" t="s">
        <v>3504</v>
      </c>
      <c r="F3104" s="115">
        <v>0</v>
      </c>
      <c r="G3104" s="115">
        <v>20</v>
      </c>
      <c r="H3104" s="115">
        <v>948</v>
      </c>
      <c r="I3104" s="115">
        <v>0</v>
      </c>
      <c r="J3104" s="115">
        <v>0</v>
      </c>
      <c r="K3104" s="115">
        <v>-6492</v>
      </c>
    </row>
    <row r="3105" spans="1:11" x14ac:dyDescent="0.25">
      <c r="A3105" s="115">
        <v>1</v>
      </c>
      <c r="B3105" s="115" t="s">
        <v>2296</v>
      </c>
      <c r="D3105" s="115" t="s">
        <v>10165</v>
      </c>
      <c r="E3105" s="115" t="s">
        <v>3505</v>
      </c>
      <c r="F3105" s="115">
        <v>0</v>
      </c>
      <c r="G3105" s="115">
        <v>0</v>
      </c>
      <c r="H3105" s="115">
        <v>0</v>
      </c>
      <c r="I3105" s="115">
        <v>5071</v>
      </c>
      <c r="J3105" s="115">
        <v>-2538</v>
      </c>
      <c r="K3105" s="115">
        <v>-1522</v>
      </c>
    </row>
    <row r="3106" spans="1:11" x14ac:dyDescent="0.25">
      <c r="B3106" s="115" t="s">
        <v>1241</v>
      </c>
      <c r="D3106" s="115" t="s">
        <v>10166</v>
      </c>
      <c r="E3106" s="115" t="s">
        <v>3506</v>
      </c>
      <c r="F3106" s="115">
        <v>0</v>
      </c>
      <c r="G3106" s="115">
        <v>-617</v>
      </c>
      <c r="H3106" s="115">
        <v>-797</v>
      </c>
      <c r="I3106" s="115">
        <v>-470</v>
      </c>
      <c r="J3106" s="115">
        <v>-113</v>
      </c>
      <c r="K3106" s="115">
        <v>198</v>
      </c>
    </row>
    <row r="3107" spans="1:11" x14ac:dyDescent="0.25">
      <c r="A3107" s="115" t="s">
        <v>1239</v>
      </c>
      <c r="B3107" s="115" t="s">
        <v>3507</v>
      </c>
      <c r="D3107" s="115" t="s">
        <v>10167</v>
      </c>
      <c r="E3107" s="115" t="s">
        <v>3508</v>
      </c>
      <c r="F3107" s="115">
        <v>0</v>
      </c>
      <c r="G3107" s="115">
        <v>0</v>
      </c>
      <c r="H3107" s="115">
        <v>0</v>
      </c>
      <c r="I3107" s="115">
        <v>3091</v>
      </c>
      <c r="J3107" s="115">
        <v>0</v>
      </c>
      <c r="K3107" s="115">
        <v>-1913</v>
      </c>
    </row>
    <row r="3108" spans="1:11" x14ac:dyDescent="0.25">
      <c r="B3108" s="115" t="s">
        <v>3509</v>
      </c>
      <c r="D3108" s="115" t="s">
        <v>10168</v>
      </c>
      <c r="E3108" s="115" t="s">
        <v>3510</v>
      </c>
      <c r="F3108" s="115">
        <v>3223</v>
      </c>
      <c r="G3108" s="115">
        <v>-3906</v>
      </c>
      <c r="H3108" s="115">
        <v>-12383</v>
      </c>
      <c r="I3108" s="115">
        <v>-28833</v>
      </c>
      <c r="J3108" s="115">
        <v>0</v>
      </c>
      <c r="K3108" s="115">
        <v>-2263</v>
      </c>
    </row>
    <row r="3109" spans="1:11" x14ac:dyDescent="0.25">
      <c r="A3109" s="115">
        <v>-2</v>
      </c>
      <c r="B3109" s="115" t="s">
        <v>3511</v>
      </c>
      <c r="D3109" s="115" t="s">
        <v>10169</v>
      </c>
      <c r="E3109" s="115" t="s">
        <v>3512</v>
      </c>
      <c r="F3109" s="115">
        <v>-21</v>
      </c>
      <c r="G3109" s="115">
        <v>-610</v>
      </c>
      <c r="H3109" s="115">
        <v>0</v>
      </c>
      <c r="I3109" s="115">
        <v>0</v>
      </c>
      <c r="J3109" s="115">
        <v>0</v>
      </c>
      <c r="K3109" s="115">
        <v>1782</v>
      </c>
    </row>
    <row r="3110" spans="1:11" x14ac:dyDescent="0.25">
      <c r="A3110" s="115">
        <v>2</v>
      </c>
      <c r="B3110" s="115" t="s">
        <v>3513</v>
      </c>
      <c r="D3110" s="115" t="s">
        <v>10170</v>
      </c>
      <c r="E3110" s="115" t="s">
        <v>3514</v>
      </c>
      <c r="F3110" s="115">
        <v>-500</v>
      </c>
      <c r="G3110" s="115">
        <v>1006</v>
      </c>
      <c r="H3110" s="115">
        <v>0</v>
      </c>
      <c r="I3110" s="115">
        <v>0</v>
      </c>
      <c r="J3110" s="115">
        <v>0</v>
      </c>
      <c r="K3110" s="115">
        <v>0</v>
      </c>
    </row>
    <row r="3111" spans="1:11" x14ac:dyDescent="0.25">
      <c r="B3111" s="115" t="s">
        <v>3515</v>
      </c>
      <c r="D3111" s="115" t="s">
        <v>10171</v>
      </c>
      <c r="E3111" s="115" t="s">
        <v>3516</v>
      </c>
      <c r="F3111" s="115">
        <v>43</v>
      </c>
      <c r="G3111" s="115">
        <v>-308</v>
      </c>
      <c r="H3111" s="115">
        <v>0</v>
      </c>
      <c r="I3111" s="115">
        <v>-1509</v>
      </c>
      <c r="J3111" s="115">
        <v>1443</v>
      </c>
      <c r="K3111" s="115">
        <v>-3849</v>
      </c>
    </row>
    <row r="3112" spans="1:11" x14ac:dyDescent="0.25">
      <c r="A3112" s="115">
        <v>-11</v>
      </c>
      <c r="B3112" s="115" t="s">
        <v>3517</v>
      </c>
      <c r="C3112" s="115" t="s">
        <v>1239</v>
      </c>
      <c r="D3112" s="115" t="s">
        <v>10172</v>
      </c>
      <c r="E3112" s="115" t="s">
        <v>3518</v>
      </c>
      <c r="F3112" s="115">
        <v>-3141</v>
      </c>
      <c r="G3112" s="115">
        <v>0</v>
      </c>
      <c r="H3112" s="115">
        <v>117</v>
      </c>
      <c r="I3112" s="115">
        <v>0</v>
      </c>
      <c r="J3112" s="115">
        <v>0</v>
      </c>
      <c r="K3112" s="115">
        <v>-454</v>
      </c>
    </row>
    <row r="3113" spans="1:11" x14ac:dyDescent="0.25">
      <c r="A3113" s="115" t="s">
        <v>1239</v>
      </c>
      <c r="B3113" s="115" t="s">
        <v>1973</v>
      </c>
      <c r="D3113" s="115" t="s">
        <v>10173</v>
      </c>
      <c r="E3113" s="115" t="s">
        <v>3519</v>
      </c>
      <c r="F3113" s="115">
        <v>0</v>
      </c>
      <c r="G3113" s="115">
        <v>-499</v>
      </c>
      <c r="H3113" s="115">
        <v>0</v>
      </c>
      <c r="I3113" s="115">
        <v>619</v>
      </c>
      <c r="J3113" s="115">
        <v>291</v>
      </c>
      <c r="K3113" s="115">
        <v>-52</v>
      </c>
    </row>
    <row r="3114" spans="1:11" x14ac:dyDescent="0.25">
      <c r="B3114" s="115" t="s">
        <v>1241</v>
      </c>
      <c r="D3114" s="115" t="s">
        <v>10174</v>
      </c>
      <c r="E3114" s="115" t="s">
        <v>3520</v>
      </c>
      <c r="F3114" s="115">
        <v>0</v>
      </c>
      <c r="G3114" s="115">
        <v>11</v>
      </c>
      <c r="H3114" s="115">
        <v>0</v>
      </c>
      <c r="I3114" s="115">
        <v>865</v>
      </c>
      <c r="J3114" s="115">
        <v>-76</v>
      </c>
      <c r="K3114" s="115">
        <v>-384</v>
      </c>
    </row>
    <row r="3115" spans="1:11" x14ac:dyDescent="0.25">
      <c r="B3115" s="115" t="s">
        <v>3521</v>
      </c>
      <c r="D3115" s="115" t="s">
        <v>10175</v>
      </c>
      <c r="E3115" s="115" t="s">
        <v>3522</v>
      </c>
      <c r="F3115" s="115">
        <v>0</v>
      </c>
      <c r="G3115" s="115">
        <v>0</v>
      </c>
      <c r="H3115" s="115">
        <v>0</v>
      </c>
      <c r="I3115" s="115">
        <v>741</v>
      </c>
      <c r="J3115" s="115">
        <v>1666</v>
      </c>
      <c r="K3115" s="115">
        <v>4398</v>
      </c>
    </row>
    <row r="3116" spans="1:11" x14ac:dyDescent="0.25">
      <c r="A3116" s="115" t="s">
        <v>1239</v>
      </c>
      <c r="B3116" s="115" t="s">
        <v>3523</v>
      </c>
      <c r="D3116" s="115" t="s">
        <v>10176</v>
      </c>
      <c r="E3116" s="115" t="s">
        <v>3524</v>
      </c>
      <c r="F3116" s="115">
        <v>0</v>
      </c>
      <c r="G3116" s="115">
        <v>0</v>
      </c>
      <c r="H3116" s="115">
        <v>922</v>
      </c>
      <c r="I3116" s="115">
        <v>0</v>
      </c>
      <c r="J3116" s="115">
        <v>4</v>
      </c>
      <c r="K3116" s="115">
        <v>0</v>
      </c>
    </row>
    <row r="3117" spans="1:11" x14ac:dyDescent="0.25">
      <c r="B3117" s="115" t="s">
        <v>3525</v>
      </c>
      <c r="D3117" s="115" t="s">
        <v>10177</v>
      </c>
      <c r="E3117" s="115" t="s">
        <v>3526</v>
      </c>
      <c r="F3117" s="115">
        <v>0</v>
      </c>
      <c r="G3117" s="115">
        <v>0</v>
      </c>
      <c r="H3117" s="115">
        <v>0</v>
      </c>
      <c r="I3117" s="115">
        <v>0</v>
      </c>
      <c r="J3117" s="115">
        <v>0</v>
      </c>
      <c r="K3117" s="115">
        <v>1881</v>
      </c>
    </row>
    <row r="3118" spans="1:11" x14ac:dyDescent="0.25">
      <c r="B3118" s="115" t="s">
        <v>3527</v>
      </c>
      <c r="D3118" s="115" t="s">
        <v>10178</v>
      </c>
      <c r="E3118" s="115" t="s">
        <v>3528</v>
      </c>
      <c r="F3118" s="115">
        <v>0</v>
      </c>
      <c r="G3118" s="115">
        <v>-6559</v>
      </c>
      <c r="H3118" s="115">
        <v>-1624</v>
      </c>
      <c r="I3118" s="115">
        <v>0</v>
      </c>
      <c r="J3118" s="115">
        <v>0</v>
      </c>
      <c r="K3118" s="115">
        <v>0</v>
      </c>
    </row>
    <row r="3119" spans="1:11" x14ac:dyDescent="0.25">
      <c r="B3119" s="115" t="s">
        <v>1241</v>
      </c>
      <c r="D3119" s="115" t="s">
        <v>10179</v>
      </c>
      <c r="E3119" s="115" t="s">
        <v>3529</v>
      </c>
      <c r="F3119" s="115">
        <v>-665</v>
      </c>
      <c r="G3119" s="115">
        <v>-574</v>
      </c>
      <c r="H3119" s="115">
        <v>-341</v>
      </c>
      <c r="I3119" s="115">
        <v>-1696</v>
      </c>
      <c r="J3119" s="115">
        <v>0</v>
      </c>
      <c r="K3119" s="115">
        <v>0</v>
      </c>
    </row>
    <row r="3120" spans="1:11" x14ac:dyDescent="0.25">
      <c r="B3120" s="115" t="s">
        <v>1241</v>
      </c>
      <c r="C3120" s="115" t="s">
        <v>1239</v>
      </c>
      <c r="D3120" s="115" t="s">
        <v>10180</v>
      </c>
      <c r="E3120" s="115" t="s">
        <v>3530</v>
      </c>
      <c r="F3120" s="115">
        <v>-2644</v>
      </c>
      <c r="G3120" s="115">
        <v>0</v>
      </c>
      <c r="H3120" s="115">
        <v>0</v>
      </c>
      <c r="I3120" s="115">
        <v>-7110</v>
      </c>
      <c r="J3120" s="115">
        <v>1960</v>
      </c>
      <c r="K3120" s="115">
        <v>0</v>
      </c>
    </row>
    <row r="3121" spans="1:11" x14ac:dyDescent="0.25">
      <c r="B3121" s="115" t="s">
        <v>1241</v>
      </c>
      <c r="D3121" s="115" t="s">
        <v>10181</v>
      </c>
      <c r="E3121" s="115" t="s">
        <v>3531</v>
      </c>
      <c r="F3121" s="115">
        <v>0</v>
      </c>
      <c r="G3121" s="115">
        <v>720</v>
      </c>
      <c r="H3121" s="115">
        <v>-653</v>
      </c>
      <c r="I3121" s="115">
        <v>-369</v>
      </c>
      <c r="J3121" s="115">
        <v>15930</v>
      </c>
      <c r="K3121" s="115">
        <v>24506</v>
      </c>
    </row>
    <row r="3122" spans="1:11" x14ac:dyDescent="0.25">
      <c r="A3122" s="115">
        <v>53</v>
      </c>
      <c r="B3122" s="115" t="s">
        <v>3532</v>
      </c>
      <c r="D3122" s="115" t="s">
        <v>10182</v>
      </c>
      <c r="E3122" s="115" t="s">
        <v>3533</v>
      </c>
      <c r="F3122" s="115">
        <v>-14452</v>
      </c>
      <c r="G3122" s="115">
        <v>-2892</v>
      </c>
      <c r="H3122" s="115">
        <v>0</v>
      </c>
      <c r="I3122" s="115">
        <v>0</v>
      </c>
      <c r="J3122" s="115">
        <v>-572</v>
      </c>
      <c r="K3122" s="115">
        <v>0</v>
      </c>
    </row>
    <row r="3123" spans="1:11" x14ac:dyDescent="0.25">
      <c r="B3123" s="115" t="s">
        <v>1241</v>
      </c>
      <c r="D3123" s="115" t="s">
        <v>10183</v>
      </c>
      <c r="E3123" s="115" t="s">
        <v>1242</v>
      </c>
      <c r="F3123" s="115">
        <v>0</v>
      </c>
      <c r="G3123" s="115">
        <v>0</v>
      </c>
      <c r="H3123" s="115">
        <v>0</v>
      </c>
      <c r="I3123" s="115">
        <v>0</v>
      </c>
      <c r="J3123" s="115">
        <v>0</v>
      </c>
      <c r="K3123" s="115">
        <v>0</v>
      </c>
    </row>
    <row r="3124" spans="1:11" x14ac:dyDescent="0.25">
      <c r="A3124" s="115">
        <v>-2</v>
      </c>
      <c r="B3124" s="115" t="s">
        <v>3534</v>
      </c>
      <c r="D3124" s="115" t="s">
        <v>10184</v>
      </c>
      <c r="E3124" s="115" t="s">
        <v>3535</v>
      </c>
      <c r="F3124" s="115">
        <v>0</v>
      </c>
      <c r="G3124" s="115">
        <v>-2199</v>
      </c>
      <c r="H3124" s="115">
        <v>0</v>
      </c>
      <c r="I3124" s="115">
        <v>8</v>
      </c>
      <c r="J3124" s="115">
        <v>2198</v>
      </c>
      <c r="K3124" s="115">
        <v>1186</v>
      </c>
    </row>
    <row r="3125" spans="1:11" x14ac:dyDescent="0.25">
      <c r="B3125" s="115" t="s">
        <v>3536</v>
      </c>
      <c r="D3125" s="115" t="s">
        <v>10185</v>
      </c>
      <c r="E3125" s="115" t="s">
        <v>3537</v>
      </c>
      <c r="F3125" s="115">
        <v>-6311</v>
      </c>
      <c r="G3125" s="115">
        <v>-6507</v>
      </c>
      <c r="H3125" s="115">
        <v>-3262</v>
      </c>
      <c r="I3125" s="115">
        <v>0</v>
      </c>
      <c r="J3125" s="115">
        <v>-366</v>
      </c>
      <c r="K3125" s="115">
        <v>0</v>
      </c>
    </row>
    <row r="3126" spans="1:11" x14ac:dyDescent="0.25">
      <c r="B3126" s="115" t="s">
        <v>1241</v>
      </c>
      <c r="D3126" s="115" t="s">
        <v>10186</v>
      </c>
      <c r="E3126" s="115" t="s">
        <v>3538</v>
      </c>
      <c r="F3126" s="115">
        <v>-83</v>
      </c>
      <c r="G3126" s="115">
        <v>0</v>
      </c>
      <c r="H3126" s="115">
        <v>0</v>
      </c>
      <c r="I3126" s="115">
        <v>0</v>
      </c>
      <c r="J3126" s="115">
        <v>4268</v>
      </c>
      <c r="K3126" s="115">
        <v>0</v>
      </c>
    </row>
    <row r="3127" spans="1:11" x14ac:dyDescent="0.25">
      <c r="A3127" s="115" t="s">
        <v>1239</v>
      </c>
      <c r="B3127" s="115" t="s">
        <v>1354</v>
      </c>
      <c r="D3127" s="115" t="s">
        <v>10187</v>
      </c>
      <c r="E3127" s="115" t="s">
        <v>3539</v>
      </c>
      <c r="F3127" s="115">
        <v>0</v>
      </c>
      <c r="G3127" s="115">
        <v>0</v>
      </c>
      <c r="H3127" s="115">
        <v>755</v>
      </c>
      <c r="I3127" s="115">
        <v>0</v>
      </c>
      <c r="J3127" s="115">
        <v>-22</v>
      </c>
      <c r="K3127" s="115">
        <v>-3088</v>
      </c>
    </row>
    <row r="3128" spans="1:11" x14ac:dyDescent="0.25">
      <c r="B3128" s="115" t="s">
        <v>1241</v>
      </c>
      <c r="C3128" s="115" t="s">
        <v>1239</v>
      </c>
      <c r="D3128" s="115" t="s">
        <v>10188</v>
      </c>
      <c r="E3128" s="115" t="s">
        <v>3540</v>
      </c>
      <c r="F3128" s="115">
        <v>0</v>
      </c>
      <c r="G3128" s="115">
        <v>1860</v>
      </c>
      <c r="H3128" s="115">
        <v>0</v>
      </c>
      <c r="I3128" s="115">
        <v>0</v>
      </c>
      <c r="J3128" s="115">
        <v>0</v>
      </c>
      <c r="K3128" s="115">
        <v>0</v>
      </c>
    </row>
    <row r="3129" spans="1:11" x14ac:dyDescent="0.25">
      <c r="A3129" s="115">
        <v>4</v>
      </c>
      <c r="B3129" s="115" t="s">
        <v>3541</v>
      </c>
      <c r="D3129" s="115" t="s">
        <v>10189</v>
      </c>
      <c r="E3129" s="115" t="s">
        <v>3542</v>
      </c>
      <c r="F3129" s="115">
        <v>0</v>
      </c>
      <c r="G3129" s="115">
        <v>-1780</v>
      </c>
      <c r="H3129" s="115">
        <v>4104</v>
      </c>
      <c r="I3129" s="115">
        <v>0</v>
      </c>
      <c r="J3129" s="115">
        <v>953</v>
      </c>
      <c r="K3129" s="115">
        <v>1305</v>
      </c>
    </row>
    <row r="3130" spans="1:11" x14ac:dyDescent="0.25">
      <c r="B3130" s="115" t="s">
        <v>3543</v>
      </c>
      <c r="D3130" s="115" t="s">
        <v>10190</v>
      </c>
      <c r="E3130" s="115" t="s">
        <v>1242</v>
      </c>
      <c r="F3130" s="115">
        <v>975</v>
      </c>
      <c r="G3130" s="115">
        <v>0</v>
      </c>
      <c r="H3130" s="115">
        <v>0</v>
      </c>
      <c r="I3130" s="115">
        <v>0</v>
      </c>
      <c r="J3130" s="115">
        <v>0</v>
      </c>
      <c r="K3130" s="115">
        <v>0</v>
      </c>
    </row>
    <row r="3131" spans="1:11" x14ac:dyDescent="0.25">
      <c r="A3131" s="115">
        <v>1</v>
      </c>
      <c r="B3131" s="115" t="s">
        <v>3544</v>
      </c>
      <c r="C3131" s="115" t="s">
        <v>1239</v>
      </c>
      <c r="D3131" s="115" t="s">
        <v>10191</v>
      </c>
      <c r="E3131" s="115" t="s">
        <v>3545</v>
      </c>
      <c r="F3131" s="115">
        <v>-679</v>
      </c>
      <c r="G3131" s="115">
        <v>0</v>
      </c>
      <c r="H3131" s="115">
        <v>-2631</v>
      </c>
      <c r="I3131" s="115">
        <v>-311</v>
      </c>
      <c r="J3131" s="115">
        <v>1073</v>
      </c>
      <c r="K3131" s="115">
        <v>1366</v>
      </c>
    </row>
    <row r="3132" spans="1:11" x14ac:dyDescent="0.25">
      <c r="B3132" s="115" t="s">
        <v>3546</v>
      </c>
      <c r="D3132" s="115" t="s">
        <v>10192</v>
      </c>
      <c r="E3132" s="115" t="s">
        <v>3547</v>
      </c>
      <c r="F3132" s="115">
        <v>4079</v>
      </c>
      <c r="G3132" s="115">
        <v>-1266</v>
      </c>
      <c r="H3132" s="115">
        <v>0</v>
      </c>
      <c r="I3132" s="115">
        <v>595</v>
      </c>
      <c r="J3132" s="115">
        <v>-832</v>
      </c>
      <c r="K3132" s="115">
        <v>0</v>
      </c>
    </row>
    <row r="3133" spans="1:11" x14ac:dyDescent="0.25">
      <c r="B3133" s="115" t="s">
        <v>1241</v>
      </c>
      <c r="D3133" s="115" t="s">
        <v>10193</v>
      </c>
      <c r="E3133" s="115" t="s">
        <v>3548</v>
      </c>
      <c r="F3133" s="115">
        <v>0</v>
      </c>
      <c r="G3133" s="115">
        <v>821</v>
      </c>
      <c r="H3133" s="115">
        <v>604</v>
      </c>
      <c r="I3133" s="115">
        <v>-1099</v>
      </c>
      <c r="J3133" s="115">
        <v>352</v>
      </c>
      <c r="K3133" s="115">
        <v>0</v>
      </c>
    </row>
    <row r="3134" spans="1:11" x14ac:dyDescent="0.25">
      <c r="B3134" s="115" t="s">
        <v>1241</v>
      </c>
      <c r="D3134" s="115" t="s">
        <v>10194</v>
      </c>
      <c r="E3134" s="115" t="s">
        <v>3549</v>
      </c>
      <c r="F3134" s="115">
        <v>2395</v>
      </c>
      <c r="G3134" s="115">
        <v>0</v>
      </c>
      <c r="H3134" s="115">
        <v>-68</v>
      </c>
      <c r="I3134" s="115">
        <v>785</v>
      </c>
      <c r="J3134" s="115">
        <v>7</v>
      </c>
      <c r="K3134" s="115">
        <v>0</v>
      </c>
    </row>
    <row r="3135" spans="1:11" x14ac:dyDescent="0.25">
      <c r="A3135" s="115">
        <v>1</v>
      </c>
      <c r="B3135" s="115" t="s">
        <v>3550</v>
      </c>
      <c r="C3135" s="115" t="s">
        <v>1239</v>
      </c>
      <c r="D3135" s="115" t="s">
        <v>10195</v>
      </c>
      <c r="E3135" s="115" t="s">
        <v>3551</v>
      </c>
      <c r="F3135" s="115">
        <v>-5243</v>
      </c>
      <c r="G3135" s="115">
        <v>-26646</v>
      </c>
      <c r="H3135" s="115">
        <v>-6539</v>
      </c>
      <c r="I3135" s="115">
        <v>-7155</v>
      </c>
      <c r="J3135" s="115">
        <v>0</v>
      </c>
      <c r="K3135" s="115">
        <v>502</v>
      </c>
    </row>
    <row r="3136" spans="1:11" x14ac:dyDescent="0.25">
      <c r="B3136" s="115" t="s">
        <v>1241</v>
      </c>
      <c r="C3136" s="115" t="s">
        <v>1239</v>
      </c>
      <c r="D3136" s="115" t="s">
        <v>10196</v>
      </c>
      <c r="E3136" s="115" t="s">
        <v>3552</v>
      </c>
      <c r="F3136" s="115">
        <v>0</v>
      </c>
      <c r="G3136" s="115">
        <v>2439</v>
      </c>
      <c r="H3136" s="115">
        <v>0</v>
      </c>
      <c r="I3136" s="115">
        <v>0</v>
      </c>
      <c r="J3136" s="115">
        <v>-808</v>
      </c>
      <c r="K3136" s="115">
        <v>0</v>
      </c>
    </row>
    <row r="3137" spans="1:11" x14ac:dyDescent="0.25">
      <c r="A3137" s="115">
        <v>9</v>
      </c>
      <c r="B3137" s="115" t="s">
        <v>3553</v>
      </c>
      <c r="D3137" s="115" t="s">
        <v>10197</v>
      </c>
      <c r="E3137" s="115" t="s">
        <v>3554</v>
      </c>
      <c r="F3137" s="115">
        <v>0</v>
      </c>
      <c r="G3137" s="115">
        <v>0</v>
      </c>
      <c r="H3137" s="115">
        <v>0</v>
      </c>
      <c r="I3137" s="115">
        <v>0</v>
      </c>
      <c r="J3137" s="115">
        <v>65</v>
      </c>
      <c r="K3137" s="115">
        <v>0</v>
      </c>
    </row>
    <row r="3138" spans="1:11" x14ac:dyDescent="0.25">
      <c r="A3138" s="115">
        <v>2</v>
      </c>
      <c r="B3138" s="115" t="s">
        <v>3555</v>
      </c>
      <c r="D3138" s="115" t="s">
        <v>10198</v>
      </c>
      <c r="E3138" s="115" t="s">
        <v>3556</v>
      </c>
      <c r="F3138" s="115">
        <v>-1471</v>
      </c>
      <c r="G3138" s="115">
        <v>-404</v>
      </c>
      <c r="H3138" s="115">
        <v>684</v>
      </c>
      <c r="I3138" s="115">
        <v>0</v>
      </c>
      <c r="J3138" s="115">
        <v>0</v>
      </c>
      <c r="K3138" s="115">
        <v>0</v>
      </c>
    </row>
    <row r="3139" spans="1:11" x14ac:dyDescent="0.25">
      <c r="B3139" s="115" t="s">
        <v>3557</v>
      </c>
      <c r="D3139" s="115" t="s">
        <v>10199</v>
      </c>
      <c r="E3139" s="115" t="s">
        <v>3558</v>
      </c>
      <c r="F3139" s="115">
        <v>-378</v>
      </c>
      <c r="G3139" s="115">
        <v>0</v>
      </c>
      <c r="H3139" s="115">
        <v>-135</v>
      </c>
      <c r="I3139" s="115">
        <v>0</v>
      </c>
      <c r="J3139" s="115">
        <v>0</v>
      </c>
      <c r="K3139" s="115">
        <v>996</v>
      </c>
    </row>
    <row r="3140" spans="1:11" x14ac:dyDescent="0.25">
      <c r="B3140" s="115" t="s">
        <v>3559</v>
      </c>
      <c r="D3140" s="115" t="s">
        <v>10200</v>
      </c>
      <c r="E3140" s="115" t="s">
        <v>1242</v>
      </c>
      <c r="F3140" s="115">
        <v>0</v>
      </c>
      <c r="G3140" s="115">
        <v>0</v>
      </c>
      <c r="H3140" s="115">
        <v>0</v>
      </c>
      <c r="I3140" s="115">
        <v>0</v>
      </c>
      <c r="J3140" s="115">
        <v>0</v>
      </c>
      <c r="K3140" s="115">
        <v>0</v>
      </c>
    </row>
    <row r="3141" spans="1:11" x14ac:dyDescent="0.25">
      <c r="B3141" s="115" t="s">
        <v>1241</v>
      </c>
      <c r="D3141" s="115" t="s">
        <v>10201</v>
      </c>
      <c r="E3141" s="115" t="s">
        <v>3560</v>
      </c>
      <c r="F3141" s="115">
        <v>50</v>
      </c>
      <c r="G3141" s="115">
        <v>456</v>
      </c>
      <c r="H3141" s="115">
        <v>104</v>
      </c>
      <c r="I3141" s="115">
        <v>0</v>
      </c>
      <c r="J3141" s="115">
        <v>-1503</v>
      </c>
      <c r="K3141" s="115">
        <v>-1082</v>
      </c>
    </row>
    <row r="3142" spans="1:11" x14ac:dyDescent="0.25">
      <c r="B3142" s="115" t="s">
        <v>1241</v>
      </c>
      <c r="D3142" s="115" t="s">
        <v>10202</v>
      </c>
      <c r="E3142" s="115" t="s">
        <v>3561</v>
      </c>
      <c r="F3142" s="115">
        <v>0</v>
      </c>
      <c r="G3142" s="115">
        <v>1616</v>
      </c>
      <c r="H3142" s="115">
        <v>7544</v>
      </c>
      <c r="I3142" s="115">
        <v>-1455</v>
      </c>
      <c r="J3142" s="115">
        <v>-252</v>
      </c>
      <c r="K3142" s="115">
        <v>-473</v>
      </c>
    </row>
    <row r="3143" spans="1:11" x14ac:dyDescent="0.25">
      <c r="A3143" s="115">
        <v>-2</v>
      </c>
      <c r="B3143" s="115" t="s">
        <v>1968</v>
      </c>
      <c r="D3143" s="115" t="s">
        <v>10203</v>
      </c>
      <c r="E3143" s="115" t="s">
        <v>3562</v>
      </c>
      <c r="F3143" s="115">
        <v>0</v>
      </c>
      <c r="G3143" s="115">
        <v>-154</v>
      </c>
      <c r="H3143" s="115">
        <v>0</v>
      </c>
      <c r="I3143" s="115">
        <v>-1859</v>
      </c>
      <c r="J3143" s="115">
        <v>0</v>
      </c>
      <c r="K3143" s="115">
        <v>0</v>
      </c>
    </row>
    <row r="3144" spans="1:11" x14ac:dyDescent="0.25">
      <c r="A3144" s="115" t="s">
        <v>1239</v>
      </c>
      <c r="B3144" s="115" t="s">
        <v>3563</v>
      </c>
      <c r="D3144" s="115" t="s">
        <v>10204</v>
      </c>
      <c r="E3144" s="115" t="s">
        <v>3564</v>
      </c>
      <c r="F3144" s="115">
        <v>0</v>
      </c>
      <c r="G3144" s="115">
        <v>0</v>
      </c>
      <c r="H3144" s="115">
        <v>1227</v>
      </c>
      <c r="I3144" s="115">
        <v>0</v>
      </c>
      <c r="J3144" s="115">
        <v>522</v>
      </c>
      <c r="K3144" s="115">
        <v>509</v>
      </c>
    </row>
    <row r="3145" spans="1:11" x14ac:dyDescent="0.25">
      <c r="A3145" s="115" t="s">
        <v>1239</v>
      </c>
      <c r="B3145" s="115" t="s">
        <v>3565</v>
      </c>
      <c r="C3145" s="115">
        <v>1</v>
      </c>
      <c r="D3145" s="115" t="s">
        <v>10205</v>
      </c>
      <c r="E3145" s="115" t="s">
        <v>3566</v>
      </c>
      <c r="F3145" s="115">
        <v>21974</v>
      </c>
      <c r="G3145" s="115">
        <v>320</v>
      </c>
      <c r="H3145" s="115">
        <v>182</v>
      </c>
      <c r="I3145" s="115">
        <v>-3135</v>
      </c>
      <c r="J3145" s="115">
        <v>-4030</v>
      </c>
      <c r="K3145" s="115">
        <v>-19067</v>
      </c>
    </row>
    <row r="3146" spans="1:11" x14ac:dyDescent="0.25">
      <c r="B3146" s="115" t="s">
        <v>1241</v>
      </c>
      <c r="D3146" s="115" t="s">
        <v>10206</v>
      </c>
      <c r="E3146" s="115" t="s">
        <v>3567</v>
      </c>
      <c r="F3146" s="115">
        <v>0</v>
      </c>
      <c r="G3146" s="115">
        <v>0</v>
      </c>
      <c r="H3146" s="115">
        <v>621</v>
      </c>
      <c r="I3146" s="115">
        <v>-230</v>
      </c>
      <c r="J3146" s="115">
        <v>0</v>
      </c>
      <c r="K3146" s="115">
        <v>0</v>
      </c>
    </row>
    <row r="3147" spans="1:11" x14ac:dyDescent="0.25">
      <c r="B3147" s="115" t="s">
        <v>1241</v>
      </c>
      <c r="D3147" s="115" t="s">
        <v>10207</v>
      </c>
      <c r="E3147" s="115" t="s">
        <v>3568</v>
      </c>
      <c r="F3147" s="115">
        <v>-2131</v>
      </c>
      <c r="G3147" s="115">
        <v>0</v>
      </c>
      <c r="H3147" s="115">
        <v>0</v>
      </c>
      <c r="I3147" s="115">
        <v>3058</v>
      </c>
      <c r="J3147" s="115">
        <v>0</v>
      </c>
      <c r="K3147" s="115">
        <v>-3133</v>
      </c>
    </row>
    <row r="3148" spans="1:11" x14ac:dyDescent="0.25">
      <c r="B3148" s="115" t="s">
        <v>3569</v>
      </c>
      <c r="D3148" s="115" t="s">
        <v>10208</v>
      </c>
      <c r="E3148" s="115" t="s">
        <v>3570</v>
      </c>
      <c r="F3148" s="115">
        <v>0</v>
      </c>
      <c r="G3148" s="115">
        <v>8350</v>
      </c>
      <c r="H3148" s="115">
        <v>2437</v>
      </c>
      <c r="I3148" s="115">
        <v>-5559</v>
      </c>
      <c r="J3148" s="115">
        <v>-16659</v>
      </c>
      <c r="K3148" s="115">
        <v>-5841</v>
      </c>
    </row>
    <row r="3149" spans="1:11" x14ac:dyDescent="0.25">
      <c r="A3149" s="115">
        <v>-1</v>
      </c>
      <c r="B3149" s="115" t="s">
        <v>3571</v>
      </c>
      <c r="D3149" s="115" t="s">
        <v>10209</v>
      </c>
      <c r="E3149" s="115" t="s">
        <v>2209</v>
      </c>
      <c r="F3149" s="115">
        <v>0</v>
      </c>
      <c r="G3149" s="115">
        <v>0</v>
      </c>
      <c r="H3149" s="115">
        <v>0</v>
      </c>
      <c r="I3149" s="115">
        <v>0</v>
      </c>
      <c r="J3149" s="115">
        <v>-402</v>
      </c>
      <c r="K3149" s="115">
        <v>0</v>
      </c>
    </row>
    <row r="3150" spans="1:11" x14ac:dyDescent="0.25">
      <c r="B3150" s="115" t="s">
        <v>1241</v>
      </c>
      <c r="D3150" s="115" t="s">
        <v>10210</v>
      </c>
      <c r="E3150" s="115" t="s">
        <v>1242</v>
      </c>
      <c r="F3150" s="115">
        <v>-606</v>
      </c>
      <c r="G3150" s="115">
        <v>0</v>
      </c>
      <c r="H3150" s="115">
        <v>0</v>
      </c>
      <c r="I3150" s="115">
        <v>0</v>
      </c>
      <c r="J3150" s="115">
        <v>0</v>
      </c>
      <c r="K3150" s="115">
        <v>0</v>
      </c>
    </row>
    <row r="3151" spans="1:11" x14ac:dyDescent="0.25">
      <c r="A3151" s="115">
        <v>1</v>
      </c>
      <c r="B3151" s="115" t="s">
        <v>3572</v>
      </c>
      <c r="D3151" s="115" t="s">
        <v>10211</v>
      </c>
      <c r="E3151" s="115" t="s">
        <v>3573</v>
      </c>
      <c r="F3151" s="115">
        <v>0</v>
      </c>
      <c r="G3151" s="115">
        <v>0</v>
      </c>
      <c r="H3151" s="115">
        <v>-2298</v>
      </c>
      <c r="I3151" s="115">
        <v>-640</v>
      </c>
      <c r="J3151" s="115">
        <v>0</v>
      </c>
      <c r="K3151" s="115">
        <v>3777</v>
      </c>
    </row>
    <row r="3152" spans="1:11" x14ac:dyDescent="0.25">
      <c r="B3152" s="115" t="s">
        <v>1241</v>
      </c>
      <c r="D3152" s="115" t="s">
        <v>10212</v>
      </c>
      <c r="E3152" s="115" t="s">
        <v>3574</v>
      </c>
      <c r="F3152" s="115">
        <v>7419</v>
      </c>
      <c r="G3152" s="115">
        <v>-1164</v>
      </c>
      <c r="H3152" s="115">
        <v>-1103</v>
      </c>
      <c r="I3152" s="115">
        <v>0</v>
      </c>
      <c r="J3152" s="115">
        <v>0</v>
      </c>
      <c r="K3152" s="115">
        <v>339</v>
      </c>
    </row>
    <row r="3153" spans="1:11" x14ac:dyDescent="0.25">
      <c r="A3153" s="115">
        <v>2</v>
      </c>
      <c r="B3153" s="115" t="s">
        <v>1519</v>
      </c>
      <c r="D3153" s="115" t="s">
        <v>10213</v>
      </c>
      <c r="E3153" s="115" t="s">
        <v>3575</v>
      </c>
      <c r="F3153" s="115">
        <v>240</v>
      </c>
      <c r="G3153" s="115">
        <v>2485</v>
      </c>
      <c r="H3153" s="115">
        <v>1814</v>
      </c>
      <c r="I3153" s="115">
        <v>2511</v>
      </c>
      <c r="J3153" s="115">
        <v>4392</v>
      </c>
      <c r="K3153" s="115">
        <v>0</v>
      </c>
    </row>
    <row r="3154" spans="1:11" x14ac:dyDescent="0.25">
      <c r="B3154" s="115" t="s">
        <v>1241</v>
      </c>
      <c r="D3154" s="115" t="s">
        <v>10214</v>
      </c>
      <c r="E3154" s="115" t="s">
        <v>3576</v>
      </c>
      <c r="F3154" s="115">
        <v>2233</v>
      </c>
      <c r="G3154" s="115">
        <v>0</v>
      </c>
      <c r="H3154" s="115">
        <v>398</v>
      </c>
      <c r="I3154" s="115">
        <v>378</v>
      </c>
      <c r="J3154" s="115">
        <v>-2892</v>
      </c>
      <c r="K3154" s="115">
        <v>0</v>
      </c>
    </row>
    <row r="3155" spans="1:11" x14ac:dyDescent="0.25">
      <c r="A3155" s="115">
        <v>-1</v>
      </c>
      <c r="B3155" s="115" t="s">
        <v>3577</v>
      </c>
      <c r="D3155" s="115" t="s">
        <v>10215</v>
      </c>
      <c r="E3155" s="115" t="s">
        <v>3578</v>
      </c>
      <c r="F3155" s="115">
        <v>-2403</v>
      </c>
      <c r="G3155" s="115">
        <v>0</v>
      </c>
      <c r="H3155" s="115">
        <v>-28448</v>
      </c>
      <c r="I3155" s="115">
        <v>-8503</v>
      </c>
      <c r="J3155" s="115">
        <v>998</v>
      </c>
      <c r="K3155" s="115">
        <v>-542</v>
      </c>
    </row>
    <row r="3156" spans="1:11" x14ac:dyDescent="0.25">
      <c r="B3156" s="115" t="s">
        <v>3579</v>
      </c>
      <c r="C3156" s="115" t="s">
        <v>1239</v>
      </c>
      <c r="D3156" s="115" t="s">
        <v>10216</v>
      </c>
      <c r="E3156" s="115" t="s">
        <v>3580</v>
      </c>
      <c r="F3156" s="115">
        <v>0</v>
      </c>
      <c r="G3156" s="115">
        <v>0</v>
      </c>
      <c r="H3156" s="115">
        <v>-321</v>
      </c>
      <c r="I3156" s="115">
        <v>-1106</v>
      </c>
      <c r="J3156" s="115">
        <v>0</v>
      </c>
      <c r="K3156" s="115">
        <v>-1076</v>
      </c>
    </row>
    <row r="3157" spans="1:11" x14ac:dyDescent="0.25">
      <c r="A3157" s="115">
        <v>-1</v>
      </c>
      <c r="B3157" s="115" t="s">
        <v>3581</v>
      </c>
      <c r="D3157" s="115" t="s">
        <v>10217</v>
      </c>
      <c r="E3157" s="115" t="s">
        <v>3582</v>
      </c>
      <c r="F3157" s="115">
        <v>0</v>
      </c>
      <c r="G3157" s="115">
        <v>0</v>
      </c>
      <c r="H3157" s="115">
        <v>0</v>
      </c>
      <c r="I3157" s="115">
        <v>0</v>
      </c>
      <c r="J3157" s="115">
        <v>3634</v>
      </c>
      <c r="K3157" s="115">
        <v>0</v>
      </c>
    </row>
    <row r="3158" spans="1:11" x14ac:dyDescent="0.25">
      <c r="A3158" s="115" t="s">
        <v>1239</v>
      </c>
      <c r="B3158" s="115" t="s">
        <v>3583</v>
      </c>
      <c r="D3158" s="115" t="s">
        <v>10218</v>
      </c>
      <c r="E3158" s="115">
        <f>-325  -1976  -3351  -3938  -7004</f>
        <v>-16594</v>
      </c>
      <c r="F3158" s="115">
        <v>108</v>
      </c>
      <c r="G3158" s="115">
        <v>-325</v>
      </c>
      <c r="H3158" s="115">
        <v>-1976</v>
      </c>
      <c r="I3158" s="115">
        <v>-3351</v>
      </c>
      <c r="J3158" s="115">
        <v>-3938</v>
      </c>
      <c r="K3158" s="115">
        <v>-7004</v>
      </c>
    </row>
    <row r="3159" spans="1:11" x14ac:dyDescent="0.25">
      <c r="A3159" s="115">
        <v>-28</v>
      </c>
      <c r="B3159" s="115" t="s">
        <v>3584</v>
      </c>
      <c r="D3159" s="115" t="s">
        <v>10219</v>
      </c>
      <c r="E3159" s="115" t="s">
        <v>3585</v>
      </c>
      <c r="F3159" s="115">
        <v>0</v>
      </c>
      <c r="G3159" s="115">
        <v>0</v>
      </c>
      <c r="H3159" s="115">
        <v>-2940</v>
      </c>
      <c r="I3159" s="115">
        <v>-72</v>
      </c>
      <c r="J3159" s="115">
        <v>0</v>
      </c>
      <c r="K3159" s="115">
        <v>-2081</v>
      </c>
    </row>
    <row r="3160" spans="1:11" x14ac:dyDescent="0.25">
      <c r="B3160" s="115" t="s">
        <v>1241</v>
      </c>
      <c r="C3160" s="115" t="s">
        <v>1239</v>
      </c>
      <c r="D3160" s="115" t="s">
        <v>10220</v>
      </c>
      <c r="E3160" s="115" t="s">
        <v>3586</v>
      </c>
      <c r="F3160" s="115">
        <v>1063</v>
      </c>
      <c r="G3160" s="115">
        <v>-156</v>
      </c>
      <c r="H3160" s="115">
        <v>183</v>
      </c>
      <c r="I3160" s="115">
        <v>0</v>
      </c>
      <c r="J3160" s="115">
        <v>0</v>
      </c>
      <c r="K3160" s="115">
        <v>0</v>
      </c>
    </row>
    <row r="3161" spans="1:11" x14ac:dyDescent="0.25">
      <c r="B3161" s="115" t="s">
        <v>1241</v>
      </c>
      <c r="D3161" s="115" t="s">
        <v>10221</v>
      </c>
      <c r="E3161" s="115" t="s">
        <v>3587</v>
      </c>
      <c r="F3161" s="115">
        <v>1863</v>
      </c>
      <c r="G3161" s="115">
        <v>105</v>
      </c>
      <c r="H3161" s="115">
        <v>555</v>
      </c>
      <c r="I3161" s="115">
        <v>0</v>
      </c>
      <c r="J3161" s="115">
        <v>-326</v>
      </c>
      <c r="K3161" s="115">
        <v>1031</v>
      </c>
    </row>
    <row r="3162" spans="1:11" x14ac:dyDescent="0.25">
      <c r="B3162" s="115" t="s">
        <v>3588</v>
      </c>
      <c r="D3162" s="115" t="s">
        <v>10222</v>
      </c>
      <c r="E3162" s="115" t="s">
        <v>3589</v>
      </c>
      <c r="F3162" s="115">
        <v>-22723</v>
      </c>
      <c r="G3162" s="115">
        <v>-6284</v>
      </c>
      <c r="H3162" s="115">
        <v>819</v>
      </c>
      <c r="I3162" s="115">
        <v>-712</v>
      </c>
      <c r="J3162" s="115">
        <v>-392</v>
      </c>
      <c r="K3162" s="115">
        <v>0</v>
      </c>
    </row>
    <row r="3163" spans="1:11" x14ac:dyDescent="0.25">
      <c r="A3163" s="115">
        <v>-1</v>
      </c>
      <c r="B3163" s="115" t="s">
        <v>1530</v>
      </c>
      <c r="D3163" s="115" t="s">
        <v>10223</v>
      </c>
      <c r="E3163" s="115" t="s">
        <v>3590</v>
      </c>
      <c r="F3163" s="115">
        <v>0</v>
      </c>
      <c r="G3163" s="115">
        <v>-1658</v>
      </c>
      <c r="H3163" s="115">
        <v>0</v>
      </c>
      <c r="I3163" s="115">
        <v>-1445</v>
      </c>
      <c r="J3163" s="115">
        <v>0</v>
      </c>
      <c r="K3163" s="115">
        <v>0</v>
      </c>
    </row>
    <row r="3164" spans="1:11" x14ac:dyDescent="0.25">
      <c r="B3164" s="115" t="s">
        <v>1241</v>
      </c>
      <c r="D3164" s="115" t="s">
        <v>10224</v>
      </c>
      <c r="E3164" s="115" t="s">
        <v>3591</v>
      </c>
      <c r="F3164" s="115">
        <v>0</v>
      </c>
      <c r="G3164" s="115">
        <v>0</v>
      </c>
      <c r="H3164" s="115">
        <v>2335</v>
      </c>
      <c r="I3164" s="115">
        <v>0</v>
      </c>
      <c r="J3164" s="115">
        <v>-535</v>
      </c>
      <c r="K3164" s="115">
        <v>105</v>
      </c>
    </row>
    <row r="3165" spans="1:11" x14ac:dyDescent="0.25">
      <c r="B3165" s="115" t="s">
        <v>3592</v>
      </c>
      <c r="C3165" s="115" t="s">
        <v>1239</v>
      </c>
      <c r="D3165" s="115" t="s">
        <v>10225</v>
      </c>
      <c r="E3165" s="115" t="s">
        <v>3593</v>
      </c>
      <c r="F3165" s="115">
        <v>0</v>
      </c>
      <c r="G3165" s="115">
        <v>0</v>
      </c>
      <c r="H3165" s="115">
        <v>0</v>
      </c>
      <c r="I3165" s="115">
        <v>0</v>
      </c>
      <c r="J3165" s="115">
        <v>0</v>
      </c>
      <c r="K3165" s="115">
        <v>4240</v>
      </c>
    </row>
    <row r="3166" spans="1:11" x14ac:dyDescent="0.25">
      <c r="A3166" s="115">
        <v>12</v>
      </c>
      <c r="B3166" s="115" t="s">
        <v>3594</v>
      </c>
      <c r="D3166" s="115" t="s">
        <v>10226</v>
      </c>
      <c r="E3166" s="115" t="s">
        <v>3595</v>
      </c>
      <c r="F3166" s="115">
        <v>-1233</v>
      </c>
      <c r="G3166" s="115">
        <v>0</v>
      </c>
      <c r="H3166" s="115">
        <v>0</v>
      </c>
      <c r="I3166" s="115">
        <v>0</v>
      </c>
      <c r="J3166" s="115">
        <v>0</v>
      </c>
      <c r="K3166" s="115">
        <v>2178</v>
      </c>
    </row>
    <row r="3167" spans="1:11" x14ac:dyDescent="0.25">
      <c r="B3167" s="115" t="s">
        <v>2736</v>
      </c>
      <c r="D3167" s="115" t="s">
        <v>10227</v>
      </c>
      <c r="E3167" s="115" t="s">
        <v>3596</v>
      </c>
      <c r="F3167" s="115">
        <v>3226</v>
      </c>
      <c r="G3167" s="115">
        <v>-29</v>
      </c>
      <c r="H3167" s="115">
        <v>0</v>
      </c>
      <c r="I3167" s="115">
        <v>0</v>
      </c>
      <c r="J3167" s="115">
        <v>0</v>
      </c>
      <c r="K3167" s="115">
        <v>0</v>
      </c>
    </row>
    <row r="3168" spans="1:11" x14ac:dyDescent="0.25">
      <c r="A3168" s="115">
        <v>3</v>
      </c>
      <c r="B3168" s="115" t="s">
        <v>3597</v>
      </c>
      <c r="D3168" s="115" t="s">
        <v>10228</v>
      </c>
      <c r="E3168" s="115" t="s">
        <v>3598</v>
      </c>
      <c r="F3168" s="115">
        <v>-5502</v>
      </c>
      <c r="G3168" s="115">
        <v>10814</v>
      </c>
      <c r="H3168" s="115">
        <v>9850</v>
      </c>
      <c r="I3168" s="115">
        <v>18179</v>
      </c>
      <c r="J3168" s="115">
        <v>16212</v>
      </c>
      <c r="K3168" s="115">
        <v>32732</v>
      </c>
    </row>
    <row r="3169" spans="1:11" x14ac:dyDescent="0.25">
      <c r="B3169" s="115" t="s">
        <v>3599</v>
      </c>
      <c r="C3169" s="115" t="s">
        <v>1239</v>
      </c>
      <c r="D3169" s="115" t="s">
        <v>10229</v>
      </c>
      <c r="E3169" s="115" t="s">
        <v>3600</v>
      </c>
      <c r="F3169" s="115">
        <v>-6420</v>
      </c>
      <c r="G3169" s="115">
        <v>0</v>
      </c>
      <c r="H3169" s="115">
        <v>0</v>
      </c>
      <c r="I3169" s="115">
        <v>-305</v>
      </c>
      <c r="J3169" s="115">
        <v>0</v>
      </c>
      <c r="K3169" s="115">
        <v>0</v>
      </c>
    </row>
    <row r="3170" spans="1:11" x14ac:dyDescent="0.25">
      <c r="B3170" s="115" t="s">
        <v>3601</v>
      </c>
      <c r="D3170" s="115" t="s">
        <v>10230</v>
      </c>
      <c r="E3170" s="115" t="s">
        <v>3602</v>
      </c>
      <c r="F3170" s="115">
        <v>0</v>
      </c>
      <c r="G3170" s="115">
        <v>0</v>
      </c>
      <c r="H3170" s="115">
        <v>0</v>
      </c>
      <c r="I3170" s="115">
        <v>0</v>
      </c>
      <c r="J3170" s="115">
        <v>0</v>
      </c>
      <c r="K3170" s="115">
        <v>-3048</v>
      </c>
    </row>
    <row r="3171" spans="1:11" x14ac:dyDescent="0.25">
      <c r="B3171" s="115" t="s">
        <v>1241</v>
      </c>
      <c r="D3171" s="115" t="s">
        <v>10231</v>
      </c>
      <c r="E3171" s="115" t="s">
        <v>3603</v>
      </c>
      <c r="F3171" s="115">
        <v>-1281</v>
      </c>
      <c r="G3171" s="115">
        <v>0</v>
      </c>
      <c r="H3171" s="115">
        <v>23</v>
      </c>
      <c r="I3171" s="115">
        <v>1006</v>
      </c>
      <c r="J3171" s="115">
        <v>157</v>
      </c>
      <c r="K3171" s="115">
        <v>0</v>
      </c>
    </row>
    <row r="3172" spans="1:11" x14ac:dyDescent="0.25">
      <c r="A3172" s="115">
        <v>8</v>
      </c>
      <c r="B3172" s="115" t="s">
        <v>3604</v>
      </c>
      <c r="C3172" s="115" t="s">
        <v>1239</v>
      </c>
      <c r="D3172" s="115" t="s">
        <v>10232</v>
      </c>
      <c r="E3172" s="115" t="s">
        <v>3605</v>
      </c>
      <c r="F3172" s="115">
        <v>-17462</v>
      </c>
      <c r="G3172" s="115">
        <v>-1468</v>
      </c>
      <c r="H3172" s="115">
        <v>0</v>
      </c>
      <c r="I3172" s="115">
        <v>476</v>
      </c>
      <c r="J3172" s="115">
        <v>0</v>
      </c>
      <c r="K3172" s="115">
        <v>0</v>
      </c>
    </row>
    <row r="3173" spans="1:11" x14ac:dyDescent="0.25">
      <c r="B3173" s="115" t="s">
        <v>1241</v>
      </c>
      <c r="D3173" s="115" t="s">
        <v>10233</v>
      </c>
      <c r="E3173" s="115" t="s">
        <v>3606</v>
      </c>
      <c r="F3173" s="115">
        <v>0</v>
      </c>
      <c r="G3173" s="115">
        <v>0</v>
      </c>
      <c r="H3173" s="115">
        <v>0</v>
      </c>
      <c r="I3173" s="115">
        <v>-1109</v>
      </c>
      <c r="J3173" s="115">
        <v>0</v>
      </c>
      <c r="K3173" s="115">
        <v>-262</v>
      </c>
    </row>
    <row r="3174" spans="1:11" x14ac:dyDescent="0.25">
      <c r="B3174" s="115" t="s">
        <v>1241</v>
      </c>
      <c r="D3174" s="115" t="s">
        <v>10234</v>
      </c>
      <c r="E3174" s="115" t="s">
        <v>3607</v>
      </c>
      <c r="F3174" s="115">
        <v>0</v>
      </c>
      <c r="G3174" s="115">
        <v>1248</v>
      </c>
      <c r="H3174" s="115">
        <v>0</v>
      </c>
      <c r="I3174" s="115">
        <v>999</v>
      </c>
      <c r="J3174" s="115">
        <v>288</v>
      </c>
      <c r="K3174" s="115">
        <v>0</v>
      </c>
    </row>
    <row r="3175" spans="1:11" x14ac:dyDescent="0.25">
      <c r="B3175" s="115" t="s">
        <v>3608</v>
      </c>
      <c r="D3175" s="115" t="s">
        <v>10235</v>
      </c>
      <c r="E3175" s="115" t="s">
        <v>3609</v>
      </c>
      <c r="F3175" s="115">
        <v>3485</v>
      </c>
      <c r="G3175" s="115">
        <v>0</v>
      </c>
      <c r="H3175" s="115">
        <v>0</v>
      </c>
      <c r="I3175" s="115">
        <v>0</v>
      </c>
      <c r="J3175" s="115">
        <v>0</v>
      </c>
      <c r="K3175" s="115">
        <v>14762</v>
      </c>
    </row>
    <row r="3176" spans="1:11" x14ac:dyDescent="0.25">
      <c r="A3176" s="115" t="s">
        <v>1239</v>
      </c>
      <c r="B3176" s="115" t="s">
        <v>3610</v>
      </c>
      <c r="D3176" s="115" t="s">
        <v>10236</v>
      </c>
      <c r="E3176" s="115" t="s">
        <v>3611</v>
      </c>
      <c r="F3176" s="115">
        <v>18</v>
      </c>
      <c r="G3176" s="115">
        <v>2397</v>
      </c>
      <c r="H3176" s="115">
        <v>0</v>
      </c>
      <c r="I3176" s="115">
        <v>-139</v>
      </c>
      <c r="J3176" s="115">
        <v>2335</v>
      </c>
      <c r="K3176" s="115">
        <v>128</v>
      </c>
    </row>
    <row r="3177" spans="1:11" x14ac:dyDescent="0.25">
      <c r="A3177" s="115">
        <v>2</v>
      </c>
      <c r="B3177" s="115" t="s">
        <v>3612</v>
      </c>
      <c r="D3177" s="115" t="s">
        <v>10237</v>
      </c>
      <c r="E3177" s="115" t="s">
        <v>3613</v>
      </c>
      <c r="F3177" s="115">
        <v>0</v>
      </c>
      <c r="G3177" s="115">
        <v>0</v>
      </c>
      <c r="H3177" s="115">
        <v>0</v>
      </c>
      <c r="I3177" s="115">
        <v>0</v>
      </c>
      <c r="J3177" s="115">
        <v>0</v>
      </c>
      <c r="K3177" s="115">
        <v>-9172</v>
      </c>
    </row>
    <row r="3178" spans="1:11" x14ac:dyDescent="0.25">
      <c r="B3178" s="115" t="s">
        <v>3614</v>
      </c>
      <c r="D3178" s="115" t="s">
        <v>10238</v>
      </c>
      <c r="E3178" s="115" t="s">
        <v>3615</v>
      </c>
      <c r="F3178" s="115">
        <v>0</v>
      </c>
      <c r="G3178" s="115">
        <v>-2834</v>
      </c>
      <c r="H3178" s="115">
        <v>1211</v>
      </c>
      <c r="I3178" s="115">
        <v>-1243</v>
      </c>
      <c r="J3178" s="115">
        <v>-5124</v>
      </c>
      <c r="K3178" s="115">
        <v>-4466</v>
      </c>
    </row>
    <row r="3179" spans="1:11" x14ac:dyDescent="0.25">
      <c r="B3179" s="115" t="s">
        <v>3616</v>
      </c>
      <c r="C3179" s="115">
        <v>-2</v>
      </c>
      <c r="D3179" s="115" t="s">
        <v>10239</v>
      </c>
      <c r="E3179" s="115" t="s">
        <v>3617</v>
      </c>
      <c r="F3179" s="115">
        <v>-472</v>
      </c>
      <c r="G3179" s="115">
        <v>0</v>
      </c>
      <c r="H3179" s="115">
        <v>254</v>
      </c>
      <c r="I3179" s="115">
        <v>2001</v>
      </c>
      <c r="J3179" s="115">
        <v>0</v>
      </c>
      <c r="K3179" s="115">
        <v>0</v>
      </c>
    </row>
    <row r="3180" spans="1:11" x14ac:dyDescent="0.25">
      <c r="B3180" s="115" t="s">
        <v>2348</v>
      </c>
      <c r="D3180" s="115" t="s">
        <v>10240</v>
      </c>
      <c r="E3180" s="115" t="s">
        <v>3618</v>
      </c>
      <c r="F3180" s="115">
        <v>-1049</v>
      </c>
      <c r="G3180" s="115">
        <v>-1727</v>
      </c>
      <c r="H3180" s="115">
        <v>-463</v>
      </c>
      <c r="I3180" s="115">
        <v>-570</v>
      </c>
      <c r="J3180" s="115">
        <v>0</v>
      </c>
      <c r="K3180" s="115">
        <v>0</v>
      </c>
    </row>
    <row r="3181" spans="1:11" x14ac:dyDescent="0.25">
      <c r="B3181" s="115" t="s">
        <v>1241</v>
      </c>
      <c r="D3181" s="115" t="s">
        <v>10241</v>
      </c>
      <c r="E3181" s="115" t="s">
        <v>3619</v>
      </c>
      <c r="F3181" s="115">
        <v>0</v>
      </c>
      <c r="G3181" s="115">
        <v>-1031</v>
      </c>
      <c r="H3181" s="115">
        <v>-257</v>
      </c>
      <c r="I3181" s="115">
        <v>588</v>
      </c>
      <c r="J3181" s="115">
        <v>0</v>
      </c>
      <c r="K3181" s="115">
        <v>-5971</v>
      </c>
    </row>
    <row r="3182" spans="1:11" x14ac:dyDescent="0.25">
      <c r="A3182" s="115">
        <v>1</v>
      </c>
      <c r="B3182" s="115" t="s">
        <v>3620</v>
      </c>
      <c r="C3182" s="115" t="s">
        <v>1239</v>
      </c>
      <c r="D3182" s="115" t="s">
        <v>10242</v>
      </c>
      <c r="E3182" s="115" t="s">
        <v>3621</v>
      </c>
      <c r="F3182" s="115">
        <v>-3862</v>
      </c>
      <c r="G3182" s="115">
        <v>-5938</v>
      </c>
      <c r="H3182" s="115">
        <v>-22511</v>
      </c>
      <c r="I3182" s="115">
        <v>0</v>
      </c>
      <c r="J3182" s="115">
        <v>116</v>
      </c>
      <c r="K3182" s="115">
        <v>0</v>
      </c>
    </row>
    <row r="3183" spans="1:11" x14ac:dyDescent="0.25">
      <c r="B3183" s="115" t="s">
        <v>3622</v>
      </c>
      <c r="D3183" s="115" t="s">
        <v>10243</v>
      </c>
      <c r="E3183" s="115" t="s">
        <v>3623</v>
      </c>
      <c r="F3183" s="115">
        <v>-1980</v>
      </c>
      <c r="G3183" s="115">
        <v>0</v>
      </c>
      <c r="H3183" s="115">
        <v>0</v>
      </c>
      <c r="I3183" s="115">
        <v>-995</v>
      </c>
      <c r="J3183" s="115">
        <v>0</v>
      </c>
      <c r="K3183" s="115">
        <v>-601</v>
      </c>
    </row>
    <row r="3184" spans="1:11" x14ac:dyDescent="0.25">
      <c r="A3184" s="115" t="s">
        <v>1239</v>
      </c>
      <c r="B3184" s="115" t="s">
        <v>3624</v>
      </c>
      <c r="D3184" s="115" t="s">
        <v>10244</v>
      </c>
      <c r="E3184" s="115" t="s">
        <v>3625</v>
      </c>
      <c r="F3184" s="115">
        <v>0</v>
      </c>
      <c r="G3184" s="115">
        <v>0</v>
      </c>
      <c r="H3184" s="115">
        <v>0</v>
      </c>
      <c r="I3184" s="115">
        <v>4954</v>
      </c>
      <c r="J3184" s="115">
        <v>0</v>
      </c>
      <c r="K3184" s="115">
        <v>-1331</v>
      </c>
    </row>
    <row r="3185" spans="1:11" x14ac:dyDescent="0.25">
      <c r="A3185" s="115" t="s">
        <v>1239</v>
      </c>
      <c r="B3185" s="115" t="s">
        <v>3626</v>
      </c>
      <c r="D3185" s="115" t="s">
        <v>10245</v>
      </c>
      <c r="E3185" s="115" t="s">
        <v>3627</v>
      </c>
      <c r="F3185" s="115">
        <v>-206</v>
      </c>
      <c r="G3185" s="115">
        <v>240</v>
      </c>
      <c r="H3185" s="115">
        <v>0</v>
      </c>
      <c r="I3185" s="115">
        <v>0</v>
      </c>
      <c r="J3185" s="115">
        <v>0</v>
      </c>
      <c r="K3185" s="115">
        <v>-4118</v>
      </c>
    </row>
    <row r="3186" spans="1:11" x14ac:dyDescent="0.25">
      <c r="A3186" s="115">
        <v>-18</v>
      </c>
      <c r="B3186" s="115" t="s">
        <v>3628</v>
      </c>
      <c r="D3186" s="115" t="s">
        <v>10246</v>
      </c>
      <c r="E3186" s="115" t="s">
        <v>3629</v>
      </c>
      <c r="F3186" s="115">
        <v>0</v>
      </c>
      <c r="G3186" s="115">
        <v>1655</v>
      </c>
      <c r="H3186" s="115">
        <v>0</v>
      </c>
      <c r="I3186" s="115">
        <v>0</v>
      </c>
      <c r="J3186" s="115">
        <v>-2236</v>
      </c>
      <c r="K3186" s="115">
        <v>0</v>
      </c>
    </row>
    <row r="3187" spans="1:11" x14ac:dyDescent="0.25">
      <c r="A3187" s="115">
        <v>-1</v>
      </c>
      <c r="B3187" s="115" t="s">
        <v>3630</v>
      </c>
      <c r="C3187" s="115" t="s">
        <v>1239</v>
      </c>
      <c r="D3187" s="115" t="s">
        <v>10247</v>
      </c>
      <c r="E3187" s="115" t="s">
        <v>1242</v>
      </c>
      <c r="F3187" s="115">
        <v>0</v>
      </c>
      <c r="G3187" s="115">
        <v>0</v>
      </c>
      <c r="H3187" s="115">
        <v>0</v>
      </c>
      <c r="I3187" s="115">
        <v>0</v>
      </c>
      <c r="J3187" s="115">
        <v>0</v>
      </c>
      <c r="K3187" s="115">
        <v>0</v>
      </c>
    </row>
    <row r="3188" spans="1:11" x14ac:dyDescent="0.25">
      <c r="B3188" s="115" t="s">
        <v>2884</v>
      </c>
      <c r="D3188" s="115" t="s">
        <v>10248</v>
      </c>
      <c r="E3188" s="115" t="s">
        <v>3631</v>
      </c>
      <c r="F3188" s="115">
        <v>-72</v>
      </c>
      <c r="G3188" s="115">
        <v>226</v>
      </c>
      <c r="H3188" s="115">
        <v>0</v>
      </c>
      <c r="I3188" s="115">
        <v>-8127</v>
      </c>
      <c r="J3188" s="115">
        <v>992</v>
      </c>
      <c r="K3188" s="115">
        <v>0</v>
      </c>
    </row>
    <row r="3189" spans="1:11" x14ac:dyDescent="0.25">
      <c r="B3189" s="115" t="s">
        <v>1241</v>
      </c>
      <c r="D3189" s="115" t="s">
        <v>10249</v>
      </c>
      <c r="E3189" s="115" t="s">
        <v>3632</v>
      </c>
      <c r="F3189" s="115">
        <v>-21286</v>
      </c>
      <c r="G3189" s="115">
        <v>7361</v>
      </c>
      <c r="H3189" s="115">
        <v>-214</v>
      </c>
      <c r="I3189" s="115">
        <v>59</v>
      </c>
      <c r="J3189" s="115">
        <v>531</v>
      </c>
      <c r="K3189" s="115">
        <v>2114</v>
      </c>
    </row>
    <row r="3190" spans="1:11" x14ac:dyDescent="0.25">
      <c r="B3190" s="115" t="s">
        <v>1241</v>
      </c>
      <c r="D3190" s="115" t="s">
        <v>10250</v>
      </c>
      <c r="E3190" s="115" t="s">
        <v>3633</v>
      </c>
      <c r="F3190" s="115">
        <v>392</v>
      </c>
      <c r="G3190" s="115">
        <v>0</v>
      </c>
      <c r="H3190" s="115">
        <v>-850</v>
      </c>
      <c r="I3190" s="115">
        <v>0</v>
      </c>
      <c r="J3190" s="115">
        <v>0</v>
      </c>
      <c r="K3190" s="115">
        <v>268</v>
      </c>
    </row>
    <row r="3191" spans="1:11" x14ac:dyDescent="0.25">
      <c r="B3191" s="115" t="s">
        <v>1699</v>
      </c>
      <c r="D3191" s="115" t="s">
        <v>10251</v>
      </c>
      <c r="E3191" s="115" t="s">
        <v>3634</v>
      </c>
      <c r="F3191" s="115">
        <v>0</v>
      </c>
      <c r="G3191" s="115">
        <v>5702</v>
      </c>
      <c r="H3191" s="115">
        <v>0</v>
      </c>
      <c r="I3191" s="115">
        <v>-2093</v>
      </c>
      <c r="J3191" s="115">
        <v>-158</v>
      </c>
      <c r="K3191" s="115">
        <v>733</v>
      </c>
    </row>
    <row r="3192" spans="1:11" x14ac:dyDescent="0.25">
      <c r="A3192" s="115">
        <v>5</v>
      </c>
      <c r="B3192" s="115" t="s">
        <v>3635</v>
      </c>
      <c r="C3192" s="115">
        <v>2</v>
      </c>
      <c r="D3192" s="115" t="s">
        <v>10252</v>
      </c>
      <c r="E3192" s="115" t="s">
        <v>3636</v>
      </c>
      <c r="F3192" s="115">
        <v>27563</v>
      </c>
      <c r="G3192" s="115">
        <v>35974</v>
      </c>
      <c r="H3192" s="115">
        <v>0</v>
      </c>
      <c r="I3192" s="115">
        <v>0</v>
      </c>
      <c r="J3192" s="115">
        <v>0</v>
      </c>
      <c r="K3192" s="115">
        <v>0</v>
      </c>
    </row>
    <row r="3193" spans="1:11" x14ac:dyDescent="0.25">
      <c r="B3193" s="115" t="s">
        <v>1241</v>
      </c>
      <c r="D3193" s="115" t="s">
        <v>8710</v>
      </c>
      <c r="E3193" s="115" t="s">
        <v>1242</v>
      </c>
      <c r="F3193" s="115">
        <v>0</v>
      </c>
      <c r="G3193" s="115">
        <v>0</v>
      </c>
      <c r="H3193" s="115">
        <v>0</v>
      </c>
      <c r="I3193" s="115">
        <v>0</v>
      </c>
      <c r="J3193" s="115">
        <v>0</v>
      </c>
      <c r="K3193" s="115">
        <v>0</v>
      </c>
    </row>
    <row r="3194" spans="1:11" x14ac:dyDescent="0.25">
      <c r="B3194" s="115" t="s">
        <v>1241</v>
      </c>
      <c r="D3194" s="115" t="s">
        <v>8710</v>
      </c>
      <c r="E3194" s="115" t="s">
        <v>1242</v>
      </c>
      <c r="F3194" s="115">
        <v>0</v>
      </c>
      <c r="G3194" s="115">
        <v>0</v>
      </c>
      <c r="H3194" s="115">
        <v>0</v>
      </c>
      <c r="I3194" s="115">
        <v>0</v>
      </c>
      <c r="J3194" s="115">
        <v>0</v>
      </c>
      <c r="K3194" s="115">
        <v>0</v>
      </c>
    </row>
    <row r="3195" spans="1:11" x14ac:dyDescent="0.25">
      <c r="B3195" s="115" t="s">
        <v>1241</v>
      </c>
      <c r="D3195" s="115" t="s">
        <v>8710</v>
      </c>
      <c r="E3195" s="115" t="s">
        <v>1242</v>
      </c>
      <c r="F3195" s="115">
        <v>0</v>
      </c>
      <c r="G3195" s="115">
        <v>0</v>
      </c>
      <c r="H3195" s="115">
        <v>0</v>
      </c>
      <c r="I3195" s="115">
        <v>0</v>
      </c>
      <c r="J3195" s="115">
        <v>0</v>
      </c>
      <c r="K3195" s="115">
        <v>0</v>
      </c>
    </row>
    <row r="3196" spans="1:11" x14ac:dyDescent="0.25">
      <c r="B3196" s="115" t="s">
        <v>1241</v>
      </c>
      <c r="D3196" s="115" t="s">
        <v>8710</v>
      </c>
      <c r="E3196" s="115" t="s">
        <v>1242</v>
      </c>
      <c r="F3196" s="115">
        <v>0</v>
      </c>
      <c r="G3196" s="115">
        <v>0</v>
      </c>
      <c r="H3196" s="115">
        <v>0</v>
      </c>
      <c r="I3196" s="115">
        <v>0</v>
      </c>
      <c r="J3196" s="115">
        <v>0</v>
      </c>
      <c r="K3196" s="115">
        <v>0</v>
      </c>
    </row>
    <row r="3197" spans="1:11" x14ac:dyDescent="0.25">
      <c r="B3197" s="115" t="s">
        <v>1241</v>
      </c>
      <c r="D3197" s="115" t="s">
        <v>8710</v>
      </c>
      <c r="E3197" s="115" t="s">
        <v>1242</v>
      </c>
      <c r="F3197" s="115">
        <v>0</v>
      </c>
      <c r="G3197" s="115">
        <v>0</v>
      </c>
      <c r="H3197" s="115">
        <v>0</v>
      </c>
      <c r="I3197" s="115">
        <v>0</v>
      </c>
      <c r="J3197" s="115">
        <v>0</v>
      </c>
      <c r="K3197" s="115">
        <v>0</v>
      </c>
    </row>
    <row r="3198" spans="1:11" x14ac:dyDescent="0.25">
      <c r="B3198" s="115" t="s">
        <v>1241</v>
      </c>
      <c r="D3198" s="115" t="s">
        <v>8710</v>
      </c>
      <c r="E3198" s="115" t="s">
        <v>1242</v>
      </c>
      <c r="F3198" s="115">
        <v>0</v>
      </c>
      <c r="G3198" s="115">
        <v>0</v>
      </c>
      <c r="H3198" s="115">
        <v>0</v>
      </c>
      <c r="I3198" s="115">
        <v>0</v>
      </c>
      <c r="J3198" s="115">
        <v>0</v>
      </c>
      <c r="K3198" s="115">
        <v>0</v>
      </c>
    </row>
    <row r="3199" spans="1:11" x14ac:dyDescent="0.25">
      <c r="B3199" s="115" t="s">
        <v>1241</v>
      </c>
      <c r="D3199" s="115" t="s">
        <v>8710</v>
      </c>
      <c r="E3199" s="115" t="s">
        <v>1242</v>
      </c>
      <c r="F3199" s="115">
        <v>0</v>
      </c>
      <c r="G3199" s="115">
        <v>0</v>
      </c>
      <c r="H3199" s="115">
        <v>0</v>
      </c>
      <c r="I3199" s="115">
        <v>0</v>
      </c>
      <c r="J3199" s="115">
        <v>0</v>
      </c>
      <c r="K3199" s="115">
        <v>0</v>
      </c>
    </row>
    <row r="3200" spans="1:11" x14ac:dyDescent="0.25">
      <c r="B3200" s="115" t="s">
        <v>1241</v>
      </c>
      <c r="D3200" s="115" t="s">
        <v>8710</v>
      </c>
      <c r="E3200" s="115" t="s">
        <v>1242</v>
      </c>
      <c r="F3200" s="115">
        <v>0</v>
      </c>
      <c r="G3200" s="115">
        <v>0</v>
      </c>
      <c r="H3200" s="115">
        <v>0</v>
      </c>
      <c r="I3200" s="115">
        <v>0</v>
      </c>
      <c r="J3200" s="115">
        <v>0</v>
      </c>
      <c r="K3200" s="115">
        <v>0</v>
      </c>
    </row>
    <row r="3201" spans="2:11" x14ac:dyDescent="0.25">
      <c r="B3201" s="115" t="s">
        <v>1241</v>
      </c>
      <c r="D3201" s="115" t="s">
        <v>8710</v>
      </c>
      <c r="E3201" s="115" t="s">
        <v>1242</v>
      </c>
      <c r="F3201" s="115">
        <v>0</v>
      </c>
      <c r="G3201" s="115">
        <v>0</v>
      </c>
      <c r="H3201" s="115">
        <v>0</v>
      </c>
      <c r="I3201" s="115">
        <v>0</v>
      </c>
      <c r="J3201" s="115">
        <v>0</v>
      </c>
      <c r="K3201" s="115">
        <v>0</v>
      </c>
    </row>
    <row r="3202" spans="2:11" x14ac:dyDescent="0.25">
      <c r="B3202" s="115" t="s">
        <v>1241</v>
      </c>
      <c r="D3202" s="115" t="s">
        <v>8710</v>
      </c>
      <c r="E3202" s="115" t="s">
        <v>1242</v>
      </c>
      <c r="F3202" s="115">
        <v>0</v>
      </c>
      <c r="G3202" s="115">
        <v>0</v>
      </c>
      <c r="H3202" s="115">
        <v>0</v>
      </c>
      <c r="I3202" s="115">
        <v>0</v>
      </c>
      <c r="J3202" s="115">
        <v>0</v>
      </c>
      <c r="K3202" s="115">
        <v>0</v>
      </c>
    </row>
    <row r="3203" spans="2:11" x14ac:dyDescent="0.25">
      <c r="B3203" s="115" t="s">
        <v>1241</v>
      </c>
      <c r="D3203" s="115" t="s">
        <v>8710</v>
      </c>
      <c r="E3203" s="115" t="s">
        <v>1242</v>
      </c>
      <c r="F3203" s="115">
        <v>0</v>
      </c>
      <c r="G3203" s="115">
        <v>0</v>
      </c>
      <c r="H3203" s="115">
        <v>0</v>
      </c>
      <c r="I3203" s="115">
        <v>0</v>
      </c>
      <c r="J3203" s="115">
        <v>0</v>
      </c>
      <c r="K3203" s="115">
        <v>0</v>
      </c>
    </row>
    <row r="3204" spans="2:11" x14ac:dyDescent="0.25">
      <c r="B3204" s="115" t="s">
        <v>1241</v>
      </c>
      <c r="D3204" s="115" t="s">
        <v>8710</v>
      </c>
      <c r="E3204" s="115" t="s">
        <v>1242</v>
      </c>
      <c r="F3204" s="115">
        <v>0</v>
      </c>
      <c r="G3204" s="115">
        <v>0</v>
      </c>
      <c r="H3204" s="115">
        <v>0</v>
      </c>
      <c r="I3204" s="115">
        <v>0</v>
      </c>
      <c r="J3204" s="115">
        <v>0</v>
      </c>
      <c r="K3204" s="115">
        <v>0</v>
      </c>
    </row>
    <row r="3205" spans="2:11" x14ac:dyDescent="0.25">
      <c r="B3205" s="115" t="s">
        <v>1241</v>
      </c>
      <c r="D3205" s="115" t="s">
        <v>8710</v>
      </c>
      <c r="E3205" s="115" t="s">
        <v>1242</v>
      </c>
      <c r="F3205" s="115">
        <v>0</v>
      </c>
      <c r="G3205" s="115">
        <v>0</v>
      </c>
      <c r="H3205" s="115">
        <v>0</v>
      </c>
      <c r="I3205" s="115">
        <v>0</v>
      </c>
      <c r="J3205" s="115">
        <v>0</v>
      </c>
      <c r="K3205" s="115">
        <v>0</v>
      </c>
    </row>
    <row r="3206" spans="2:11" x14ac:dyDescent="0.25">
      <c r="B3206" s="115" t="s">
        <v>1241</v>
      </c>
      <c r="D3206" s="115" t="s">
        <v>8710</v>
      </c>
      <c r="E3206" s="115" t="s">
        <v>1242</v>
      </c>
      <c r="F3206" s="115">
        <v>0</v>
      </c>
      <c r="G3206" s="115">
        <v>0</v>
      </c>
      <c r="H3206" s="115">
        <v>0</v>
      </c>
      <c r="I3206" s="115">
        <v>0</v>
      </c>
      <c r="J3206" s="115">
        <v>0</v>
      </c>
      <c r="K3206" s="115">
        <v>0</v>
      </c>
    </row>
    <row r="3207" spans="2:11" x14ac:dyDescent="0.25">
      <c r="B3207" s="115" t="s">
        <v>1241</v>
      </c>
      <c r="D3207" s="115" t="s">
        <v>8710</v>
      </c>
      <c r="E3207" s="115" t="s">
        <v>1242</v>
      </c>
      <c r="F3207" s="115">
        <v>0</v>
      </c>
      <c r="G3207" s="115">
        <v>0</v>
      </c>
      <c r="H3207" s="115">
        <v>0</v>
      </c>
      <c r="I3207" s="115">
        <v>0</v>
      </c>
      <c r="J3207" s="115">
        <v>0</v>
      </c>
      <c r="K3207" s="115">
        <v>0</v>
      </c>
    </row>
    <row r="3208" spans="2:11" x14ac:dyDescent="0.25">
      <c r="B3208" s="115" t="s">
        <v>1241</v>
      </c>
      <c r="D3208" s="115" t="s">
        <v>8710</v>
      </c>
      <c r="E3208" s="115" t="s">
        <v>1242</v>
      </c>
      <c r="F3208" s="115">
        <v>0</v>
      </c>
      <c r="G3208" s="115">
        <v>0</v>
      </c>
      <c r="H3208" s="115">
        <v>0</v>
      </c>
      <c r="I3208" s="115">
        <v>0</v>
      </c>
      <c r="J3208" s="115">
        <v>0</v>
      </c>
      <c r="K3208" s="115">
        <v>0</v>
      </c>
    </row>
    <row r="3209" spans="2:11" x14ac:dyDescent="0.25">
      <c r="B3209" s="115" t="s">
        <v>1241</v>
      </c>
      <c r="D3209" s="115" t="s">
        <v>8710</v>
      </c>
      <c r="E3209" s="115" t="s">
        <v>1242</v>
      </c>
      <c r="F3209" s="115">
        <v>0</v>
      </c>
      <c r="G3209" s="115">
        <v>0</v>
      </c>
      <c r="H3209" s="115">
        <v>0</v>
      </c>
      <c r="I3209" s="115">
        <v>0</v>
      </c>
      <c r="J3209" s="115">
        <v>0</v>
      </c>
      <c r="K3209" s="115">
        <v>0</v>
      </c>
    </row>
    <row r="3210" spans="2:11" x14ac:dyDescent="0.25">
      <c r="B3210" s="115" t="s">
        <v>1241</v>
      </c>
      <c r="D3210" s="115" t="s">
        <v>8710</v>
      </c>
      <c r="E3210" s="115" t="s">
        <v>1242</v>
      </c>
      <c r="F3210" s="115">
        <v>0</v>
      </c>
      <c r="G3210" s="115">
        <v>0</v>
      </c>
      <c r="H3210" s="115">
        <v>0</v>
      </c>
      <c r="I3210" s="115">
        <v>0</v>
      </c>
      <c r="J3210" s="115">
        <v>0</v>
      </c>
      <c r="K3210" s="115">
        <v>0</v>
      </c>
    </row>
    <row r="3211" spans="2:11" x14ac:dyDescent="0.25">
      <c r="B3211" s="115" t="s">
        <v>1241</v>
      </c>
      <c r="D3211" s="115" t="s">
        <v>8710</v>
      </c>
      <c r="E3211" s="115" t="s">
        <v>1242</v>
      </c>
      <c r="F3211" s="115">
        <v>0</v>
      </c>
      <c r="G3211" s="115">
        <v>0</v>
      </c>
      <c r="H3211" s="115">
        <v>0</v>
      </c>
      <c r="I3211" s="115">
        <v>0</v>
      </c>
      <c r="J3211" s="115">
        <v>0</v>
      </c>
      <c r="K3211" s="115">
        <v>0</v>
      </c>
    </row>
    <row r="3212" spans="2:11" x14ac:dyDescent="0.25">
      <c r="B3212" s="115" t="s">
        <v>1241</v>
      </c>
      <c r="D3212" s="115" t="s">
        <v>8710</v>
      </c>
      <c r="E3212" s="115" t="s">
        <v>1242</v>
      </c>
      <c r="F3212" s="115">
        <v>0</v>
      </c>
      <c r="G3212" s="115">
        <v>0</v>
      </c>
      <c r="H3212" s="115">
        <v>0</v>
      </c>
      <c r="I3212" s="115">
        <v>0</v>
      </c>
      <c r="J3212" s="115">
        <v>0</v>
      </c>
      <c r="K3212" s="115">
        <v>0</v>
      </c>
    </row>
    <row r="3213" spans="2:11" x14ac:dyDescent="0.25">
      <c r="B3213" s="115" t="s">
        <v>1241</v>
      </c>
      <c r="D3213" s="115" t="s">
        <v>8710</v>
      </c>
      <c r="E3213" s="115" t="s">
        <v>1242</v>
      </c>
      <c r="F3213" s="115">
        <v>0</v>
      </c>
      <c r="G3213" s="115">
        <v>0</v>
      </c>
      <c r="H3213" s="115">
        <v>0</v>
      </c>
      <c r="I3213" s="115">
        <v>0</v>
      </c>
      <c r="J3213" s="115">
        <v>0</v>
      </c>
      <c r="K3213" s="115">
        <v>0</v>
      </c>
    </row>
    <row r="3214" spans="2:11" x14ac:dyDescent="0.25">
      <c r="B3214" s="115" t="s">
        <v>1241</v>
      </c>
      <c r="D3214" s="115" t="s">
        <v>8710</v>
      </c>
      <c r="E3214" s="115" t="s">
        <v>1242</v>
      </c>
      <c r="F3214" s="115">
        <v>0</v>
      </c>
      <c r="G3214" s="115">
        <v>0</v>
      </c>
      <c r="H3214" s="115">
        <v>0</v>
      </c>
      <c r="I3214" s="115">
        <v>0</v>
      </c>
      <c r="J3214" s="115">
        <v>0</v>
      </c>
      <c r="K3214" s="115">
        <v>0</v>
      </c>
    </row>
    <row r="3215" spans="2:11" x14ac:dyDescent="0.25">
      <c r="B3215" s="115" t="s">
        <v>1241</v>
      </c>
      <c r="D3215" s="115" t="s">
        <v>8710</v>
      </c>
      <c r="E3215" s="115" t="s">
        <v>1242</v>
      </c>
      <c r="F3215" s="115">
        <v>0</v>
      </c>
      <c r="G3215" s="115">
        <v>0</v>
      </c>
      <c r="H3215" s="115">
        <v>0</v>
      </c>
      <c r="I3215" s="115">
        <v>0</v>
      </c>
      <c r="J3215" s="115">
        <v>0</v>
      </c>
      <c r="K3215" s="115">
        <v>0</v>
      </c>
    </row>
    <row r="3216" spans="2:11" x14ac:dyDescent="0.25">
      <c r="B3216" s="115" t="s">
        <v>1241</v>
      </c>
      <c r="D3216" s="115" t="s">
        <v>8710</v>
      </c>
      <c r="E3216" s="115" t="s">
        <v>1242</v>
      </c>
      <c r="F3216" s="115">
        <v>0</v>
      </c>
      <c r="G3216" s="115">
        <v>0</v>
      </c>
      <c r="H3216" s="115">
        <v>0</v>
      </c>
      <c r="I3216" s="115">
        <v>0</v>
      </c>
      <c r="J3216" s="115">
        <v>0</v>
      </c>
      <c r="K3216" s="115">
        <v>0</v>
      </c>
    </row>
    <row r="3217" spans="2:11" x14ac:dyDescent="0.25">
      <c r="B3217" s="115" t="s">
        <v>1241</v>
      </c>
      <c r="D3217" s="115" t="s">
        <v>8710</v>
      </c>
      <c r="E3217" s="115" t="s">
        <v>1242</v>
      </c>
      <c r="F3217" s="115">
        <v>0</v>
      </c>
      <c r="G3217" s="115">
        <v>0</v>
      </c>
      <c r="H3217" s="115">
        <v>0</v>
      </c>
      <c r="I3217" s="115">
        <v>0</v>
      </c>
      <c r="J3217" s="115">
        <v>0</v>
      </c>
      <c r="K3217" s="115">
        <v>0</v>
      </c>
    </row>
    <row r="3218" spans="2:11" x14ac:dyDescent="0.25">
      <c r="B3218" s="115" t="s">
        <v>1241</v>
      </c>
      <c r="D3218" s="115" t="s">
        <v>8710</v>
      </c>
      <c r="E3218" s="115" t="s">
        <v>1242</v>
      </c>
      <c r="F3218" s="115">
        <v>0</v>
      </c>
      <c r="G3218" s="115">
        <v>0</v>
      </c>
      <c r="H3218" s="115">
        <v>0</v>
      </c>
      <c r="I3218" s="115">
        <v>0</v>
      </c>
      <c r="J3218" s="115">
        <v>0</v>
      </c>
      <c r="K3218" s="115">
        <v>0</v>
      </c>
    </row>
    <row r="3219" spans="2:11" x14ac:dyDescent="0.25">
      <c r="B3219" s="115" t="s">
        <v>1241</v>
      </c>
      <c r="D3219" s="115" t="s">
        <v>8710</v>
      </c>
      <c r="E3219" s="115" t="s">
        <v>1242</v>
      </c>
      <c r="F3219" s="115">
        <v>0</v>
      </c>
      <c r="G3219" s="115">
        <v>0</v>
      </c>
      <c r="H3219" s="115">
        <v>0</v>
      </c>
      <c r="I3219" s="115">
        <v>0</v>
      </c>
      <c r="J3219" s="115">
        <v>0</v>
      </c>
      <c r="K3219" s="115">
        <v>0</v>
      </c>
    </row>
    <row r="3220" spans="2:11" x14ac:dyDescent="0.25">
      <c r="B3220" s="115" t="s">
        <v>1241</v>
      </c>
      <c r="D3220" s="115" t="s">
        <v>8710</v>
      </c>
      <c r="E3220" s="115" t="s">
        <v>1242</v>
      </c>
      <c r="F3220" s="115">
        <v>0</v>
      </c>
      <c r="G3220" s="115">
        <v>0</v>
      </c>
      <c r="H3220" s="115">
        <v>0</v>
      </c>
      <c r="I3220" s="115">
        <v>0</v>
      </c>
      <c r="J3220" s="115">
        <v>0</v>
      </c>
      <c r="K3220" s="115">
        <v>0</v>
      </c>
    </row>
    <row r="3221" spans="2:11" x14ac:dyDescent="0.25">
      <c r="B3221" s="115" t="s">
        <v>1241</v>
      </c>
      <c r="D3221" s="115" t="s">
        <v>8710</v>
      </c>
      <c r="E3221" s="115" t="s">
        <v>1242</v>
      </c>
      <c r="F3221" s="115">
        <v>0</v>
      </c>
      <c r="G3221" s="115">
        <v>0</v>
      </c>
      <c r="H3221" s="115">
        <v>0</v>
      </c>
      <c r="I3221" s="115">
        <v>0</v>
      </c>
      <c r="J3221" s="115">
        <v>0</v>
      </c>
      <c r="K3221" s="115">
        <v>0</v>
      </c>
    </row>
    <row r="3222" spans="2:11" x14ac:dyDescent="0.25">
      <c r="B3222" s="115" t="s">
        <v>1241</v>
      </c>
      <c r="D3222" s="115" t="s">
        <v>8710</v>
      </c>
      <c r="E3222" s="115" t="s">
        <v>1242</v>
      </c>
      <c r="F3222" s="115">
        <v>0</v>
      </c>
      <c r="G3222" s="115">
        <v>0</v>
      </c>
      <c r="H3222" s="115">
        <v>0</v>
      </c>
      <c r="I3222" s="115">
        <v>0</v>
      </c>
      <c r="J3222" s="115">
        <v>0</v>
      </c>
      <c r="K3222" s="115">
        <v>0</v>
      </c>
    </row>
    <row r="3223" spans="2:11" x14ac:dyDescent="0.25">
      <c r="B3223" s="115" t="s">
        <v>1241</v>
      </c>
      <c r="D3223" s="115" t="s">
        <v>8710</v>
      </c>
      <c r="E3223" s="115" t="s">
        <v>1242</v>
      </c>
      <c r="F3223" s="115">
        <v>0</v>
      </c>
      <c r="G3223" s="115">
        <v>0</v>
      </c>
      <c r="H3223" s="115">
        <v>0</v>
      </c>
      <c r="I3223" s="115">
        <v>0</v>
      </c>
      <c r="J3223" s="115">
        <v>0</v>
      </c>
      <c r="K3223" s="115">
        <v>0</v>
      </c>
    </row>
    <row r="3224" spans="2:11" x14ac:dyDescent="0.25">
      <c r="B3224" s="115" t="s">
        <v>1241</v>
      </c>
      <c r="D3224" s="115" t="s">
        <v>8710</v>
      </c>
      <c r="E3224" s="115" t="s">
        <v>1242</v>
      </c>
      <c r="F3224" s="115">
        <v>0</v>
      </c>
      <c r="G3224" s="115">
        <v>0</v>
      </c>
      <c r="H3224" s="115">
        <v>0</v>
      </c>
      <c r="I3224" s="115">
        <v>0</v>
      </c>
      <c r="J3224" s="115">
        <v>0</v>
      </c>
      <c r="K3224" s="115">
        <v>0</v>
      </c>
    </row>
    <row r="3225" spans="2:11" x14ac:dyDescent="0.25">
      <c r="B3225" s="115" t="s">
        <v>1241</v>
      </c>
      <c r="D3225" s="115" t="s">
        <v>8710</v>
      </c>
      <c r="E3225" s="115" t="s">
        <v>1242</v>
      </c>
      <c r="F3225" s="115">
        <v>0</v>
      </c>
      <c r="G3225" s="115">
        <v>0</v>
      </c>
      <c r="H3225" s="115">
        <v>0</v>
      </c>
      <c r="I3225" s="115">
        <v>0</v>
      </c>
      <c r="J3225" s="115">
        <v>0</v>
      </c>
      <c r="K3225" s="115">
        <v>0</v>
      </c>
    </row>
    <row r="3226" spans="2:11" x14ac:dyDescent="0.25">
      <c r="B3226" s="115" t="s">
        <v>1241</v>
      </c>
      <c r="D3226" s="115" t="s">
        <v>8710</v>
      </c>
      <c r="E3226" s="115" t="s">
        <v>1242</v>
      </c>
      <c r="F3226" s="115">
        <v>0</v>
      </c>
      <c r="G3226" s="115">
        <v>0</v>
      </c>
      <c r="H3226" s="115">
        <v>0</v>
      </c>
      <c r="I3226" s="115">
        <v>0</v>
      </c>
      <c r="J3226" s="115">
        <v>0</v>
      </c>
      <c r="K3226" s="115">
        <v>0</v>
      </c>
    </row>
    <row r="3227" spans="2:11" x14ac:dyDescent="0.25">
      <c r="B3227" s="115" t="s">
        <v>1241</v>
      </c>
      <c r="D3227" s="115" t="s">
        <v>8710</v>
      </c>
      <c r="E3227" s="115" t="s">
        <v>1242</v>
      </c>
      <c r="F3227" s="115">
        <v>0</v>
      </c>
      <c r="G3227" s="115">
        <v>0</v>
      </c>
      <c r="H3227" s="115">
        <v>0</v>
      </c>
      <c r="I3227" s="115">
        <v>0</v>
      </c>
      <c r="J3227" s="115">
        <v>0</v>
      </c>
      <c r="K3227" s="115">
        <v>0</v>
      </c>
    </row>
    <row r="3228" spans="2:11" x14ac:dyDescent="0.25">
      <c r="B3228" s="115" t="s">
        <v>1241</v>
      </c>
      <c r="D3228" s="115" t="s">
        <v>8710</v>
      </c>
      <c r="E3228" s="115" t="s">
        <v>1242</v>
      </c>
      <c r="F3228" s="115">
        <v>0</v>
      </c>
      <c r="G3228" s="115">
        <v>0</v>
      </c>
      <c r="H3228" s="115">
        <v>0</v>
      </c>
      <c r="I3228" s="115">
        <v>0</v>
      </c>
      <c r="J3228" s="115">
        <v>0</v>
      </c>
      <c r="K3228" s="115">
        <v>0</v>
      </c>
    </row>
    <row r="3229" spans="2:11" x14ac:dyDescent="0.25">
      <c r="B3229" s="115" t="s">
        <v>1241</v>
      </c>
      <c r="D3229" s="115" t="s">
        <v>8710</v>
      </c>
      <c r="E3229" s="115" t="s">
        <v>1242</v>
      </c>
      <c r="F3229" s="115">
        <v>0</v>
      </c>
      <c r="G3229" s="115">
        <v>0</v>
      </c>
      <c r="H3229" s="115">
        <v>0</v>
      </c>
      <c r="I3229" s="115">
        <v>0</v>
      </c>
      <c r="J3229" s="115">
        <v>0</v>
      </c>
      <c r="K3229" s="115">
        <v>0</v>
      </c>
    </row>
    <row r="3230" spans="2:11" x14ac:dyDescent="0.25">
      <c r="B3230" s="115" t="s">
        <v>1241</v>
      </c>
      <c r="D3230" s="115" t="s">
        <v>8710</v>
      </c>
      <c r="E3230" s="115" t="s">
        <v>1242</v>
      </c>
      <c r="F3230" s="115">
        <v>0</v>
      </c>
      <c r="G3230" s="115">
        <v>0</v>
      </c>
      <c r="H3230" s="115">
        <v>0</v>
      </c>
      <c r="I3230" s="115">
        <v>0</v>
      </c>
      <c r="J3230" s="115">
        <v>0</v>
      </c>
      <c r="K3230" s="115">
        <v>0</v>
      </c>
    </row>
    <row r="3231" spans="2:11" x14ac:dyDescent="0.25">
      <c r="B3231" s="115" t="s">
        <v>1241</v>
      </c>
      <c r="D3231" s="115" t="s">
        <v>8710</v>
      </c>
      <c r="E3231" s="115" t="s">
        <v>1242</v>
      </c>
      <c r="F3231" s="115">
        <v>0</v>
      </c>
      <c r="G3231" s="115">
        <v>0</v>
      </c>
      <c r="H3231" s="115">
        <v>0</v>
      </c>
      <c r="I3231" s="115">
        <v>0</v>
      </c>
      <c r="J3231" s="115">
        <v>0</v>
      </c>
      <c r="K3231" s="115">
        <v>0</v>
      </c>
    </row>
    <row r="3232" spans="2:11" x14ac:dyDescent="0.25">
      <c r="B3232" s="115" t="s">
        <v>1241</v>
      </c>
      <c r="D3232" s="115" t="s">
        <v>8710</v>
      </c>
      <c r="E3232" s="115" t="s">
        <v>1242</v>
      </c>
      <c r="F3232" s="115">
        <v>0</v>
      </c>
      <c r="G3232" s="115">
        <v>0</v>
      </c>
      <c r="H3232" s="115">
        <v>0</v>
      </c>
      <c r="I3232" s="115">
        <v>0</v>
      </c>
      <c r="J3232" s="115">
        <v>0</v>
      </c>
      <c r="K3232" s="115">
        <v>0</v>
      </c>
    </row>
    <row r="3233" spans="2:11" x14ac:dyDescent="0.25">
      <c r="B3233" s="115" t="s">
        <v>1241</v>
      </c>
      <c r="D3233" s="115" t="s">
        <v>8710</v>
      </c>
      <c r="E3233" s="115" t="s">
        <v>1242</v>
      </c>
      <c r="F3233" s="115">
        <v>0</v>
      </c>
      <c r="G3233" s="115">
        <v>0</v>
      </c>
      <c r="H3233" s="115">
        <v>0</v>
      </c>
      <c r="I3233" s="115">
        <v>0</v>
      </c>
      <c r="J3233" s="115">
        <v>0</v>
      </c>
      <c r="K3233" s="115">
        <v>0</v>
      </c>
    </row>
    <row r="3234" spans="2:11" x14ac:dyDescent="0.25">
      <c r="B3234" s="115" t="s">
        <v>1241</v>
      </c>
      <c r="D3234" s="115" t="s">
        <v>8710</v>
      </c>
      <c r="E3234" s="115" t="s">
        <v>1242</v>
      </c>
      <c r="F3234" s="115">
        <v>0</v>
      </c>
      <c r="G3234" s="115">
        <v>0</v>
      </c>
      <c r="H3234" s="115">
        <v>0</v>
      </c>
      <c r="I3234" s="115">
        <v>0</v>
      </c>
      <c r="J3234" s="115">
        <v>0</v>
      </c>
      <c r="K3234" s="115">
        <v>0</v>
      </c>
    </row>
    <row r="3235" spans="2:11" x14ac:dyDescent="0.25">
      <c r="B3235" s="115" t="s">
        <v>1241</v>
      </c>
      <c r="D3235" s="115" t="s">
        <v>8710</v>
      </c>
      <c r="E3235" s="115" t="s">
        <v>1242</v>
      </c>
      <c r="F3235" s="115">
        <v>0</v>
      </c>
      <c r="G3235" s="115">
        <v>0</v>
      </c>
      <c r="H3235" s="115">
        <v>0</v>
      </c>
      <c r="I3235" s="115">
        <v>0</v>
      </c>
      <c r="J3235" s="115">
        <v>0</v>
      </c>
      <c r="K3235" s="115">
        <v>0</v>
      </c>
    </row>
    <row r="3236" spans="2:11" x14ac:dyDescent="0.25">
      <c r="B3236" s="115" t="s">
        <v>1241</v>
      </c>
      <c r="D3236" s="115" t="s">
        <v>8710</v>
      </c>
      <c r="E3236" s="115" t="s">
        <v>1242</v>
      </c>
      <c r="F3236" s="115">
        <v>0</v>
      </c>
      <c r="G3236" s="115">
        <v>0</v>
      </c>
      <c r="H3236" s="115">
        <v>0</v>
      </c>
      <c r="I3236" s="115">
        <v>0</v>
      </c>
      <c r="J3236" s="115">
        <v>0</v>
      </c>
      <c r="K3236" s="115">
        <v>0</v>
      </c>
    </row>
    <row r="3237" spans="2:11" x14ac:dyDescent="0.25">
      <c r="B3237" s="115" t="s">
        <v>1241</v>
      </c>
      <c r="D3237" s="115" t="s">
        <v>8710</v>
      </c>
      <c r="E3237" s="115" t="s">
        <v>1242</v>
      </c>
      <c r="F3237" s="115">
        <v>0</v>
      </c>
      <c r="G3237" s="115">
        <v>0</v>
      </c>
      <c r="H3237" s="115">
        <v>0</v>
      </c>
      <c r="I3237" s="115">
        <v>0</v>
      </c>
      <c r="J3237" s="115">
        <v>0</v>
      </c>
      <c r="K3237" s="115">
        <v>0</v>
      </c>
    </row>
    <row r="3238" spans="2:11" x14ac:dyDescent="0.25">
      <c r="B3238" s="115" t="s">
        <v>1241</v>
      </c>
      <c r="D3238" s="115" t="s">
        <v>8710</v>
      </c>
      <c r="E3238" s="115" t="s">
        <v>1242</v>
      </c>
      <c r="F3238" s="115">
        <v>0</v>
      </c>
      <c r="G3238" s="115">
        <v>0</v>
      </c>
      <c r="H3238" s="115">
        <v>0</v>
      </c>
      <c r="I3238" s="115">
        <v>0</v>
      </c>
      <c r="J3238" s="115">
        <v>0</v>
      </c>
      <c r="K3238" s="115">
        <v>0</v>
      </c>
    </row>
    <row r="3239" spans="2:11" x14ac:dyDescent="0.25">
      <c r="B3239" s="115" t="s">
        <v>1241</v>
      </c>
      <c r="D3239" s="115" t="s">
        <v>8710</v>
      </c>
      <c r="E3239" s="115" t="s">
        <v>1242</v>
      </c>
      <c r="F3239" s="115">
        <v>0</v>
      </c>
      <c r="G3239" s="115">
        <v>0</v>
      </c>
      <c r="H3239" s="115">
        <v>0</v>
      </c>
      <c r="I3239" s="115">
        <v>0</v>
      </c>
      <c r="J3239" s="115">
        <v>0</v>
      </c>
      <c r="K3239" s="115">
        <v>0</v>
      </c>
    </row>
    <row r="3240" spans="2:11" x14ac:dyDescent="0.25">
      <c r="B3240" s="115" t="s">
        <v>1241</v>
      </c>
      <c r="D3240" s="115" t="s">
        <v>8710</v>
      </c>
      <c r="E3240" s="115" t="s">
        <v>1242</v>
      </c>
      <c r="F3240" s="115">
        <v>0</v>
      </c>
      <c r="G3240" s="115">
        <v>0</v>
      </c>
      <c r="H3240" s="115">
        <v>0</v>
      </c>
      <c r="I3240" s="115">
        <v>0</v>
      </c>
      <c r="J3240" s="115">
        <v>0</v>
      </c>
      <c r="K3240" s="115">
        <v>0</v>
      </c>
    </row>
    <row r="3241" spans="2:11" x14ac:dyDescent="0.25">
      <c r="B3241" s="115" t="s">
        <v>1241</v>
      </c>
      <c r="D3241" s="115" t="s">
        <v>8710</v>
      </c>
      <c r="E3241" s="115" t="s">
        <v>1242</v>
      </c>
      <c r="F3241" s="115">
        <v>0</v>
      </c>
      <c r="G3241" s="115">
        <v>0</v>
      </c>
      <c r="H3241" s="115">
        <v>0</v>
      </c>
      <c r="I3241" s="115">
        <v>0</v>
      </c>
      <c r="J3241" s="115">
        <v>0</v>
      </c>
      <c r="K3241" s="115">
        <v>0</v>
      </c>
    </row>
    <row r="3242" spans="2:11" x14ac:dyDescent="0.25">
      <c r="B3242" s="115" t="s">
        <v>1241</v>
      </c>
      <c r="D3242" s="115" t="s">
        <v>8710</v>
      </c>
      <c r="E3242" s="115" t="s">
        <v>1242</v>
      </c>
      <c r="F3242" s="115">
        <v>0</v>
      </c>
      <c r="G3242" s="115">
        <v>0</v>
      </c>
      <c r="H3242" s="115">
        <v>0</v>
      </c>
      <c r="I3242" s="115">
        <v>0</v>
      </c>
      <c r="J3242" s="115">
        <v>0</v>
      </c>
      <c r="K3242" s="115">
        <v>0</v>
      </c>
    </row>
    <row r="3243" spans="2:11" x14ac:dyDescent="0.25">
      <c r="B3243" s="115" t="s">
        <v>1241</v>
      </c>
      <c r="D3243" s="115" t="s">
        <v>8710</v>
      </c>
      <c r="E3243" s="115" t="s">
        <v>1242</v>
      </c>
      <c r="F3243" s="115">
        <v>0</v>
      </c>
      <c r="G3243" s="115">
        <v>0</v>
      </c>
      <c r="H3243" s="115">
        <v>0</v>
      </c>
      <c r="I3243" s="115">
        <v>0</v>
      </c>
      <c r="J3243" s="115">
        <v>0</v>
      </c>
      <c r="K3243" s="115">
        <v>0</v>
      </c>
    </row>
    <row r="3244" spans="2:11" x14ac:dyDescent="0.25">
      <c r="B3244" s="115" t="s">
        <v>1241</v>
      </c>
      <c r="D3244" s="115" t="s">
        <v>8710</v>
      </c>
      <c r="E3244" s="115" t="s">
        <v>1242</v>
      </c>
      <c r="F3244" s="115">
        <v>0</v>
      </c>
      <c r="G3244" s="115">
        <v>0</v>
      </c>
      <c r="H3244" s="115">
        <v>0</v>
      </c>
      <c r="I3244" s="115">
        <v>0</v>
      </c>
      <c r="J3244" s="115">
        <v>0</v>
      </c>
      <c r="K3244" s="115">
        <v>0</v>
      </c>
    </row>
    <row r="3245" spans="2:11" x14ac:dyDescent="0.25">
      <c r="B3245" s="115" t="s">
        <v>1241</v>
      </c>
      <c r="D3245" s="115" t="s">
        <v>8710</v>
      </c>
      <c r="E3245" s="115" t="s">
        <v>1242</v>
      </c>
      <c r="F3245" s="115">
        <v>0</v>
      </c>
      <c r="G3245" s="115">
        <v>0</v>
      </c>
      <c r="H3245" s="115">
        <v>0</v>
      </c>
      <c r="I3245" s="115">
        <v>0</v>
      </c>
      <c r="J3245" s="115">
        <v>0</v>
      </c>
      <c r="K3245" s="115">
        <v>0</v>
      </c>
    </row>
    <row r="3246" spans="2:11" x14ac:dyDescent="0.25">
      <c r="B3246" s="115" t="s">
        <v>1241</v>
      </c>
      <c r="D3246" s="115" t="s">
        <v>8710</v>
      </c>
      <c r="E3246" s="115" t="s">
        <v>1242</v>
      </c>
      <c r="F3246" s="115">
        <v>0</v>
      </c>
      <c r="G3246" s="115">
        <v>0</v>
      </c>
      <c r="H3246" s="115">
        <v>0</v>
      </c>
      <c r="I3246" s="115">
        <v>0</v>
      </c>
      <c r="J3246" s="115">
        <v>0</v>
      </c>
      <c r="K3246" s="115">
        <v>0</v>
      </c>
    </row>
    <row r="3247" spans="2:11" x14ac:dyDescent="0.25">
      <c r="B3247" s="115" t="s">
        <v>1241</v>
      </c>
      <c r="D3247" s="115" t="s">
        <v>8710</v>
      </c>
      <c r="E3247" s="115" t="s">
        <v>1242</v>
      </c>
      <c r="F3247" s="115">
        <v>0</v>
      </c>
      <c r="G3247" s="115">
        <v>0</v>
      </c>
      <c r="H3247" s="115">
        <v>0</v>
      </c>
      <c r="I3247" s="115">
        <v>0</v>
      </c>
      <c r="J3247" s="115">
        <v>0</v>
      </c>
      <c r="K3247" s="115">
        <v>0</v>
      </c>
    </row>
    <row r="3248" spans="2:11" x14ac:dyDescent="0.25">
      <c r="B3248" s="115" t="s">
        <v>1241</v>
      </c>
      <c r="D3248" s="115" t="s">
        <v>8710</v>
      </c>
      <c r="E3248" s="115" t="s">
        <v>1242</v>
      </c>
      <c r="F3248" s="115">
        <v>0</v>
      </c>
      <c r="G3248" s="115">
        <v>0</v>
      </c>
      <c r="H3248" s="115">
        <v>0</v>
      </c>
      <c r="I3248" s="115">
        <v>0</v>
      </c>
      <c r="J3248" s="115">
        <v>0</v>
      </c>
      <c r="K3248" s="115">
        <v>0</v>
      </c>
    </row>
    <row r="3249" spans="2:11" x14ac:dyDescent="0.25">
      <c r="B3249" s="115" t="s">
        <v>1241</v>
      </c>
      <c r="D3249" s="115" t="s">
        <v>8710</v>
      </c>
      <c r="E3249" s="115" t="s">
        <v>1242</v>
      </c>
      <c r="F3249" s="115">
        <v>0</v>
      </c>
      <c r="G3249" s="115">
        <v>0</v>
      </c>
      <c r="H3249" s="115">
        <v>0</v>
      </c>
      <c r="I3249" s="115">
        <v>0</v>
      </c>
      <c r="J3249" s="115">
        <v>0</v>
      </c>
      <c r="K3249" s="115">
        <v>0</v>
      </c>
    </row>
    <row r="3250" spans="2:11" x14ac:dyDescent="0.25">
      <c r="B3250" s="115" t="s">
        <v>1241</v>
      </c>
      <c r="D3250" s="115" t="s">
        <v>8710</v>
      </c>
      <c r="E3250" s="115" t="s">
        <v>1242</v>
      </c>
      <c r="F3250" s="115">
        <v>0</v>
      </c>
      <c r="G3250" s="115">
        <v>0</v>
      </c>
      <c r="H3250" s="115">
        <v>0</v>
      </c>
      <c r="I3250" s="115">
        <v>0</v>
      </c>
      <c r="J3250" s="115">
        <v>0</v>
      </c>
      <c r="K3250" s="115">
        <v>0</v>
      </c>
    </row>
    <row r="3251" spans="2:11" x14ac:dyDescent="0.25">
      <c r="B3251" s="115" t="s">
        <v>1241</v>
      </c>
      <c r="D3251" s="115" t="s">
        <v>8710</v>
      </c>
      <c r="E3251" s="115" t="s">
        <v>1242</v>
      </c>
      <c r="F3251" s="115">
        <v>0</v>
      </c>
      <c r="G3251" s="115">
        <v>0</v>
      </c>
      <c r="H3251" s="115">
        <v>0</v>
      </c>
      <c r="I3251" s="115">
        <v>0</v>
      </c>
      <c r="J3251" s="115">
        <v>0</v>
      </c>
      <c r="K3251" s="115">
        <v>0</v>
      </c>
    </row>
    <row r="3252" spans="2:11" x14ac:dyDescent="0.25">
      <c r="B3252" s="115" t="s">
        <v>1241</v>
      </c>
      <c r="D3252" s="115" t="s">
        <v>8710</v>
      </c>
      <c r="E3252" s="115" t="s">
        <v>1242</v>
      </c>
      <c r="F3252" s="115">
        <v>0</v>
      </c>
      <c r="G3252" s="115">
        <v>0</v>
      </c>
      <c r="H3252" s="115">
        <v>0</v>
      </c>
      <c r="I3252" s="115">
        <v>0</v>
      </c>
      <c r="J3252" s="115">
        <v>0</v>
      </c>
      <c r="K3252" s="115">
        <v>0</v>
      </c>
    </row>
    <row r="3253" spans="2:11" x14ac:dyDescent="0.25">
      <c r="B3253" s="115" t="s">
        <v>1241</v>
      </c>
      <c r="D3253" s="115" t="s">
        <v>8710</v>
      </c>
      <c r="E3253" s="115" t="s">
        <v>1242</v>
      </c>
      <c r="F3253" s="115">
        <v>0</v>
      </c>
      <c r="G3253" s="115">
        <v>0</v>
      </c>
      <c r="H3253" s="115">
        <v>0</v>
      </c>
      <c r="I3253" s="115">
        <v>0</v>
      </c>
      <c r="J3253" s="115">
        <v>0</v>
      </c>
      <c r="K3253" s="115">
        <v>0</v>
      </c>
    </row>
    <row r="3254" spans="2:11" x14ac:dyDescent="0.25">
      <c r="B3254" s="115" t="s">
        <v>1241</v>
      </c>
      <c r="D3254" s="115" t="s">
        <v>8710</v>
      </c>
      <c r="E3254" s="115" t="s">
        <v>1242</v>
      </c>
      <c r="F3254" s="115">
        <v>0</v>
      </c>
      <c r="G3254" s="115">
        <v>0</v>
      </c>
      <c r="H3254" s="115">
        <v>0</v>
      </c>
      <c r="I3254" s="115">
        <v>0</v>
      </c>
      <c r="J3254" s="115">
        <v>0</v>
      </c>
      <c r="K3254" s="115">
        <v>0</v>
      </c>
    </row>
    <row r="3255" spans="2:11" x14ac:dyDescent="0.25">
      <c r="B3255" s="115" t="s">
        <v>1241</v>
      </c>
      <c r="D3255" s="115" t="s">
        <v>8710</v>
      </c>
      <c r="E3255" s="115" t="s">
        <v>1242</v>
      </c>
      <c r="F3255" s="115">
        <v>0</v>
      </c>
      <c r="G3255" s="115">
        <v>0</v>
      </c>
      <c r="H3255" s="115">
        <v>0</v>
      </c>
      <c r="I3255" s="115">
        <v>0</v>
      </c>
      <c r="J3255" s="115">
        <v>0</v>
      </c>
      <c r="K3255" s="115">
        <v>0</v>
      </c>
    </row>
    <row r="3256" spans="2:11" x14ac:dyDescent="0.25">
      <c r="B3256" s="115" t="s">
        <v>1241</v>
      </c>
      <c r="D3256" s="115" t="s">
        <v>8710</v>
      </c>
      <c r="E3256" s="115" t="s">
        <v>1242</v>
      </c>
      <c r="F3256" s="115">
        <v>0</v>
      </c>
      <c r="G3256" s="115">
        <v>0</v>
      </c>
      <c r="H3256" s="115">
        <v>0</v>
      </c>
      <c r="I3256" s="115">
        <v>0</v>
      </c>
      <c r="J3256" s="115">
        <v>0</v>
      </c>
      <c r="K3256" s="115">
        <v>0</v>
      </c>
    </row>
    <row r="3257" spans="2:11" x14ac:dyDescent="0.25">
      <c r="B3257" s="115" t="s">
        <v>1241</v>
      </c>
      <c r="D3257" s="115" t="s">
        <v>8710</v>
      </c>
      <c r="E3257" s="115" t="s">
        <v>1242</v>
      </c>
      <c r="F3257" s="115">
        <v>0</v>
      </c>
      <c r="G3257" s="115">
        <v>0</v>
      </c>
      <c r="H3257" s="115">
        <v>0</v>
      </c>
      <c r="I3257" s="115">
        <v>0</v>
      </c>
      <c r="J3257" s="115">
        <v>0</v>
      </c>
      <c r="K3257" s="115">
        <v>0</v>
      </c>
    </row>
    <row r="3258" spans="2:11" x14ac:dyDescent="0.25">
      <c r="B3258" s="115" t="s">
        <v>1241</v>
      </c>
      <c r="D3258" s="115" t="s">
        <v>8710</v>
      </c>
      <c r="E3258" s="115" t="s">
        <v>1242</v>
      </c>
      <c r="F3258" s="115">
        <v>0</v>
      </c>
      <c r="G3258" s="115">
        <v>0</v>
      </c>
      <c r="H3258" s="115">
        <v>0</v>
      </c>
      <c r="I3258" s="115">
        <v>0</v>
      </c>
      <c r="J3258" s="115">
        <v>0</v>
      </c>
      <c r="K3258" s="115">
        <v>0</v>
      </c>
    </row>
    <row r="3259" spans="2:11" x14ac:dyDescent="0.25">
      <c r="B3259" s="115" t="s">
        <v>1241</v>
      </c>
      <c r="D3259" s="115" t="s">
        <v>8710</v>
      </c>
      <c r="E3259" s="115" t="s">
        <v>1242</v>
      </c>
      <c r="F3259" s="115">
        <v>0</v>
      </c>
      <c r="G3259" s="115">
        <v>0</v>
      </c>
      <c r="H3259" s="115">
        <v>0</v>
      </c>
      <c r="I3259" s="115">
        <v>0</v>
      </c>
      <c r="J3259" s="115">
        <v>0</v>
      </c>
      <c r="K3259" s="115">
        <v>0</v>
      </c>
    </row>
    <row r="3260" spans="2:11" x14ac:dyDescent="0.25">
      <c r="B3260" s="115" t="s">
        <v>1241</v>
      </c>
      <c r="D3260" s="115" t="s">
        <v>8710</v>
      </c>
      <c r="E3260" s="115" t="s">
        <v>1242</v>
      </c>
      <c r="F3260" s="115">
        <v>0</v>
      </c>
      <c r="G3260" s="115">
        <v>0</v>
      </c>
      <c r="H3260" s="115">
        <v>0</v>
      </c>
      <c r="I3260" s="115">
        <v>0</v>
      </c>
      <c r="J3260" s="115">
        <v>0</v>
      </c>
      <c r="K3260" s="115">
        <v>0</v>
      </c>
    </row>
    <row r="3261" spans="2:11" x14ac:dyDescent="0.25">
      <c r="B3261" s="115" t="s">
        <v>1241</v>
      </c>
      <c r="D3261" s="115" t="s">
        <v>8710</v>
      </c>
      <c r="E3261" s="115" t="s">
        <v>1242</v>
      </c>
      <c r="F3261" s="115">
        <v>0</v>
      </c>
      <c r="G3261" s="115">
        <v>0</v>
      </c>
      <c r="H3261" s="115">
        <v>0</v>
      </c>
      <c r="I3261" s="115">
        <v>0</v>
      </c>
      <c r="J3261" s="115">
        <v>0</v>
      </c>
      <c r="K3261" s="115">
        <v>0</v>
      </c>
    </row>
    <row r="3262" spans="2:11" x14ac:dyDescent="0.25">
      <c r="B3262" s="115" t="s">
        <v>1241</v>
      </c>
      <c r="D3262" s="115" t="s">
        <v>8710</v>
      </c>
      <c r="E3262" s="115" t="s">
        <v>1242</v>
      </c>
      <c r="F3262" s="115">
        <v>0</v>
      </c>
      <c r="G3262" s="115">
        <v>0</v>
      </c>
      <c r="H3262" s="115">
        <v>0</v>
      </c>
      <c r="I3262" s="115">
        <v>0</v>
      </c>
      <c r="J3262" s="115">
        <v>0</v>
      </c>
      <c r="K3262" s="115">
        <v>0</v>
      </c>
    </row>
    <row r="3263" spans="2:11" x14ac:dyDescent="0.25">
      <c r="B3263" s="115" t="s">
        <v>1241</v>
      </c>
      <c r="D3263" s="115" t="s">
        <v>8710</v>
      </c>
      <c r="E3263" s="115" t="s">
        <v>1242</v>
      </c>
      <c r="F3263" s="115">
        <v>0</v>
      </c>
      <c r="G3263" s="115">
        <v>0</v>
      </c>
      <c r="H3263" s="115">
        <v>0</v>
      </c>
      <c r="I3263" s="115">
        <v>0</v>
      </c>
      <c r="J3263" s="115">
        <v>0</v>
      </c>
      <c r="K3263" s="115">
        <v>0</v>
      </c>
    </row>
    <row r="3264" spans="2:11" x14ac:dyDescent="0.25">
      <c r="B3264" s="115" t="s">
        <v>1241</v>
      </c>
      <c r="D3264" s="115" t="s">
        <v>8710</v>
      </c>
      <c r="E3264" s="115" t="s">
        <v>1242</v>
      </c>
      <c r="F3264" s="115">
        <v>0</v>
      </c>
      <c r="G3264" s="115">
        <v>0</v>
      </c>
      <c r="H3264" s="115">
        <v>0</v>
      </c>
      <c r="I3264" s="115">
        <v>0</v>
      </c>
      <c r="J3264" s="115">
        <v>0</v>
      </c>
      <c r="K3264" s="115">
        <v>0</v>
      </c>
    </row>
    <row r="3265" spans="2:11" x14ac:dyDescent="0.25">
      <c r="B3265" s="115" t="s">
        <v>1241</v>
      </c>
      <c r="D3265" s="115" t="s">
        <v>8710</v>
      </c>
      <c r="E3265" s="115" t="s">
        <v>1242</v>
      </c>
      <c r="F3265" s="115">
        <v>0</v>
      </c>
      <c r="G3265" s="115">
        <v>0</v>
      </c>
      <c r="H3265" s="115">
        <v>0</v>
      </c>
      <c r="I3265" s="115">
        <v>0</v>
      </c>
      <c r="J3265" s="115">
        <v>0</v>
      </c>
      <c r="K3265" s="115">
        <v>0</v>
      </c>
    </row>
    <row r="3266" spans="2:11" x14ac:dyDescent="0.25">
      <c r="B3266" s="115" t="s">
        <v>1241</v>
      </c>
      <c r="D3266" s="115" t="s">
        <v>8710</v>
      </c>
      <c r="E3266" s="115" t="s">
        <v>1242</v>
      </c>
      <c r="F3266" s="115">
        <v>0</v>
      </c>
      <c r="G3266" s="115">
        <v>0</v>
      </c>
      <c r="H3266" s="115">
        <v>0</v>
      </c>
      <c r="I3266" s="115">
        <v>0</v>
      </c>
      <c r="J3266" s="115">
        <v>0</v>
      </c>
      <c r="K3266" s="115">
        <v>0</v>
      </c>
    </row>
    <row r="3267" spans="2:11" x14ac:dyDescent="0.25">
      <c r="B3267" s="115" t="s">
        <v>1241</v>
      </c>
      <c r="D3267" s="115" t="s">
        <v>8710</v>
      </c>
      <c r="E3267" s="115" t="s">
        <v>1242</v>
      </c>
      <c r="F3267" s="115">
        <v>0</v>
      </c>
      <c r="G3267" s="115">
        <v>0</v>
      </c>
      <c r="H3267" s="115">
        <v>0</v>
      </c>
      <c r="I3267" s="115">
        <v>0</v>
      </c>
      <c r="J3267" s="115">
        <v>0</v>
      </c>
      <c r="K3267" s="115">
        <v>0</v>
      </c>
    </row>
    <row r="3268" spans="2:11" x14ac:dyDescent="0.25">
      <c r="B3268" s="115" t="s">
        <v>1241</v>
      </c>
      <c r="D3268" s="115" t="s">
        <v>8710</v>
      </c>
      <c r="E3268" s="115" t="s">
        <v>1242</v>
      </c>
      <c r="F3268" s="115">
        <v>0</v>
      </c>
      <c r="G3268" s="115">
        <v>0</v>
      </c>
      <c r="H3268" s="115">
        <v>0</v>
      </c>
      <c r="I3268" s="115">
        <v>0</v>
      </c>
      <c r="J3268" s="115">
        <v>0</v>
      </c>
      <c r="K3268" s="115">
        <v>0</v>
      </c>
    </row>
    <row r="3269" spans="2:11" x14ac:dyDescent="0.25">
      <c r="B3269" s="115" t="s">
        <v>1241</v>
      </c>
      <c r="D3269" s="115" t="s">
        <v>8710</v>
      </c>
      <c r="E3269" s="115" t="s">
        <v>1242</v>
      </c>
      <c r="F3269" s="115">
        <v>0</v>
      </c>
      <c r="G3269" s="115">
        <v>0</v>
      </c>
      <c r="H3269" s="115">
        <v>0</v>
      </c>
      <c r="I3269" s="115">
        <v>0</v>
      </c>
      <c r="J3269" s="115">
        <v>0</v>
      </c>
      <c r="K3269" s="115">
        <v>0</v>
      </c>
    </row>
    <row r="3270" spans="2:11" x14ac:dyDescent="0.25">
      <c r="B3270" s="115" t="s">
        <v>1241</v>
      </c>
      <c r="D3270" s="115" t="s">
        <v>8710</v>
      </c>
      <c r="E3270" s="115" t="s">
        <v>1242</v>
      </c>
      <c r="F3270" s="115">
        <v>0</v>
      </c>
      <c r="G3270" s="115">
        <v>0</v>
      </c>
      <c r="H3270" s="115">
        <v>0</v>
      </c>
      <c r="I3270" s="115">
        <v>0</v>
      </c>
      <c r="J3270" s="115">
        <v>0</v>
      </c>
      <c r="K3270" s="115">
        <v>0</v>
      </c>
    </row>
    <row r="3271" spans="2:11" x14ac:dyDescent="0.25">
      <c r="B3271" s="115" t="s">
        <v>1241</v>
      </c>
      <c r="D3271" s="115" t="s">
        <v>8710</v>
      </c>
      <c r="E3271" s="115" t="s">
        <v>1242</v>
      </c>
      <c r="F3271" s="115">
        <v>0</v>
      </c>
      <c r="G3271" s="115">
        <v>0</v>
      </c>
      <c r="H3271" s="115">
        <v>0</v>
      </c>
      <c r="I3271" s="115">
        <v>0</v>
      </c>
      <c r="J3271" s="115">
        <v>0</v>
      </c>
      <c r="K3271" s="115">
        <v>0</v>
      </c>
    </row>
    <row r="3272" spans="2:11" x14ac:dyDescent="0.25">
      <c r="B3272" s="115" t="s">
        <v>1241</v>
      </c>
      <c r="D3272" s="115" t="s">
        <v>8710</v>
      </c>
      <c r="E3272" s="115" t="s">
        <v>1242</v>
      </c>
      <c r="F3272" s="115">
        <v>0</v>
      </c>
      <c r="G3272" s="115">
        <v>0</v>
      </c>
      <c r="H3272" s="115">
        <v>0</v>
      </c>
      <c r="I3272" s="115">
        <v>0</v>
      </c>
      <c r="J3272" s="115">
        <v>0</v>
      </c>
      <c r="K3272" s="115">
        <v>0</v>
      </c>
    </row>
    <row r="3273" spans="2:11" x14ac:dyDescent="0.25">
      <c r="B3273" s="115" t="s">
        <v>1241</v>
      </c>
      <c r="D3273" s="115" t="s">
        <v>8710</v>
      </c>
      <c r="E3273" s="115" t="s">
        <v>1242</v>
      </c>
      <c r="F3273" s="115">
        <v>0</v>
      </c>
      <c r="G3273" s="115">
        <v>0</v>
      </c>
      <c r="H3273" s="115">
        <v>0</v>
      </c>
      <c r="I3273" s="115">
        <v>0</v>
      </c>
      <c r="J3273" s="115">
        <v>0</v>
      </c>
      <c r="K3273" s="115">
        <v>0</v>
      </c>
    </row>
    <row r="3274" spans="2:11" x14ac:dyDescent="0.25">
      <c r="B3274" s="115" t="s">
        <v>1241</v>
      </c>
      <c r="D3274" s="115" t="s">
        <v>8710</v>
      </c>
      <c r="E3274" s="115" t="s">
        <v>1242</v>
      </c>
      <c r="F3274" s="115">
        <v>0</v>
      </c>
      <c r="G3274" s="115">
        <v>0</v>
      </c>
      <c r="H3274" s="115">
        <v>0</v>
      </c>
      <c r="I3274" s="115">
        <v>0</v>
      </c>
      <c r="J3274" s="115">
        <v>0</v>
      </c>
      <c r="K3274" s="115">
        <v>0</v>
      </c>
    </row>
    <row r="3275" spans="2:11" x14ac:dyDescent="0.25">
      <c r="B3275" s="115" t="s">
        <v>1241</v>
      </c>
      <c r="D3275" s="115" t="s">
        <v>8710</v>
      </c>
      <c r="E3275" s="115" t="s">
        <v>1242</v>
      </c>
      <c r="F3275" s="115">
        <v>0</v>
      </c>
      <c r="G3275" s="115">
        <v>0</v>
      </c>
      <c r="H3275" s="115">
        <v>0</v>
      </c>
      <c r="I3275" s="115">
        <v>0</v>
      </c>
      <c r="J3275" s="115">
        <v>0</v>
      </c>
      <c r="K3275" s="115">
        <v>0</v>
      </c>
    </row>
    <row r="3276" spans="2:11" x14ac:dyDescent="0.25">
      <c r="B3276" s="115" t="s">
        <v>1241</v>
      </c>
      <c r="D3276" s="115" t="s">
        <v>8710</v>
      </c>
      <c r="E3276" s="115" t="s">
        <v>1242</v>
      </c>
      <c r="F3276" s="115">
        <v>0</v>
      </c>
      <c r="G3276" s="115">
        <v>0</v>
      </c>
      <c r="H3276" s="115">
        <v>0</v>
      </c>
      <c r="I3276" s="115">
        <v>0</v>
      </c>
      <c r="J3276" s="115">
        <v>0</v>
      </c>
      <c r="K3276" s="115">
        <v>0</v>
      </c>
    </row>
    <row r="3277" spans="2:11" x14ac:dyDescent="0.25">
      <c r="B3277" s="115" t="s">
        <v>1241</v>
      </c>
      <c r="D3277" s="115" t="s">
        <v>8710</v>
      </c>
      <c r="E3277" s="115" t="s">
        <v>1242</v>
      </c>
      <c r="F3277" s="115">
        <v>0</v>
      </c>
      <c r="G3277" s="115">
        <v>0</v>
      </c>
      <c r="H3277" s="115">
        <v>0</v>
      </c>
      <c r="I3277" s="115">
        <v>0</v>
      </c>
      <c r="J3277" s="115">
        <v>0</v>
      </c>
      <c r="K3277" s="115">
        <v>0</v>
      </c>
    </row>
    <row r="3278" spans="2:11" x14ac:dyDescent="0.25">
      <c r="B3278" s="115" t="s">
        <v>1241</v>
      </c>
      <c r="D3278" s="115" t="s">
        <v>8710</v>
      </c>
      <c r="E3278" s="115" t="s">
        <v>1242</v>
      </c>
      <c r="F3278" s="115">
        <v>0</v>
      </c>
      <c r="G3278" s="115">
        <v>0</v>
      </c>
      <c r="H3278" s="115">
        <v>0</v>
      </c>
      <c r="I3278" s="115">
        <v>0</v>
      </c>
      <c r="J3278" s="115">
        <v>0</v>
      </c>
      <c r="K3278" s="115">
        <v>0</v>
      </c>
    </row>
    <row r="3279" spans="2:11" x14ac:dyDescent="0.25">
      <c r="B3279" s="115" t="s">
        <v>1241</v>
      </c>
      <c r="D3279" s="115" t="s">
        <v>8710</v>
      </c>
      <c r="E3279" s="115" t="s">
        <v>1242</v>
      </c>
      <c r="F3279" s="115">
        <v>0</v>
      </c>
      <c r="G3279" s="115">
        <v>0</v>
      </c>
      <c r="H3279" s="115">
        <v>0</v>
      </c>
      <c r="I3279" s="115">
        <v>0</v>
      </c>
      <c r="J3279" s="115">
        <v>0</v>
      </c>
      <c r="K3279" s="115">
        <v>0</v>
      </c>
    </row>
    <row r="3280" spans="2:11" x14ac:dyDescent="0.25">
      <c r="B3280" s="115" t="s">
        <v>1241</v>
      </c>
      <c r="D3280" s="115" t="s">
        <v>8710</v>
      </c>
      <c r="E3280" s="115" t="s">
        <v>1242</v>
      </c>
      <c r="F3280" s="115">
        <v>0</v>
      </c>
      <c r="G3280" s="115">
        <v>0</v>
      </c>
      <c r="H3280" s="115">
        <v>0</v>
      </c>
      <c r="I3280" s="115">
        <v>0</v>
      </c>
      <c r="J3280" s="115">
        <v>0</v>
      </c>
      <c r="K3280" s="115">
        <v>0</v>
      </c>
    </row>
    <row r="3281" spans="2:11" x14ac:dyDescent="0.25">
      <c r="B3281" s="115" t="s">
        <v>1241</v>
      </c>
      <c r="D3281" s="115" t="s">
        <v>8710</v>
      </c>
      <c r="E3281" s="115" t="s">
        <v>1242</v>
      </c>
      <c r="F3281" s="115">
        <v>0</v>
      </c>
      <c r="G3281" s="115">
        <v>0</v>
      </c>
      <c r="H3281" s="115">
        <v>0</v>
      </c>
      <c r="I3281" s="115">
        <v>0</v>
      </c>
      <c r="J3281" s="115">
        <v>0</v>
      </c>
      <c r="K3281" s="115">
        <v>0</v>
      </c>
    </row>
    <row r="3282" spans="2:11" x14ac:dyDescent="0.25">
      <c r="B3282" s="115" t="s">
        <v>1241</v>
      </c>
      <c r="D3282" s="115" t="s">
        <v>8710</v>
      </c>
      <c r="E3282" s="115" t="s">
        <v>1242</v>
      </c>
      <c r="F3282" s="115">
        <v>0</v>
      </c>
      <c r="G3282" s="115">
        <v>0</v>
      </c>
      <c r="H3282" s="115">
        <v>0</v>
      </c>
      <c r="I3282" s="115">
        <v>0</v>
      </c>
      <c r="J3282" s="115">
        <v>0</v>
      </c>
      <c r="K3282" s="115">
        <v>0</v>
      </c>
    </row>
    <row r="3283" spans="2:11" x14ac:dyDescent="0.25">
      <c r="B3283" s="115" t="s">
        <v>1241</v>
      </c>
      <c r="D3283" s="115" t="s">
        <v>8710</v>
      </c>
      <c r="E3283" s="115" t="s">
        <v>1242</v>
      </c>
      <c r="F3283" s="115">
        <v>0</v>
      </c>
      <c r="G3283" s="115">
        <v>0</v>
      </c>
      <c r="H3283" s="115">
        <v>0</v>
      </c>
      <c r="I3283" s="115">
        <v>0</v>
      </c>
      <c r="J3283" s="115">
        <v>0</v>
      </c>
      <c r="K3283" s="115">
        <v>0</v>
      </c>
    </row>
    <row r="3284" spans="2:11" x14ac:dyDescent="0.25">
      <c r="B3284" s="115" t="s">
        <v>1241</v>
      </c>
      <c r="D3284" s="115" t="s">
        <v>8710</v>
      </c>
      <c r="E3284" s="115" t="s">
        <v>1242</v>
      </c>
      <c r="F3284" s="115">
        <v>0</v>
      </c>
      <c r="G3284" s="115">
        <v>0</v>
      </c>
      <c r="H3284" s="115">
        <v>0</v>
      </c>
      <c r="I3284" s="115">
        <v>0</v>
      </c>
      <c r="J3284" s="115">
        <v>0</v>
      </c>
      <c r="K3284" s="115">
        <v>0</v>
      </c>
    </row>
    <row r="3285" spans="2:11" x14ac:dyDescent="0.25">
      <c r="B3285" s="115" t="s">
        <v>1241</v>
      </c>
      <c r="D3285" s="115" t="s">
        <v>8710</v>
      </c>
      <c r="E3285" s="115" t="s">
        <v>1242</v>
      </c>
      <c r="F3285" s="115">
        <v>0</v>
      </c>
      <c r="G3285" s="115">
        <v>0</v>
      </c>
      <c r="H3285" s="115">
        <v>0</v>
      </c>
      <c r="I3285" s="115">
        <v>0</v>
      </c>
      <c r="J3285" s="115">
        <v>0</v>
      </c>
      <c r="K3285" s="115">
        <v>0</v>
      </c>
    </row>
    <row r="3286" spans="2:11" x14ac:dyDescent="0.25">
      <c r="B3286" s="115" t="s">
        <v>1241</v>
      </c>
      <c r="D3286" s="115" t="s">
        <v>8710</v>
      </c>
      <c r="E3286" s="115" t="s">
        <v>1242</v>
      </c>
      <c r="F3286" s="115">
        <v>0</v>
      </c>
      <c r="G3286" s="115">
        <v>0</v>
      </c>
      <c r="H3286" s="115">
        <v>0</v>
      </c>
      <c r="I3286" s="115">
        <v>0</v>
      </c>
      <c r="J3286" s="115">
        <v>0</v>
      </c>
      <c r="K3286" s="115">
        <v>0</v>
      </c>
    </row>
    <row r="3287" spans="2:11" x14ac:dyDescent="0.25">
      <c r="B3287" s="115" t="s">
        <v>1241</v>
      </c>
      <c r="D3287" s="115" t="s">
        <v>8710</v>
      </c>
      <c r="E3287" s="115" t="s">
        <v>1242</v>
      </c>
      <c r="F3287" s="115">
        <v>0</v>
      </c>
      <c r="G3287" s="115">
        <v>0</v>
      </c>
      <c r="H3287" s="115">
        <v>0</v>
      </c>
      <c r="I3287" s="115">
        <v>0</v>
      </c>
      <c r="J3287" s="115">
        <v>0</v>
      </c>
      <c r="K3287" s="115">
        <v>0</v>
      </c>
    </row>
    <row r="3288" spans="2:11" x14ac:dyDescent="0.25">
      <c r="B3288" s="115" t="s">
        <v>1241</v>
      </c>
      <c r="D3288" s="115" t="s">
        <v>8710</v>
      </c>
      <c r="E3288" s="115" t="s">
        <v>1242</v>
      </c>
      <c r="F3288" s="115">
        <v>0</v>
      </c>
      <c r="G3288" s="115">
        <v>0</v>
      </c>
      <c r="H3288" s="115">
        <v>0</v>
      </c>
      <c r="I3288" s="115">
        <v>0</v>
      </c>
      <c r="J3288" s="115">
        <v>0</v>
      </c>
      <c r="K3288" s="115">
        <v>0</v>
      </c>
    </row>
    <row r="3289" spans="2:11" x14ac:dyDescent="0.25">
      <c r="B3289" s="115" t="s">
        <v>1241</v>
      </c>
      <c r="D3289" s="115" t="s">
        <v>8710</v>
      </c>
      <c r="E3289" s="115" t="s">
        <v>1242</v>
      </c>
      <c r="F3289" s="115">
        <v>0</v>
      </c>
      <c r="G3289" s="115">
        <v>0</v>
      </c>
      <c r="H3289" s="115">
        <v>0</v>
      </c>
      <c r="I3289" s="115">
        <v>0</v>
      </c>
      <c r="J3289" s="115">
        <v>0</v>
      </c>
      <c r="K3289" s="115">
        <v>0</v>
      </c>
    </row>
    <row r="3290" spans="2:11" x14ac:dyDescent="0.25">
      <c r="B3290" s="115" t="s">
        <v>1241</v>
      </c>
      <c r="D3290" s="115" t="s">
        <v>8710</v>
      </c>
      <c r="E3290" s="115" t="s">
        <v>1242</v>
      </c>
      <c r="F3290" s="115">
        <v>0</v>
      </c>
      <c r="G3290" s="115">
        <v>0</v>
      </c>
      <c r="H3290" s="115">
        <v>0</v>
      </c>
      <c r="I3290" s="115">
        <v>0</v>
      </c>
      <c r="J3290" s="115">
        <v>0</v>
      </c>
      <c r="K3290" s="115">
        <v>0</v>
      </c>
    </row>
    <row r="3291" spans="2:11" x14ac:dyDescent="0.25">
      <c r="B3291" s="115" t="s">
        <v>1241</v>
      </c>
      <c r="D3291" s="115" t="s">
        <v>8710</v>
      </c>
      <c r="E3291" s="115" t="s">
        <v>1242</v>
      </c>
      <c r="F3291" s="115">
        <v>0</v>
      </c>
      <c r="G3291" s="115">
        <v>0</v>
      </c>
      <c r="H3291" s="115">
        <v>0</v>
      </c>
      <c r="I3291" s="115">
        <v>0</v>
      </c>
      <c r="J3291" s="115">
        <v>0</v>
      </c>
      <c r="K3291" s="115">
        <v>0</v>
      </c>
    </row>
    <row r="3292" spans="2:11" x14ac:dyDescent="0.25">
      <c r="B3292" s="115" t="s">
        <v>1241</v>
      </c>
      <c r="D3292" s="115" t="s">
        <v>8710</v>
      </c>
      <c r="E3292" s="115" t="s">
        <v>1242</v>
      </c>
      <c r="F3292" s="115">
        <v>0</v>
      </c>
      <c r="G3292" s="115">
        <v>0</v>
      </c>
      <c r="H3292" s="115">
        <v>0</v>
      </c>
      <c r="I3292" s="115">
        <v>0</v>
      </c>
      <c r="J3292" s="115">
        <v>0</v>
      </c>
      <c r="K3292" s="115">
        <v>0</v>
      </c>
    </row>
    <row r="3293" spans="2:11" x14ac:dyDescent="0.25">
      <c r="B3293" s="115" t="s">
        <v>1241</v>
      </c>
      <c r="D3293" s="115" t="s">
        <v>8710</v>
      </c>
      <c r="E3293" s="115" t="s">
        <v>1242</v>
      </c>
      <c r="F3293" s="115">
        <v>0</v>
      </c>
      <c r="G3293" s="115">
        <v>0</v>
      </c>
      <c r="H3293" s="115">
        <v>0</v>
      </c>
      <c r="I3293" s="115">
        <v>0</v>
      </c>
      <c r="J3293" s="115">
        <v>0</v>
      </c>
      <c r="K3293" s="115">
        <v>0</v>
      </c>
    </row>
    <row r="3294" spans="2:11" x14ac:dyDescent="0.25">
      <c r="B3294" s="115" t="s">
        <v>1241</v>
      </c>
      <c r="D3294" s="115" t="s">
        <v>8710</v>
      </c>
      <c r="E3294" s="115" t="s">
        <v>1242</v>
      </c>
      <c r="F3294" s="115">
        <v>0</v>
      </c>
      <c r="G3294" s="115">
        <v>0</v>
      </c>
      <c r="H3294" s="115">
        <v>0</v>
      </c>
      <c r="I3294" s="115">
        <v>0</v>
      </c>
      <c r="J3294" s="115">
        <v>0</v>
      </c>
      <c r="K3294" s="115">
        <v>0</v>
      </c>
    </row>
    <row r="3295" spans="2:11" x14ac:dyDescent="0.25">
      <c r="B3295" s="115" t="s">
        <v>1241</v>
      </c>
      <c r="D3295" s="115" t="s">
        <v>8710</v>
      </c>
      <c r="E3295" s="115" t="s">
        <v>1242</v>
      </c>
      <c r="F3295" s="115">
        <v>0</v>
      </c>
      <c r="G3295" s="115">
        <v>0</v>
      </c>
      <c r="H3295" s="115">
        <v>0</v>
      </c>
      <c r="I3295" s="115">
        <v>0</v>
      </c>
      <c r="J3295" s="115">
        <v>0</v>
      </c>
      <c r="K3295" s="115">
        <v>0</v>
      </c>
    </row>
    <row r="3296" spans="2:11" x14ac:dyDescent="0.25">
      <c r="B3296" s="115" t="s">
        <v>1241</v>
      </c>
      <c r="D3296" s="115" t="s">
        <v>8710</v>
      </c>
      <c r="E3296" s="115" t="s">
        <v>1242</v>
      </c>
      <c r="F3296" s="115">
        <v>0</v>
      </c>
      <c r="G3296" s="115">
        <v>0</v>
      </c>
      <c r="H3296" s="115">
        <v>0</v>
      </c>
      <c r="I3296" s="115">
        <v>0</v>
      </c>
      <c r="J3296" s="115">
        <v>0</v>
      </c>
      <c r="K3296" s="115">
        <v>0</v>
      </c>
    </row>
    <row r="3297" spans="2:11" x14ac:dyDescent="0.25">
      <c r="B3297" s="115" t="s">
        <v>1241</v>
      </c>
      <c r="D3297" s="115" t="s">
        <v>8710</v>
      </c>
      <c r="E3297" s="115" t="s">
        <v>1242</v>
      </c>
      <c r="F3297" s="115">
        <v>0</v>
      </c>
      <c r="G3297" s="115">
        <v>0</v>
      </c>
      <c r="H3297" s="115">
        <v>0</v>
      </c>
      <c r="I3297" s="115">
        <v>0</v>
      </c>
      <c r="J3297" s="115">
        <v>0</v>
      </c>
      <c r="K3297" s="115">
        <v>0</v>
      </c>
    </row>
    <row r="3298" spans="2:11" x14ac:dyDescent="0.25">
      <c r="B3298" s="115" t="s">
        <v>1241</v>
      </c>
      <c r="D3298" s="115" t="s">
        <v>8710</v>
      </c>
      <c r="E3298" s="115" t="s">
        <v>1242</v>
      </c>
      <c r="F3298" s="115">
        <v>0</v>
      </c>
      <c r="G3298" s="115">
        <v>0</v>
      </c>
      <c r="H3298" s="115">
        <v>0</v>
      </c>
      <c r="I3298" s="115">
        <v>0</v>
      </c>
      <c r="J3298" s="115">
        <v>0</v>
      </c>
      <c r="K3298" s="115">
        <v>0</v>
      </c>
    </row>
    <row r="3299" spans="2:11" x14ac:dyDescent="0.25">
      <c r="B3299" s="115" t="s">
        <v>1241</v>
      </c>
      <c r="D3299" s="115" t="s">
        <v>8710</v>
      </c>
      <c r="E3299" s="115" t="s">
        <v>1242</v>
      </c>
      <c r="F3299" s="115">
        <v>0</v>
      </c>
      <c r="G3299" s="115">
        <v>0</v>
      </c>
      <c r="H3299" s="115">
        <v>0</v>
      </c>
      <c r="I3299" s="115">
        <v>0</v>
      </c>
      <c r="J3299" s="115">
        <v>0</v>
      </c>
      <c r="K3299" s="115">
        <v>0</v>
      </c>
    </row>
    <row r="3300" spans="2:11" x14ac:dyDescent="0.25">
      <c r="B3300" s="115" t="s">
        <v>1241</v>
      </c>
      <c r="D3300" s="115" t="s">
        <v>8710</v>
      </c>
      <c r="E3300" s="115" t="s">
        <v>1242</v>
      </c>
      <c r="F3300" s="115">
        <v>0</v>
      </c>
      <c r="G3300" s="115">
        <v>0</v>
      </c>
      <c r="H3300" s="115">
        <v>0</v>
      </c>
      <c r="I3300" s="115">
        <v>0</v>
      </c>
      <c r="J3300" s="115">
        <v>0</v>
      </c>
      <c r="K3300" s="115">
        <v>0</v>
      </c>
    </row>
    <row r="3301" spans="2:11" x14ac:dyDescent="0.25">
      <c r="B3301" s="115" t="s">
        <v>1241</v>
      </c>
      <c r="D3301" s="115" t="s">
        <v>8710</v>
      </c>
      <c r="E3301" s="115" t="s">
        <v>1242</v>
      </c>
      <c r="F3301" s="115">
        <v>0</v>
      </c>
      <c r="G3301" s="115">
        <v>0</v>
      </c>
      <c r="H3301" s="115">
        <v>0</v>
      </c>
      <c r="I3301" s="115">
        <v>0</v>
      </c>
      <c r="J3301" s="115">
        <v>0</v>
      </c>
      <c r="K3301" s="115">
        <v>0</v>
      </c>
    </row>
    <row r="3302" spans="2:11" x14ac:dyDescent="0.25">
      <c r="B3302" s="115" t="s">
        <v>1241</v>
      </c>
      <c r="D3302" s="115" t="s">
        <v>8710</v>
      </c>
      <c r="E3302" s="115" t="s">
        <v>1242</v>
      </c>
      <c r="F3302" s="115">
        <v>0</v>
      </c>
      <c r="G3302" s="115">
        <v>0</v>
      </c>
      <c r="H3302" s="115">
        <v>0</v>
      </c>
      <c r="I3302" s="115">
        <v>0</v>
      </c>
      <c r="J3302" s="115">
        <v>0</v>
      </c>
      <c r="K3302" s="115">
        <v>0</v>
      </c>
    </row>
    <row r="3303" spans="2:11" x14ac:dyDescent="0.25">
      <c r="B3303" s="115" t="s">
        <v>1241</v>
      </c>
      <c r="D3303" s="115" t="s">
        <v>8710</v>
      </c>
      <c r="E3303" s="115" t="s">
        <v>1242</v>
      </c>
      <c r="F3303" s="115">
        <v>0</v>
      </c>
      <c r="G3303" s="115">
        <v>0</v>
      </c>
      <c r="H3303" s="115">
        <v>0</v>
      </c>
      <c r="I3303" s="115">
        <v>0</v>
      </c>
      <c r="J3303" s="115">
        <v>0</v>
      </c>
      <c r="K3303" s="115">
        <v>0</v>
      </c>
    </row>
    <row r="3304" spans="2:11" x14ac:dyDescent="0.25">
      <c r="B3304" s="115" t="s">
        <v>1241</v>
      </c>
      <c r="D3304" s="115" t="s">
        <v>8710</v>
      </c>
      <c r="E3304" s="115" t="s">
        <v>1242</v>
      </c>
      <c r="F3304" s="115">
        <v>0</v>
      </c>
      <c r="G3304" s="115">
        <v>0</v>
      </c>
      <c r="H3304" s="115">
        <v>0</v>
      </c>
      <c r="I3304" s="115">
        <v>0</v>
      </c>
      <c r="J3304" s="115">
        <v>0</v>
      </c>
      <c r="K3304" s="115">
        <v>0</v>
      </c>
    </row>
    <row r="3305" spans="2:11" x14ac:dyDescent="0.25">
      <c r="B3305" s="115" t="s">
        <v>1241</v>
      </c>
      <c r="D3305" s="115" t="s">
        <v>8710</v>
      </c>
      <c r="E3305" s="115" t="s">
        <v>1242</v>
      </c>
      <c r="F3305" s="115">
        <v>0</v>
      </c>
      <c r="G3305" s="115">
        <v>0</v>
      </c>
      <c r="H3305" s="115">
        <v>0</v>
      </c>
      <c r="I3305" s="115">
        <v>0</v>
      </c>
      <c r="J3305" s="115">
        <v>0</v>
      </c>
      <c r="K3305" s="115">
        <v>0</v>
      </c>
    </row>
    <row r="3306" spans="2:11" x14ac:dyDescent="0.25">
      <c r="B3306" s="115" t="s">
        <v>1241</v>
      </c>
      <c r="D3306" s="115" t="s">
        <v>8710</v>
      </c>
      <c r="E3306" s="115" t="s">
        <v>1242</v>
      </c>
      <c r="F3306" s="115">
        <v>0</v>
      </c>
      <c r="G3306" s="115">
        <v>0</v>
      </c>
      <c r="H3306" s="115">
        <v>0</v>
      </c>
      <c r="I3306" s="115">
        <v>0</v>
      </c>
      <c r="J3306" s="115">
        <v>0</v>
      </c>
      <c r="K3306" s="115">
        <v>0</v>
      </c>
    </row>
    <row r="3307" spans="2:11" x14ac:dyDescent="0.25">
      <c r="B3307" s="115" t="s">
        <v>1241</v>
      </c>
      <c r="D3307" s="115" t="s">
        <v>8710</v>
      </c>
      <c r="E3307" s="115" t="s">
        <v>1242</v>
      </c>
      <c r="F3307" s="115">
        <v>0</v>
      </c>
      <c r="G3307" s="115">
        <v>0</v>
      </c>
      <c r="H3307" s="115">
        <v>0</v>
      </c>
      <c r="I3307" s="115">
        <v>0</v>
      </c>
      <c r="J3307" s="115">
        <v>0</v>
      </c>
      <c r="K3307" s="115">
        <v>0</v>
      </c>
    </row>
    <row r="3308" spans="2:11" x14ac:dyDescent="0.25">
      <c r="B3308" s="115" t="s">
        <v>1241</v>
      </c>
      <c r="D3308" s="115" t="s">
        <v>8710</v>
      </c>
      <c r="E3308" s="115" t="s">
        <v>1242</v>
      </c>
      <c r="F3308" s="115">
        <v>0</v>
      </c>
      <c r="G3308" s="115">
        <v>0</v>
      </c>
      <c r="H3308" s="115">
        <v>0</v>
      </c>
      <c r="I3308" s="115">
        <v>0</v>
      </c>
      <c r="J3308" s="115">
        <v>0</v>
      </c>
      <c r="K3308" s="115">
        <v>0</v>
      </c>
    </row>
    <row r="3309" spans="2:11" x14ac:dyDescent="0.25">
      <c r="B3309" s="115" t="s">
        <v>1241</v>
      </c>
      <c r="D3309" s="115" t="s">
        <v>8710</v>
      </c>
      <c r="E3309" s="115" t="s">
        <v>1242</v>
      </c>
      <c r="F3309" s="115">
        <v>0</v>
      </c>
      <c r="G3309" s="115">
        <v>0</v>
      </c>
      <c r="H3309" s="115">
        <v>0</v>
      </c>
      <c r="I3309" s="115">
        <v>0</v>
      </c>
      <c r="J3309" s="115">
        <v>0</v>
      </c>
      <c r="K3309" s="115">
        <v>0</v>
      </c>
    </row>
    <row r="3310" spans="2:11" x14ac:dyDescent="0.25">
      <c r="B3310" s="115" t="s">
        <v>1241</v>
      </c>
      <c r="D3310" s="115" t="s">
        <v>8710</v>
      </c>
      <c r="E3310" s="115" t="s">
        <v>1242</v>
      </c>
      <c r="F3310" s="115">
        <v>0</v>
      </c>
      <c r="G3310" s="115">
        <v>0</v>
      </c>
      <c r="H3310" s="115">
        <v>0</v>
      </c>
      <c r="I3310" s="115">
        <v>0</v>
      </c>
      <c r="J3310" s="115">
        <v>0</v>
      </c>
      <c r="K3310" s="115">
        <v>0</v>
      </c>
    </row>
    <row r="3311" spans="2:11" x14ac:dyDescent="0.25">
      <c r="B3311" s="115" t="s">
        <v>1241</v>
      </c>
      <c r="D3311" s="115" t="s">
        <v>8710</v>
      </c>
      <c r="E3311" s="115" t="s">
        <v>1242</v>
      </c>
      <c r="F3311" s="115">
        <v>0</v>
      </c>
      <c r="G3311" s="115">
        <v>0</v>
      </c>
      <c r="H3311" s="115">
        <v>0</v>
      </c>
      <c r="I3311" s="115">
        <v>0</v>
      </c>
      <c r="J3311" s="115">
        <v>0</v>
      </c>
      <c r="K3311" s="115">
        <v>0</v>
      </c>
    </row>
    <row r="3312" spans="2:11" x14ac:dyDescent="0.25">
      <c r="B3312" s="115" t="s">
        <v>1241</v>
      </c>
      <c r="D3312" s="115" t="s">
        <v>8710</v>
      </c>
      <c r="E3312" s="115" t="s">
        <v>1242</v>
      </c>
      <c r="F3312" s="115">
        <v>0</v>
      </c>
      <c r="G3312" s="115">
        <v>0</v>
      </c>
      <c r="H3312" s="115">
        <v>0</v>
      </c>
      <c r="I3312" s="115">
        <v>0</v>
      </c>
      <c r="J3312" s="115">
        <v>0</v>
      </c>
      <c r="K3312" s="115">
        <v>0</v>
      </c>
    </row>
    <row r="3313" spans="2:11" x14ac:dyDescent="0.25">
      <c r="B3313" s="115" t="s">
        <v>1241</v>
      </c>
      <c r="D3313" s="115" t="s">
        <v>8710</v>
      </c>
      <c r="E3313" s="115" t="s">
        <v>1242</v>
      </c>
      <c r="F3313" s="115">
        <v>0</v>
      </c>
      <c r="G3313" s="115">
        <v>0</v>
      </c>
      <c r="H3313" s="115">
        <v>0</v>
      </c>
      <c r="I3313" s="115">
        <v>0</v>
      </c>
      <c r="J3313" s="115">
        <v>0</v>
      </c>
      <c r="K3313" s="115">
        <v>0</v>
      </c>
    </row>
    <row r="3314" spans="2:11" x14ac:dyDescent="0.25">
      <c r="B3314" s="115" t="s">
        <v>1241</v>
      </c>
      <c r="D3314" s="115" t="s">
        <v>8710</v>
      </c>
      <c r="E3314" s="115" t="s">
        <v>1242</v>
      </c>
      <c r="F3314" s="115">
        <v>0</v>
      </c>
      <c r="G3314" s="115">
        <v>0</v>
      </c>
      <c r="H3314" s="115">
        <v>0</v>
      </c>
      <c r="I3314" s="115">
        <v>0</v>
      </c>
      <c r="J3314" s="115">
        <v>0</v>
      </c>
      <c r="K3314" s="115">
        <v>0</v>
      </c>
    </row>
    <row r="3315" spans="2:11" x14ac:dyDescent="0.25">
      <c r="B3315" s="115" t="s">
        <v>1241</v>
      </c>
      <c r="D3315" s="115" t="s">
        <v>8710</v>
      </c>
      <c r="E3315" s="115" t="s">
        <v>1242</v>
      </c>
      <c r="F3315" s="115">
        <v>0</v>
      </c>
      <c r="G3315" s="115">
        <v>0</v>
      </c>
      <c r="H3315" s="115">
        <v>0</v>
      </c>
      <c r="I3315" s="115">
        <v>0</v>
      </c>
      <c r="J3315" s="115">
        <v>0</v>
      </c>
      <c r="K3315" s="115">
        <v>0</v>
      </c>
    </row>
    <row r="3316" spans="2:11" x14ac:dyDescent="0.25">
      <c r="B3316" s="115" t="s">
        <v>1241</v>
      </c>
      <c r="D3316" s="115" t="s">
        <v>8710</v>
      </c>
      <c r="E3316" s="115" t="s">
        <v>1242</v>
      </c>
      <c r="F3316" s="115">
        <v>0</v>
      </c>
      <c r="G3316" s="115">
        <v>0</v>
      </c>
      <c r="H3316" s="115">
        <v>0</v>
      </c>
      <c r="I3316" s="115">
        <v>0</v>
      </c>
      <c r="J3316" s="115">
        <v>0</v>
      </c>
      <c r="K3316" s="115">
        <v>0</v>
      </c>
    </row>
    <row r="3317" spans="2:11" x14ac:dyDescent="0.25">
      <c r="B3317" s="115" t="s">
        <v>1241</v>
      </c>
      <c r="D3317" s="115" t="s">
        <v>8710</v>
      </c>
      <c r="E3317" s="115" t="s">
        <v>1242</v>
      </c>
      <c r="F3317" s="115">
        <v>0</v>
      </c>
      <c r="G3317" s="115">
        <v>0</v>
      </c>
      <c r="H3317" s="115">
        <v>0</v>
      </c>
      <c r="I3317" s="115">
        <v>0</v>
      </c>
      <c r="J3317" s="115">
        <v>0</v>
      </c>
      <c r="K3317" s="115">
        <v>0</v>
      </c>
    </row>
    <row r="3318" spans="2:11" x14ac:dyDescent="0.25">
      <c r="B3318" s="115" t="s">
        <v>1241</v>
      </c>
      <c r="D3318" s="115" t="s">
        <v>8710</v>
      </c>
      <c r="E3318" s="115" t="s">
        <v>1242</v>
      </c>
      <c r="F3318" s="115">
        <v>0</v>
      </c>
      <c r="G3318" s="115">
        <v>0</v>
      </c>
      <c r="H3318" s="115">
        <v>0</v>
      </c>
      <c r="I3318" s="115">
        <v>0</v>
      </c>
      <c r="J3318" s="115">
        <v>0</v>
      </c>
      <c r="K3318" s="115">
        <v>0</v>
      </c>
    </row>
    <row r="3319" spans="2:11" x14ac:dyDescent="0.25">
      <c r="B3319" s="115" t="s">
        <v>1241</v>
      </c>
      <c r="D3319" s="115" t="s">
        <v>8710</v>
      </c>
      <c r="E3319" s="115" t="s">
        <v>1242</v>
      </c>
      <c r="F3319" s="115">
        <v>0</v>
      </c>
      <c r="G3319" s="115">
        <v>0</v>
      </c>
      <c r="H3319" s="115">
        <v>0</v>
      </c>
      <c r="I3319" s="115">
        <v>0</v>
      </c>
      <c r="J3319" s="115">
        <v>0</v>
      </c>
      <c r="K3319" s="115">
        <v>0</v>
      </c>
    </row>
    <row r="3320" spans="2:11" x14ac:dyDescent="0.25">
      <c r="B3320" s="115" t="s">
        <v>1241</v>
      </c>
      <c r="D3320" s="115" t="s">
        <v>8710</v>
      </c>
      <c r="E3320" s="115" t="s">
        <v>1242</v>
      </c>
      <c r="F3320" s="115">
        <v>0</v>
      </c>
      <c r="G3320" s="115">
        <v>0</v>
      </c>
      <c r="H3320" s="115">
        <v>0</v>
      </c>
      <c r="I3320" s="115">
        <v>0</v>
      </c>
      <c r="J3320" s="115">
        <v>0</v>
      </c>
      <c r="K3320" s="115">
        <v>0</v>
      </c>
    </row>
    <row r="3321" spans="2:11" x14ac:dyDescent="0.25">
      <c r="B3321" s="115" t="s">
        <v>1241</v>
      </c>
      <c r="D3321" s="115" t="s">
        <v>8710</v>
      </c>
      <c r="E3321" s="115" t="s">
        <v>1242</v>
      </c>
      <c r="F3321" s="115">
        <v>0</v>
      </c>
      <c r="G3321" s="115">
        <v>0</v>
      </c>
      <c r="H3321" s="115">
        <v>0</v>
      </c>
      <c r="I3321" s="115">
        <v>0</v>
      </c>
      <c r="J3321" s="115">
        <v>0</v>
      </c>
      <c r="K3321" s="115">
        <v>0</v>
      </c>
    </row>
    <row r="3322" spans="2:11" x14ac:dyDescent="0.25">
      <c r="B3322" s="115" t="s">
        <v>1241</v>
      </c>
      <c r="D3322" s="115" t="s">
        <v>8710</v>
      </c>
      <c r="E3322" s="115" t="s">
        <v>1242</v>
      </c>
      <c r="F3322" s="115">
        <v>0</v>
      </c>
      <c r="G3322" s="115">
        <v>0</v>
      </c>
      <c r="H3322" s="115">
        <v>0</v>
      </c>
      <c r="I3322" s="115">
        <v>0</v>
      </c>
      <c r="J3322" s="115">
        <v>0</v>
      </c>
      <c r="K3322" s="115">
        <v>0</v>
      </c>
    </row>
    <row r="3323" spans="2:11" x14ac:dyDescent="0.25">
      <c r="B3323" s="115" t="s">
        <v>1241</v>
      </c>
      <c r="D3323" s="115" t="s">
        <v>8710</v>
      </c>
      <c r="E3323" s="115" t="s">
        <v>1242</v>
      </c>
      <c r="F3323" s="115">
        <v>0</v>
      </c>
      <c r="G3323" s="115">
        <v>0</v>
      </c>
      <c r="H3323" s="115">
        <v>0</v>
      </c>
      <c r="I3323" s="115">
        <v>0</v>
      </c>
      <c r="J3323" s="115">
        <v>0</v>
      </c>
      <c r="K3323" s="115">
        <v>0</v>
      </c>
    </row>
    <row r="3324" spans="2:11" x14ac:dyDescent="0.25">
      <c r="B3324" s="115" t="s">
        <v>1241</v>
      </c>
      <c r="D3324" s="115" t="s">
        <v>8710</v>
      </c>
      <c r="E3324" s="115" t="s">
        <v>1242</v>
      </c>
      <c r="F3324" s="115">
        <v>0</v>
      </c>
      <c r="G3324" s="115">
        <v>0</v>
      </c>
      <c r="H3324" s="115">
        <v>0</v>
      </c>
      <c r="I3324" s="115">
        <v>0</v>
      </c>
      <c r="J3324" s="115">
        <v>0</v>
      </c>
      <c r="K3324" s="115">
        <v>0</v>
      </c>
    </row>
    <row r="3325" spans="2:11" x14ac:dyDescent="0.25">
      <c r="B3325" s="115" t="s">
        <v>1241</v>
      </c>
      <c r="D3325" s="115" t="s">
        <v>8710</v>
      </c>
      <c r="E3325" s="115" t="s">
        <v>1242</v>
      </c>
      <c r="F3325" s="115">
        <v>0</v>
      </c>
      <c r="G3325" s="115">
        <v>0</v>
      </c>
      <c r="H3325" s="115">
        <v>0</v>
      </c>
      <c r="I3325" s="115">
        <v>0</v>
      </c>
      <c r="J3325" s="115">
        <v>0</v>
      </c>
      <c r="K3325" s="115">
        <v>0</v>
      </c>
    </row>
    <row r="3326" spans="2:11" x14ac:dyDescent="0.25">
      <c r="B3326" s="115" t="s">
        <v>1241</v>
      </c>
      <c r="D3326" s="115" t="s">
        <v>8710</v>
      </c>
      <c r="E3326" s="115" t="s">
        <v>1242</v>
      </c>
      <c r="F3326" s="115">
        <v>0</v>
      </c>
      <c r="G3326" s="115">
        <v>0</v>
      </c>
      <c r="H3326" s="115">
        <v>0</v>
      </c>
      <c r="I3326" s="115">
        <v>0</v>
      </c>
      <c r="J3326" s="115">
        <v>0</v>
      </c>
      <c r="K3326" s="115">
        <v>0</v>
      </c>
    </row>
    <row r="3327" spans="2:11" x14ac:dyDescent="0.25">
      <c r="B3327" s="115" t="s">
        <v>1241</v>
      </c>
      <c r="D3327" s="115" t="s">
        <v>8710</v>
      </c>
      <c r="E3327" s="115" t="s">
        <v>1242</v>
      </c>
      <c r="F3327" s="115">
        <v>0</v>
      </c>
      <c r="G3327" s="115">
        <v>0</v>
      </c>
      <c r="H3327" s="115">
        <v>0</v>
      </c>
      <c r="I3327" s="115">
        <v>0</v>
      </c>
      <c r="J3327" s="115">
        <v>0</v>
      </c>
      <c r="K3327" s="115">
        <v>0</v>
      </c>
    </row>
    <row r="3328" spans="2:11" x14ac:dyDescent="0.25">
      <c r="B3328" s="115" t="s">
        <v>1241</v>
      </c>
      <c r="D3328" s="115" t="s">
        <v>8710</v>
      </c>
      <c r="E3328" s="115" t="s">
        <v>1242</v>
      </c>
      <c r="F3328" s="115">
        <v>0</v>
      </c>
      <c r="G3328" s="115">
        <v>0</v>
      </c>
      <c r="H3328" s="115">
        <v>0</v>
      </c>
      <c r="I3328" s="115">
        <v>0</v>
      </c>
      <c r="J3328" s="115">
        <v>0</v>
      </c>
      <c r="K3328" s="115">
        <v>0</v>
      </c>
    </row>
    <row r="3329" spans="2:11" x14ac:dyDescent="0.25">
      <c r="B3329" s="115" t="s">
        <v>1241</v>
      </c>
      <c r="D3329" s="115" t="s">
        <v>8710</v>
      </c>
      <c r="E3329" s="115" t="s">
        <v>1242</v>
      </c>
      <c r="F3329" s="115">
        <v>0</v>
      </c>
      <c r="G3329" s="115">
        <v>0</v>
      </c>
      <c r="H3329" s="115">
        <v>0</v>
      </c>
      <c r="I3329" s="115">
        <v>0</v>
      </c>
      <c r="J3329" s="115">
        <v>0</v>
      </c>
      <c r="K3329" s="115">
        <v>0</v>
      </c>
    </row>
    <row r="3330" spans="2:11" x14ac:dyDescent="0.25">
      <c r="B3330" s="115" t="s">
        <v>1241</v>
      </c>
      <c r="D3330" s="115" t="s">
        <v>8710</v>
      </c>
      <c r="E3330" s="115" t="s">
        <v>1242</v>
      </c>
      <c r="F3330" s="115">
        <v>0</v>
      </c>
      <c r="G3330" s="115">
        <v>0</v>
      </c>
      <c r="H3330" s="115">
        <v>0</v>
      </c>
      <c r="I3330" s="115">
        <v>0</v>
      </c>
      <c r="J3330" s="115">
        <v>0</v>
      </c>
      <c r="K3330" s="115">
        <v>0</v>
      </c>
    </row>
    <row r="3331" spans="2:11" x14ac:dyDescent="0.25">
      <c r="B3331" s="115" t="s">
        <v>1241</v>
      </c>
      <c r="D3331" s="115" t="s">
        <v>8710</v>
      </c>
      <c r="E3331" s="115" t="s">
        <v>1242</v>
      </c>
      <c r="F3331" s="115">
        <v>0</v>
      </c>
      <c r="G3331" s="115">
        <v>0</v>
      </c>
      <c r="H3331" s="115">
        <v>0</v>
      </c>
      <c r="I3331" s="115">
        <v>0</v>
      </c>
      <c r="J3331" s="115">
        <v>0</v>
      </c>
      <c r="K3331" s="115">
        <v>0</v>
      </c>
    </row>
    <row r="3332" spans="2:11" x14ac:dyDescent="0.25">
      <c r="B3332" s="115" t="s">
        <v>1241</v>
      </c>
      <c r="D3332" s="115" t="s">
        <v>8710</v>
      </c>
      <c r="E3332" s="115" t="s">
        <v>1242</v>
      </c>
      <c r="F3332" s="115">
        <v>0</v>
      </c>
      <c r="G3332" s="115">
        <v>0</v>
      </c>
      <c r="H3332" s="115">
        <v>0</v>
      </c>
      <c r="I3332" s="115">
        <v>0</v>
      </c>
      <c r="J3332" s="115">
        <v>0</v>
      </c>
      <c r="K3332" s="115">
        <v>0</v>
      </c>
    </row>
    <row r="3333" spans="2:11" x14ac:dyDescent="0.25">
      <c r="B3333" s="115" t="s">
        <v>1241</v>
      </c>
      <c r="D3333" s="115" t="s">
        <v>8710</v>
      </c>
      <c r="E3333" s="115" t="s">
        <v>1242</v>
      </c>
      <c r="F3333" s="115">
        <v>0</v>
      </c>
      <c r="G3333" s="115">
        <v>0</v>
      </c>
      <c r="H3333" s="115">
        <v>0</v>
      </c>
      <c r="I3333" s="115">
        <v>0</v>
      </c>
      <c r="J3333" s="115">
        <v>0</v>
      </c>
      <c r="K3333" s="115">
        <v>0</v>
      </c>
    </row>
    <row r="3334" spans="2:11" x14ac:dyDescent="0.25">
      <c r="B3334" s="115" t="s">
        <v>1241</v>
      </c>
      <c r="D3334" s="115" t="s">
        <v>8710</v>
      </c>
      <c r="E3334" s="115" t="s">
        <v>1242</v>
      </c>
      <c r="F3334" s="115">
        <v>0</v>
      </c>
      <c r="G3334" s="115">
        <v>0</v>
      </c>
      <c r="H3334" s="115">
        <v>0</v>
      </c>
      <c r="I3334" s="115">
        <v>0</v>
      </c>
      <c r="J3334" s="115">
        <v>0</v>
      </c>
      <c r="K3334" s="115">
        <v>0</v>
      </c>
    </row>
    <row r="3335" spans="2:11" x14ac:dyDescent="0.25">
      <c r="B3335" s="115" t="s">
        <v>1241</v>
      </c>
      <c r="D3335" s="115" t="s">
        <v>8710</v>
      </c>
      <c r="E3335" s="115" t="s">
        <v>1242</v>
      </c>
      <c r="F3335" s="115">
        <v>0</v>
      </c>
      <c r="G3335" s="115">
        <v>0</v>
      </c>
      <c r="H3335" s="115">
        <v>0</v>
      </c>
      <c r="I3335" s="115">
        <v>0</v>
      </c>
      <c r="J3335" s="115">
        <v>0</v>
      </c>
      <c r="K3335" s="115">
        <v>0</v>
      </c>
    </row>
    <row r="3336" spans="2:11" x14ac:dyDescent="0.25">
      <c r="B3336" s="115" t="s">
        <v>1241</v>
      </c>
      <c r="D3336" s="115" t="s">
        <v>8710</v>
      </c>
      <c r="E3336" s="115" t="s">
        <v>1242</v>
      </c>
      <c r="F3336" s="115">
        <v>0</v>
      </c>
      <c r="G3336" s="115">
        <v>0</v>
      </c>
      <c r="H3336" s="115">
        <v>0</v>
      </c>
      <c r="I3336" s="115">
        <v>0</v>
      </c>
      <c r="J3336" s="115">
        <v>0</v>
      </c>
      <c r="K3336" s="115">
        <v>0</v>
      </c>
    </row>
    <row r="3337" spans="2:11" x14ac:dyDescent="0.25">
      <c r="B3337" s="115" t="s">
        <v>1241</v>
      </c>
      <c r="D3337" s="115" t="s">
        <v>8710</v>
      </c>
      <c r="E3337" s="115" t="s">
        <v>1242</v>
      </c>
      <c r="F3337" s="115">
        <v>0</v>
      </c>
      <c r="G3337" s="115">
        <v>0</v>
      </c>
      <c r="H3337" s="115">
        <v>0</v>
      </c>
      <c r="I3337" s="115">
        <v>0</v>
      </c>
      <c r="J3337" s="115">
        <v>0</v>
      </c>
      <c r="K3337" s="115">
        <v>0</v>
      </c>
    </row>
    <row r="3338" spans="2:11" x14ac:dyDescent="0.25">
      <c r="B3338" s="115" t="s">
        <v>1241</v>
      </c>
      <c r="D3338" s="115" t="s">
        <v>8710</v>
      </c>
      <c r="E3338" s="115" t="s">
        <v>1242</v>
      </c>
      <c r="F3338" s="115">
        <v>0</v>
      </c>
      <c r="G3338" s="115">
        <v>0</v>
      </c>
      <c r="H3338" s="115">
        <v>0</v>
      </c>
      <c r="I3338" s="115">
        <v>0</v>
      </c>
      <c r="J3338" s="115">
        <v>0</v>
      </c>
      <c r="K3338" s="115">
        <v>0</v>
      </c>
    </row>
    <row r="3339" spans="2:11" x14ac:dyDescent="0.25">
      <c r="B3339" s="115" t="s">
        <v>1241</v>
      </c>
      <c r="D3339" s="115" t="s">
        <v>8710</v>
      </c>
      <c r="E3339" s="115" t="s">
        <v>1242</v>
      </c>
      <c r="F3339" s="115">
        <v>0</v>
      </c>
      <c r="G3339" s="115">
        <v>0</v>
      </c>
      <c r="H3339" s="115">
        <v>0</v>
      </c>
      <c r="I3339" s="115">
        <v>0</v>
      </c>
      <c r="J3339" s="115">
        <v>0</v>
      </c>
      <c r="K3339" s="115">
        <v>0</v>
      </c>
    </row>
    <row r="3340" spans="2:11" x14ac:dyDescent="0.25">
      <c r="B3340" s="115" t="s">
        <v>1241</v>
      </c>
      <c r="D3340" s="115" t="s">
        <v>8710</v>
      </c>
      <c r="E3340" s="115" t="s">
        <v>1242</v>
      </c>
      <c r="F3340" s="115">
        <v>0</v>
      </c>
      <c r="G3340" s="115">
        <v>0</v>
      </c>
      <c r="H3340" s="115">
        <v>0</v>
      </c>
      <c r="I3340" s="115">
        <v>0</v>
      </c>
      <c r="J3340" s="115">
        <v>0</v>
      </c>
      <c r="K3340" s="115">
        <v>0</v>
      </c>
    </row>
    <row r="3341" spans="2:11" x14ac:dyDescent="0.25">
      <c r="B3341" s="115" t="s">
        <v>1241</v>
      </c>
      <c r="D3341" s="115" t="s">
        <v>8710</v>
      </c>
      <c r="E3341" s="115" t="s">
        <v>1242</v>
      </c>
      <c r="F3341" s="115">
        <v>0</v>
      </c>
      <c r="G3341" s="115">
        <v>0</v>
      </c>
      <c r="H3341" s="115">
        <v>0</v>
      </c>
      <c r="I3341" s="115">
        <v>0</v>
      </c>
      <c r="J3341" s="115">
        <v>0</v>
      </c>
      <c r="K3341" s="115">
        <v>0</v>
      </c>
    </row>
    <row r="3342" spans="2:11" x14ac:dyDescent="0.25">
      <c r="B3342" s="115" t="s">
        <v>1241</v>
      </c>
      <c r="D3342" s="115" t="s">
        <v>8710</v>
      </c>
      <c r="E3342" s="115" t="s">
        <v>1242</v>
      </c>
      <c r="F3342" s="115">
        <v>0</v>
      </c>
      <c r="G3342" s="115">
        <v>0</v>
      </c>
      <c r="H3342" s="115">
        <v>0</v>
      </c>
      <c r="I3342" s="115">
        <v>0</v>
      </c>
      <c r="J3342" s="115">
        <v>0</v>
      </c>
      <c r="K3342" s="115">
        <v>0</v>
      </c>
    </row>
    <row r="3343" spans="2:11" x14ac:dyDescent="0.25">
      <c r="B3343" s="115" t="s">
        <v>1241</v>
      </c>
      <c r="D3343" s="115" t="s">
        <v>8710</v>
      </c>
      <c r="E3343" s="115" t="s">
        <v>1242</v>
      </c>
      <c r="F3343" s="115">
        <v>0</v>
      </c>
      <c r="G3343" s="115">
        <v>0</v>
      </c>
      <c r="H3343" s="115">
        <v>0</v>
      </c>
      <c r="I3343" s="115">
        <v>0</v>
      </c>
      <c r="J3343" s="115">
        <v>0</v>
      </c>
      <c r="K3343" s="115">
        <v>0</v>
      </c>
    </row>
    <row r="3344" spans="2:11" x14ac:dyDescent="0.25">
      <c r="B3344" s="115" t="s">
        <v>1241</v>
      </c>
      <c r="D3344" s="115" t="s">
        <v>8710</v>
      </c>
      <c r="E3344" s="115" t="s">
        <v>1242</v>
      </c>
      <c r="F3344" s="115">
        <v>0</v>
      </c>
      <c r="G3344" s="115">
        <v>0</v>
      </c>
      <c r="H3344" s="115">
        <v>0</v>
      </c>
      <c r="I3344" s="115">
        <v>0</v>
      </c>
      <c r="J3344" s="115">
        <v>0</v>
      </c>
      <c r="K3344" s="115">
        <v>0</v>
      </c>
    </row>
    <row r="3345" spans="2:11" x14ac:dyDescent="0.25">
      <c r="B3345" s="115" t="s">
        <v>1241</v>
      </c>
      <c r="D3345" s="115" t="s">
        <v>8710</v>
      </c>
      <c r="E3345" s="115" t="s">
        <v>1242</v>
      </c>
      <c r="F3345" s="115">
        <v>0</v>
      </c>
      <c r="G3345" s="115">
        <v>0</v>
      </c>
      <c r="H3345" s="115">
        <v>0</v>
      </c>
      <c r="I3345" s="115">
        <v>0</v>
      </c>
      <c r="J3345" s="115">
        <v>0</v>
      </c>
      <c r="K3345" s="115">
        <v>0</v>
      </c>
    </row>
    <row r="3346" spans="2:11" x14ac:dyDescent="0.25">
      <c r="B3346" s="115" t="s">
        <v>1241</v>
      </c>
      <c r="D3346" s="115" t="s">
        <v>8710</v>
      </c>
      <c r="E3346" s="115" t="s">
        <v>1242</v>
      </c>
      <c r="F3346" s="115">
        <v>0</v>
      </c>
      <c r="G3346" s="115">
        <v>0</v>
      </c>
      <c r="H3346" s="115">
        <v>0</v>
      </c>
      <c r="I3346" s="115">
        <v>0</v>
      </c>
      <c r="J3346" s="115">
        <v>0</v>
      </c>
      <c r="K3346" s="115">
        <v>0</v>
      </c>
    </row>
    <row r="3347" spans="2:11" x14ac:dyDescent="0.25">
      <c r="B3347" s="115" t="s">
        <v>1241</v>
      </c>
      <c r="D3347" s="115" t="s">
        <v>8710</v>
      </c>
      <c r="E3347" s="115" t="s">
        <v>1242</v>
      </c>
      <c r="F3347" s="115">
        <v>0</v>
      </c>
      <c r="G3347" s="115">
        <v>0</v>
      </c>
      <c r="H3347" s="115">
        <v>0</v>
      </c>
      <c r="I3347" s="115">
        <v>0</v>
      </c>
      <c r="J3347" s="115">
        <v>0</v>
      </c>
      <c r="K3347" s="115">
        <v>0</v>
      </c>
    </row>
    <row r="3348" spans="2:11" x14ac:dyDescent="0.25">
      <c r="B3348" s="115" t="s">
        <v>1241</v>
      </c>
      <c r="D3348" s="115" t="s">
        <v>8710</v>
      </c>
      <c r="E3348" s="115" t="s">
        <v>1242</v>
      </c>
      <c r="F3348" s="115">
        <v>0</v>
      </c>
      <c r="G3348" s="115">
        <v>0</v>
      </c>
      <c r="H3348" s="115">
        <v>0</v>
      </c>
      <c r="I3348" s="115">
        <v>0</v>
      </c>
      <c r="J3348" s="115">
        <v>0</v>
      </c>
      <c r="K3348" s="115">
        <v>0</v>
      </c>
    </row>
    <row r="3349" spans="2:11" x14ac:dyDescent="0.25">
      <c r="B3349" s="115" t="s">
        <v>1241</v>
      </c>
      <c r="D3349" s="115" t="s">
        <v>8710</v>
      </c>
      <c r="E3349" s="115" t="s">
        <v>1242</v>
      </c>
      <c r="F3349" s="115">
        <v>0</v>
      </c>
      <c r="G3349" s="115">
        <v>0</v>
      </c>
      <c r="H3349" s="115">
        <v>0</v>
      </c>
      <c r="I3349" s="115">
        <v>0</v>
      </c>
      <c r="J3349" s="115">
        <v>0</v>
      </c>
      <c r="K3349" s="115">
        <v>0</v>
      </c>
    </row>
    <row r="3350" spans="2:11" x14ac:dyDescent="0.25">
      <c r="B3350" s="115" t="s">
        <v>1241</v>
      </c>
      <c r="D3350" s="115" t="s">
        <v>8710</v>
      </c>
      <c r="E3350" s="115" t="s">
        <v>1242</v>
      </c>
      <c r="F3350" s="115">
        <v>0</v>
      </c>
      <c r="G3350" s="115">
        <v>0</v>
      </c>
      <c r="H3350" s="115">
        <v>0</v>
      </c>
      <c r="I3350" s="115">
        <v>0</v>
      </c>
      <c r="J3350" s="115">
        <v>0</v>
      </c>
      <c r="K3350" s="115">
        <v>0</v>
      </c>
    </row>
    <row r="3351" spans="2:11" x14ac:dyDescent="0.25">
      <c r="B3351" s="115" t="s">
        <v>1241</v>
      </c>
      <c r="D3351" s="115" t="s">
        <v>8710</v>
      </c>
      <c r="E3351" s="115" t="s">
        <v>1242</v>
      </c>
      <c r="F3351" s="115">
        <v>0</v>
      </c>
      <c r="G3351" s="115">
        <v>0</v>
      </c>
      <c r="H3351" s="115">
        <v>0</v>
      </c>
      <c r="I3351" s="115">
        <v>0</v>
      </c>
      <c r="J3351" s="115">
        <v>0</v>
      </c>
      <c r="K3351" s="115">
        <v>0</v>
      </c>
    </row>
    <row r="3352" spans="2:11" x14ac:dyDescent="0.25">
      <c r="B3352" s="115" t="s">
        <v>1241</v>
      </c>
      <c r="D3352" s="115" t="s">
        <v>8710</v>
      </c>
      <c r="E3352" s="115" t="s">
        <v>1242</v>
      </c>
      <c r="F3352" s="115">
        <v>0</v>
      </c>
      <c r="G3352" s="115">
        <v>0</v>
      </c>
      <c r="H3352" s="115">
        <v>0</v>
      </c>
      <c r="I3352" s="115">
        <v>0</v>
      </c>
      <c r="J3352" s="115">
        <v>0</v>
      </c>
      <c r="K3352" s="115">
        <v>0</v>
      </c>
    </row>
    <row r="3353" spans="2:11" x14ac:dyDescent="0.25">
      <c r="B3353" s="115" t="s">
        <v>1241</v>
      </c>
      <c r="D3353" s="115" t="s">
        <v>8710</v>
      </c>
      <c r="E3353" s="115" t="s">
        <v>1242</v>
      </c>
      <c r="F3353" s="115">
        <v>0</v>
      </c>
      <c r="G3353" s="115">
        <v>0</v>
      </c>
      <c r="H3353" s="115">
        <v>0</v>
      </c>
      <c r="I3353" s="115">
        <v>0</v>
      </c>
      <c r="J3353" s="115">
        <v>0</v>
      </c>
      <c r="K3353" s="115">
        <v>0</v>
      </c>
    </row>
    <row r="3354" spans="2:11" x14ac:dyDescent="0.25">
      <c r="B3354" s="115" t="s">
        <v>1241</v>
      </c>
      <c r="D3354" s="115" t="s">
        <v>8710</v>
      </c>
      <c r="E3354" s="115" t="s">
        <v>1242</v>
      </c>
      <c r="F3354" s="115">
        <v>0</v>
      </c>
      <c r="G3354" s="115">
        <v>0</v>
      </c>
      <c r="H3354" s="115">
        <v>0</v>
      </c>
      <c r="I3354" s="115">
        <v>0</v>
      </c>
      <c r="J3354" s="115">
        <v>0</v>
      </c>
      <c r="K3354" s="115">
        <v>0</v>
      </c>
    </row>
    <row r="3355" spans="2:11" x14ac:dyDescent="0.25">
      <c r="B3355" s="115" t="s">
        <v>1241</v>
      </c>
      <c r="D3355" s="115" t="s">
        <v>8710</v>
      </c>
      <c r="E3355" s="115" t="s">
        <v>1242</v>
      </c>
      <c r="F3355" s="115">
        <v>0</v>
      </c>
      <c r="G3355" s="115">
        <v>0</v>
      </c>
      <c r="H3355" s="115">
        <v>0</v>
      </c>
      <c r="I3355" s="115">
        <v>0</v>
      </c>
      <c r="J3355" s="115">
        <v>0</v>
      </c>
      <c r="K3355" s="115">
        <v>0</v>
      </c>
    </row>
    <row r="3356" spans="2:11" x14ac:dyDescent="0.25">
      <c r="B3356" s="115" t="s">
        <v>1241</v>
      </c>
      <c r="D3356" s="115" t="s">
        <v>8710</v>
      </c>
      <c r="E3356" s="115" t="s">
        <v>1242</v>
      </c>
      <c r="F3356" s="115">
        <v>0</v>
      </c>
      <c r="G3356" s="115">
        <v>0</v>
      </c>
      <c r="H3356" s="115">
        <v>0</v>
      </c>
      <c r="I3356" s="115">
        <v>0</v>
      </c>
      <c r="J3356" s="115">
        <v>0</v>
      </c>
      <c r="K3356" s="115">
        <v>0</v>
      </c>
    </row>
    <row r="3357" spans="2:11" x14ac:dyDescent="0.25">
      <c r="B3357" s="115" t="s">
        <v>1241</v>
      </c>
      <c r="D3357" s="115" t="s">
        <v>8710</v>
      </c>
      <c r="E3357" s="115" t="s">
        <v>1242</v>
      </c>
      <c r="F3357" s="115">
        <v>0</v>
      </c>
      <c r="G3357" s="115">
        <v>0</v>
      </c>
      <c r="H3357" s="115">
        <v>0</v>
      </c>
      <c r="I3357" s="115">
        <v>0</v>
      </c>
      <c r="J3357" s="115">
        <v>0</v>
      </c>
      <c r="K3357" s="115">
        <v>0</v>
      </c>
    </row>
    <row r="3358" spans="2:11" x14ac:dyDescent="0.25">
      <c r="B3358" s="115" t="s">
        <v>1241</v>
      </c>
      <c r="D3358" s="115" t="s">
        <v>8710</v>
      </c>
      <c r="E3358" s="115" t="s">
        <v>1242</v>
      </c>
      <c r="F3358" s="115">
        <v>0</v>
      </c>
      <c r="G3358" s="115">
        <v>0</v>
      </c>
      <c r="H3358" s="115">
        <v>0</v>
      </c>
      <c r="I3358" s="115">
        <v>0</v>
      </c>
      <c r="J3358" s="115">
        <v>0</v>
      </c>
      <c r="K3358" s="115">
        <v>0</v>
      </c>
    </row>
    <row r="3359" spans="2:11" x14ac:dyDescent="0.25">
      <c r="B3359" s="115" t="s">
        <v>1241</v>
      </c>
      <c r="D3359" s="115" t="s">
        <v>8710</v>
      </c>
      <c r="E3359" s="115" t="s">
        <v>1242</v>
      </c>
      <c r="F3359" s="115">
        <v>0</v>
      </c>
      <c r="G3359" s="115">
        <v>0</v>
      </c>
      <c r="H3359" s="115">
        <v>0</v>
      </c>
      <c r="I3359" s="115">
        <v>0</v>
      </c>
      <c r="J3359" s="115">
        <v>0</v>
      </c>
      <c r="K3359" s="115">
        <v>0</v>
      </c>
    </row>
    <row r="3360" spans="2:11" x14ac:dyDescent="0.25">
      <c r="B3360" s="115" t="s">
        <v>1241</v>
      </c>
      <c r="D3360" s="115" t="s">
        <v>10253</v>
      </c>
      <c r="E3360" s="115" t="s">
        <v>3637</v>
      </c>
      <c r="F3360" s="115">
        <v>0</v>
      </c>
      <c r="G3360" s="115">
        <v>0</v>
      </c>
      <c r="H3360" s="115">
        <v>2527</v>
      </c>
      <c r="I3360" s="115">
        <v>433</v>
      </c>
      <c r="J3360" s="115">
        <v>1935</v>
      </c>
      <c r="K3360" s="115">
        <v>1651</v>
      </c>
    </row>
    <row r="3361" spans="1:11" x14ac:dyDescent="0.25">
      <c r="B3361" s="115" t="s">
        <v>2250</v>
      </c>
      <c r="D3361" s="115" t="s">
        <v>10254</v>
      </c>
      <c r="E3361" s="115" t="s">
        <v>3638</v>
      </c>
      <c r="F3361" s="115">
        <v>0</v>
      </c>
      <c r="G3361" s="115">
        <v>0</v>
      </c>
      <c r="H3361" s="115">
        <v>0</v>
      </c>
      <c r="I3361" s="115">
        <v>-9010</v>
      </c>
      <c r="J3361" s="115">
        <v>-1370</v>
      </c>
      <c r="K3361" s="115">
        <v>0</v>
      </c>
    </row>
    <row r="3362" spans="1:11" x14ac:dyDescent="0.25">
      <c r="B3362" s="115" t="s">
        <v>1241</v>
      </c>
      <c r="D3362" s="115" t="s">
        <v>10255</v>
      </c>
      <c r="E3362" s="115" t="s">
        <v>3639</v>
      </c>
      <c r="F3362" s="115">
        <v>0</v>
      </c>
      <c r="G3362" s="115">
        <v>417</v>
      </c>
      <c r="H3362" s="115">
        <v>0</v>
      </c>
      <c r="I3362" s="115">
        <v>0</v>
      </c>
      <c r="J3362" s="115">
        <v>-121</v>
      </c>
      <c r="K3362" s="115">
        <v>0</v>
      </c>
    </row>
    <row r="3363" spans="1:11" x14ac:dyDescent="0.25">
      <c r="B3363" s="115" t="s">
        <v>1572</v>
      </c>
      <c r="D3363" s="115" t="s">
        <v>10256</v>
      </c>
      <c r="E3363" s="115" t="s">
        <v>3640</v>
      </c>
      <c r="F3363" s="115">
        <v>-211</v>
      </c>
      <c r="G3363" s="115">
        <v>0</v>
      </c>
      <c r="H3363" s="115">
        <v>-1413</v>
      </c>
      <c r="I3363" s="115">
        <v>-118</v>
      </c>
      <c r="J3363" s="115">
        <v>934</v>
      </c>
      <c r="K3363" s="115">
        <v>960</v>
      </c>
    </row>
    <row r="3364" spans="1:11" x14ac:dyDescent="0.25">
      <c r="A3364" s="115">
        <v>1</v>
      </c>
      <c r="B3364" s="115" t="s">
        <v>3641</v>
      </c>
      <c r="D3364" s="115" t="s">
        <v>10257</v>
      </c>
      <c r="E3364" s="115" t="s">
        <v>3642</v>
      </c>
      <c r="F3364" s="115">
        <v>0</v>
      </c>
      <c r="G3364" s="115">
        <v>0</v>
      </c>
      <c r="H3364" s="115">
        <v>0</v>
      </c>
      <c r="I3364" s="115">
        <v>0</v>
      </c>
      <c r="J3364" s="115">
        <v>0</v>
      </c>
      <c r="K3364" s="115">
        <v>648</v>
      </c>
    </row>
    <row r="3365" spans="1:11" x14ac:dyDescent="0.25">
      <c r="B3365" s="115" t="s">
        <v>1241</v>
      </c>
      <c r="D3365" s="115" t="s">
        <v>10258</v>
      </c>
      <c r="E3365" s="115" t="s">
        <v>3643</v>
      </c>
      <c r="F3365" s="115">
        <v>0</v>
      </c>
      <c r="G3365" s="115">
        <v>-50</v>
      </c>
      <c r="H3365" s="115">
        <v>0</v>
      </c>
      <c r="I3365" s="115">
        <v>0</v>
      </c>
      <c r="J3365" s="115">
        <v>0</v>
      </c>
      <c r="K3365" s="115">
        <v>0</v>
      </c>
    </row>
    <row r="3366" spans="1:11" x14ac:dyDescent="0.25">
      <c r="B3366" s="115" t="s">
        <v>3644</v>
      </c>
      <c r="D3366" s="115" t="s">
        <v>10259</v>
      </c>
      <c r="E3366" s="115" t="s">
        <v>3645</v>
      </c>
      <c r="F3366" s="115">
        <v>451</v>
      </c>
      <c r="G3366" s="115">
        <v>0</v>
      </c>
      <c r="H3366" s="115">
        <v>0</v>
      </c>
      <c r="I3366" s="115">
        <v>-1161</v>
      </c>
      <c r="J3366" s="115">
        <v>563</v>
      </c>
      <c r="K3366" s="115">
        <v>0</v>
      </c>
    </row>
    <row r="3367" spans="1:11" x14ac:dyDescent="0.25">
      <c r="B3367" s="115" t="s">
        <v>1302</v>
      </c>
      <c r="D3367" s="115" t="s">
        <v>10260</v>
      </c>
      <c r="E3367" s="115" t="s">
        <v>3646</v>
      </c>
      <c r="F3367" s="115">
        <v>0</v>
      </c>
      <c r="G3367" s="115">
        <v>2089</v>
      </c>
      <c r="H3367" s="115">
        <v>-837</v>
      </c>
      <c r="I3367" s="115">
        <v>-79</v>
      </c>
      <c r="J3367" s="115">
        <v>0</v>
      </c>
      <c r="K3367" s="115">
        <v>0</v>
      </c>
    </row>
    <row r="3368" spans="1:11" x14ac:dyDescent="0.25">
      <c r="B3368" s="115" t="s">
        <v>3647</v>
      </c>
      <c r="D3368" s="115" t="s">
        <v>10261</v>
      </c>
      <c r="E3368" s="115" t="s">
        <v>3648</v>
      </c>
      <c r="F3368" s="115">
        <v>158</v>
      </c>
      <c r="G3368" s="115">
        <v>-701</v>
      </c>
      <c r="H3368" s="115">
        <v>191</v>
      </c>
      <c r="I3368" s="115">
        <v>244</v>
      </c>
      <c r="J3368" s="115">
        <v>184</v>
      </c>
      <c r="K3368" s="115">
        <v>-357</v>
      </c>
    </row>
    <row r="3369" spans="1:11" x14ac:dyDescent="0.25">
      <c r="B3369" s="115" t="s">
        <v>1241</v>
      </c>
      <c r="D3369" s="115" t="s">
        <v>10262</v>
      </c>
      <c r="E3369" s="115" t="s">
        <v>3649</v>
      </c>
      <c r="F3369" s="115">
        <v>0</v>
      </c>
      <c r="G3369" s="115">
        <v>1467</v>
      </c>
      <c r="H3369" s="115">
        <v>0</v>
      </c>
      <c r="I3369" s="115">
        <v>-752</v>
      </c>
      <c r="J3369" s="115">
        <v>-371</v>
      </c>
      <c r="K3369" s="115">
        <v>239</v>
      </c>
    </row>
    <row r="3370" spans="1:11" x14ac:dyDescent="0.25">
      <c r="B3370" s="115" t="s">
        <v>3650</v>
      </c>
      <c r="D3370" s="115" t="s">
        <v>10263</v>
      </c>
      <c r="E3370" s="115" t="s">
        <v>3651</v>
      </c>
      <c r="F3370" s="115">
        <v>1127</v>
      </c>
      <c r="G3370" s="115">
        <v>1217</v>
      </c>
      <c r="H3370" s="115">
        <v>0</v>
      </c>
      <c r="I3370" s="115">
        <v>302</v>
      </c>
      <c r="J3370" s="115">
        <v>493</v>
      </c>
      <c r="K3370" s="115">
        <v>2623</v>
      </c>
    </row>
    <row r="3371" spans="1:11" x14ac:dyDescent="0.25">
      <c r="A3371" s="115" t="s">
        <v>1239</v>
      </c>
      <c r="B3371" s="115" t="s">
        <v>3652</v>
      </c>
      <c r="D3371" s="115" t="s">
        <v>10264</v>
      </c>
      <c r="E3371" s="115" t="s">
        <v>3653</v>
      </c>
      <c r="F3371" s="115">
        <v>0</v>
      </c>
      <c r="G3371" s="115">
        <v>0</v>
      </c>
      <c r="H3371" s="115">
        <v>0</v>
      </c>
      <c r="I3371" s="115">
        <v>-514</v>
      </c>
      <c r="J3371" s="115">
        <v>-98</v>
      </c>
      <c r="K3371" s="115">
        <v>0</v>
      </c>
    </row>
    <row r="3372" spans="1:11" x14ac:dyDescent="0.25">
      <c r="B3372" s="115" t="s">
        <v>3654</v>
      </c>
      <c r="D3372" s="115" t="s">
        <v>10265</v>
      </c>
      <c r="E3372" s="115" t="s">
        <v>3655</v>
      </c>
      <c r="F3372" s="115">
        <v>0</v>
      </c>
      <c r="G3372" s="115">
        <v>0</v>
      </c>
      <c r="H3372" s="115">
        <v>0</v>
      </c>
      <c r="I3372" s="115">
        <v>0</v>
      </c>
      <c r="J3372" s="115">
        <v>0</v>
      </c>
      <c r="K3372" s="115">
        <v>2048</v>
      </c>
    </row>
    <row r="3373" spans="1:11" x14ac:dyDescent="0.25">
      <c r="B3373" s="115" t="s">
        <v>3656</v>
      </c>
      <c r="D3373" s="115" t="s">
        <v>10266</v>
      </c>
      <c r="E3373" s="115" t="s">
        <v>3657</v>
      </c>
      <c r="F3373" s="115">
        <v>0</v>
      </c>
      <c r="G3373" s="115">
        <v>124</v>
      </c>
      <c r="H3373" s="115">
        <v>625</v>
      </c>
      <c r="I3373" s="115">
        <v>2404</v>
      </c>
      <c r="J3373" s="115">
        <v>4760</v>
      </c>
      <c r="K3373" s="115">
        <v>2342</v>
      </c>
    </row>
    <row r="3374" spans="1:11" x14ac:dyDescent="0.25">
      <c r="A3374" s="115">
        <v>2</v>
      </c>
      <c r="B3374" s="115" t="s">
        <v>3658</v>
      </c>
      <c r="C3374" s="115" t="s">
        <v>1239</v>
      </c>
      <c r="D3374" s="115" t="s">
        <v>10267</v>
      </c>
      <c r="E3374" s="115" t="s">
        <v>3659</v>
      </c>
      <c r="F3374" s="115">
        <v>306</v>
      </c>
      <c r="G3374" s="115">
        <v>0</v>
      </c>
      <c r="H3374" s="115">
        <v>0</v>
      </c>
      <c r="I3374" s="115">
        <v>215</v>
      </c>
      <c r="J3374" s="115">
        <v>446</v>
      </c>
      <c r="K3374" s="115">
        <v>0</v>
      </c>
    </row>
    <row r="3375" spans="1:11" x14ac:dyDescent="0.25">
      <c r="A3375" s="115">
        <v>-25</v>
      </c>
      <c r="B3375" s="115" t="s">
        <v>1753</v>
      </c>
      <c r="D3375" s="115" t="s">
        <v>10268</v>
      </c>
      <c r="E3375" s="115" t="s">
        <v>3660</v>
      </c>
      <c r="F3375" s="115">
        <v>0</v>
      </c>
      <c r="G3375" s="115">
        <v>-27</v>
      </c>
      <c r="H3375" s="115">
        <v>-552</v>
      </c>
      <c r="I3375" s="115">
        <v>2180</v>
      </c>
      <c r="J3375" s="115">
        <v>0</v>
      </c>
      <c r="K3375" s="115">
        <v>0</v>
      </c>
    </row>
    <row r="3376" spans="1:11" x14ac:dyDescent="0.25">
      <c r="B3376" s="115" t="s">
        <v>1241</v>
      </c>
      <c r="D3376" s="115" t="s">
        <v>10269</v>
      </c>
      <c r="E3376" s="115" t="s">
        <v>3661</v>
      </c>
      <c r="F3376" s="115">
        <v>0</v>
      </c>
      <c r="G3376" s="115">
        <v>647</v>
      </c>
      <c r="H3376" s="115">
        <v>-69</v>
      </c>
      <c r="I3376" s="115">
        <v>79</v>
      </c>
      <c r="J3376" s="115">
        <v>0</v>
      </c>
      <c r="K3376" s="115">
        <v>1563</v>
      </c>
    </row>
    <row r="3377" spans="1:11" x14ac:dyDescent="0.25">
      <c r="A3377" s="115">
        <v>1</v>
      </c>
      <c r="B3377" s="115" t="s">
        <v>3662</v>
      </c>
      <c r="D3377" s="115" t="s">
        <v>10270</v>
      </c>
      <c r="E3377" s="115" t="s">
        <v>3663</v>
      </c>
      <c r="F3377" s="115">
        <v>0</v>
      </c>
      <c r="G3377" s="115">
        <v>-2924</v>
      </c>
      <c r="H3377" s="115">
        <v>-3562</v>
      </c>
      <c r="I3377" s="115">
        <v>-2143</v>
      </c>
      <c r="J3377" s="115">
        <v>336</v>
      </c>
      <c r="K3377" s="115">
        <v>104</v>
      </c>
    </row>
    <row r="3378" spans="1:11" x14ac:dyDescent="0.25">
      <c r="B3378" s="115" t="s">
        <v>3664</v>
      </c>
      <c r="D3378" s="115" t="s">
        <v>10271</v>
      </c>
      <c r="E3378" s="115" t="s">
        <v>3665</v>
      </c>
      <c r="F3378" s="115">
        <v>-19315</v>
      </c>
      <c r="G3378" s="115">
        <v>0</v>
      </c>
      <c r="H3378" s="115">
        <v>-5291</v>
      </c>
      <c r="I3378" s="115">
        <v>0</v>
      </c>
      <c r="J3378" s="115">
        <v>-5141</v>
      </c>
      <c r="K3378" s="115">
        <v>0</v>
      </c>
    </row>
    <row r="3379" spans="1:11" x14ac:dyDescent="0.25">
      <c r="B3379" s="115" t="s">
        <v>1241</v>
      </c>
      <c r="D3379" s="115" t="s">
        <v>10272</v>
      </c>
      <c r="E3379" s="115" t="s">
        <v>3666</v>
      </c>
      <c r="F3379" s="115">
        <v>0</v>
      </c>
      <c r="G3379" s="115">
        <v>0</v>
      </c>
      <c r="H3379" s="115">
        <v>0</v>
      </c>
      <c r="I3379" s="115">
        <v>1135</v>
      </c>
      <c r="J3379" s="115">
        <v>0</v>
      </c>
      <c r="K3379" s="115">
        <v>-413</v>
      </c>
    </row>
    <row r="3380" spans="1:11" x14ac:dyDescent="0.25">
      <c r="B3380" s="115" t="s">
        <v>3667</v>
      </c>
      <c r="D3380" s="115" t="s">
        <v>10273</v>
      </c>
      <c r="E3380" s="115" t="s">
        <v>1242</v>
      </c>
      <c r="F3380" s="115">
        <v>-488</v>
      </c>
      <c r="G3380" s="115">
        <v>0</v>
      </c>
      <c r="H3380" s="115">
        <v>0</v>
      </c>
      <c r="I3380" s="115">
        <v>0</v>
      </c>
      <c r="J3380" s="115">
        <v>0</v>
      </c>
      <c r="K3380" s="115">
        <v>0</v>
      </c>
    </row>
    <row r="3381" spans="1:11" x14ac:dyDescent="0.25">
      <c r="B3381" s="115" t="s">
        <v>3668</v>
      </c>
      <c r="C3381" s="115" t="s">
        <v>1239</v>
      </c>
      <c r="D3381" s="115" t="s">
        <v>10274</v>
      </c>
      <c r="E3381" s="115" t="s">
        <v>3669</v>
      </c>
      <c r="F3381" s="115">
        <v>-69</v>
      </c>
      <c r="G3381" s="115">
        <v>-150</v>
      </c>
      <c r="H3381" s="115">
        <v>0</v>
      </c>
      <c r="I3381" s="115">
        <v>0</v>
      </c>
      <c r="J3381" s="115">
        <v>0</v>
      </c>
      <c r="K3381" s="115">
        <v>0</v>
      </c>
    </row>
    <row r="3382" spans="1:11" x14ac:dyDescent="0.25">
      <c r="B3382" s="115" t="s">
        <v>3670</v>
      </c>
      <c r="D3382" s="115" t="s">
        <v>10275</v>
      </c>
      <c r="E3382" s="115" t="s">
        <v>3671</v>
      </c>
      <c r="F3382" s="115">
        <v>0</v>
      </c>
      <c r="G3382" s="115">
        <v>-826</v>
      </c>
      <c r="H3382" s="115">
        <v>200</v>
      </c>
      <c r="I3382" s="115">
        <v>0</v>
      </c>
      <c r="J3382" s="115">
        <v>0</v>
      </c>
      <c r="K3382" s="115">
        <v>0</v>
      </c>
    </row>
    <row r="3383" spans="1:11" x14ac:dyDescent="0.25">
      <c r="B3383" s="115" t="s">
        <v>3672</v>
      </c>
      <c r="D3383" s="115" t="s">
        <v>10276</v>
      </c>
      <c r="E3383" s="115" t="s">
        <v>3673</v>
      </c>
      <c r="F3383" s="115">
        <v>199</v>
      </c>
      <c r="G3383" s="115">
        <v>971</v>
      </c>
      <c r="H3383" s="115">
        <v>-1018</v>
      </c>
      <c r="I3383" s="115">
        <v>-10654</v>
      </c>
      <c r="J3383" s="115">
        <v>-11379</v>
      </c>
      <c r="K3383" s="115">
        <v>-11334</v>
      </c>
    </row>
    <row r="3384" spans="1:11" x14ac:dyDescent="0.25">
      <c r="A3384" s="115">
        <v>-8</v>
      </c>
      <c r="B3384" s="115" t="s">
        <v>3674</v>
      </c>
      <c r="D3384" s="115" t="s">
        <v>10277</v>
      </c>
      <c r="E3384" s="115" t="s">
        <v>1242</v>
      </c>
      <c r="F3384" s="115">
        <v>0</v>
      </c>
      <c r="G3384" s="115">
        <v>0</v>
      </c>
      <c r="H3384" s="115">
        <v>0</v>
      </c>
      <c r="I3384" s="115">
        <v>0</v>
      </c>
      <c r="J3384" s="115">
        <v>0</v>
      </c>
      <c r="K3384" s="115">
        <v>0</v>
      </c>
    </row>
    <row r="3385" spans="1:11" x14ac:dyDescent="0.25">
      <c r="A3385" s="115">
        <v>1</v>
      </c>
      <c r="B3385" s="115" t="s">
        <v>3675</v>
      </c>
      <c r="D3385" s="115" t="s">
        <v>10278</v>
      </c>
      <c r="E3385" s="115" t="s">
        <v>3676</v>
      </c>
      <c r="F3385" s="115">
        <v>-252</v>
      </c>
      <c r="G3385" s="115">
        <v>0</v>
      </c>
      <c r="H3385" s="115">
        <v>0</v>
      </c>
      <c r="I3385" s="115">
        <v>22</v>
      </c>
      <c r="J3385" s="115">
        <v>0</v>
      </c>
      <c r="K3385" s="115">
        <v>0</v>
      </c>
    </row>
    <row r="3386" spans="1:11" x14ac:dyDescent="0.25">
      <c r="B3386" s="115" t="s">
        <v>3677</v>
      </c>
      <c r="C3386" s="115" t="s">
        <v>1239</v>
      </c>
      <c r="D3386" s="115" t="s">
        <v>10279</v>
      </c>
      <c r="E3386" s="115" t="s">
        <v>3678</v>
      </c>
      <c r="F3386" s="115">
        <v>0</v>
      </c>
      <c r="G3386" s="115">
        <v>0</v>
      </c>
      <c r="H3386" s="115">
        <v>0</v>
      </c>
      <c r="I3386" s="115">
        <v>0</v>
      </c>
      <c r="J3386" s="115">
        <v>0</v>
      </c>
      <c r="K3386" s="115">
        <v>8</v>
      </c>
    </row>
    <row r="3387" spans="1:11" x14ac:dyDescent="0.25">
      <c r="B3387" s="115" t="s">
        <v>1241</v>
      </c>
      <c r="D3387" s="115" t="s">
        <v>10280</v>
      </c>
      <c r="E3387" s="115" t="s">
        <v>3679</v>
      </c>
      <c r="F3387" s="115">
        <v>-359</v>
      </c>
      <c r="G3387" s="115">
        <v>0</v>
      </c>
      <c r="H3387" s="115">
        <v>-201</v>
      </c>
      <c r="I3387" s="115">
        <v>-49</v>
      </c>
      <c r="J3387" s="115">
        <v>-42</v>
      </c>
      <c r="K3387" s="115">
        <v>0</v>
      </c>
    </row>
    <row r="3388" spans="1:11" x14ac:dyDescent="0.25">
      <c r="B3388" s="115" t="s">
        <v>3680</v>
      </c>
      <c r="D3388" s="115" t="s">
        <v>10281</v>
      </c>
      <c r="E3388" s="115" t="s">
        <v>3681</v>
      </c>
      <c r="F3388" s="115">
        <v>-174</v>
      </c>
      <c r="G3388" s="115">
        <v>142</v>
      </c>
      <c r="H3388" s="115">
        <v>0</v>
      </c>
      <c r="I3388" s="115">
        <v>48</v>
      </c>
      <c r="J3388" s="115">
        <v>0</v>
      </c>
      <c r="K3388" s="115">
        <v>0</v>
      </c>
    </row>
    <row r="3389" spans="1:11" x14ac:dyDescent="0.25">
      <c r="B3389" s="115" t="s">
        <v>1241</v>
      </c>
      <c r="D3389" s="115" t="s">
        <v>10282</v>
      </c>
      <c r="E3389" s="115" t="s">
        <v>3682</v>
      </c>
      <c r="F3389" s="115">
        <v>0</v>
      </c>
      <c r="G3389" s="115">
        <v>0</v>
      </c>
      <c r="H3389" s="115">
        <v>0</v>
      </c>
      <c r="I3389" s="115">
        <v>955</v>
      </c>
      <c r="J3389" s="115">
        <v>0</v>
      </c>
      <c r="K3389" s="115">
        <v>12</v>
      </c>
    </row>
    <row r="3390" spans="1:11" x14ac:dyDescent="0.25">
      <c r="B3390" s="115" t="s">
        <v>1241</v>
      </c>
      <c r="D3390" s="115" t="s">
        <v>10283</v>
      </c>
      <c r="E3390" s="115" t="s">
        <v>3683</v>
      </c>
      <c r="F3390" s="115">
        <v>0</v>
      </c>
      <c r="G3390" s="115">
        <v>-107</v>
      </c>
      <c r="H3390" s="115">
        <v>0</v>
      </c>
      <c r="I3390" s="115">
        <v>81</v>
      </c>
      <c r="J3390" s="115">
        <v>210</v>
      </c>
      <c r="K3390" s="115">
        <v>0</v>
      </c>
    </row>
    <row r="3391" spans="1:11" x14ac:dyDescent="0.25">
      <c r="B3391" s="115" t="s">
        <v>3684</v>
      </c>
      <c r="D3391" s="115" t="s">
        <v>10284</v>
      </c>
      <c r="E3391" s="115" t="s">
        <v>3685</v>
      </c>
      <c r="F3391" s="115">
        <v>-929</v>
      </c>
      <c r="G3391" s="115">
        <v>0</v>
      </c>
      <c r="H3391" s="115">
        <v>0</v>
      </c>
      <c r="I3391" s="115">
        <v>0</v>
      </c>
      <c r="J3391" s="115">
        <v>0</v>
      </c>
      <c r="K3391" s="115">
        <v>-315</v>
      </c>
    </row>
    <row r="3392" spans="1:11" x14ac:dyDescent="0.25">
      <c r="A3392" s="115" t="s">
        <v>1239</v>
      </c>
      <c r="B3392" s="115" t="s">
        <v>3686</v>
      </c>
      <c r="D3392" s="115" t="s">
        <v>10285</v>
      </c>
      <c r="E3392" s="115" t="s">
        <v>3687</v>
      </c>
      <c r="F3392" s="115">
        <v>363</v>
      </c>
      <c r="G3392" s="115">
        <v>-653</v>
      </c>
      <c r="H3392" s="115">
        <v>0</v>
      </c>
      <c r="I3392" s="115">
        <v>-24626</v>
      </c>
      <c r="J3392" s="115">
        <v>6721</v>
      </c>
      <c r="K3392" s="115">
        <v>-986</v>
      </c>
    </row>
    <row r="3393" spans="1:11" x14ac:dyDescent="0.25">
      <c r="A3393" s="115" t="s">
        <v>1239</v>
      </c>
      <c r="B3393" s="115" t="s">
        <v>3688</v>
      </c>
      <c r="D3393" s="115" t="s">
        <v>10286</v>
      </c>
      <c r="E3393" s="115" t="s">
        <v>3689</v>
      </c>
      <c r="F3393" s="115">
        <v>0</v>
      </c>
      <c r="G3393" s="115">
        <v>0</v>
      </c>
      <c r="H3393" s="115">
        <v>0</v>
      </c>
      <c r="I3393" s="115">
        <v>0</v>
      </c>
      <c r="J3393" s="115">
        <v>0</v>
      </c>
      <c r="K3393" s="115">
        <v>64</v>
      </c>
    </row>
    <row r="3394" spans="1:11" x14ac:dyDescent="0.25">
      <c r="B3394" s="115" t="s">
        <v>3690</v>
      </c>
      <c r="D3394" s="115" t="s">
        <v>10287</v>
      </c>
      <c r="E3394" s="115" t="s">
        <v>3691</v>
      </c>
      <c r="F3394" s="115">
        <v>0</v>
      </c>
      <c r="G3394" s="115">
        <v>99</v>
      </c>
      <c r="H3394" s="115">
        <v>-299</v>
      </c>
      <c r="I3394" s="115">
        <v>997</v>
      </c>
      <c r="J3394" s="115">
        <v>-519</v>
      </c>
      <c r="K3394" s="115">
        <v>2038</v>
      </c>
    </row>
    <row r="3395" spans="1:11" x14ac:dyDescent="0.25">
      <c r="B3395" s="115" t="s">
        <v>3692</v>
      </c>
      <c r="D3395" s="115" t="s">
        <v>10288</v>
      </c>
      <c r="E3395" s="115" t="s">
        <v>3693</v>
      </c>
      <c r="F3395" s="115">
        <v>-69</v>
      </c>
      <c r="G3395" s="115">
        <v>0</v>
      </c>
      <c r="H3395" s="115">
        <v>34</v>
      </c>
      <c r="I3395" s="115">
        <v>139</v>
      </c>
      <c r="J3395" s="115">
        <v>0</v>
      </c>
      <c r="K3395" s="115">
        <v>0</v>
      </c>
    </row>
    <row r="3396" spans="1:11" x14ac:dyDescent="0.25">
      <c r="B3396" s="115" t="s">
        <v>3694</v>
      </c>
      <c r="D3396" s="115" t="s">
        <v>10289</v>
      </c>
      <c r="E3396" s="115" t="s">
        <v>3695</v>
      </c>
      <c r="F3396" s="115">
        <v>-1255</v>
      </c>
      <c r="G3396" s="115">
        <v>1684</v>
      </c>
      <c r="H3396" s="115">
        <v>584</v>
      </c>
      <c r="I3396" s="115">
        <v>-562</v>
      </c>
      <c r="J3396" s="115">
        <v>0</v>
      </c>
      <c r="K3396" s="115">
        <v>0</v>
      </c>
    </row>
    <row r="3397" spans="1:11" x14ac:dyDescent="0.25">
      <c r="B3397" s="115" t="s">
        <v>1241</v>
      </c>
      <c r="D3397" s="115" t="s">
        <v>10290</v>
      </c>
      <c r="E3397" s="115" t="s">
        <v>3696</v>
      </c>
      <c r="F3397" s="115">
        <v>0</v>
      </c>
      <c r="G3397" s="115">
        <v>294</v>
      </c>
      <c r="H3397" s="115">
        <v>183</v>
      </c>
      <c r="I3397" s="115">
        <v>18</v>
      </c>
      <c r="J3397" s="115">
        <v>0</v>
      </c>
      <c r="K3397" s="115">
        <v>400</v>
      </c>
    </row>
    <row r="3398" spans="1:11" x14ac:dyDescent="0.25">
      <c r="B3398" s="115" t="s">
        <v>3697</v>
      </c>
      <c r="D3398" s="115" t="s">
        <v>10291</v>
      </c>
      <c r="E3398" s="115" t="s">
        <v>3698</v>
      </c>
      <c r="F3398" s="115">
        <v>393</v>
      </c>
      <c r="G3398" s="115">
        <v>-295</v>
      </c>
      <c r="H3398" s="115">
        <v>-364</v>
      </c>
      <c r="I3398" s="115">
        <v>0</v>
      </c>
      <c r="J3398" s="115">
        <v>-574</v>
      </c>
      <c r="K3398" s="115">
        <v>0</v>
      </c>
    </row>
    <row r="3399" spans="1:11" x14ac:dyDescent="0.25">
      <c r="B3399" s="115" t="s">
        <v>3699</v>
      </c>
      <c r="D3399" s="115" t="s">
        <v>10292</v>
      </c>
      <c r="E3399" s="115" t="s">
        <v>3700</v>
      </c>
      <c r="F3399" s="115">
        <v>-1045</v>
      </c>
      <c r="G3399" s="115">
        <v>0</v>
      </c>
      <c r="H3399" s="115">
        <v>0</v>
      </c>
      <c r="I3399" s="115">
        <v>298</v>
      </c>
      <c r="J3399" s="115">
        <v>0</v>
      </c>
      <c r="K3399" s="115">
        <v>-493</v>
      </c>
    </row>
    <row r="3400" spans="1:11" x14ac:dyDescent="0.25">
      <c r="A3400" s="115">
        <v>-3</v>
      </c>
      <c r="B3400" s="115" t="s">
        <v>3701</v>
      </c>
      <c r="D3400" s="115" t="s">
        <v>10293</v>
      </c>
      <c r="E3400" s="115" t="s">
        <v>3702</v>
      </c>
      <c r="F3400" s="115">
        <v>0</v>
      </c>
      <c r="G3400" s="115">
        <v>0</v>
      </c>
      <c r="H3400" s="115">
        <v>0</v>
      </c>
      <c r="I3400" s="115">
        <v>-227</v>
      </c>
      <c r="J3400" s="115">
        <v>0</v>
      </c>
      <c r="K3400" s="115">
        <v>29</v>
      </c>
    </row>
    <row r="3401" spans="1:11" x14ac:dyDescent="0.25">
      <c r="A3401" s="115" t="s">
        <v>1239</v>
      </c>
      <c r="B3401" s="115" t="s">
        <v>3703</v>
      </c>
      <c r="D3401" s="115" t="s">
        <v>10294</v>
      </c>
      <c r="E3401" s="115" t="s">
        <v>3704</v>
      </c>
      <c r="F3401" s="115">
        <v>125</v>
      </c>
      <c r="G3401" s="115">
        <v>137</v>
      </c>
      <c r="H3401" s="115">
        <v>0</v>
      </c>
      <c r="I3401" s="115">
        <v>0</v>
      </c>
      <c r="J3401" s="115">
        <v>0</v>
      </c>
      <c r="K3401" s="115">
        <v>-112</v>
      </c>
    </row>
    <row r="3402" spans="1:11" x14ac:dyDescent="0.25">
      <c r="A3402" s="115" t="s">
        <v>1239</v>
      </c>
      <c r="B3402" s="115" t="s">
        <v>3705</v>
      </c>
      <c r="D3402" s="115" t="s">
        <v>10295</v>
      </c>
      <c r="E3402" s="115" t="s">
        <v>3706</v>
      </c>
      <c r="F3402" s="115">
        <v>0</v>
      </c>
      <c r="G3402" s="115">
        <v>218</v>
      </c>
      <c r="H3402" s="115">
        <v>0</v>
      </c>
      <c r="I3402" s="115">
        <v>0</v>
      </c>
      <c r="J3402" s="115">
        <v>-539</v>
      </c>
      <c r="K3402" s="115">
        <v>0</v>
      </c>
    </row>
    <row r="3403" spans="1:11" x14ac:dyDescent="0.25">
      <c r="B3403" s="115" t="s">
        <v>3707</v>
      </c>
      <c r="D3403" s="115" t="s">
        <v>10296</v>
      </c>
      <c r="E3403" s="115" t="s">
        <v>1242</v>
      </c>
      <c r="F3403" s="115">
        <v>0</v>
      </c>
      <c r="G3403" s="115">
        <v>0</v>
      </c>
      <c r="H3403" s="115">
        <v>0</v>
      </c>
      <c r="I3403" s="115">
        <v>0</v>
      </c>
      <c r="J3403" s="115">
        <v>0</v>
      </c>
      <c r="K3403" s="115">
        <v>0</v>
      </c>
    </row>
    <row r="3404" spans="1:11" x14ac:dyDescent="0.25">
      <c r="B3404" s="115" t="s">
        <v>3708</v>
      </c>
      <c r="D3404" s="115" t="s">
        <v>10297</v>
      </c>
      <c r="E3404" s="115" t="s">
        <v>3709</v>
      </c>
      <c r="F3404" s="115">
        <v>-234</v>
      </c>
      <c r="G3404" s="115">
        <v>109</v>
      </c>
      <c r="H3404" s="115">
        <v>0</v>
      </c>
      <c r="I3404" s="115">
        <v>-67</v>
      </c>
      <c r="J3404" s="115">
        <v>-219</v>
      </c>
      <c r="K3404" s="115">
        <v>0</v>
      </c>
    </row>
    <row r="3405" spans="1:11" x14ac:dyDescent="0.25">
      <c r="B3405" s="115" t="s">
        <v>1241</v>
      </c>
      <c r="D3405" s="115" t="s">
        <v>10298</v>
      </c>
      <c r="E3405" s="115" t="s">
        <v>3710</v>
      </c>
      <c r="F3405" s="115">
        <v>270</v>
      </c>
      <c r="G3405" s="115">
        <v>1064</v>
      </c>
      <c r="H3405" s="115">
        <v>-564</v>
      </c>
      <c r="I3405" s="115">
        <v>-533</v>
      </c>
      <c r="J3405" s="115">
        <v>199</v>
      </c>
      <c r="K3405" s="115">
        <v>-18</v>
      </c>
    </row>
    <row r="3406" spans="1:11" x14ac:dyDescent="0.25">
      <c r="B3406" s="115" t="s">
        <v>1241</v>
      </c>
      <c r="D3406" s="115" t="s">
        <v>10299</v>
      </c>
      <c r="E3406" s="115" t="s">
        <v>3711</v>
      </c>
      <c r="F3406" s="115">
        <v>786</v>
      </c>
      <c r="G3406" s="115">
        <v>0</v>
      </c>
      <c r="H3406" s="115">
        <v>-16</v>
      </c>
      <c r="I3406" s="115">
        <v>0</v>
      </c>
      <c r="J3406" s="115">
        <v>0</v>
      </c>
      <c r="K3406" s="115">
        <v>2283</v>
      </c>
    </row>
    <row r="3407" spans="1:11" x14ac:dyDescent="0.25">
      <c r="A3407" s="115" t="s">
        <v>1239</v>
      </c>
      <c r="B3407" s="115" t="s">
        <v>1748</v>
      </c>
      <c r="D3407" s="115" t="s">
        <v>10300</v>
      </c>
      <c r="E3407" s="115" t="s">
        <v>3712</v>
      </c>
      <c r="F3407" s="115">
        <v>0</v>
      </c>
      <c r="G3407" s="115">
        <v>165</v>
      </c>
      <c r="H3407" s="115">
        <v>0</v>
      </c>
      <c r="I3407" s="115">
        <v>229</v>
      </c>
      <c r="J3407" s="115">
        <v>-336</v>
      </c>
      <c r="K3407" s="115">
        <v>167</v>
      </c>
    </row>
    <row r="3408" spans="1:11" x14ac:dyDescent="0.25">
      <c r="A3408" s="115" t="s">
        <v>1239</v>
      </c>
      <c r="B3408" s="115" t="s">
        <v>3713</v>
      </c>
      <c r="D3408" s="115" t="s">
        <v>10301</v>
      </c>
      <c r="E3408" s="115" t="s">
        <v>3714</v>
      </c>
      <c r="F3408" s="115">
        <v>436</v>
      </c>
      <c r="G3408" s="115">
        <v>2306</v>
      </c>
      <c r="H3408" s="115">
        <v>1358</v>
      </c>
      <c r="I3408" s="115">
        <v>0</v>
      </c>
      <c r="J3408" s="115">
        <v>0</v>
      </c>
      <c r="K3408" s="115">
        <v>0</v>
      </c>
    </row>
    <row r="3409" spans="1:11" x14ac:dyDescent="0.25">
      <c r="B3409" s="115" t="s">
        <v>1241</v>
      </c>
      <c r="D3409" s="115" t="s">
        <v>10302</v>
      </c>
      <c r="E3409" s="115" t="s">
        <v>3715</v>
      </c>
      <c r="F3409" s="115">
        <v>9362</v>
      </c>
      <c r="G3409" s="115">
        <v>656</v>
      </c>
      <c r="H3409" s="115">
        <v>-608</v>
      </c>
      <c r="I3409" s="115">
        <v>715</v>
      </c>
      <c r="J3409" s="115">
        <v>692</v>
      </c>
      <c r="K3409" s="115">
        <v>1071</v>
      </c>
    </row>
    <row r="3410" spans="1:11" x14ac:dyDescent="0.25">
      <c r="B3410" s="115" t="s">
        <v>1241</v>
      </c>
      <c r="D3410" s="115" t="s">
        <v>10303</v>
      </c>
      <c r="E3410" s="115" t="s">
        <v>3716</v>
      </c>
      <c r="F3410" s="115">
        <v>0</v>
      </c>
      <c r="G3410" s="115">
        <v>0</v>
      </c>
      <c r="H3410" s="115">
        <v>697</v>
      </c>
      <c r="I3410" s="115">
        <v>61</v>
      </c>
      <c r="J3410" s="115">
        <v>0</v>
      </c>
      <c r="K3410" s="115">
        <v>0</v>
      </c>
    </row>
    <row r="3411" spans="1:11" x14ac:dyDescent="0.25">
      <c r="B3411" s="115" t="s">
        <v>1241</v>
      </c>
      <c r="D3411" s="115" t="s">
        <v>10304</v>
      </c>
      <c r="E3411" s="115" t="s">
        <v>3717</v>
      </c>
      <c r="F3411" s="115">
        <v>186</v>
      </c>
      <c r="G3411" s="115">
        <v>0</v>
      </c>
      <c r="H3411" s="115">
        <v>0</v>
      </c>
      <c r="I3411" s="115">
        <v>-159</v>
      </c>
      <c r="J3411" s="115">
        <v>0</v>
      </c>
      <c r="K3411" s="115">
        <v>-71</v>
      </c>
    </row>
    <row r="3412" spans="1:11" x14ac:dyDescent="0.25">
      <c r="B3412" s="115" t="s">
        <v>3718</v>
      </c>
      <c r="D3412" s="115" t="s">
        <v>10305</v>
      </c>
      <c r="E3412" s="115" t="s">
        <v>3719</v>
      </c>
      <c r="F3412" s="115">
        <v>0</v>
      </c>
      <c r="G3412" s="115">
        <v>-1308</v>
      </c>
      <c r="H3412" s="115">
        <v>-647</v>
      </c>
      <c r="I3412" s="115">
        <v>708</v>
      </c>
      <c r="J3412" s="115">
        <v>1033</v>
      </c>
      <c r="K3412" s="115">
        <v>1072</v>
      </c>
    </row>
    <row r="3413" spans="1:11" x14ac:dyDescent="0.25">
      <c r="A3413" s="115">
        <v>1</v>
      </c>
      <c r="B3413" s="115" t="s">
        <v>3720</v>
      </c>
      <c r="D3413" s="115" t="s">
        <v>10306</v>
      </c>
      <c r="E3413" s="115" t="s">
        <v>3721</v>
      </c>
      <c r="F3413" s="115">
        <v>0</v>
      </c>
      <c r="G3413" s="115">
        <v>0</v>
      </c>
      <c r="H3413" s="115">
        <v>0</v>
      </c>
      <c r="I3413" s="115">
        <v>0</v>
      </c>
      <c r="J3413" s="115">
        <v>747</v>
      </c>
      <c r="K3413" s="115">
        <v>0</v>
      </c>
    </row>
    <row r="3414" spans="1:11" x14ac:dyDescent="0.25">
      <c r="B3414" s="115" t="s">
        <v>1241</v>
      </c>
      <c r="D3414" s="115" t="s">
        <v>10307</v>
      </c>
      <c r="E3414" s="115" t="s">
        <v>1242</v>
      </c>
      <c r="F3414" s="115">
        <v>448</v>
      </c>
      <c r="G3414" s="115">
        <v>0</v>
      </c>
      <c r="H3414" s="115">
        <v>0</v>
      </c>
      <c r="I3414" s="115">
        <v>0</v>
      </c>
      <c r="J3414" s="115">
        <v>0</v>
      </c>
      <c r="K3414" s="115">
        <v>0</v>
      </c>
    </row>
    <row r="3415" spans="1:11" x14ac:dyDescent="0.25">
      <c r="B3415" s="115" t="s">
        <v>3722</v>
      </c>
      <c r="D3415" s="115" t="s">
        <v>10308</v>
      </c>
      <c r="E3415" s="115" t="s">
        <v>3723</v>
      </c>
      <c r="F3415" s="115">
        <v>0</v>
      </c>
      <c r="G3415" s="115">
        <v>0</v>
      </c>
      <c r="H3415" s="115">
        <v>-331</v>
      </c>
      <c r="I3415" s="115">
        <v>3015</v>
      </c>
      <c r="J3415" s="115">
        <v>0</v>
      </c>
      <c r="K3415" s="115">
        <v>-1339</v>
      </c>
    </row>
    <row r="3416" spans="1:11" x14ac:dyDescent="0.25">
      <c r="B3416" s="115" t="s">
        <v>1241</v>
      </c>
      <c r="D3416" s="115" t="s">
        <v>10309</v>
      </c>
      <c r="E3416" s="115" t="s">
        <v>3724</v>
      </c>
      <c r="F3416" s="115">
        <v>-473</v>
      </c>
      <c r="G3416" s="115">
        <v>-165</v>
      </c>
      <c r="H3416" s="115">
        <v>-32</v>
      </c>
      <c r="I3416" s="115">
        <v>0</v>
      </c>
      <c r="J3416" s="115">
        <v>0</v>
      </c>
      <c r="K3416" s="115">
        <v>529</v>
      </c>
    </row>
    <row r="3417" spans="1:11" x14ac:dyDescent="0.25">
      <c r="A3417" s="115" t="s">
        <v>1239</v>
      </c>
      <c r="B3417" s="115" t="s">
        <v>3725</v>
      </c>
      <c r="D3417" s="115" t="s">
        <v>10310</v>
      </c>
      <c r="E3417" s="115" t="s">
        <v>3726</v>
      </c>
      <c r="F3417" s="115">
        <v>-1734</v>
      </c>
      <c r="G3417" s="115">
        <v>-1829</v>
      </c>
      <c r="H3417" s="115">
        <v>-91</v>
      </c>
      <c r="I3417" s="115">
        <v>-75</v>
      </c>
      <c r="J3417" s="115">
        <v>714</v>
      </c>
      <c r="K3417" s="115">
        <v>0</v>
      </c>
    </row>
    <row r="3418" spans="1:11" x14ac:dyDescent="0.25">
      <c r="B3418" s="115" t="s">
        <v>1241</v>
      </c>
      <c r="D3418" s="115" t="s">
        <v>10311</v>
      </c>
      <c r="E3418" s="115" t="s">
        <v>3727</v>
      </c>
      <c r="F3418" s="115">
        <v>2022</v>
      </c>
      <c r="G3418" s="115">
        <v>0</v>
      </c>
      <c r="H3418" s="115">
        <v>-1575</v>
      </c>
      <c r="I3418" s="115">
        <v>-1113</v>
      </c>
      <c r="J3418" s="115">
        <v>-600</v>
      </c>
      <c r="K3418" s="115">
        <v>0</v>
      </c>
    </row>
    <row r="3419" spans="1:11" x14ac:dyDescent="0.25">
      <c r="A3419" s="115" t="s">
        <v>1239</v>
      </c>
      <c r="B3419" s="115" t="s">
        <v>3728</v>
      </c>
      <c r="D3419" s="115" t="s">
        <v>10312</v>
      </c>
      <c r="E3419" s="115" t="s">
        <v>3729</v>
      </c>
      <c r="F3419" s="115">
        <v>1461</v>
      </c>
      <c r="G3419" s="115">
        <v>0</v>
      </c>
      <c r="H3419" s="115">
        <v>-557</v>
      </c>
      <c r="I3419" s="115">
        <v>-772</v>
      </c>
      <c r="J3419" s="115">
        <v>617</v>
      </c>
      <c r="K3419" s="115">
        <v>-417</v>
      </c>
    </row>
    <row r="3420" spans="1:11" x14ac:dyDescent="0.25">
      <c r="B3420" s="115" t="s">
        <v>2748</v>
      </c>
      <c r="D3420" s="115" t="s">
        <v>10313</v>
      </c>
      <c r="E3420" s="115" t="s">
        <v>3730</v>
      </c>
      <c r="F3420" s="115">
        <v>0</v>
      </c>
      <c r="G3420" s="115">
        <v>0</v>
      </c>
      <c r="H3420" s="115">
        <v>4942</v>
      </c>
      <c r="I3420" s="115">
        <v>-24665</v>
      </c>
      <c r="J3420" s="115">
        <v>0</v>
      </c>
      <c r="K3420" s="115">
        <v>-3986</v>
      </c>
    </row>
    <row r="3421" spans="1:11" x14ac:dyDescent="0.25">
      <c r="A3421" s="115">
        <v>-1</v>
      </c>
      <c r="B3421" s="115" t="s">
        <v>3731</v>
      </c>
      <c r="D3421" s="115" t="s">
        <v>10314</v>
      </c>
      <c r="E3421" s="115" t="s">
        <v>3732</v>
      </c>
      <c r="F3421" s="115">
        <v>0</v>
      </c>
      <c r="G3421" s="115">
        <v>0</v>
      </c>
      <c r="H3421" s="115">
        <v>0</v>
      </c>
      <c r="I3421" s="115">
        <v>0</v>
      </c>
      <c r="J3421" s="115">
        <v>1225</v>
      </c>
      <c r="K3421" s="115">
        <v>0</v>
      </c>
    </row>
    <row r="3422" spans="1:11" x14ac:dyDescent="0.25">
      <c r="A3422" s="115" t="s">
        <v>1239</v>
      </c>
      <c r="B3422" s="115" t="s">
        <v>3733</v>
      </c>
      <c r="D3422" s="115" t="s">
        <v>10315</v>
      </c>
      <c r="E3422" s="115" t="s">
        <v>3734</v>
      </c>
      <c r="F3422" s="115">
        <v>-218</v>
      </c>
      <c r="G3422" s="115">
        <v>-903</v>
      </c>
      <c r="H3422" s="115">
        <v>-21</v>
      </c>
      <c r="I3422" s="115">
        <v>1135</v>
      </c>
      <c r="J3422" s="115">
        <v>-1092</v>
      </c>
      <c r="K3422" s="115">
        <v>-11</v>
      </c>
    </row>
    <row r="3423" spans="1:11" x14ac:dyDescent="0.25">
      <c r="B3423" s="115" t="s">
        <v>3735</v>
      </c>
      <c r="D3423" s="115" t="s">
        <v>10316</v>
      </c>
      <c r="E3423" s="115" t="s">
        <v>3736</v>
      </c>
      <c r="F3423" s="115">
        <v>0</v>
      </c>
      <c r="G3423" s="115">
        <v>0</v>
      </c>
      <c r="H3423" s="115">
        <v>765</v>
      </c>
      <c r="I3423" s="115">
        <v>430</v>
      </c>
      <c r="J3423" s="115">
        <v>0</v>
      </c>
      <c r="K3423" s="115">
        <v>-1508</v>
      </c>
    </row>
    <row r="3424" spans="1:11" x14ac:dyDescent="0.25">
      <c r="B3424" s="115" t="s">
        <v>1241</v>
      </c>
      <c r="D3424" s="115" t="s">
        <v>10317</v>
      </c>
      <c r="E3424" s="115" t="s">
        <v>3737</v>
      </c>
      <c r="F3424" s="115">
        <v>877</v>
      </c>
      <c r="G3424" s="115">
        <v>139</v>
      </c>
      <c r="H3424" s="115">
        <v>4422</v>
      </c>
      <c r="I3424" s="115">
        <v>0</v>
      </c>
      <c r="J3424" s="115">
        <v>0</v>
      </c>
      <c r="K3424" s="115">
        <v>0</v>
      </c>
    </row>
    <row r="3425" spans="1:11" x14ac:dyDescent="0.25">
      <c r="B3425" s="115" t="s">
        <v>1241</v>
      </c>
      <c r="D3425" s="115" t="s">
        <v>10318</v>
      </c>
      <c r="E3425" s="115" t="s">
        <v>3738</v>
      </c>
      <c r="F3425" s="115">
        <v>68</v>
      </c>
      <c r="G3425" s="115">
        <v>-163</v>
      </c>
      <c r="H3425" s="115">
        <v>1434</v>
      </c>
      <c r="I3425" s="115">
        <v>0</v>
      </c>
      <c r="J3425" s="115">
        <v>687</v>
      </c>
      <c r="K3425" s="115">
        <v>-1057</v>
      </c>
    </row>
    <row r="3426" spans="1:11" x14ac:dyDescent="0.25">
      <c r="A3426" s="115">
        <v>1</v>
      </c>
      <c r="B3426" s="115" t="s">
        <v>2407</v>
      </c>
      <c r="D3426" s="115" t="s">
        <v>10319</v>
      </c>
      <c r="E3426" s="115" t="s">
        <v>3739</v>
      </c>
      <c r="F3426" s="115">
        <v>-1206</v>
      </c>
      <c r="G3426" s="115">
        <v>-1230</v>
      </c>
      <c r="H3426" s="115">
        <v>-717</v>
      </c>
      <c r="I3426" s="115">
        <v>-127</v>
      </c>
      <c r="J3426" s="115">
        <v>-199</v>
      </c>
      <c r="K3426" s="115">
        <v>0</v>
      </c>
    </row>
    <row r="3427" spans="1:11" x14ac:dyDescent="0.25">
      <c r="B3427" s="115" t="s">
        <v>1387</v>
      </c>
      <c r="D3427" s="115" t="s">
        <v>10320</v>
      </c>
      <c r="E3427" s="115" t="s">
        <v>3740</v>
      </c>
      <c r="F3427" s="115">
        <v>0</v>
      </c>
      <c r="G3427" s="115">
        <v>-12984</v>
      </c>
      <c r="H3427" s="115">
        <v>0</v>
      </c>
      <c r="I3427" s="115">
        <v>-4220</v>
      </c>
      <c r="J3427" s="115">
        <v>0</v>
      </c>
      <c r="K3427" s="115">
        <v>0</v>
      </c>
    </row>
    <row r="3428" spans="1:11" x14ac:dyDescent="0.25">
      <c r="B3428" s="115" t="s">
        <v>1241</v>
      </c>
      <c r="D3428" s="115" t="s">
        <v>10321</v>
      </c>
      <c r="E3428" s="115" t="s">
        <v>3741</v>
      </c>
      <c r="F3428" s="115">
        <v>0</v>
      </c>
      <c r="G3428" s="115">
        <v>0</v>
      </c>
      <c r="H3428" s="115">
        <v>472</v>
      </c>
      <c r="I3428" s="115">
        <v>0</v>
      </c>
      <c r="J3428" s="115">
        <v>-693</v>
      </c>
      <c r="K3428" s="115">
        <v>202</v>
      </c>
    </row>
    <row r="3429" spans="1:11" x14ac:dyDescent="0.25">
      <c r="B3429" s="115" t="s">
        <v>2123</v>
      </c>
      <c r="D3429" s="115" t="s">
        <v>10322</v>
      </c>
      <c r="E3429" s="115" t="s">
        <v>3742</v>
      </c>
      <c r="F3429" s="115">
        <v>0</v>
      </c>
      <c r="G3429" s="115">
        <v>0</v>
      </c>
      <c r="H3429" s="115">
        <v>0</v>
      </c>
      <c r="I3429" s="115">
        <v>0</v>
      </c>
      <c r="J3429" s="115">
        <v>0</v>
      </c>
      <c r="K3429" s="115">
        <v>-1025</v>
      </c>
    </row>
    <row r="3430" spans="1:11" x14ac:dyDescent="0.25">
      <c r="B3430" s="115" t="s">
        <v>3743</v>
      </c>
      <c r="D3430" s="115" t="s">
        <v>10323</v>
      </c>
      <c r="E3430" s="115" t="s">
        <v>3744</v>
      </c>
      <c r="F3430" s="115">
        <v>1378</v>
      </c>
      <c r="G3430" s="115">
        <v>0</v>
      </c>
      <c r="H3430" s="115">
        <v>0</v>
      </c>
      <c r="I3430" s="115">
        <v>0</v>
      </c>
      <c r="J3430" s="115">
        <v>0</v>
      </c>
      <c r="K3430" s="115">
        <v>-26020</v>
      </c>
    </row>
    <row r="3431" spans="1:11" x14ac:dyDescent="0.25">
      <c r="B3431" s="115" t="s">
        <v>3745</v>
      </c>
      <c r="D3431" s="115" t="s">
        <v>10324</v>
      </c>
      <c r="E3431" s="115" t="s">
        <v>3746</v>
      </c>
      <c r="F3431" s="115">
        <v>1577</v>
      </c>
      <c r="G3431" s="115">
        <v>356</v>
      </c>
      <c r="H3431" s="115">
        <v>0</v>
      </c>
      <c r="I3431" s="115">
        <v>0</v>
      </c>
      <c r="J3431" s="115">
        <v>0</v>
      </c>
      <c r="K3431" s="115">
        <v>0</v>
      </c>
    </row>
    <row r="3432" spans="1:11" x14ac:dyDescent="0.25">
      <c r="B3432" s="115" t="s">
        <v>3747</v>
      </c>
      <c r="D3432" s="115" t="s">
        <v>10325</v>
      </c>
      <c r="E3432" s="115" t="s">
        <v>3748</v>
      </c>
      <c r="F3432" s="115">
        <v>600</v>
      </c>
      <c r="G3432" s="115">
        <v>-181</v>
      </c>
      <c r="H3432" s="115">
        <v>-8094</v>
      </c>
      <c r="I3432" s="115">
        <v>2417</v>
      </c>
      <c r="J3432" s="115">
        <v>-9897</v>
      </c>
      <c r="K3432" s="115">
        <v>-5611</v>
      </c>
    </row>
    <row r="3433" spans="1:11" x14ac:dyDescent="0.25">
      <c r="A3433" s="115">
        <v>6</v>
      </c>
      <c r="B3433" s="115" t="s">
        <v>3749</v>
      </c>
      <c r="D3433" s="115" t="s">
        <v>10326</v>
      </c>
      <c r="E3433" s="115" t="s">
        <v>3750</v>
      </c>
      <c r="F3433" s="115">
        <v>0</v>
      </c>
      <c r="G3433" s="115">
        <v>0</v>
      </c>
      <c r="H3433" s="115">
        <v>0</v>
      </c>
      <c r="I3433" s="115">
        <v>0</v>
      </c>
      <c r="J3433" s="115">
        <v>0</v>
      </c>
      <c r="K3433" s="115">
        <v>25428</v>
      </c>
    </row>
    <row r="3434" spans="1:11" x14ac:dyDescent="0.25">
      <c r="A3434" s="115">
        <v>-17</v>
      </c>
      <c r="B3434" s="115" t="s">
        <v>3751</v>
      </c>
      <c r="D3434" s="115" t="s">
        <v>10327</v>
      </c>
      <c r="E3434" s="115" t="s">
        <v>3752</v>
      </c>
      <c r="F3434" s="115">
        <v>429</v>
      </c>
      <c r="G3434" s="115">
        <v>358</v>
      </c>
      <c r="H3434" s="115">
        <v>0</v>
      </c>
      <c r="I3434" s="115">
        <v>0</v>
      </c>
      <c r="J3434" s="115">
        <v>550</v>
      </c>
      <c r="K3434" s="115">
        <v>0</v>
      </c>
    </row>
    <row r="3435" spans="1:11" x14ac:dyDescent="0.25">
      <c r="B3435" s="115" t="s">
        <v>1241</v>
      </c>
      <c r="D3435" s="115" t="s">
        <v>10328</v>
      </c>
      <c r="E3435" s="115" t="s">
        <v>1242</v>
      </c>
      <c r="F3435" s="115">
        <v>0</v>
      </c>
      <c r="G3435" s="115">
        <v>0</v>
      </c>
      <c r="H3435" s="115">
        <v>0</v>
      </c>
      <c r="I3435" s="115">
        <v>0</v>
      </c>
      <c r="J3435" s="115">
        <v>0</v>
      </c>
      <c r="K3435" s="115">
        <v>0</v>
      </c>
    </row>
    <row r="3436" spans="1:11" x14ac:dyDescent="0.25">
      <c r="B3436" s="115" t="s">
        <v>2174</v>
      </c>
      <c r="D3436" s="115" t="s">
        <v>10329</v>
      </c>
      <c r="E3436" s="115" t="s">
        <v>3753</v>
      </c>
      <c r="F3436" s="115">
        <v>0</v>
      </c>
      <c r="G3436" s="115">
        <v>-2</v>
      </c>
      <c r="H3436" s="115">
        <v>0</v>
      </c>
      <c r="I3436" s="115">
        <v>-53</v>
      </c>
      <c r="J3436" s="115">
        <v>-426</v>
      </c>
      <c r="K3436" s="115">
        <v>-506</v>
      </c>
    </row>
    <row r="3437" spans="1:11" x14ac:dyDescent="0.25">
      <c r="B3437" s="115" t="s">
        <v>3754</v>
      </c>
      <c r="D3437" s="115" t="s">
        <v>10330</v>
      </c>
      <c r="E3437" s="115" t="s">
        <v>3755</v>
      </c>
      <c r="F3437" s="115">
        <v>647</v>
      </c>
      <c r="G3437" s="115">
        <v>964</v>
      </c>
      <c r="H3437" s="115">
        <v>918</v>
      </c>
      <c r="I3437" s="115">
        <v>0</v>
      </c>
      <c r="J3437" s="115">
        <v>15</v>
      </c>
      <c r="K3437" s="115">
        <v>0</v>
      </c>
    </row>
    <row r="3438" spans="1:11" x14ac:dyDescent="0.25">
      <c r="B3438" s="115" t="s">
        <v>1241</v>
      </c>
      <c r="D3438" s="115" t="s">
        <v>10331</v>
      </c>
      <c r="E3438" s="115" t="s">
        <v>3756</v>
      </c>
      <c r="F3438" s="115">
        <v>159</v>
      </c>
      <c r="G3438" s="115">
        <v>0</v>
      </c>
      <c r="H3438" s="115">
        <v>0</v>
      </c>
      <c r="I3438" s="115">
        <v>0</v>
      </c>
      <c r="J3438" s="115">
        <v>888</v>
      </c>
      <c r="K3438" s="115">
        <v>0</v>
      </c>
    </row>
    <row r="3439" spans="1:11" x14ac:dyDescent="0.25">
      <c r="B3439" s="115" t="s">
        <v>2337</v>
      </c>
      <c r="D3439" s="115" t="s">
        <v>10332</v>
      </c>
      <c r="E3439" s="115" t="s">
        <v>3757</v>
      </c>
      <c r="F3439" s="115">
        <v>0</v>
      </c>
      <c r="G3439" s="115">
        <v>0</v>
      </c>
      <c r="H3439" s="115">
        <v>605</v>
      </c>
      <c r="I3439" s="115">
        <v>0</v>
      </c>
      <c r="J3439" s="115">
        <v>43</v>
      </c>
      <c r="K3439" s="115">
        <v>50</v>
      </c>
    </row>
    <row r="3440" spans="1:11" x14ac:dyDescent="0.25">
      <c r="B3440" s="115" t="s">
        <v>1241</v>
      </c>
      <c r="D3440" s="115" t="s">
        <v>10333</v>
      </c>
      <c r="E3440" s="115" t="s">
        <v>3758</v>
      </c>
      <c r="F3440" s="115">
        <v>0</v>
      </c>
      <c r="G3440" s="115">
        <v>-526</v>
      </c>
      <c r="H3440" s="115">
        <v>0</v>
      </c>
      <c r="I3440" s="115">
        <v>0</v>
      </c>
      <c r="J3440" s="115">
        <v>0</v>
      </c>
      <c r="K3440" s="115">
        <v>0</v>
      </c>
    </row>
    <row r="3441" spans="1:11" x14ac:dyDescent="0.25">
      <c r="B3441" s="115" t="s">
        <v>3759</v>
      </c>
      <c r="D3441" s="115" t="s">
        <v>10334</v>
      </c>
      <c r="E3441" s="115" t="s">
        <v>3760</v>
      </c>
      <c r="F3441" s="115">
        <v>0</v>
      </c>
      <c r="G3441" s="115">
        <v>6</v>
      </c>
      <c r="H3441" s="115">
        <v>395</v>
      </c>
      <c r="I3441" s="115">
        <v>0</v>
      </c>
      <c r="J3441" s="115">
        <v>-969</v>
      </c>
      <c r="K3441" s="115">
        <v>-1104</v>
      </c>
    </row>
    <row r="3442" spans="1:11" x14ac:dyDescent="0.25">
      <c r="A3442" s="115">
        <v>-25</v>
      </c>
      <c r="B3442" s="115" t="s">
        <v>3761</v>
      </c>
      <c r="D3442" s="115" t="s">
        <v>10335</v>
      </c>
      <c r="E3442" s="115" t="s">
        <v>1242</v>
      </c>
      <c r="F3442" s="115">
        <v>-124</v>
      </c>
      <c r="G3442" s="115">
        <v>0</v>
      </c>
      <c r="H3442" s="115">
        <v>0</v>
      </c>
      <c r="I3442" s="115">
        <v>0</v>
      </c>
      <c r="J3442" s="115">
        <v>0</v>
      </c>
      <c r="K3442" s="115">
        <v>0</v>
      </c>
    </row>
    <row r="3443" spans="1:11" x14ac:dyDescent="0.25">
      <c r="B3443" s="115" t="s">
        <v>3762</v>
      </c>
      <c r="D3443" s="115" t="s">
        <v>10336</v>
      </c>
      <c r="E3443" s="115" t="s">
        <v>3763</v>
      </c>
      <c r="F3443" s="115">
        <v>163</v>
      </c>
      <c r="G3443" s="115">
        <v>0</v>
      </c>
      <c r="H3443" s="115">
        <v>-308</v>
      </c>
      <c r="I3443" s="115">
        <v>-73</v>
      </c>
      <c r="J3443" s="115">
        <v>-52</v>
      </c>
      <c r="K3443" s="115">
        <v>385</v>
      </c>
    </row>
    <row r="3444" spans="1:11" x14ac:dyDescent="0.25">
      <c r="B3444" s="115" t="s">
        <v>3764</v>
      </c>
      <c r="D3444" s="115" t="s">
        <v>10337</v>
      </c>
      <c r="E3444" s="115" t="s">
        <v>3765</v>
      </c>
      <c r="F3444" s="115">
        <v>971</v>
      </c>
      <c r="G3444" s="115">
        <v>-102</v>
      </c>
      <c r="H3444" s="115">
        <v>0</v>
      </c>
      <c r="I3444" s="115">
        <v>188</v>
      </c>
      <c r="J3444" s="115">
        <v>-137</v>
      </c>
      <c r="K3444" s="115">
        <v>0</v>
      </c>
    </row>
    <row r="3445" spans="1:11" x14ac:dyDescent="0.25">
      <c r="B3445" s="115" t="s">
        <v>1241</v>
      </c>
      <c r="D3445" s="115" t="s">
        <v>10338</v>
      </c>
      <c r="E3445" s="115" t="s">
        <v>3766</v>
      </c>
      <c r="F3445" s="115">
        <v>0</v>
      </c>
      <c r="G3445" s="115">
        <v>1116</v>
      </c>
      <c r="H3445" s="115">
        <v>-91</v>
      </c>
      <c r="I3445" s="115">
        <v>-2376</v>
      </c>
      <c r="J3445" s="115">
        <v>1178</v>
      </c>
      <c r="K3445" s="115">
        <v>0</v>
      </c>
    </row>
    <row r="3446" spans="1:11" x14ac:dyDescent="0.25">
      <c r="B3446" s="115" t="s">
        <v>1241</v>
      </c>
      <c r="D3446" s="115" t="s">
        <v>10339</v>
      </c>
      <c r="E3446" s="115" t="s">
        <v>3767</v>
      </c>
      <c r="F3446" s="115">
        <v>563</v>
      </c>
      <c r="G3446" s="115">
        <v>0</v>
      </c>
      <c r="H3446" s="115">
        <v>16</v>
      </c>
      <c r="I3446" s="115">
        <v>-239</v>
      </c>
      <c r="J3446" s="115">
        <v>-863</v>
      </c>
      <c r="K3446" s="115">
        <v>0</v>
      </c>
    </row>
    <row r="3447" spans="1:11" x14ac:dyDescent="0.25">
      <c r="B3447" s="115" t="s">
        <v>3768</v>
      </c>
      <c r="C3447" s="115" t="s">
        <v>1239</v>
      </c>
      <c r="D3447" s="115" t="s">
        <v>10340</v>
      </c>
      <c r="E3447" s="115" t="s">
        <v>3769</v>
      </c>
      <c r="F3447" s="115">
        <v>-594</v>
      </c>
      <c r="G3447" s="115">
        <v>-872</v>
      </c>
      <c r="H3447" s="115">
        <v>-1242</v>
      </c>
      <c r="I3447" s="115">
        <v>-1156</v>
      </c>
      <c r="J3447" s="115">
        <v>0</v>
      </c>
      <c r="K3447" s="115">
        <v>62</v>
      </c>
    </row>
    <row r="3448" spans="1:11" x14ac:dyDescent="0.25">
      <c r="B3448" s="115" t="s">
        <v>1241</v>
      </c>
      <c r="D3448" s="115" t="s">
        <v>10341</v>
      </c>
      <c r="E3448" s="115" t="s">
        <v>3770</v>
      </c>
      <c r="F3448" s="115">
        <v>0</v>
      </c>
      <c r="G3448" s="115">
        <v>-2938</v>
      </c>
      <c r="H3448" s="115">
        <v>0</v>
      </c>
      <c r="I3448" s="115">
        <v>0</v>
      </c>
      <c r="J3448" s="115">
        <v>-20742</v>
      </c>
      <c r="K3448" s="115">
        <v>0</v>
      </c>
    </row>
    <row r="3449" spans="1:11" x14ac:dyDescent="0.25">
      <c r="B3449" s="115" t="s">
        <v>3771</v>
      </c>
      <c r="D3449" s="115" t="s">
        <v>10342</v>
      </c>
      <c r="E3449" s="115" t="s">
        <v>3772</v>
      </c>
      <c r="F3449" s="115">
        <v>0</v>
      </c>
      <c r="G3449" s="115">
        <v>0</v>
      </c>
      <c r="H3449" s="115">
        <v>0</v>
      </c>
      <c r="I3449" s="115">
        <v>0</v>
      </c>
      <c r="J3449" s="115">
        <v>488</v>
      </c>
      <c r="K3449" s="115">
        <v>0</v>
      </c>
    </row>
    <row r="3450" spans="1:11" x14ac:dyDescent="0.25">
      <c r="B3450" s="115" t="s">
        <v>3773</v>
      </c>
      <c r="D3450" s="115" t="s">
        <v>10343</v>
      </c>
      <c r="E3450" s="115" t="s">
        <v>3774</v>
      </c>
      <c r="F3450" s="115">
        <v>256</v>
      </c>
      <c r="G3450" s="115">
        <v>111</v>
      </c>
      <c r="H3450" s="115">
        <v>130</v>
      </c>
      <c r="I3450" s="115">
        <v>0</v>
      </c>
      <c r="J3450" s="115">
        <v>0</v>
      </c>
      <c r="K3450" s="115">
        <v>0</v>
      </c>
    </row>
    <row r="3451" spans="1:11" x14ac:dyDescent="0.25">
      <c r="B3451" s="115" t="s">
        <v>3775</v>
      </c>
      <c r="D3451" s="115" t="s">
        <v>10344</v>
      </c>
      <c r="E3451" s="115" t="s">
        <v>3776</v>
      </c>
      <c r="F3451" s="115">
        <v>-589</v>
      </c>
      <c r="G3451" s="115">
        <v>0</v>
      </c>
      <c r="H3451" s="115">
        <v>29</v>
      </c>
      <c r="I3451" s="115">
        <v>0</v>
      </c>
      <c r="J3451" s="115">
        <v>0</v>
      </c>
      <c r="K3451" s="115">
        <v>-19</v>
      </c>
    </row>
    <row r="3452" spans="1:11" x14ac:dyDescent="0.25">
      <c r="B3452" s="115" t="s">
        <v>2549</v>
      </c>
      <c r="D3452" s="115" t="s">
        <v>10345</v>
      </c>
      <c r="E3452" s="115" t="s">
        <v>1242</v>
      </c>
      <c r="F3452" s="115">
        <v>0</v>
      </c>
      <c r="G3452" s="115">
        <v>0</v>
      </c>
      <c r="H3452" s="115">
        <v>0</v>
      </c>
      <c r="I3452" s="115">
        <v>0</v>
      </c>
      <c r="J3452" s="115">
        <v>0</v>
      </c>
      <c r="K3452" s="115">
        <v>0</v>
      </c>
    </row>
    <row r="3453" spans="1:11" x14ac:dyDescent="0.25">
      <c r="B3453" s="115" t="s">
        <v>1241</v>
      </c>
      <c r="D3453" s="115" t="s">
        <v>10346</v>
      </c>
      <c r="E3453" s="115" t="s">
        <v>3777</v>
      </c>
      <c r="F3453" s="115">
        <v>-48</v>
      </c>
      <c r="G3453" s="115">
        <v>-210</v>
      </c>
      <c r="H3453" s="115">
        <v>-816</v>
      </c>
      <c r="I3453" s="115">
        <v>0</v>
      </c>
      <c r="J3453" s="115">
        <v>-54</v>
      </c>
      <c r="K3453" s="115">
        <v>-178</v>
      </c>
    </row>
    <row r="3454" spans="1:11" x14ac:dyDescent="0.25">
      <c r="B3454" s="115" t="s">
        <v>1241</v>
      </c>
      <c r="D3454" s="115" t="s">
        <v>10347</v>
      </c>
      <c r="E3454" s="115" t="s">
        <v>3778</v>
      </c>
      <c r="F3454" s="115">
        <v>0</v>
      </c>
      <c r="G3454" s="115">
        <v>519</v>
      </c>
      <c r="H3454" s="115">
        <v>1551</v>
      </c>
      <c r="I3454" s="115">
        <v>-507</v>
      </c>
      <c r="J3454" s="115">
        <v>-836</v>
      </c>
      <c r="K3454" s="115">
        <v>211</v>
      </c>
    </row>
    <row r="3455" spans="1:11" x14ac:dyDescent="0.25">
      <c r="A3455" s="115" t="s">
        <v>1239</v>
      </c>
      <c r="B3455" s="115" t="s">
        <v>3779</v>
      </c>
      <c r="D3455" s="115" t="s">
        <v>10348</v>
      </c>
      <c r="E3455" s="115" t="s">
        <v>3780</v>
      </c>
      <c r="F3455" s="115">
        <v>0</v>
      </c>
      <c r="G3455" s="115">
        <v>169</v>
      </c>
      <c r="H3455" s="115">
        <v>0</v>
      </c>
      <c r="I3455" s="115">
        <v>869</v>
      </c>
      <c r="J3455" s="115">
        <v>0</v>
      </c>
      <c r="K3455" s="115">
        <v>0</v>
      </c>
    </row>
    <row r="3456" spans="1:11" x14ac:dyDescent="0.25">
      <c r="A3456" s="115">
        <v>2</v>
      </c>
      <c r="B3456" s="115" t="s">
        <v>3781</v>
      </c>
      <c r="D3456" s="115" t="s">
        <v>10349</v>
      </c>
      <c r="E3456" s="115" t="s">
        <v>3782</v>
      </c>
      <c r="F3456" s="115">
        <v>0</v>
      </c>
      <c r="G3456" s="115">
        <v>0</v>
      </c>
      <c r="H3456" s="115">
        <v>444</v>
      </c>
      <c r="I3456" s="115">
        <v>0</v>
      </c>
      <c r="J3456" s="115">
        <v>249</v>
      </c>
      <c r="K3456" s="115">
        <v>-200</v>
      </c>
    </row>
    <row r="3457" spans="1:11" x14ac:dyDescent="0.25">
      <c r="A3457" s="115">
        <v>-1</v>
      </c>
      <c r="B3457" s="115" t="s">
        <v>3783</v>
      </c>
      <c r="D3457" s="115" t="s">
        <v>10350</v>
      </c>
      <c r="E3457" s="115" t="s">
        <v>3784</v>
      </c>
      <c r="F3457" s="115">
        <v>520</v>
      </c>
      <c r="G3457" s="115">
        <v>2700</v>
      </c>
      <c r="H3457" s="115">
        <v>3782</v>
      </c>
      <c r="I3457" s="115">
        <v>2610</v>
      </c>
      <c r="J3457" s="115">
        <v>0</v>
      </c>
      <c r="K3457" s="115">
        <v>0</v>
      </c>
    </row>
    <row r="3458" spans="1:11" x14ac:dyDescent="0.25">
      <c r="B3458" s="115" t="s">
        <v>1241</v>
      </c>
      <c r="D3458" s="115" t="s">
        <v>10351</v>
      </c>
      <c r="E3458" s="115" t="s">
        <v>3785</v>
      </c>
      <c r="F3458" s="115">
        <v>0</v>
      </c>
      <c r="G3458" s="115">
        <v>8491</v>
      </c>
      <c r="H3458" s="115">
        <v>2800</v>
      </c>
      <c r="I3458" s="115">
        <v>6287</v>
      </c>
      <c r="J3458" s="115">
        <v>389</v>
      </c>
      <c r="K3458" s="115">
        <v>-489</v>
      </c>
    </row>
    <row r="3459" spans="1:11" x14ac:dyDescent="0.25">
      <c r="B3459" s="115" t="s">
        <v>3786</v>
      </c>
      <c r="D3459" s="115" t="s">
        <v>10352</v>
      </c>
      <c r="E3459" s="115" t="s">
        <v>3787</v>
      </c>
      <c r="F3459" s="115">
        <v>0</v>
      </c>
      <c r="G3459" s="115">
        <v>-26</v>
      </c>
      <c r="H3459" s="115">
        <v>0</v>
      </c>
      <c r="I3459" s="115">
        <v>0</v>
      </c>
      <c r="J3459" s="115">
        <v>0</v>
      </c>
      <c r="K3459" s="115">
        <v>1271</v>
      </c>
    </row>
    <row r="3460" spans="1:11" x14ac:dyDescent="0.25">
      <c r="B3460" s="115" t="s">
        <v>3788</v>
      </c>
      <c r="D3460" s="115" t="s">
        <v>10353</v>
      </c>
      <c r="E3460" s="115" t="s">
        <v>3789</v>
      </c>
      <c r="F3460" s="115">
        <v>0</v>
      </c>
      <c r="G3460" s="115">
        <v>0</v>
      </c>
      <c r="H3460" s="115">
        <v>0</v>
      </c>
      <c r="I3460" s="115">
        <v>387</v>
      </c>
      <c r="J3460" s="115">
        <v>0</v>
      </c>
      <c r="K3460" s="115">
        <v>0</v>
      </c>
    </row>
    <row r="3461" spans="1:11" x14ac:dyDescent="0.25">
      <c r="A3461" s="115" t="s">
        <v>1239</v>
      </c>
      <c r="B3461" s="115" t="s">
        <v>1572</v>
      </c>
      <c r="D3461" s="115" t="s">
        <v>10354</v>
      </c>
      <c r="E3461" s="115" t="s">
        <v>3790</v>
      </c>
      <c r="F3461" s="115">
        <v>-166</v>
      </c>
      <c r="G3461" s="115">
        <v>-80</v>
      </c>
      <c r="H3461" s="115">
        <v>-942</v>
      </c>
      <c r="I3461" s="115">
        <v>0</v>
      </c>
      <c r="J3461" s="115">
        <v>-663</v>
      </c>
      <c r="K3461" s="115">
        <v>-399</v>
      </c>
    </row>
    <row r="3462" spans="1:11" x14ac:dyDescent="0.25">
      <c r="B3462" s="115" t="s">
        <v>3791</v>
      </c>
      <c r="D3462" s="115" t="s">
        <v>10355</v>
      </c>
      <c r="E3462" s="115" t="s">
        <v>3792</v>
      </c>
      <c r="F3462" s="115">
        <v>0</v>
      </c>
      <c r="G3462" s="115">
        <v>259</v>
      </c>
      <c r="H3462" s="115">
        <v>0</v>
      </c>
      <c r="I3462" s="115">
        <v>0</v>
      </c>
      <c r="J3462" s="115">
        <v>0</v>
      </c>
      <c r="K3462" s="115">
        <v>0</v>
      </c>
    </row>
    <row r="3463" spans="1:11" x14ac:dyDescent="0.25">
      <c r="B3463" s="115" t="s">
        <v>3793</v>
      </c>
      <c r="D3463" s="115" t="s">
        <v>10356</v>
      </c>
      <c r="E3463" s="115" t="s">
        <v>3794</v>
      </c>
      <c r="F3463" s="115">
        <v>0</v>
      </c>
      <c r="G3463" s="115">
        <v>-217</v>
      </c>
      <c r="H3463" s="115">
        <v>0</v>
      </c>
      <c r="I3463" s="115">
        <v>242</v>
      </c>
      <c r="J3463" s="115">
        <v>0</v>
      </c>
      <c r="K3463" s="115">
        <v>0</v>
      </c>
    </row>
    <row r="3464" spans="1:11" x14ac:dyDescent="0.25">
      <c r="B3464" s="115" t="s">
        <v>1241</v>
      </c>
      <c r="D3464" s="115" t="s">
        <v>10357</v>
      </c>
      <c r="E3464" s="115" t="s">
        <v>3795</v>
      </c>
      <c r="F3464" s="115">
        <v>0</v>
      </c>
      <c r="G3464" s="115">
        <v>-205</v>
      </c>
      <c r="H3464" s="115">
        <v>-32</v>
      </c>
      <c r="I3464" s="115">
        <v>0</v>
      </c>
      <c r="J3464" s="115">
        <v>0</v>
      </c>
      <c r="K3464" s="115">
        <v>-553</v>
      </c>
    </row>
    <row r="3465" spans="1:11" x14ac:dyDescent="0.25">
      <c r="A3465" s="115">
        <v>2</v>
      </c>
      <c r="B3465" s="115" t="s">
        <v>3796</v>
      </c>
      <c r="D3465" s="115" t="s">
        <v>10358</v>
      </c>
      <c r="E3465" s="115" t="s">
        <v>3797</v>
      </c>
      <c r="F3465" s="115">
        <v>0</v>
      </c>
      <c r="G3465" s="115">
        <v>0</v>
      </c>
      <c r="H3465" s="115">
        <v>0</v>
      </c>
      <c r="I3465" s="115">
        <v>576</v>
      </c>
      <c r="J3465" s="115">
        <v>-605</v>
      </c>
      <c r="K3465" s="115">
        <v>-400</v>
      </c>
    </row>
    <row r="3466" spans="1:11" x14ac:dyDescent="0.25">
      <c r="B3466" s="115" t="s">
        <v>1241</v>
      </c>
      <c r="D3466" s="115" t="s">
        <v>10359</v>
      </c>
      <c r="E3466" s="115" t="s">
        <v>3798</v>
      </c>
      <c r="F3466" s="115">
        <v>0</v>
      </c>
      <c r="G3466" s="115">
        <v>-1832</v>
      </c>
      <c r="H3466" s="115">
        <v>-2346</v>
      </c>
      <c r="I3466" s="115">
        <v>6176</v>
      </c>
      <c r="J3466" s="115">
        <v>-24537</v>
      </c>
      <c r="K3466" s="115">
        <v>-299</v>
      </c>
    </row>
    <row r="3467" spans="1:11" x14ac:dyDescent="0.25">
      <c r="B3467" s="115" t="s">
        <v>3799</v>
      </c>
      <c r="D3467" s="115" t="s">
        <v>10360</v>
      </c>
      <c r="E3467" s="115" t="s">
        <v>3800</v>
      </c>
      <c r="F3467" s="115">
        <v>0</v>
      </c>
      <c r="G3467" s="115">
        <v>0</v>
      </c>
      <c r="H3467" s="115">
        <v>0</v>
      </c>
      <c r="I3467" s="115">
        <v>1370</v>
      </c>
      <c r="J3467" s="115">
        <v>0</v>
      </c>
      <c r="K3467" s="115">
        <v>-978</v>
      </c>
    </row>
    <row r="3468" spans="1:11" x14ac:dyDescent="0.25">
      <c r="A3468" s="115" t="s">
        <v>1239</v>
      </c>
      <c r="B3468" s="115" t="s">
        <v>3801</v>
      </c>
      <c r="D3468" s="115" t="s">
        <v>10361</v>
      </c>
      <c r="E3468" s="115" t="s">
        <v>3802</v>
      </c>
      <c r="F3468" s="115">
        <v>287</v>
      </c>
      <c r="G3468" s="115">
        <v>-2247</v>
      </c>
      <c r="H3468" s="115">
        <v>-2226</v>
      </c>
      <c r="I3468" s="115">
        <v>-683</v>
      </c>
      <c r="J3468" s="115">
        <v>0</v>
      </c>
      <c r="K3468" s="115">
        <v>-874</v>
      </c>
    </row>
    <row r="3469" spans="1:11" x14ac:dyDescent="0.25">
      <c r="A3469" s="115">
        <v>-1</v>
      </c>
      <c r="B3469" s="115" t="s">
        <v>3803</v>
      </c>
      <c r="D3469" s="115" t="s">
        <v>10362</v>
      </c>
      <c r="E3469" s="115" t="s">
        <v>3804</v>
      </c>
      <c r="F3469" s="115">
        <v>24</v>
      </c>
      <c r="G3469" s="115">
        <v>169</v>
      </c>
      <c r="H3469" s="115">
        <v>0</v>
      </c>
      <c r="I3469" s="115">
        <v>0</v>
      </c>
      <c r="J3469" s="115">
        <v>0</v>
      </c>
      <c r="K3469" s="115">
        <v>-1006</v>
      </c>
    </row>
    <row r="3470" spans="1:11" x14ac:dyDescent="0.25">
      <c r="A3470" s="115">
        <v>-4</v>
      </c>
      <c r="B3470" s="115" t="s">
        <v>3805</v>
      </c>
      <c r="C3470" s="115">
        <v>-2</v>
      </c>
      <c r="D3470" s="115" t="s">
        <v>10363</v>
      </c>
      <c r="E3470" s="115" t="s">
        <v>3806</v>
      </c>
      <c r="F3470" s="115">
        <v>362</v>
      </c>
      <c r="G3470" s="115">
        <v>-905</v>
      </c>
      <c r="H3470" s="115">
        <v>0</v>
      </c>
      <c r="I3470" s="115">
        <v>0</v>
      </c>
      <c r="J3470" s="115">
        <v>0</v>
      </c>
      <c r="K3470" s="115">
        <v>0</v>
      </c>
    </row>
    <row r="3471" spans="1:11" x14ac:dyDescent="0.25">
      <c r="B3471" s="115" t="s">
        <v>3807</v>
      </c>
      <c r="D3471" s="115" t="s">
        <v>10364</v>
      </c>
      <c r="E3471" s="115" t="s">
        <v>3808</v>
      </c>
      <c r="F3471" s="115">
        <v>10</v>
      </c>
      <c r="G3471" s="115">
        <v>574</v>
      </c>
      <c r="H3471" s="115">
        <v>0</v>
      </c>
      <c r="I3471" s="115">
        <v>-841</v>
      </c>
      <c r="J3471" s="115">
        <v>-580</v>
      </c>
      <c r="K3471" s="115">
        <v>-100</v>
      </c>
    </row>
    <row r="3472" spans="1:11" x14ac:dyDescent="0.25">
      <c r="A3472" s="115">
        <v>1</v>
      </c>
      <c r="B3472" s="115" t="s">
        <v>3809</v>
      </c>
      <c r="D3472" s="115" t="s">
        <v>10365</v>
      </c>
      <c r="E3472" s="115" t="s">
        <v>3810</v>
      </c>
      <c r="F3472" s="115">
        <v>1169</v>
      </c>
      <c r="G3472" s="115">
        <v>0</v>
      </c>
      <c r="H3472" s="115">
        <v>418</v>
      </c>
      <c r="I3472" s="115">
        <v>0</v>
      </c>
      <c r="J3472" s="115">
        <v>0</v>
      </c>
      <c r="K3472" s="115">
        <v>521</v>
      </c>
    </row>
    <row r="3473" spans="1:11" x14ac:dyDescent="0.25">
      <c r="A3473" s="115">
        <v>1</v>
      </c>
      <c r="B3473" s="115" t="s">
        <v>3811</v>
      </c>
      <c r="D3473" s="115" t="s">
        <v>10366</v>
      </c>
      <c r="E3473" s="115" t="s">
        <v>3812</v>
      </c>
      <c r="F3473" s="115">
        <v>0</v>
      </c>
      <c r="G3473" s="115">
        <v>170</v>
      </c>
      <c r="H3473" s="115">
        <v>0</v>
      </c>
      <c r="I3473" s="115">
        <v>748</v>
      </c>
      <c r="J3473" s="115">
        <v>904</v>
      </c>
      <c r="K3473" s="115">
        <v>2997</v>
      </c>
    </row>
    <row r="3474" spans="1:11" x14ac:dyDescent="0.25">
      <c r="B3474" s="115" t="s">
        <v>1241</v>
      </c>
      <c r="D3474" s="115" t="s">
        <v>10367</v>
      </c>
      <c r="E3474" s="115" t="s">
        <v>3813</v>
      </c>
      <c r="F3474" s="115">
        <v>0</v>
      </c>
      <c r="G3474" s="115">
        <v>404</v>
      </c>
      <c r="H3474" s="115">
        <v>0</v>
      </c>
      <c r="I3474" s="115">
        <v>-71</v>
      </c>
      <c r="J3474" s="115">
        <v>26</v>
      </c>
      <c r="K3474" s="115">
        <v>-260</v>
      </c>
    </row>
    <row r="3475" spans="1:11" x14ac:dyDescent="0.25">
      <c r="B3475" s="115" t="s">
        <v>3814</v>
      </c>
      <c r="D3475" s="115" t="s">
        <v>10368</v>
      </c>
      <c r="E3475" s="115" t="s">
        <v>3815</v>
      </c>
      <c r="F3475" s="115">
        <v>0</v>
      </c>
      <c r="G3475" s="115">
        <v>0</v>
      </c>
      <c r="H3475" s="115">
        <v>0</v>
      </c>
      <c r="I3475" s="115">
        <v>-1059</v>
      </c>
      <c r="J3475" s="115">
        <v>-1027</v>
      </c>
      <c r="K3475" s="115">
        <v>-376</v>
      </c>
    </row>
    <row r="3476" spans="1:11" x14ac:dyDescent="0.25">
      <c r="A3476" s="115" t="s">
        <v>1239</v>
      </c>
      <c r="B3476" s="115" t="s">
        <v>3816</v>
      </c>
      <c r="D3476" s="115" t="s">
        <v>10369</v>
      </c>
      <c r="E3476" s="115" t="s">
        <v>3817</v>
      </c>
      <c r="F3476" s="115">
        <v>0</v>
      </c>
      <c r="G3476" s="115">
        <v>0</v>
      </c>
      <c r="H3476" s="115">
        <v>-5113</v>
      </c>
      <c r="I3476" s="115">
        <v>0</v>
      </c>
      <c r="J3476" s="115">
        <v>-3744</v>
      </c>
      <c r="K3476" s="115">
        <v>0</v>
      </c>
    </row>
    <row r="3477" spans="1:11" x14ac:dyDescent="0.25">
      <c r="A3477" s="115">
        <v>-15</v>
      </c>
      <c r="B3477" s="115" t="s">
        <v>1410</v>
      </c>
      <c r="D3477" s="115" t="s">
        <v>10370</v>
      </c>
      <c r="E3477" s="115" t="s">
        <v>3818</v>
      </c>
      <c r="F3477" s="115">
        <v>0</v>
      </c>
      <c r="G3477" s="115">
        <v>0</v>
      </c>
      <c r="H3477" s="115">
        <v>0</v>
      </c>
      <c r="I3477" s="115">
        <v>0</v>
      </c>
      <c r="J3477" s="115">
        <v>0</v>
      </c>
      <c r="K3477" s="115">
        <v>1115</v>
      </c>
    </row>
    <row r="3478" spans="1:11" x14ac:dyDescent="0.25">
      <c r="B3478" s="115" t="s">
        <v>3819</v>
      </c>
      <c r="D3478" s="115" t="s">
        <v>10371</v>
      </c>
      <c r="E3478" s="115" t="s">
        <v>3820</v>
      </c>
      <c r="F3478" s="115">
        <v>0</v>
      </c>
      <c r="G3478" s="115">
        <v>-727</v>
      </c>
      <c r="H3478" s="115">
        <v>-715</v>
      </c>
      <c r="I3478" s="115">
        <v>0</v>
      </c>
      <c r="J3478" s="115">
        <v>0</v>
      </c>
      <c r="K3478" s="115">
        <v>0</v>
      </c>
    </row>
    <row r="3479" spans="1:11" x14ac:dyDescent="0.25">
      <c r="B3479" s="115" t="s">
        <v>1241</v>
      </c>
      <c r="D3479" s="115" t="s">
        <v>10372</v>
      </c>
      <c r="E3479" s="115" t="s">
        <v>3821</v>
      </c>
      <c r="F3479" s="115">
        <v>-34</v>
      </c>
      <c r="G3479" s="115">
        <v>282</v>
      </c>
      <c r="H3479" s="115">
        <v>187</v>
      </c>
      <c r="I3479" s="115">
        <v>630</v>
      </c>
      <c r="J3479" s="115">
        <v>0</v>
      </c>
      <c r="K3479" s="115">
        <v>0</v>
      </c>
    </row>
    <row r="3480" spans="1:11" x14ac:dyDescent="0.25">
      <c r="B3480" s="115" t="s">
        <v>1241</v>
      </c>
      <c r="C3480" s="115" t="s">
        <v>1239</v>
      </c>
      <c r="D3480" s="115" t="s">
        <v>10373</v>
      </c>
      <c r="E3480" s="115" t="s">
        <v>3822</v>
      </c>
      <c r="F3480" s="115">
        <v>-28408</v>
      </c>
      <c r="G3480" s="115">
        <v>0</v>
      </c>
      <c r="H3480" s="115">
        <v>0</v>
      </c>
      <c r="I3480" s="115">
        <v>252</v>
      </c>
      <c r="J3480" s="115">
        <v>476</v>
      </c>
      <c r="K3480" s="115">
        <v>0</v>
      </c>
    </row>
    <row r="3481" spans="1:11" x14ac:dyDescent="0.25">
      <c r="B3481" s="115" t="s">
        <v>1241</v>
      </c>
      <c r="D3481" s="115" t="s">
        <v>10374</v>
      </c>
      <c r="E3481" s="115" t="s">
        <v>3823</v>
      </c>
      <c r="F3481" s="115">
        <v>0</v>
      </c>
      <c r="G3481" s="115">
        <v>155</v>
      </c>
      <c r="H3481" s="115">
        <v>55</v>
      </c>
      <c r="I3481" s="115">
        <v>766</v>
      </c>
      <c r="J3481" s="115">
        <v>4758</v>
      </c>
      <c r="K3481" s="115">
        <v>6850</v>
      </c>
    </row>
    <row r="3482" spans="1:11" x14ac:dyDescent="0.25">
      <c r="A3482" s="115">
        <v>6</v>
      </c>
      <c r="B3482" s="115" t="s">
        <v>3824</v>
      </c>
      <c r="D3482" s="115" t="s">
        <v>10375</v>
      </c>
      <c r="E3482" s="115" t="s">
        <v>1242</v>
      </c>
      <c r="F3482" s="115">
        <v>7992</v>
      </c>
      <c r="G3482" s="115">
        <v>0</v>
      </c>
      <c r="H3482" s="115">
        <v>0</v>
      </c>
      <c r="I3482" s="115">
        <v>0</v>
      </c>
      <c r="J3482" s="115">
        <v>0</v>
      </c>
      <c r="K3482" s="115">
        <v>0</v>
      </c>
    </row>
    <row r="3483" spans="1:11" x14ac:dyDescent="0.25">
      <c r="B3483" s="115" t="s">
        <v>1241</v>
      </c>
      <c r="C3483" s="115">
        <v>2</v>
      </c>
      <c r="D3483" s="115" t="s">
        <v>10376</v>
      </c>
      <c r="E3483" s="115" t="s">
        <v>3825</v>
      </c>
      <c r="F3483" s="115">
        <v>21342</v>
      </c>
      <c r="G3483" s="115">
        <v>-20623</v>
      </c>
      <c r="H3483" s="115">
        <v>756</v>
      </c>
      <c r="I3483" s="115">
        <v>726</v>
      </c>
      <c r="J3483" s="115">
        <v>88</v>
      </c>
      <c r="K3483" s="115">
        <v>-1421</v>
      </c>
    </row>
    <row r="3484" spans="1:11" x14ac:dyDescent="0.25">
      <c r="B3484" s="115" t="s">
        <v>3826</v>
      </c>
      <c r="D3484" s="115" t="s">
        <v>10377</v>
      </c>
      <c r="E3484" s="115" t="s">
        <v>3827</v>
      </c>
      <c r="F3484" s="115">
        <v>0</v>
      </c>
      <c r="G3484" s="115">
        <v>0</v>
      </c>
      <c r="H3484" s="115">
        <v>0</v>
      </c>
      <c r="I3484" s="115">
        <v>-16</v>
      </c>
      <c r="J3484" s="115">
        <v>-237</v>
      </c>
      <c r="K3484" s="115">
        <v>0</v>
      </c>
    </row>
    <row r="3485" spans="1:11" x14ac:dyDescent="0.25">
      <c r="B3485" s="115" t="s">
        <v>1241</v>
      </c>
      <c r="D3485" s="115" t="s">
        <v>10378</v>
      </c>
      <c r="E3485" s="115" t="s">
        <v>3828</v>
      </c>
      <c r="F3485" s="115">
        <v>0</v>
      </c>
      <c r="G3485" s="115">
        <v>720</v>
      </c>
      <c r="H3485" s="115">
        <v>0</v>
      </c>
      <c r="I3485" s="115">
        <v>0</v>
      </c>
      <c r="J3485" s="115">
        <v>-577</v>
      </c>
      <c r="K3485" s="115">
        <v>0</v>
      </c>
    </row>
    <row r="3486" spans="1:11" x14ac:dyDescent="0.25">
      <c r="B3486" s="115" t="s">
        <v>3829</v>
      </c>
      <c r="D3486" s="115" t="s">
        <v>10379</v>
      </c>
      <c r="E3486" s="115" t="s">
        <v>3830</v>
      </c>
      <c r="F3486" s="115">
        <v>-1936</v>
      </c>
      <c r="G3486" s="115">
        <v>0</v>
      </c>
      <c r="H3486" s="115">
        <v>1519</v>
      </c>
      <c r="I3486" s="115">
        <v>584</v>
      </c>
      <c r="J3486" s="115">
        <v>4374</v>
      </c>
      <c r="K3486" s="115">
        <v>40</v>
      </c>
    </row>
    <row r="3487" spans="1:11" x14ac:dyDescent="0.25">
      <c r="A3487" s="115">
        <v>-1</v>
      </c>
      <c r="B3487" s="115" t="s">
        <v>3831</v>
      </c>
      <c r="D3487" s="115" t="s">
        <v>10380</v>
      </c>
      <c r="E3487" s="115" t="s">
        <v>3832</v>
      </c>
      <c r="F3487" s="115">
        <v>0</v>
      </c>
      <c r="G3487" s="115">
        <v>0</v>
      </c>
      <c r="H3487" s="115">
        <v>0</v>
      </c>
      <c r="I3487" s="115">
        <v>0</v>
      </c>
      <c r="J3487" s="115">
        <v>0</v>
      </c>
      <c r="K3487" s="115">
        <v>723</v>
      </c>
    </row>
    <row r="3488" spans="1:11" x14ac:dyDescent="0.25">
      <c r="B3488" s="115" t="s">
        <v>1241</v>
      </c>
      <c r="D3488" s="115" t="s">
        <v>10381</v>
      </c>
      <c r="E3488" s="115" t="s">
        <v>3833</v>
      </c>
      <c r="F3488" s="115">
        <v>0</v>
      </c>
      <c r="G3488" s="115">
        <v>-198</v>
      </c>
      <c r="H3488" s="115">
        <v>0</v>
      </c>
      <c r="I3488" s="115">
        <v>0</v>
      </c>
      <c r="J3488" s="115">
        <v>0</v>
      </c>
      <c r="K3488" s="115">
        <v>0</v>
      </c>
    </row>
    <row r="3489" spans="1:11" x14ac:dyDescent="0.25">
      <c r="B3489" s="115" t="s">
        <v>3834</v>
      </c>
      <c r="D3489" s="115" t="s">
        <v>10382</v>
      </c>
      <c r="E3489" s="115" t="s">
        <v>3835</v>
      </c>
      <c r="F3489" s="115">
        <v>-55</v>
      </c>
      <c r="G3489" s="115">
        <v>0</v>
      </c>
      <c r="H3489" s="115">
        <v>0</v>
      </c>
      <c r="I3489" s="115">
        <v>942</v>
      </c>
      <c r="J3489" s="115">
        <v>-32</v>
      </c>
      <c r="K3489" s="115">
        <v>0</v>
      </c>
    </row>
    <row r="3490" spans="1:11" x14ac:dyDescent="0.25">
      <c r="A3490" s="115">
        <v>-1</v>
      </c>
      <c r="B3490" s="115" t="s">
        <v>3836</v>
      </c>
      <c r="D3490" s="115" t="s">
        <v>10383</v>
      </c>
      <c r="E3490" s="115" t="s">
        <v>3837</v>
      </c>
      <c r="F3490" s="115">
        <v>0</v>
      </c>
      <c r="G3490" s="115">
        <v>-356</v>
      </c>
      <c r="H3490" s="115">
        <v>742</v>
      </c>
      <c r="I3490" s="115">
        <v>211</v>
      </c>
      <c r="J3490" s="115">
        <v>0</v>
      </c>
      <c r="K3490" s="115">
        <v>0</v>
      </c>
    </row>
    <row r="3491" spans="1:11" x14ac:dyDescent="0.25">
      <c r="B3491" s="115" t="s">
        <v>3838</v>
      </c>
      <c r="D3491" s="115" t="s">
        <v>10384</v>
      </c>
      <c r="E3491" s="115" t="s">
        <v>3839</v>
      </c>
      <c r="F3491" s="115">
        <v>-1228</v>
      </c>
      <c r="G3491" s="115">
        <v>856</v>
      </c>
      <c r="H3491" s="115">
        <v>-972</v>
      </c>
      <c r="I3491" s="115">
        <v>-18330</v>
      </c>
      <c r="J3491" s="115">
        <v>910</v>
      </c>
      <c r="K3491" s="115">
        <v>425</v>
      </c>
    </row>
    <row r="3492" spans="1:11" x14ac:dyDescent="0.25">
      <c r="B3492" s="115" t="s">
        <v>1241</v>
      </c>
      <c r="D3492" s="115" t="s">
        <v>10385</v>
      </c>
      <c r="E3492" s="115" t="s">
        <v>3840</v>
      </c>
      <c r="F3492" s="115">
        <v>0</v>
      </c>
      <c r="G3492" s="115">
        <v>-383</v>
      </c>
      <c r="H3492" s="115">
        <v>0</v>
      </c>
      <c r="I3492" s="115">
        <v>-743</v>
      </c>
      <c r="J3492" s="115">
        <v>18</v>
      </c>
      <c r="K3492" s="115">
        <v>-129</v>
      </c>
    </row>
    <row r="3493" spans="1:11" x14ac:dyDescent="0.25">
      <c r="B3493" s="115" t="s">
        <v>2233</v>
      </c>
      <c r="D3493" s="115" t="s">
        <v>10386</v>
      </c>
      <c r="E3493" s="115" t="s">
        <v>3841</v>
      </c>
      <c r="F3493" s="115">
        <v>-2874</v>
      </c>
      <c r="G3493" s="115">
        <v>-1143</v>
      </c>
      <c r="H3493" s="115">
        <v>0</v>
      </c>
      <c r="I3493" s="115">
        <v>-1815</v>
      </c>
      <c r="J3493" s="115">
        <v>-3070</v>
      </c>
      <c r="K3493" s="115">
        <v>-1794</v>
      </c>
    </row>
    <row r="3494" spans="1:11" x14ac:dyDescent="0.25">
      <c r="B3494" s="115" t="s">
        <v>3842</v>
      </c>
      <c r="D3494" s="115" t="s">
        <v>10387</v>
      </c>
      <c r="E3494" s="115" t="s">
        <v>3843</v>
      </c>
      <c r="F3494" s="115">
        <v>0</v>
      </c>
      <c r="G3494" s="115">
        <v>0</v>
      </c>
      <c r="H3494" s="115">
        <v>0</v>
      </c>
      <c r="I3494" s="115">
        <v>1966</v>
      </c>
      <c r="J3494" s="115">
        <v>-1479</v>
      </c>
      <c r="K3494" s="115">
        <v>0</v>
      </c>
    </row>
    <row r="3495" spans="1:11" x14ac:dyDescent="0.25">
      <c r="A3495" s="115">
        <v>-1</v>
      </c>
      <c r="B3495" s="115" t="s">
        <v>3844</v>
      </c>
      <c r="D3495" s="115" t="s">
        <v>10388</v>
      </c>
      <c r="E3495" s="115" t="s">
        <v>3845</v>
      </c>
      <c r="F3495" s="115">
        <v>0</v>
      </c>
      <c r="G3495" s="115">
        <v>0</v>
      </c>
      <c r="H3495" s="115">
        <v>0</v>
      </c>
      <c r="I3495" s="115">
        <v>0</v>
      </c>
      <c r="J3495" s="115">
        <v>0</v>
      </c>
      <c r="K3495" s="115">
        <v>976</v>
      </c>
    </row>
    <row r="3496" spans="1:11" x14ac:dyDescent="0.25">
      <c r="B3496" s="115" t="s">
        <v>3846</v>
      </c>
      <c r="D3496" s="115" t="s">
        <v>10389</v>
      </c>
      <c r="E3496" s="115" t="s">
        <v>3847</v>
      </c>
      <c r="F3496" s="115">
        <v>0</v>
      </c>
      <c r="G3496" s="115">
        <v>-286</v>
      </c>
      <c r="H3496" s="115">
        <v>-204</v>
      </c>
      <c r="I3496" s="115">
        <v>579</v>
      </c>
      <c r="J3496" s="115">
        <v>-608</v>
      </c>
      <c r="K3496" s="115">
        <v>1001</v>
      </c>
    </row>
    <row r="3497" spans="1:11" x14ac:dyDescent="0.25">
      <c r="A3497" s="115">
        <v>9</v>
      </c>
      <c r="B3497" s="115" t="s">
        <v>3848</v>
      </c>
      <c r="D3497" s="115" t="s">
        <v>10390</v>
      </c>
      <c r="E3497" s="115" t="s">
        <v>3849</v>
      </c>
      <c r="F3497" s="115">
        <v>211</v>
      </c>
      <c r="G3497" s="115">
        <v>0</v>
      </c>
      <c r="H3497" s="115">
        <v>0</v>
      </c>
      <c r="I3497" s="115">
        <v>-95</v>
      </c>
      <c r="J3497" s="115">
        <v>-48</v>
      </c>
      <c r="K3497" s="115">
        <v>0</v>
      </c>
    </row>
    <row r="3498" spans="1:11" x14ac:dyDescent="0.25">
      <c r="A3498" s="115" t="s">
        <v>1239</v>
      </c>
      <c r="B3498" s="115" t="s">
        <v>3850</v>
      </c>
      <c r="D3498" s="115" t="s">
        <v>10391</v>
      </c>
      <c r="E3498" s="115" t="s">
        <v>3851</v>
      </c>
      <c r="F3498" s="115">
        <v>0</v>
      </c>
      <c r="G3498" s="115">
        <v>-23699</v>
      </c>
      <c r="H3498" s="115">
        <v>67</v>
      </c>
      <c r="I3498" s="115">
        <v>-245</v>
      </c>
      <c r="J3498" s="115">
        <v>0</v>
      </c>
      <c r="K3498" s="115">
        <v>0</v>
      </c>
    </row>
    <row r="3499" spans="1:11" x14ac:dyDescent="0.25">
      <c r="B3499" s="115" t="s">
        <v>1241</v>
      </c>
      <c r="D3499" s="115" t="s">
        <v>10392</v>
      </c>
      <c r="E3499" s="115" t="s">
        <v>3852</v>
      </c>
      <c r="F3499" s="115">
        <v>0</v>
      </c>
      <c r="G3499" s="115">
        <v>-67</v>
      </c>
      <c r="H3499" s="115">
        <v>183</v>
      </c>
      <c r="I3499" s="115">
        <v>379</v>
      </c>
      <c r="J3499" s="115">
        <v>0</v>
      </c>
      <c r="K3499" s="115">
        <v>-572</v>
      </c>
    </row>
    <row r="3500" spans="1:11" x14ac:dyDescent="0.25">
      <c r="A3500" s="115" t="s">
        <v>1239</v>
      </c>
      <c r="B3500" s="115" t="s">
        <v>3853</v>
      </c>
      <c r="D3500" s="115" t="s">
        <v>10393</v>
      </c>
      <c r="E3500" s="115" t="s">
        <v>3854</v>
      </c>
      <c r="F3500" s="115">
        <v>0</v>
      </c>
      <c r="G3500" s="115">
        <v>188</v>
      </c>
      <c r="H3500" s="115">
        <v>1663</v>
      </c>
      <c r="I3500" s="115">
        <v>1037</v>
      </c>
      <c r="J3500" s="115">
        <v>-1050</v>
      </c>
      <c r="K3500" s="115">
        <v>-122</v>
      </c>
    </row>
    <row r="3501" spans="1:11" x14ac:dyDescent="0.25">
      <c r="B3501" s="115" t="s">
        <v>3855</v>
      </c>
      <c r="D3501" s="115" t="s">
        <v>10394</v>
      </c>
      <c r="E3501" s="115" t="s">
        <v>3856</v>
      </c>
      <c r="F3501" s="115">
        <v>149</v>
      </c>
      <c r="G3501" s="115">
        <v>0</v>
      </c>
      <c r="H3501" s="115">
        <v>81</v>
      </c>
      <c r="I3501" s="115">
        <v>0</v>
      </c>
      <c r="J3501" s="115">
        <v>174</v>
      </c>
      <c r="K3501" s="115">
        <v>0</v>
      </c>
    </row>
    <row r="3502" spans="1:11" x14ac:dyDescent="0.25">
      <c r="B3502" s="115" t="s">
        <v>1241</v>
      </c>
      <c r="D3502" s="115" t="s">
        <v>10395</v>
      </c>
      <c r="E3502" s="115" t="s">
        <v>3857</v>
      </c>
      <c r="F3502" s="115">
        <v>0</v>
      </c>
      <c r="G3502" s="115">
        <v>0</v>
      </c>
      <c r="H3502" s="115">
        <v>0</v>
      </c>
      <c r="I3502" s="115">
        <v>666</v>
      </c>
      <c r="J3502" s="115">
        <v>0</v>
      </c>
      <c r="K3502" s="115">
        <v>-229</v>
      </c>
    </row>
    <row r="3503" spans="1:11" x14ac:dyDescent="0.25">
      <c r="A3503" s="115" t="s">
        <v>1239</v>
      </c>
      <c r="B3503" s="115" t="s">
        <v>3858</v>
      </c>
      <c r="D3503" s="115" t="s">
        <v>10396</v>
      </c>
      <c r="E3503" s="115" t="s">
        <v>1242</v>
      </c>
      <c r="F3503" s="115">
        <v>-265</v>
      </c>
      <c r="G3503" s="115">
        <v>0</v>
      </c>
      <c r="H3503" s="115">
        <v>0</v>
      </c>
      <c r="I3503" s="115">
        <v>0</v>
      </c>
      <c r="J3503" s="115">
        <v>0</v>
      </c>
      <c r="K3503" s="115">
        <v>0</v>
      </c>
    </row>
    <row r="3504" spans="1:11" x14ac:dyDescent="0.25">
      <c r="A3504" s="115">
        <v>3</v>
      </c>
      <c r="B3504" s="115" t="s">
        <v>3859</v>
      </c>
      <c r="C3504" s="115" t="s">
        <v>1239</v>
      </c>
      <c r="D3504" s="115" t="s">
        <v>10397</v>
      </c>
      <c r="E3504" s="115" t="s">
        <v>3860</v>
      </c>
      <c r="F3504" s="115">
        <v>-535</v>
      </c>
      <c r="G3504" s="115">
        <v>245</v>
      </c>
      <c r="H3504" s="115">
        <v>0</v>
      </c>
      <c r="I3504" s="115">
        <v>0</v>
      </c>
      <c r="J3504" s="115">
        <v>0</v>
      </c>
      <c r="K3504" s="115">
        <v>0</v>
      </c>
    </row>
    <row r="3505" spans="1:11" x14ac:dyDescent="0.25">
      <c r="A3505" s="115">
        <v>1</v>
      </c>
      <c r="B3505" s="115" t="s">
        <v>1352</v>
      </c>
      <c r="D3505" s="115" t="s">
        <v>10398</v>
      </c>
      <c r="E3505" s="115" t="s">
        <v>3861</v>
      </c>
      <c r="F3505" s="115">
        <v>0</v>
      </c>
      <c r="G3505" s="115">
        <v>5780</v>
      </c>
      <c r="H3505" s="115">
        <v>51</v>
      </c>
      <c r="I3505" s="115">
        <v>0</v>
      </c>
      <c r="J3505" s="115">
        <v>0</v>
      </c>
      <c r="K3505" s="115">
        <v>0</v>
      </c>
    </row>
    <row r="3506" spans="1:11" x14ac:dyDescent="0.25">
      <c r="B3506" s="115" t="s">
        <v>3862</v>
      </c>
      <c r="D3506" s="115" t="s">
        <v>10399</v>
      </c>
      <c r="E3506" s="115" t="s">
        <v>3863</v>
      </c>
      <c r="F3506" s="115">
        <v>-1069</v>
      </c>
      <c r="G3506" s="115">
        <v>-2828</v>
      </c>
      <c r="H3506" s="115">
        <v>-863</v>
      </c>
      <c r="I3506" s="115">
        <v>-2527</v>
      </c>
      <c r="J3506" s="115">
        <v>4126</v>
      </c>
      <c r="K3506" s="115">
        <v>-1713</v>
      </c>
    </row>
    <row r="3507" spans="1:11" x14ac:dyDescent="0.25">
      <c r="A3507" s="115">
        <v>-34</v>
      </c>
      <c r="B3507" s="115" t="s">
        <v>3864</v>
      </c>
      <c r="D3507" s="115" t="s">
        <v>10400</v>
      </c>
      <c r="E3507" s="115" t="s">
        <v>1242</v>
      </c>
      <c r="F3507" s="115">
        <v>0</v>
      </c>
      <c r="G3507" s="115">
        <v>0</v>
      </c>
      <c r="H3507" s="115">
        <v>0</v>
      </c>
      <c r="I3507" s="115">
        <v>0</v>
      </c>
      <c r="J3507" s="115">
        <v>0</v>
      </c>
      <c r="K3507" s="115">
        <v>0</v>
      </c>
    </row>
    <row r="3508" spans="1:11" x14ac:dyDescent="0.25">
      <c r="A3508" s="115">
        <v>1</v>
      </c>
      <c r="B3508" s="115" t="s">
        <v>3865</v>
      </c>
      <c r="D3508" s="115" t="s">
        <v>10401</v>
      </c>
      <c r="E3508" s="115" t="s">
        <v>1242</v>
      </c>
      <c r="F3508" s="115">
        <v>4244</v>
      </c>
      <c r="G3508" s="115">
        <v>0</v>
      </c>
      <c r="H3508" s="115">
        <v>0</v>
      </c>
      <c r="I3508" s="115">
        <v>0</v>
      </c>
      <c r="J3508" s="115">
        <v>0</v>
      </c>
      <c r="K3508" s="115">
        <v>0</v>
      </c>
    </row>
    <row r="3509" spans="1:11" x14ac:dyDescent="0.25">
      <c r="B3509" s="115" t="s">
        <v>1241</v>
      </c>
      <c r="D3509" s="115" t="s">
        <v>8710</v>
      </c>
      <c r="E3509" s="115" t="s">
        <v>1242</v>
      </c>
      <c r="F3509" s="115">
        <v>0</v>
      </c>
      <c r="G3509" s="115">
        <v>0</v>
      </c>
      <c r="H3509" s="115">
        <v>0</v>
      </c>
      <c r="I3509" s="115">
        <v>0</v>
      </c>
      <c r="J3509" s="115">
        <v>0</v>
      </c>
      <c r="K3509" s="115">
        <v>0</v>
      </c>
    </row>
    <row r="3510" spans="1:11" x14ac:dyDescent="0.25">
      <c r="B3510" s="115" t="s">
        <v>1241</v>
      </c>
      <c r="D3510" s="115" t="s">
        <v>8710</v>
      </c>
      <c r="E3510" s="115" t="s">
        <v>1242</v>
      </c>
      <c r="F3510" s="115">
        <v>0</v>
      </c>
      <c r="G3510" s="115">
        <v>0</v>
      </c>
      <c r="H3510" s="115">
        <v>0</v>
      </c>
      <c r="I3510" s="115">
        <v>0</v>
      </c>
      <c r="J3510" s="115">
        <v>0</v>
      </c>
      <c r="K3510" s="115">
        <v>0</v>
      </c>
    </row>
    <row r="3511" spans="1:11" x14ac:dyDescent="0.25">
      <c r="B3511" s="115" t="s">
        <v>1241</v>
      </c>
      <c r="D3511" s="115" t="s">
        <v>8710</v>
      </c>
      <c r="E3511" s="115" t="s">
        <v>1242</v>
      </c>
      <c r="F3511" s="115">
        <v>0</v>
      </c>
      <c r="G3511" s="115">
        <v>0</v>
      </c>
      <c r="H3511" s="115">
        <v>0</v>
      </c>
      <c r="I3511" s="115">
        <v>0</v>
      </c>
      <c r="J3511" s="115">
        <v>0</v>
      </c>
      <c r="K3511" s="115">
        <v>0</v>
      </c>
    </row>
    <row r="3512" spans="1:11" x14ac:dyDescent="0.25">
      <c r="B3512" s="115" t="s">
        <v>1241</v>
      </c>
      <c r="D3512" s="115" t="s">
        <v>8710</v>
      </c>
      <c r="E3512" s="115" t="s">
        <v>1242</v>
      </c>
      <c r="F3512" s="115">
        <v>0</v>
      </c>
      <c r="G3512" s="115">
        <v>0</v>
      </c>
      <c r="H3512" s="115">
        <v>0</v>
      </c>
      <c r="I3512" s="115">
        <v>0</v>
      </c>
      <c r="J3512" s="115">
        <v>0</v>
      </c>
      <c r="K3512" s="115">
        <v>0</v>
      </c>
    </row>
    <row r="3513" spans="1:11" x14ac:dyDescent="0.25">
      <c r="B3513" s="115" t="s">
        <v>1241</v>
      </c>
      <c r="D3513" s="115" t="s">
        <v>8710</v>
      </c>
      <c r="E3513" s="115" t="s">
        <v>1242</v>
      </c>
      <c r="F3513" s="115">
        <v>0</v>
      </c>
      <c r="G3513" s="115">
        <v>0</v>
      </c>
      <c r="H3513" s="115">
        <v>0</v>
      </c>
      <c r="I3513" s="115">
        <v>0</v>
      </c>
      <c r="J3513" s="115">
        <v>0</v>
      </c>
      <c r="K3513" s="115">
        <v>0</v>
      </c>
    </row>
    <row r="3514" spans="1:11" x14ac:dyDescent="0.25">
      <c r="B3514" s="115" t="s">
        <v>1241</v>
      </c>
      <c r="D3514" s="115" t="s">
        <v>8710</v>
      </c>
      <c r="E3514" s="115" t="s">
        <v>1242</v>
      </c>
      <c r="F3514" s="115">
        <v>0</v>
      </c>
      <c r="G3514" s="115">
        <v>0</v>
      </c>
      <c r="H3514" s="115">
        <v>0</v>
      </c>
      <c r="I3514" s="115">
        <v>0</v>
      </c>
      <c r="J3514" s="115">
        <v>0</v>
      </c>
      <c r="K3514" s="115">
        <v>0</v>
      </c>
    </row>
    <row r="3515" spans="1:11" x14ac:dyDescent="0.25">
      <c r="B3515" s="115" t="s">
        <v>1241</v>
      </c>
      <c r="D3515" s="115" t="s">
        <v>8710</v>
      </c>
      <c r="E3515" s="115" t="s">
        <v>1242</v>
      </c>
      <c r="F3515" s="115">
        <v>0</v>
      </c>
      <c r="G3515" s="115">
        <v>0</v>
      </c>
      <c r="H3515" s="115">
        <v>0</v>
      </c>
      <c r="I3515" s="115">
        <v>0</v>
      </c>
      <c r="J3515" s="115">
        <v>0</v>
      </c>
      <c r="K3515" s="115">
        <v>0</v>
      </c>
    </row>
    <row r="3516" spans="1:11" x14ac:dyDescent="0.25">
      <c r="B3516" s="115" t="s">
        <v>1241</v>
      </c>
      <c r="D3516" s="115" t="s">
        <v>8710</v>
      </c>
      <c r="E3516" s="115" t="s">
        <v>1242</v>
      </c>
      <c r="F3516" s="115">
        <v>0</v>
      </c>
      <c r="G3516" s="115">
        <v>0</v>
      </c>
      <c r="H3516" s="115">
        <v>0</v>
      </c>
      <c r="I3516" s="115">
        <v>0</v>
      </c>
      <c r="J3516" s="115">
        <v>0</v>
      </c>
      <c r="K3516" s="115">
        <v>0</v>
      </c>
    </row>
    <row r="3517" spans="1:11" x14ac:dyDescent="0.25">
      <c r="B3517" s="115" t="s">
        <v>1241</v>
      </c>
      <c r="D3517" s="115" t="s">
        <v>8710</v>
      </c>
      <c r="E3517" s="115" t="s">
        <v>1242</v>
      </c>
      <c r="F3517" s="115">
        <v>0</v>
      </c>
      <c r="G3517" s="115">
        <v>0</v>
      </c>
      <c r="H3517" s="115">
        <v>0</v>
      </c>
      <c r="I3517" s="115">
        <v>0</v>
      </c>
      <c r="J3517" s="115">
        <v>0</v>
      </c>
      <c r="K3517" s="115">
        <v>0</v>
      </c>
    </row>
    <row r="3518" spans="1:11" x14ac:dyDescent="0.25">
      <c r="B3518" s="115" t="s">
        <v>1241</v>
      </c>
      <c r="D3518" s="115" t="s">
        <v>8710</v>
      </c>
      <c r="E3518" s="115" t="s">
        <v>1242</v>
      </c>
      <c r="F3518" s="115">
        <v>0</v>
      </c>
      <c r="G3518" s="115">
        <v>0</v>
      </c>
      <c r="H3518" s="115">
        <v>0</v>
      </c>
      <c r="I3518" s="115">
        <v>0</v>
      </c>
      <c r="J3518" s="115">
        <v>0</v>
      </c>
      <c r="K3518" s="115">
        <v>0</v>
      </c>
    </row>
    <row r="3519" spans="1:11" x14ac:dyDescent="0.25">
      <c r="B3519" s="115" t="s">
        <v>1241</v>
      </c>
      <c r="D3519" s="115" t="s">
        <v>8710</v>
      </c>
      <c r="E3519" s="115" t="s">
        <v>1242</v>
      </c>
      <c r="F3519" s="115">
        <v>0</v>
      </c>
      <c r="G3519" s="115">
        <v>0</v>
      </c>
      <c r="H3519" s="115">
        <v>0</v>
      </c>
      <c r="I3519" s="115">
        <v>0</v>
      </c>
      <c r="J3519" s="115">
        <v>0</v>
      </c>
      <c r="K3519" s="115">
        <v>0</v>
      </c>
    </row>
    <row r="3520" spans="1:11" x14ac:dyDescent="0.25">
      <c r="B3520" s="115" t="s">
        <v>1241</v>
      </c>
      <c r="D3520" s="115" t="s">
        <v>8710</v>
      </c>
      <c r="E3520" s="115" t="s">
        <v>1242</v>
      </c>
      <c r="F3520" s="115">
        <v>0</v>
      </c>
      <c r="G3520" s="115">
        <v>0</v>
      </c>
      <c r="H3520" s="115">
        <v>0</v>
      </c>
      <c r="I3520" s="115">
        <v>0</v>
      </c>
      <c r="J3520" s="115">
        <v>0</v>
      </c>
      <c r="K3520" s="115">
        <v>0</v>
      </c>
    </row>
    <row r="3521" spans="2:11" x14ac:dyDescent="0.25">
      <c r="B3521" s="115" t="s">
        <v>1241</v>
      </c>
      <c r="D3521" s="115" t="s">
        <v>8710</v>
      </c>
      <c r="E3521" s="115" t="s">
        <v>1242</v>
      </c>
      <c r="F3521" s="115">
        <v>0</v>
      </c>
      <c r="G3521" s="115">
        <v>0</v>
      </c>
      <c r="H3521" s="115">
        <v>0</v>
      </c>
      <c r="I3521" s="115">
        <v>0</v>
      </c>
      <c r="J3521" s="115">
        <v>0</v>
      </c>
      <c r="K3521" s="115">
        <v>0</v>
      </c>
    </row>
    <row r="3522" spans="2:11" x14ac:dyDescent="0.25">
      <c r="B3522" s="115" t="s">
        <v>1241</v>
      </c>
      <c r="D3522" s="115" t="s">
        <v>8710</v>
      </c>
      <c r="E3522" s="115" t="s">
        <v>1242</v>
      </c>
      <c r="F3522" s="115">
        <v>0</v>
      </c>
      <c r="G3522" s="115">
        <v>0</v>
      </c>
      <c r="H3522" s="115">
        <v>0</v>
      </c>
      <c r="I3522" s="115">
        <v>0</v>
      </c>
      <c r="J3522" s="115">
        <v>0</v>
      </c>
      <c r="K3522" s="115">
        <v>0</v>
      </c>
    </row>
    <row r="3523" spans="2:11" x14ac:dyDescent="0.25">
      <c r="B3523" s="115" t="s">
        <v>1241</v>
      </c>
      <c r="D3523" s="115" t="s">
        <v>8710</v>
      </c>
      <c r="E3523" s="115" t="s">
        <v>1242</v>
      </c>
      <c r="F3523" s="115">
        <v>0</v>
      </c>
      <c r="G3523" s="115">
        <v>0</v>
      </c>
      <c r="H3523" s="115">
        <v>0</v>
      </c>
      <c r="I3523" s="115">
        <v>0</v>
      </c>
      <c r="J3523" s="115">
        <v>0</v>
      </c>
      <c r="K3523" s="115">
        <v>0</v>
      </c>
    </row>
    <row r="3524" spans="2:11" x14ac:dyDescent="0.25">
      <c r="B3524" s="115" t="s">
        <v>1241</v>
      </c>
      <c r="D3524" s="115" t="s">
        <v>8710</v>
      </c>
      <c r="E3524" s="115" t="s">
        <v>1242</v>
      </c>
      <c r="F3524" s="115">
        <v>0</v>
      </c>
      <c r="G3524" s="115">
        <v>0</v>
      </c>
      <c r="H3524" s="115">
        <v>0</v>
      </c>
      <c r="I3524" s="115">
        <v>0</v>
      </c>
      <c r="J3524" s="115">
        <v>0</v>
      </c>
      <c r="K3524" s="115">
        <v>0</v>
      </c>
    </row>
    <row r="3525" spans="2:11" x14ac:dyDescent="0.25">
      <c r="B3525" s="115" t="s">
        <v>1241</v>
      </c>
      <c r="D3525" s="115" t="s">
        <v>8710</v>
      </c>
      <c r="E3525" s="115" t="s">
        <v>1242</v>
      </c>
      <c r="F3525" s="115">
        <v>0</v>
      </c>
      <c r="G3525" s="115">
        <v>0</v>
      </c>
      <c r="H3525" s="115">
        <v>0</v>
      </c>
      <c r="I3525" s="115">
        <v>0</v>
      </c>
      <c r="J3525" s="115">
        <v>0</v>
      </c>
      <c r="K3525" s="115">
        <v>0</v>
      </c>
    </row>
    <row r="3526" spans="2:11" x14ac:dyDescent="0.25">
      <c r="B3526" s="115" t="s">
        <v>1241</v>
      </c>
      <c r="D3526" s="115" t="s">
        <v>8710</v>
      </c>
      <c r="E3526" s="115" t="s">
        <v>1242</v>
      </c>
      <c r="F3526" s="115">
        <v>0</v>
      </c>
      <c r="G3526" s="115">
        <v>0</v>
      </c>
      <c r="H3526" s="115">
        <v>0</v>
      </c>
      <c r="I3526" s="115">
        <v>0</v>
      </c>
      <c r="J3526" s="115">
        <v>0</v>
      </c>
      <c r="K3526" s="115">
        <v>0</v>
      </c>
    </row>
    <row r="3527" spans="2:11" x14ac:dyDescent="0.25">
      <c r="B3527" s="115" t="s">
        <v>1241</v>
      </c>
      <c r="D3527" s="115" t="s">
        <v>8710</v>
      </c>
      <c r="E3527" s="115" t="s">
        <v>1242</v>
      </c>
      <c r="F3527" s="115">
        <v>0</v>
      </c>
      <c r="G3527" s="115">
        <v>0</v>
      </c>
      <c r="H3527" s="115">
        <v>0</v>
      </c>
      <c r="I3527" s="115">
        <v>0</v>
      </c>
      <c r="J3527" s="115">
        <v>0</v>
      </c>
      <c r="K3527" s="115">
        <v>0</v>
      </c>
    </row>
    <row r="3528" spans="2:11" x14ac:dyDescent="0.25">
      <c r="B3528" s="115" t="s">
        <v>1241</v>
      </c>
      <c r="D3528" s="115" t="s">
        <v>8710</v>
      </c>
      <c r="E3528" s="115" t="s">
        <v>1242</v>
      </c>
      <c r="F3528" s="115">
        <v>0</v>
      </c>
      <c r="G3528" s="115">
        <v>0</v>
      </c>
      <c r="H3528" s="115">
        <v>0</v>
      </c>
      <c r="I3528" s="115">
        <v>0</v>
      </c>
      <c r="J3528" s="115">
        <v>0</v>
      </c>
      <c r="K3528" s="115">
        <v>0</v>
      </c>
    </row>
    <row r="3529" spans="2:11" x14ac:dyDescent="0.25">
      <c r="B3529" s="115" t="s">
        <v>1241</v>
      </c>
      <c r="D3529" s="115" t="s">
        <v>8710</v>
      </c>
      <c r="E3529" s="115" t="s">
        <v>1242</v>
      </c>
      <c r="F3529" s="115">
        <v>0</v>
      </c>
      <c r="G3529" s="115">
        <v>0</v>
      </c>
      <c r="H3529" s="115">
        <v>0</v>
      </c>
      <c r="I3529" s="115">
        <v>0</v>
      </c>
      <c r="J3529" s="115">
        <v>0</v>
      </c>
      <c r="K3529" s="115">
        <v>0</v>
      </c>
    </row>
    <row r="3530" spans="2:11" x14ac:dyDescent="0.25">
      <c r="B3530" s="115" t="s">
        <v>1241</v>
      </c>
      <c r="D3530" s="115" t="s">
        <v>8710</v>
      </c>
      <c r="E3530" s="115" t="s">
        <v>1242</v>
      </c>
      <c r="F3530" s="115">
        <v>0</v>
      </c>
      <c r="G3530" s="115">
        <v>0</v>
      </c>
      <c r="H3530" s="115">
        <v>0</v>
      </c>
      <c r="I3530" s="115">
        <v>0</v>
      </c>
      <c r="J3530" s="115">
        <v>0</v>
      </c>
      <c r="K3530" s="115">
        <v>0</v>
      </c>
    </row>
    <row r="3531" spans="2:11" x14ac:dyDescent="0.25">
      <c r="B3531" s="115" t="s">
        <v>1241</v>
      </c>
      <c r="D3531" s="115" t="s">
        <v>8710</v>
      </c>
      <c r="E3531" s="115" t="s">
        <v>1242</v>
      </c>
      <c r="F3531" s="115">
        <v>0</v>
      </c>
      <c r="G3531" s="115">
        <v>0</v>
      </c>
      <c r="H3531" s="115">
        <v>0</v>
      </c>
      <c r="I3531" s="115">
        <v>0</v>
      </c>
      <c r="J3531" s="115">
        <v>0</v>
      </c>
      <c r="K3531" s="115">
        <v>0</v>
      </c>
    </row>
    <row r="3532" spans="2:11" x14ac:dyDescent="0.25">
      <c r="B3532" s="115" t="s">
        <v>1241</v>
      </c>
      <c r="D3532" s="115" t="s">
        <v>8710</v>
      </c>
      <c r="E3532" s="115" t="s">
        <v>1242</v>
      </c>
      <c r="F3532" s="115">
        <v>0</v>
      </c>
      <c r="G3532" s="115">
        <v>0</v>
      </c>
      <c r="H3532" s="115">
        <v>0</v>
      </c>
      <c r="I3532" s="115">
        <v>0</v>
      </c>
      <c r="J3532" s="115">
        <v>0</v>
      </c>
      <c r="K3532" s="115">
        <v>0</v>
      </c>
    </row>
    <row r="3533" spans="2:11" x14ac:dyDescent="0.25">
      <c r="B3533" s="115" t="s">
        <v>1241</v>
      </c>
      <c r="D3533" s="115" t="s">
        <v>8710</v>
      </c>
      <c r="E3533" s="115" t="s">
        <v>1242</v>
      </c>
      <c r="F3533" s="115">
        <v>0</v>
      </c>
      <c r="G3533" s="115">
        <v>0</v>
      </c>
      <c r="H3533" s="115">
        <v>0</v>
      </c>
      <c r="I3533" s="115">
        <v>0</v>
      </c>
      <c r="J3533" s="115">
        <v>0</v>
      </c>
      <c r="K3533" s="115">
        <v>0</v>
      </c>
    </row>
    <row r="3534" spans="2:11" x14ac:dyDescent="0.25">
      <c r="B3534" s="115" t="s">
        <v>1241</v>
      </c>
      <c r="D3534" s="115" t="s">
        <v>8710</v>
      </c>
      <c r="E3534" s="115" t="s">
        <v>1242</v>
      </c>
      <c r="F3534" s="115">
        <v>0</v>
      </c>
      <c r="G3534" s="115">
        <v>0</v>
      </c>
      <c r="H3534" s="115">
        <v>0</v>
      </c>
      <c r="I3534" s="115">
        <v>0</v>
      </c>
      <c r="J3534" s="115">
        <v>0</v>
      </c>
      <c r="K3534" s="115">
        <v>0</v>
      </c>
    </row>
    <row r="3535" spans="2:11" x14ac:dyDescent="0.25">
      <c r="B3535" s="115" t="s">
        <v>1241</v>
      </c>
      <c r="D3535" s="115" t="s">
        <v>8710</v>
      </c>
      <c r="E3535" s="115" t="s">
        <v>1242</v>
      </c>
      <c r="F3535" s="115">
        <v>0</v>
      </c>
      <c r="G3535" s="115">
        <v>0</v>
      </c>
      <c r="H3535" s="115">
        <v>0</v>
      </c>
      <c r="I3535" s="115">
        <v>0</v>
      </c>
      <c r="J3535" s="115">
        <v>0</v>
      </c>
      <c r="K3535" s="115">
        <v>0</v>
      </c>
    </row>
    <row r="3536" spans="2:11" x14ac:dyDescent="0.25">
      <c r="B3536" s="115" t="s">
        <v>1241</v>
      </c>
      <c r="D3536" s="115" t="s">
        <v>8710</v>
      </c>
      <c r="E3536" s="115" t="s">
        <v>1242</v>
      </c>
      <c r="F3536" s="115">
        <v>0</v>
      </c>
      <c r="G3536" s="115">
        <v>0</v>
      </c>
      <c r="H3536" s="115">
        <v>0</v>
      </c>
      <c r="I3536" s="115">
        <v>0</v>
      </c>
      <c r="J3536" s="115">
        <v>0</v>
      </c>
      <c r="K3536" s="115">
        <v>0</v>
      </c>
    </row>
    <row r="3537" spans="2:11" x14ac:dyDescent="0.25">
      <c r="B3537" s="115" t="s">
        <v>1241</v>
      </c>
      <c r="D3537" s="115" t="s">
        <v>8710</v>
      </c>
      <c r="E3537" s="115" t="s">
        <v>1242</v>
      </c>
      <c r="F3537" s="115">
        <v>0</v>
      </c>
      <c r="G3537" s="115">
        <v>0</v>
      </c>
      <c r="H3537" s="115">
        <v>0</v>
      </c>
      <c r="I3537" s="115">
        <v>0</v>
      </c>
      <c r="J3537" s="115">
        <v>0</v>
      </c>
      <c r="K3537" s="115">
        <v>0</v>
      </c>
    </row>
    <row r="3538" spans="2:11" x14ac:dyDescent="0.25">
      <c r="B3538" s="115" t="s">
        <v>1241</v>
      </c>
      <c r="D3538" s="115" t="s">
        <v>8710</v>
      </c>
      <c r="E3538" s="115" t="s">
        <v>1242</v>
      </c>
      <c r="F3538" s="115">
        <v>0</v>
      </c>
      <c r="G3538" s="115">
        <v>0</v>
      </c>
      <c r="H3538" s="115">
        <v>0</v>
      </c>
      <c r="I3538" s="115">
        <v>0</v>
      </c>
      <c r="J3538" s="115">
        <v>0</v>
      </c>
      <c r="K3538" s="115">
        <v>0</v>
      </c>
    </row>
    <row r="3539" spans="2:11" x14ac:dyDescent="0.25">
      <c r="B3539" s="115" t="s">
        <v>1241</v>
      </c>
      <c r="D3539" s="115" t="s">
        <v>8710</v>
      </c>
      <c r="E3539" s="115" t="s">
        <v>1242</v>
      </c>
      <c r="F3539" s="115">
        <v>0</v>
      </c>
      <c r="G3539" s="115">
        <v>0</v>
      </c>
      <c r="H3539" s="115">
        <v>0</v>
      </c>
      <c r="I3539" s="115">
        <v>0</v>
      </c>
      <c r="J3539" s="115">
        <v>0</v>
      </c>
      <c r="K3539" s="115">
        <v>0</v>
      </c>
    </row>
    <row r="3540" spans="2:11" x14ac:dyDescent="0.25">
      <c r="B3540" s="115" t="s">
        <v>1241</v>
      </c>
      <c r="D3540" s="115" t="s">
        <v>8710</v>
      </c>
      <c r="E3540" s="115" t="s">
        <v>1242</v>
      </c>
      <c r="F3540" s="115">
        <v>0</v>
      </c>
      <c r="G3540" s="115">
        <v>0</v>
      </c>
      <c r="H3540" s="115">
        <v>0</v>
      </c>
      <c r="I3540" s="115">
        <v>0</v>
      </c>
      <c r="J3540" s="115">
        <v>0</v>
      </c>
      <c r="K3540" s="115">
        <v>0</v>
      </c>
    </row>
    <row r="3541" spans="2:11" x14ac:dyDescent="0.25">
      <c r="B3541" s="115" t="s">
        <v>1241</v>
      </c>
      <c r="D3541" s="115" t="s">
        <v>8710</v>
      </c>
      <c r="E3541" s="115" t="s">
        <v>1242</v>
      </c>
      <c r="F3541" s="115">
        <v>0</v>
      </c>
      <c r="G3541" s="115">
        <v>0</v>
      </c>
      <c r="H3541" s="115">
        <v>0</v>
      </c>
      <c r="I3541" s="115">
        <v>0</v>
      </c>
      <c r="J3541" s="115">
        <v>0</v>
      </c>
      <c r="K3541" s="115">
        <v>0</v>
      </c>
    </row>
    <row r="3542" spans="2:11" x14ac:dyDescent="0.25">
      <c r="B3542" s="115" t="s">
        <v>1241</v>
      </c>
      <c r="D3542" s="115" t="s">
        <v>8710</v>
      </c>
      <c r="E3542" s="115" t="s">
        <v>1242</v>
      </c>
      <c r="F3542" s="115">
        <v>0</v>
      </c>
      <c r="G3542" s="115">
        <v>0</v>
      </c>
      <c r="H3542" s="115">
        <v>0</v>
      </c>
      <c r="I3542" s="115">
        <v>0</v>
      </c>
      <c r="J3542" s="115">
        <v>0</v>
      </c>
      <c r="K3542" s="115">
        <v>0</v>
      </c>
    </row>
    <row r="3543" spans="2:11" x14ac:dyDescent="0.25">
      <c r="B3543" s="115" t="s">
        <v>1241</v>
      </c>
      <c r="D3543" s="115" t="s">
        <v>8710</v>
      </c>
      <c r="E3543" s="115" t="s">
        <v>1242</v>
      </c>
      <c r="F3543" s="115">
        <v>0</v>
      </c>
      <c r="G3543" s="115">
        <v>0</v>
      </c>
      <c r="H3543" s="115">
        <v>0</v>
      </c>
      <c r="I3543" s="115">
        <v>0</v>
      </c>
      <c r="J3543" s="115">
        <v>0</v>
      </c>
      <c r="K3543" s="115">
        <v>0</v>
      </c>
    </row>
    <row r="3544" spans="2:11" x14ac:dyDescent="0.25">
      <c r="B3544" s="115" t="s">
        <v>1241</v>
      </c>
      <c r="D3544" s="115" t="s">
        <v>8710</v>
      </c>
      <c r="E3544" s="115" t="s">
        <v>1242</v>
      </c>
      <c r="F3544" s="115">
        <v>0</v>
      </c>
      <c r="G3544" s="115">
        <v>0</v>
      </c>
      <c r="H3544" s="115">
        <v>0</v>
      </c>
      <c r="I3544" s="115">
        <v>0</v>
      </c>
      <c r="J3544" s="115">
        <v>0</v>
      </c>
      <c r="K3544" s="115">
        <v>0</v>
      </c>
    </row>
    <row r="3545" spans="2:11" x14ac:dyDescent="0.25">
      <c r="B3545" s="115" t="s">
        <v>1241</v>
      </c>
      <c r="D3545" s="115" t="s">
        <v>8710</v>
      </c>
      <c r="E3545" s="115" t="s">
        <v>1242</v>
      </c>
      <c r="F3545" s="115">
        <v>0</v>
      </c>
      <c r="G3545" s="115">
        <v>0</v>
      </c>
      <c r="H3545" s="115">
        <v>0</v>
      </c>
      <c r="I3545" s="115">
        <v>0</v>
      </c>
      <c r="J3545" s="115">
        <v>0</v>
      </c>
      <c r="K3545" s="115">
        <v>0</v>
      </c>
    </row>
    <row r="3546" spans="2:11" x14ac:dyDescent="0.25">
      <c r="B3546" s="115" t="s">
        <v>1241</v>
      </c>
      <c r="D3546" s="115" t="s">
        <v>8710</v>
      </c>
      <c r="E3546" s="115" t="s">
        <v>1242</v>
      </c>
      <c r="F3546" s="115">
        <v>0</v>
      </c>
      <c r="G3546" s="115">
        <v>0</v>
      </c>
      <c r="H3546" s="115">
        <v>0</v>
      </c>
      <c r="I3546" s="115">
        <v>0</v>
      </c>
      <c r="J3546" s="115">
        <v>0</v>
      </c>
      <c r="K3546" s="115">
        <v>0</v>
      </c>
    </row>
    <row r="3547" spans="2:11" x14ac:dyDescent="0.25">
      <c r="B3547" s="115" t="s">
        <v>1241</v>
      </c>
      <c r="D3547" s="115" t="s">
        <v>8710</v>
      </c>
      <c r="E3547" s="115" t="s">
        <v>1242</v>
      </c>
      <c r="F3547" s="115">
        <v>0</v>
      </c>
      <c r="G3547" s="115">
        <v>0</v>
      </c>
      <c r="H3547" s="115">
        <v>0</v>
      </c>
      <c r="I3547" s="115">
        <v>0</v>
      </c>
      <c r="J3547" s="115">
        <v>0</v>
      </c>
      <c r="K3547" s="115">
        <v>0</v>
      </c>
    </row>
    <row r="3548" spans="2:11" x14ac:dyDescent="0.25">
      <c r="B3548" s="115" t="s">
        <v>1241</v>
      </c>
      <c r="D3548" s="115" t="s">
        <v>8710</v>
      </c>
      <c r="E3548" s="115" t="s">
        <v>1242</v>
      </c>
      <c r="F3548" s="115">
        <v>0</v>
      </c>
      <c r="G3548" s="115">
        <v>0</v>
      </c>
      <c r="H3548" s="115">
        <v>0</v>
      </c>
      <c r="I3548" s="115">
        <v>0</v>
      </c>
      <c r="J3548" s="115">
        <v>0</v>
      </c>
      <c r="K3548" s="115">
        <v>0</v>
      </c>
    </row>
    <row r="3549" spans="2:11" x14ac:dyDescent="0.25">
      <c r="B3549" s="115" t="s">
        <v>1241</v>
      </c>
      <c r="D3549" s="115" t="s">
        <v>8710</v>
      </c>
      <c r="E3549" s="115" t="s">
        <v>1242</v>
      </c>
      <c r="F3549" s="115">
        <v>0</v>
      </c>
      <c r="G3549" s="115">
        <v>0</v>
      </c>
      <c r="H3549" s="115">
        <v>0</v>
      </c>
      <c r="I3549" s="115">
        <v>0</v>
      </c>
      <c r="J3549" s="115">
        <v>0</v>
      </c>
      <c r="K3549" s="115">
        <v>0</v>
      </c>
    </row>
    <row r="3550" spans="2:11" x14ac:dyDescent="0.25">
      <c r="B3550" s="115" t="s">
        <v>1241</v>
      </c>
      <c r="D3550" s="115" t="s">
        <v>8710</v>
      </c>
      <c r="E3550" s="115" t="s">
        <v>1242</v>
      </c>
      <c r="F3550" s="115">
        <v>0</v>
      </c>
      <c r="G3550" s="115">
        <v>0</v>
      </c>
      <c r="H3550" s="115">
        <v>0</v>
      </c>
      <c r="I3550" s="115">
        <v>0</v>
      </c>
      <c r="J3550" s="115">
        <v>0</v>
      </c>
      <c r="K3550" s="115">
        <v>0</v>
      </c>
    </row>
    <row r="3551" spans="2:11" x14ac:dyDescent="0.25">
      <c r="B3551" s="115" t="s">
        <v>1241</v>
      </c>
      <c r="D3551" s="115" t="s">
        <v>8710</v>
      </c>
      <c r="E3551" s="115" t="s">
        <v>1242</v>
      </c>
      <c r="F3551" s="115">
        <v>0</v>
      </c>
      <c r="G3551" s="115">
        <v>0</v>
      </c>
      <c r="H3551" s="115">
        <v>0</v>
      </c>
      <c r="I3551" s="115">
        <v>0</v>
      </c>
      <c r="J3551" s="115">
        <v>0</v>
      </c>
      <c r="K3551" s="115">
        <v>0</v>
      </c>
    </row>
    <row r="3552" spans="2:11" x14ac:dyDescent="0.25">
      <c r="B3552" s="115" t="s">
        <v>1241</v>
      </c>
      <c r="D3552" s="115" t="s">
        <v>8710</v>
      </c>
      <c r="E3552" s="115" t="s">
        <v>1242</v>
      </c>
      <c r="F3552" s="115">
        <v>0</v>
      </c>
      <c r="G3552" s="115">
        <v>0</v>
      </c>
      <c r="H3552" s="115">
        <v>0</v>
      </c>
      <c r="I3552" s="115">
        <v>0</v>
      </c>
      <c r="J3552" s="115">
        <v>0</v>
      </c>
      <c r="K3552" s="115">
        <v>0</v>
      </c>
    </row>
    <row r="3553" spans="1:11" x14ac:dyDescent="0.25">
      <c r="B3553" s="115" t="s">
        <v>1241</v>
      </c>
      <c r="D3553" s="115" t="s">
        <v>8710</v>
      </c>
      <c r="E3553" s="115" t="s">
        <v>1242</v>
      </c>
      <c r="F3553" s="115">
        <v>0</v>
      </c>
      <c r="G3553" s="115">
        <v>0</v>
      </c>
      <c r="H3553" s="115">
        <v>0</v>
      </c>
      <c r="I3553" s="115">
        <v>0</v>
      </c>
      <c r="J3553" s="115">
        <v>0</v>
      </c>
      <c r="K3553" s="115">
        <v>0</v>
      </c>
    </row>
    <row r="3554" spans="1:11" x14ac:dyDescent="0.25">
      <c r="B3554" s="115" t="s">
        <v>1241</v>
      </c>
      <c r="D3554" s="115" t="s">
        <v>8710</v>
      </c>
      <c r="E3554" s="115" t="s">
        <v>1242</v>
      </c>
      <c r="F3554" s="115">
        <v>0</v>
      </c>
      <c r="G3554" s="115">
        <v>0</v>
      </c>
      <c r="H3554" s="115">
        <v>0</v>
      </c>
      <c r="I3554" s="115">
        <v>0</v>
      </c>
      <c r="J3554" s="115">
        <v>0</v>
      </c>
      <c r="K3554" s="115">
        <v>0</v>
      </c>
    </row>
    <row r="3555" spans="1:11" x14ac:dyDescent="0.25">
      <c r="B3555" s="115" t="s">
        <v>1241</v>
      </c>
      <c r="D3555" s="115" t="s">
        <v>8710</v>
      </c>
      <c r="E3555" s="115" t="s">
        <v>1242</v>
      </c>
      <c r="F3555" s="115">
        <v>0</v>
      </c>
      <c r="G3555" s="115">
        <v>0</v>
      </c>
      <c r="H3555" s="115">
        <v>0</v>
      </c>
      <c r="I3555" s="115">
        <v>0</v>
      </c>
      <c r="J3555" s="115">
        <v>0</v>
      </c>
      <c r="K3555" s="115">
        <v>0</v>
      </c>
    </row>
    <row r="3556" spans="1:11" x14ac:dyDescent="0.25">
      <c r="B3556" s="115" t="s">
        <v>1241</v>
      </c>
      <c r="D3556" s="115" t="s">
        <v>8710</v>
      </c>
      <c r="E3556" s="115" t="s">
        <v>1242</v>
      </c>
      <c r="F3556" s="115">
        <v>0</v>
      </c>
      <c r="G3556" s="115">
        <v>0</v>
      </c>
      <c r="H3556" s="115">
        <v>0</v>
      </c>
      <c r="I3556" s="115">
        <v>0</v>
      </c>
      <c r="J3556" s="115">
        <v>0</v>
      </c>
      <c r="K3556" s="115">
        <v>0</v>
      </c>
    </row>
    <row r="3557" spans="1:11" x14ac:dyDescent="0.25">
      <c r="B3557" s="115" t="s">
        <v>1241</v>
      </c>
      <c r="D3557" s="115" t="s">
        <v>8710</v>
      </c>
      <c r="E3557" s="115" t="s">
        <v>1242</v>
      </c>
      <c r="F3557" s="115">
        <v>0</v>
      </c>
      <c r="G3557" s="115">
        <v>0</v>
      </c>
      <c r="H3557" s="115">
        <v>0</v>
      </c>
      <c r="I3557" s="115">
        <v>0</v>
      </c>
      <c r="J3557" s="115">
        <v>0</v>
      </c>
      <c r="K3557" s="115">
        <v>0</v>
      </c>
    </row>
    <row r="3558" spans="1:11" x14ac:dyDescent="0.25">
      <c r="B3558" s="115" t="s">
        <v>1241</v>
      </c>
      <c r="D3558" s="115" t="s">
        <v>10402</v>
      </c>
      <c r="E3558" s="115" t="s">
        <v>3866</v>
      </c>
      <c r="F3558" s="115">
        <v>0</v>
      </c>
      <c r="G3558" s="115">
        <v>0</v>
      </c>
      <c r="H3558" s="115">
        <v>-1022</v>
      </c>
      <c r="I3558" s="115">
        <v>514</v>
      </c>
      <c r="J3558" s="115">
        <v>-979</v>
      </c>
      <c r="K3558" s="115">
        <v>-2189</v>
      </c>
    </row>
    <row r="3559" spans="1:11" x14ac:dyDescent="0.25">
      <c r="A3559" s="115">
        <v>-1</v>
      </c>
      <c r="B3559" s="115" t="s">
        <v>3867</v>
      </c>
      <c r="D3559" s="115" t="s">
        <v>10403</v>
      </c>
      <c r="E3559" s="115" t="s">
        <v>3868</v>
      </c>
      <c r="F3559" s="115">
        <v>0</v>
      </c>
      <c r="G3559" s="115">
        <v>0</v>
      </c>
      <c r="H3559" s="115">
        <v>0</v>
      </c>
      <c r="I3559" s="115">
        <v>1327</v>
      </c>
      <c r="J3559" s="115">
        <v>345</v>
      </c>
      <c r="K3559" s="115">
        <v>0</v>
      </c>
    </row>
    <row r="3560" spans="1:11" x14ac:dyDescent="0.25">
      <c r="B3560" s="115" t="s">
        <v>1241</v>
      </c>
      <c r="D3560" s="115" t="s">
        <v>10404</v>
      </c>
      <c r="E3560" s="115" t="s">
        <v>3869</v>
      </c>
      <c r="F3560" s="115">
        <v>0</v>
      </c>
      <c r="G3560" s="115">
        <v>-25792</v>
      </c>
      <c r="H3560" s="115">
        <v>0</v>
      </c>
      <c r="I3560" s="115">
        <v>0</v>
      </c>
      <c r="J3560" s="115">
        <v>-27</v>
      </c>
      <c r="K3560" s="115">
        <v>0</v>
      </c>
    </row>
    <row r="3561" spans="1:11" x14ac:dyDescent="0.25">
      <c r="B3561" s="115" t="s">
        <v>3870</v>
      </c>
      <c r="D3561" s="115" t="s">
        <v>10405</v>
      </c>
      <c r="E3561" s="115" t="s">
        <v>3871</v>
      </c>
      <c r="F3561" s="115">
        <v>781</v>
      </c>
      <c r="G3561" s="115">
        <v>0</v>
      </c>
      <c r="H3561" s="115">
        <v>-86</v>
      </c>
      <c r="I3561" s="115">
        <v>-91</v>
      </c>
      <c r="J3561" s="115">
        <v>-698</v>
      </c>
      <c r="K3561" s="115">
        <v>-106</v>
      </c>
    </row>
    <row r="3562" spans="1:11" x14ac:dyDescent="0.25">
      <c r="A3562" s="115" t="s">
        <v>1239</v>
      </c>
      <c r="B3562" s="115" t="s">
        <v>3872</v>
      </c>
      <c r="D3562" s="115" t="s">
        <v>10406</v>
      </c>
      <c r="E3562" s="115" t="s">
        <v>3689</v>
      </c>
      <c r="F3562" s="115">
        <v>0</v>
      </c>
      <c r="G3562" s="115">
        <v>0</v>
      </c>
      <c r="H3562" s="115">
        <v>0</v>
      </c>
      <c r="I3562" s="115">
        <v>0</v>
      </c>
      <c r="J3562" s="115">
        <v>0</v>
      </c>
      <c r="K3562" s="115">
        <v>64</v>
      </c>
    </row>
    <row r="3563" spans="1:11" x14ac:dyDescent="0.25">
      <c r="B3563" s="115" t="s">
        <v>1241</v>
      </c>
      <c r="D3563" s="115" t="s">
        <v>10407</v>
      </c>
      <c r="E3563" s="115" t="s">
        <v>3873</v>
      </c>
      <c r="F3563" s="115">
        <v>0</v>
      </c>
      <c r="G3563" s="115">
        <v>-331</v>
      </c>
      <c r="H3563" s="115">
        <v>0</v>
      </c>
      <c r="I3563" s="115">
        <v>0</v>
      </c>
      <c r="J3563" s="115">
        <v>0</v>
      </c>
      <c r="K3563" s="115">
        <v>0</v>
      </c>
    </row>
    <row r="3564" spans="1:11" x14ac:dyDescent="0.25">
      <c r="B3564" s="115" t="s">
        <v>3874</v>
      </c>
      <c r="D3564" s="115" t="s">
        <v>10408</v>
      </c>
      <c r="E3564" s="115" t="s">
        <v>3875</v>
      </c>
      <c r="F3564" s="115">
        <v>428</v>
      </c>
      <c r="G3564" s="115">
        <v>0</v>
      </c>
      <c r="H3564" s="115">
        <v>0</v>
      </c>
      <c r="I3564" s="115">
        <v>-2564</v>
      </c>
      <c r="J3564" s="115">
        <v>791</v>
      </c>
      <c r="K3564" s="115">
        <v>0</v>
      </c>
    </row>
    <row r="3565" spans="1:11" x14ac:dyDescent="0.25">
      <c r="A3565" s="115" t="s">
        <v>1239</v>
      </c>
      <c r="B3565" s="115" t="s">
        <v>3876</v>
      </c>
      <c r="D3565" s="115" t="s">
        <v>10409</v>
      </c>
      <c r="E3565" s="115" t="s">
        <v>3877</v>
      </c>
      <c r="F3565" s="115">
        <v>0</v>
      </c>
      <c r="G3565" s="115">
        <v>1679</v>
      </c>
      <c r="H3565" s="115">
        <v>-579</v>
      </c>
      <c r="I3565" s="115">
        <v>-436</v>
      </c>
      <c r="J3565" s="115">
        <v>0</v>
      </c>
      <c r="K3565" s="115">
        <v>0</v>
      </c>
    </row>
    <row r="3566" spans="1:11" x14ac:dyDescent="0.25">
      <c r="B3566" s="115" t="s">
        <v>3878</v>
      </c>
      <c r="D3566" s="115" t="s">
        <v>10410</v>
      </c>
      <c r="E3566" s="115" t="s">
        <v>3879</v>
      </c>
      <c r="F3566" s="115">
        <v>310</v>
      </c>
      <c r="G3566" s="115">
        <v>121</v>
      </c>
      <c r="H3566" s="115">
        <v>743</v>
      </c>
      <c r="I3566" s="115">
        <v>193</v>
      </c>
      <c r="J3566" s="115">
        <v>491</v>
      </c>
      <c r="K3566" s="115">
        <v>-745</v>
      </c>
    </row>
    <row r="3567" spans="1:11" x14ac:dyDescent="0.25">
      <c r="B3567" s="115" t="s">
        <v>1241</v>
      </c>
      <c r="D3567" s="115" t="s">
        <v>10411</v>
      </c>
      <c r="E3567" s="115" t="s">
        <v>3880</v>
      </c>
      <c r="F3567" s="115">
        <v>0</v>
      </c>
      <c r="G3567" s="115">
        <v>1752</v>
      </c>
      <c r="H3567" s="115">
        <v>0</v>
      </c>
      <c r="I3567" s="115">
        <v>-1050</v>
      </c>
      <c r="J3567" s="115">
        <v>-290</v>
      </c>
      <c r="K3567" s="115">
        <v>651</v>
      </c>
    </row>
    <row r="3568" spans="1:11" x14ac:dyDescent="0.25">
      <c r="B3568" s="115" t="s">
        <v>3881</v>
      </c>
      <c r="D3568" s="115" t="s">
        <v>10412</v>
      </c>
      <c r="E3568" s="115" t="s">
        <v>3882</v>
      </c>
      <c r="F3568" s="115">
        <v>-4392</v>
      </c>
      <c r="G3568" s="115">
        <v>-3660</v>
      </c>
      <c r="H3568" s="115">
        <v>0</v>
      </c>
      <c r="I3568" s="115">
        <v>-43</v>
      </c>
      <c r="J3568" s="115">
        <v>-112</v>
      </c>
      <c r="K3568" s="115">
        <v>1537</v>
      </c>
    </row>
    <row r="3569" spans="1:11" x14ac:dyDescent="0.25">
      <c r="B3569" s="115" t="s">
        <v>1908</v>
      </c>
      <c r="D3569" s="115" t="s">
        <v>10413</v>
      </c>
      <c r="E3569" s="115" t="s">
        <v>3883</v>
      </c>
      <c r="F3569" s="115">
        <v>0</v>
      </c>
      <c r="G3569" s="115">
        <v>0</v>
      </c>
      <c r="H3569" s="115">
        <v>0</v>
      </c>
      <c r="I3569" s="115">
        <v>-106</v>
      </c>
      <c r="J3569" s="115">
        <v>695</v>
      </c>
      <c r="K3569" s="115">
        <v>0</v>
      </c>
    </row>
    <row r="3570" spans="1:11" x14ac:dyDescent="0.25">
      <c r="B3570" s="115" t="s">
        <v>3884</v>
      </c>
      <c r="D3570" s="115" t="s">
        <v>10414</v>
      </c>
      <c r="E3570" s="115" t="s">
        <v>3885</v>
      </c>
      <c r="F3570" s="115">
        <v>0</v>
      </c>
      <c r="G3570" s="115">
        <v>0</v>
      </c>
      <c r="H3570" s="115">
        <v>0</v>
      </c>
      <c r="I3570" s="115">
        <v>0</v>
      </c>
      <c r="J3570" s="115">
        <v>0</v>
      </c>
      <c r="K3570" s="115">
        <v>1443</v>
      </c>
    </row>
    <row r="3571" spans="1:11" x14ac:dyDescent="0.25">
      <c r="B3571" s="115" t="s">
        <v>3886</v>
      </c>
      <c r="D3571" s="115" t="s">
        <v>10415</v>
      </c>
      <c r="E3571" s="115" t="s">
        <v>3887</v>
      </c>
      <c r="F3571" s="115">
        <v>0</v>
      </c>
      <c r="G3571" s="115">
        <v>-435</v>
      </c>
      <c r="H3571" s="115">
        <v>523</v>
      </c>
      <c r="I3571" s="115">
        <v>1287</v>
      </c>
      <c r="J3571" s="115">
        <v>-4787</v>
      </c>
      <c r="K3571" s="115">
        <v>-4144</v>
      </c>
    </row>
    <row r="3572" spans="1:11" x14ac:dyDescent="0.25">
      <c r="A3572" s="115" t="s">
        <v>1239</v>
      </c>
      <c r="B3572" s="115" t="s">
        <v>3888</v>
      </c>
      <c r="D3572" s="115" t="s">
        <v>10416</v>
      </c>
      <c r="E3572" s="115" t="s">
        <v>3889</v>
      </c>
      <c r="F3572" s="115">
        <v>-133</v>
      </c>
      <c r="G3572" s="115">
        <v>0</v>
      </c>
      <c r="H3572" s="115">
        <v>0</v>
      </c>
      <c r="I3572" s="115">
        <v>-182</v>
      </c>
      <c r="J3572" s="115">
        <v>116</v>
      </c>
      <c r="K3572" s="115">
        <v>0</v>
      </c>
    </row>
    <row r="3573" spans="1:11" x14ac:dyDescent="0.25">
      <c r="B3573" s="115" t="s">
        <v>3890</v>
      </c>
      <c r="D3573" s="115" t="s">
        <v>10417</v>
      </c>
      <c r="E3573" s="115" t="s">
        <v>3891</v>
      </c>
      <c r="F3573" s="115">
        <v>0</v>
      </c>
      <c r="G3573" s="115">
        <v>-204</v>
      </c>
      <c r="H3573" s="115">
        <v>179</v>
      </c>
      <c r="I3573" s="115">
        <v>-274</v>
      </c>
      <c r="J3573" s="115">
        <v>0</v>
      </c>
      <c r="K3573" s="115">
        <v>0</v>
      </c>
    </row>
    <row r="3574" spans="1:11" x14ac:dyDescent="0.25">
      <c r="B3574" s="115" t="s">
        <v>1241</v>
      </c>
      <c r="D3574" s="115" t="s">
        <v>10418</v>
      </c>
      <c r="E3574" s="115" t="s">
        <v>3892</v>
      </c>
      <c r="F3574" s="115">
        <v>0</v>
      </c>
      <c r="G3574" s="115">
        <v>300</v>
      </c>
      <c r="H3574" s="115">
        <v>-244</v>
      </c>
      <c r="I3574" s="115">
        <v>378</v>
      </c>
      <c r="J3574" s="115">
        <v>0</v>
      </c>
      <c r="K3574" s="115">
        <v>-3083</v>
      </c>
    </row>
    <row r="3575" spans="1:11" x14ac:dyDescent="0.25">
      <c r="B3575" s="115" t="s">
        <v>3893</v>
      </c>
      <c r="D3575" s="115" t="s">
        <v>10419</v>
      </c>
      <c r="E3575" s="115" t="s">
        <v>3894</v>
      </c>
      <c r="F3575" s="115">
        <v>0</v>
      </c>
      <c r="G3575" s="115">
        <v>332</v>
      </c>
      <c r="H3575" s="115">
        <v>536</v>
      </c>
      <c r="I3575" s="115">
        <v>1633</v>
      </c>
      <c r="J3575" s="115">
        <v>-183</v>
      </c>
      <c r="K3575" s="115">
        <v>-262</v>
      </c>
    </row>
    <row r="3576" spans="1:11" x14ac:dyDescent="0.25">
      <c r="B3576" s="115" t="s">
        <v>3895</v>
      </c>
      <c r="D3576" s="115" t="s">
        <v>10420</v>
      </c>
      <c r="E3576" s="115" t="s">
        <v>3896</v>
      </c>
      <c r="F3576" s="115">
        <v>121</v>
      </c>
      <c r="G3576" s="115">
        <v>0</v>
      </c>
      <c r="H3576" s="115">
        <v>235</v>
      </c>
      <c r="I3576" s="115">
        <v>0</v>
      </c>
      <c r="J3576" s="115">
        <v>577</v>
      </c>
      <c r="K3576" s="115">
        <v>0</v>
      </c>
    </row>
    <row r="3577" spans="1:11" x14ac:dyDescent="0.25">
      <c r="B3577" s="115" t="s">
        <v>1241</v>
      </c>
      <c r="D3577" s="115" t="s">
        <v>10421</v>
      </c>
      <c r="E3577" s="115" t="s">
        <v>3897</v>
      </c>
      <c r="F3577" s="115">
        <v>0</v>
      </c>
      <c r="G3577" s="115">
        <v>0</v>
      </c>
      <c r="H3577" s="115">
        <v>0</v>
      </c>
      <c r="I3577" s="115">
        <v>1245</v>
      </c>
      <c r="J3577" s="115">
        <v>0</v>
      </c>
      <c r="K3577" s="115">
        <v>-47</v>
      </c>
    </row>
    <row r="3578" spans="1:11" x14ac:dyDescent="0.25">
      <c r="A3578" s="115" t="s">
        <v>1239</v>
      </c>
      <c r="B3578" s="115" t="s">
        <v>3898</v>
      </c>
      <c r="D3578" s="115" t="s">
        <v>10422</v>
      </c>
      <c r="E3578" s="115" t="s">
        <v>1242</v>
      </c>
      <c r="F3578" s="115">
        <v>-651</v>
      </c>
      <c r="G3578" s="115">
        <v>0</v>
      </c>
      <c r="H3578" s="115">
        <v>0</v>
      </c>
      <c r="I3578" s="115">
        <v>0</v>
      </c>
      <c r="J3578" s="115">
        <v>0</v>
      </c>
      <c r="K3578" s="115">
        <v>0</v>
      </c>
    </row>
    <row r="3579" spans="1:11" x14ac:dyDescent="0.25">
      <c r="B3579" s="115" t="s">
        <v>3899</v>
      </c>
      <c r="D3579" s="115" t="s">
        <v>10423</v>
      </c>
      <c r="E3579" s="115" t="s">
        <v>3900</v>
      </c>
      <c r="F3579" s="115">
        <v>123</v>
      </c>
      <c r="G3579" s="115">
        <v>-583</v>
      </c>
      <c r="H3579" s="115">
        <v>0</v>
      </c>
      <c r="I3579" s="115">
        <v>0</v>
      </c>
      <c r="J3579" s="115">
        <v>0</v>
      </c>
      <c r="K3579" s="115">
        <v>0</v>
      </c>
    </row>
    <row r="3580" spans="1:11" x14ac:dyDescent="0.25">
      <c r="B3580" s="115" t="s">
        <v>3901</v>
      </c>
      <c r="D3580" s="115" t="s">
        <v>10424</v>
      </c>
      <c r="E3580" s="115" t="s">
        <v>3902</v>
      </c>
      <c r="F3580" s="115">
        <v>0</v>
      </c>
      <c r="G3580" s="115">
        <v>753</v>
      </c>
      <c r="H3580" s="115">
        <v>-14118</v>
      </c>
      <c r="I3580" s="115">
        <v>0</v>
      </c>
      <c r="J3580" s="115">
        <v>0</v>
      </c>
      <c r="K3580" s="115">
        <v>0</v>
      </c>
    </row>
    <row r="3581" spans="1:11" x14ac:dyDescent="0.25">
      <c r="B3581" s="115" t="s">
        <v>3903</v>
      </c>
      <c r="D3581" s="115" t="s">
        <v>10425</v>
      </c>
      <c r="E3581" s="115" t="s">
        <v>3904</v>
      </c>
      <c r="F3581" s="115">
        <v>-83</v>
      </c>
      <c r="G3581" s="115">
        <v>24</v>
      </c>
      <c r="H3581" s="115">
        <v>2231</v>
      </c>
      <c r="I3581" s="115">
        <v>-9640</v>
      </c>
      <c r="J3581" s="115">
        <v>25743</v>
      </c>
      <c r="K3581" s="115">
        <v>24191</v>
      </c>
    </row>
    <row r="3582" spans="1:11" x14ac:dyDescent="0.25">
      <c r="A3582" s="115">
        <v>5</v>
      </c>
      <c r="B3582" s="115" t="s">
        <v>3905</v>
      </c>
      <c r="C3582" s="115">
        <v>1</v>
      </c>
      <c r="D3582" s="115" t="s">
        <v>10426</v>
      </c>
      <c r="E3582" s="115" t="s">
        <v>1242</v>
      </c>
      <c r="F3582" s="115">
        <v>0</v>
      </c>
      <c r="G3582" s="115">
        <v>0</v>
      </c>
      <c r="H3582" s="115">
        <v>0</v>
      </c>
      <c r="I3582" s="115">
        <v>0</v>
      </c>
      <c r="J3582" s="115">
        <v>0</v>
      </c>
      <c r="K3582" s="115">
        <v>0</v>
      </c>
    </row>
    <row r="3583" spans="1:11" x14ac:dyDescent="0.25">
      <c r="B3583" s="115" t="s">
        <v>3906</v>
      </c>
      <c r="D3583" s="115" t="s">
        <v>10427</v>
      </c>
      <c r="E3583" s="115" t="s">
        <v>3907</v>
      </c>
      <c r="F3583" s="115">
        <v>-3406</v>
      </c>
      <c r="G3583" s="115">
        <v>1841</v>
      </c>
      <c r="H3583" s="115">
        <v>0</v>
      </c>
      <c r="I3583" s="115">
        <v>0</v>
      </c>
      <c r="J3583" s="115">
        <v>0</v>
      </c>
      <c r="K3583" s="115">
        <v>0</v>
      </c>
    </row>
    <row r="3584" spans="1:11" x14ac:dyDescent="0.25">
      <c r="B3584" s="115" t="s">
        <v>1241</v>
      </c>
      <c r="D3584" s="115" t="s">
        <v>8710</v>
      </c>
      <c r="E3584" s="115" t="s">
        <v>1242</v>
      </c>
      <c r="F3584" s="115">
        <v>0</v>
      </c>
      <c r="G3584" s="115">
        <v>0</v>
      </c>
      <c r="H3584" s="115">
        <v>0</v>
      </c>
      <c r="I3584" s="115">
        <v>0</v>
      </c>
      <c r="J3584" s="115">
        <v>0</v>
      </c>
      <c r="K3584" s="115">
        <v>0</v>
      </c>
    </row>
    <row r="3585" spans="2:11" x14ac:dyDescent="0.25">
      <c r="B3585" s="115" t="s">
        <v>1241</v>
      </c>
      <c r="D3585" s="115" t="s">
        <v>8710</v>
      </c>
      <c r="E3585" s="115" t="s">
        <v>1242</v>
      </c>
      <c r="F3585" s="115">
        <v>0</v>
      </c>
      <c r="G3585" s="115">
        <v>0</v>
      </c>
      <c r="H3585" s="115">
        <v>0</v>
      </c>
      <c r="I3585" s="115">
        <v>0</v>
      </c>
      <c r="J3585" s="115">
        <v>0</v>
      </c>
      <c r="K3585" s="115">
        <v>0</v>
      </c>
    </row>
    <row r="3586" spans="2:11" x14ac:dyDescent="0.25">
      <c r="B3586" s="115" t="s">
        <v>1241</v>
      </c>
      <c r="D3586" s="115" t="s">
        <v>8710</v>
      </c>
      <c r="E3586" s="115" t="s">
        <v>1242</v>
      </c>
      <c r="F3586" s="115">
        <v>0</v>
      </c>
      <c r="G3586" s="115">
        <v>0</v>
      </c>
      <c r="H3586" s="115">
        <v>0</v>
      </c>
      <c r="I3586" s="115">
        <v>0</v>
      </c>
      <c r="J3586" s="115">
        <v>0</v>
      </c>
      <c r="K3586" s="115">
        <v>0</v>
      </c>
    </row>
    <row r="3587" spans="2:11" x14ac:dyDescent="0.25">
      <c r="B3587" s="115" t="s">
        <v>1241</v>
      </c>
      <c r="D3587" s="115" t="s">
        <v>8710</v>
      </c>
      <c r="E3587" s="115" t="s">
        <v>1242</v>
      </c>
      <c r="F3587" s="115">
        <v>0</v>
      </c>
      <c r="G3587" s="115">
        <v>0</v>
      </c>
      <c r="H3587" s="115">
        <v>0</v>
      </c>
      <c r="I3587" s="115">
        <v>0</v>
      </c>
      <c r="J3587" s="115">
        <v>0</v>
      </c>
      <c r="K3587" s="115">
        <v>0</v>
      </c>
    </row>
    <row r="3588" spans="2:11" x14ac:dyDescent="0.25">
      <c r="B3588" s="115" t="s">
        <v>1241</v>
      </c>
      <c r="D3588" s="115" t="s">
        <v>8710</v>
      </c>
      <c r="E3588" s="115" t="s">
        <v>1242</v>
      </c>
      <c r="F3588" s="115">
        <v>0</v>
      </c>
      <c r="G3588" s="115">
        <v>0</v>
      </c>
      <c r="H3588" s="115">
        <v>0</v>
      </c>
      <c r="I3588" s="115">
        <v>0</v>
      </c>
      <c r="J3588" s="115">
        <v>0</v>
      </c>
      <c r="K3588" s="115">
        <v>0</v>
      </c>
    </row>
    <row r="3589" spans="2:11" x14ac:dyDescent="0.25">
      <c r="B3589" s="115" t="s">
        <v>1241</v>
      </c>
      <c r="D3589" s="115" t="s">
        <v>8710</v>
      </c>
      <c r="E3589" s="115" t="s">
        <v>1242</v>
      </c>
      <c r="F3589" s="115">
        <v>0</v>
      </c>
      <c r="G3589" s="115">
        <v>0</v>
      </c>
      <c r="H3589" s="115">
        <v>0</v>
      </c>
      <c r="I3589" s="115">
        <v>0</v>
      </c>
      <c r="J3589" s="115">
        <v>0</v>
      </c>
      <c r="K3589" s="115">
        <v>0</v>
      </c>
    </row>
    <row r="3590" spans="2:11" x14ac:dyDescent="0.25">
      <c r="B3590" s="115" t="s">
        <v>1241</v>
      </c>
      <c r="D3590" s="115" t="s">
        <v>8710</v>
      </c>
      <c r="E3590" s="115" t="s">
        <v>1242</v>
      </c>
      <c r="F3590" s="115">
        <v>0</v>
      </c>
      <c r="G3590" s="115">
        <v>0</v>
      </c>
      <c r="H3590" s="115">
        <v>0</v>
      </c>
      <c r="I3590" s="115">
        <v>0</v>
      </c>
      <c r="J3590" s="115">
        <v>0</v>
      </c>
      <c r="K3590" s="115">
        <v>0</v>
      </c>
    </row>
    <row r="3591" spans="2:11" x14ac:dyDescent="0.25">
      <c r="B3591" s="115" t="s">
        <v>1241</v>
      </c>
      <c r="D3591" s="115" t="s">
        <v>8710</v>
      </c>
      <c r="E3591" s="115" t="s">
        <v>1242</v>
      </c>
      <c r="F3591" s="115">
        <v>0</v>
      </c>
      <c r="G3591" s="115">
        <v>0</v>
      </c>
      <c r="H3591" s="115">
        <v>0</v>
      </c>
      <c r="I3591" s="115">
        <v>0</v>
      </c>
      <c r="J3591" s="115">
        <v>0</v>
      </c>
      <c r="K3591" s="115">
        <v>0</v>
      </c>
    </row>
    <row r="3592" spans="2:11" x14ac:dyDescent="0.25">
      <c r="B3592" s="115" t="s">
        <v>1241</v>
      </c>
      <c r="D3592" s="115" t="s">
        <v>8710</v>
      </c>
      <c r="E3592" s="115" t="s">
        <v>1242</v>
      </c>
      <c r="F3592" s="115">
        <v>0</v>
      </c>
      <c r="G3592" s="115">
        <v>0</v>
      </c>
      <c r="H3592" s="115">
        <v>0</v>
      </c>
      <c r="I3592" s="115">
        <v>0</v>
      </c>
      <c r="J3592" s="115">
        <v>0</v>
      </c>
      <c r="K3592" s="115">
        <v>0</v>
      </c>
    </row>
    <row r="3593" spans="2:11" x14ac:dyDescent="0.25">
      <c r="B3593" s="115" t="s">
        <v>1241</v>
      </c>
      <c r="D3593" s="115" t="s">
        <v>8710</v>
      </c>
      <c r="E3593" s="115" t="s">
        <v>1242</v>
      </c>
      <c r="F3593" s="115">
        <v>0</v>
      </c>
      <c r="G3593" s="115">
        <v>0</v>
      </c>
      <c r="H3593" s="115">
        <v>0</v>
      </c>
      <c r="I3593" s="115">
        <v>0</v>
      </c>
      <c r="J3593" s="115">
        <v>0</v>
      </c>
      <c r="K3593" s="115">
        <v>0</v>
      </c>
    </row>
    <row r="3594" spans="2:11" x14ac:dyDescent="0.25">
      <c r="B3594" s="115" t="s">
        <v>1241</v>
      </c>
      <c r="D3594" s="115" t="s">
        <v>8710</v>
      </c>
      <c r="E3594" s="115" t="s">
        <v>1242</v>
      </c>
      <c r="F3594" s="115">
        <v>0</v>
      </c>
      <c r="G3594" s="115">
        <v>0</v>
      </c>
      <c r="H3594" s="115">
        <v>0</v>
      </c>
      <c r="I3594" s="115">
        <v>0</v>
      </c>
      <c r="J3594" s="115">
        <v>0</v>
      </c>
      <c r="K3594" s="115">
        <v>0</v>
      </c>
    </row>
    <row r="3595" spans="2:11" x14ac:dyDescent="0.25">
      <c r="B3595" s="115" t="s">
        <v>1241</v>
      </c>
      <c r="D3595" s="115" t="s">
        <v>8710</v>
      </c>
      <c r="E3595" s="115" t="s">
        <v>1242</v>
      </c>
      <c r="F3595" s="115">
        <v>0</v>
      </c>
      <c r="G3595" s="115">
        <v>0</v>
      </c>
      <c r="H3595" s="115">
        <v>0</v>
      </c>
      <c r="I3595" s="115">
        <v>0</v>
      </c>
      <c r="J3595" s="115">
        <v>0</v>
      </c>
      <c r="K3595" s="115">
        <v>0</v>
      </c>
    </row>
    <row r="3596" spans="2:11" x14ac:dyDescent="0.25">
      <c r="B3596" s="115" t="s">
        <v>1241</v>
      </c>
      <c r="D3596" s="115" t="s">
        <v>8710</v>
      </c>
      <c r="E3596" s="115" t="s">
        <v>1242</v>
      </c>
      <c r="F3596" s="115">
        <v>0</v>
      </c>
      <c r="G3596" s="115">
        <v>0</v>
      </c>
      <c r="H3596" s="115">
        <v>0</v>
      </c>
      <c r="I3596" s="115">
        <v>0</v>
      </c>
      <c r="J3596" s="115">
        <v>0</v>
      </c>
      <c r="K3596" s="115">
        <v>0</v>
      </c>
    </row>
    <row r="3597" spans="2:11" x14ac:dyDescent="0.25">
      <c r="B3597" s="115" t="s">
        <v>1241</v>
      </c>
      <c r="D3597" s="115" t="s">
        <v>8710</v>
      </c>
      <c r="E3597" s="115" t="s">
        <v>1242</v>
      </c>
      <c r="F3597" s="115">
        <v>0</v>
      </c>
      <c r="G3597" s="115">
        <v>0</v>
      </c>
      <c r="H3597" s="115">
        <v>0</v>
      </c>
      <c r="I3597" s="115">
        <v>0</v>
      </c>
      <c r="J3597" s="115">
        <v>0</v>
      </c>
      <c r="K3597" s="115">
        <v>0</v>
      </c>
    </row>
    <row r="3598" spans="2:11" x14ac:dyDescent="0.25">
      <c r="B3598" s="115" t="s">
        <v>1241</v>
      </c>
      <c r="D3598" s="115" t="s">
        <v>8710</v>
      </c>
      <c r="E3598" s="115" t="s">
        <v>1242</v>
      </c>
      <c r="F3598" s="115">
        <v>0</v>
      </c>
      <c r="G3598" s="115">
        <v>0</v>
      </c>
      <c r="H3598" s="115">
        <v>0</v>
      </c>
      <c r="I3598" s="115">
        <v>0</v>
      </c>
      <c r="J3598" s="115">
        <v>0</v>
      </c>
      <c r="K3598" s="115">
        <v>0</v>
      </c>
    </row>
    <row r="3599" spans="2:11" x14ac:dyDescent="0.25">
      <c r="B3599" s="115" t="s">
        <v>1241</v>
      </c>
      <c r="D3599" s="115" t="s">
        <v>8710</v>
      </c>
      <c r="E3599" s="115" t="s">
        <v>1242</v>
      </c>
      <c r="F3599" s="115">
        <v>0</v>
      </c>
      <c r="G3599" s="115">
        <v>0</v>
      </c>
      <c r="H3599" s="115">
        <v>0</v>
      </c>
      <c r="I3599" s="115">
        <v>0</v>
      </c>
      <c r="J3599" s="115">
        <v>0</v>
      </c>
      <c r="K3599" s="115">
        <v>0</v>
      </c>
    </row>
    <row r="3600" spans="2:11" x14ac:dyDescent="0.25">
      <c r="B3600" s="115" t="s">
        <v>1241</v>
      </c>
      <c r="D3600" s="115" t="s">
        <v>8710</v>
      </c>
      <c r="E3600" s="115" t="s">
        <v>1242</v>
      </c>
      <c r="F3600" s="115">
        <v>0</v>
      </c>
      <c r="G3600" s="115">
        <v>0</v>
      </c>
      <c r="H3600" s="115">
        <v>0</v>
      </c>
      <c r="I3600" s="115">
        <v>0</v>
      </c>
      <c r="J3600" s="115">
        <v>0</v>
      </c>
      <c r="K3600" s="115">
        <v>0</v>
      </c>
    </row>
    <row r="3601" spans="1:11" x14ac:dyDescent="0.25">
      <c r="B3601" s="115" t="s">
        <v>1241</v>
      </c>
      <c r="D3601" s="115" t="s">
        <v>8710</v>
      </c>
      <c r="E3601" s="115" t="s">
        <v>1242</v>
      </c>
      <c r="F3601" s="115">
        <v>0</v>
      </c>
      <c r="G3601" s="115">
        <v>0</v>
      </c>
      <c r="H3601" s="115">
        <v>0</v>
      </c>
      <c r="I3601" s="115">
        <v>0</v>
      </c>
      <c r="J3601" s="115">
        <v>0</v>
      </c>
      <c r="K3601" s="115">
        <v>0</v>
      </c>
    </row>
    <row r="3602" spans="1:11" x14ac:dyDescent="0.25">
      <c r="B3602" s="115" t="s">
        <v>1241</v>
      </c>
      <c r="D3602" s="115" t="s">
        <v>8710</v>
      </c>
      <c r="E3602" s="115" t="s">
        <v>1242</v>
      </c>
      <c r="F3602" s="115">
        <v>0</v>
      </c>
      <c r="G3602" s="115">
        <v>0</v>
      </c>
      <c r="H3602" s="115">
        <v>0</v>
      </c>
      <c r="I3602" s="115">
        <v>0</v>
      </c>
      <c r="J3602" s="115">
        <v>0</v>
      </c>
      <c r="K3602" s="115">
        <v>0</v>
      </c>
    </row>
    <row r="3603" spans="1:11" x14ac:dyDescent="0.25">
      <c r="B3603" s="115" t="s">
        <v>1241</v>
      </c>
      <c r="D3603" s="115" t="s">
        <v>8710</v>
      </c>
      <c r="E3603" s="115" t="s">
        <v>1242</v>
      </c>
      <c r="F3603" s="115">
        <v>0</v>
      </c>
      <c r="G3603" s="115">
        <v>0</v>
      </c>
      <c r="H3603" s="115">
        <v>0</v>
      </c>
      <c r="I3603" s="115">
        <v>0</v>
      </c>
      <c r="J3603" s="115">
        <v>0</v>
      </c>
      <c r="K3603" s="115">
        <v>0</v>
      </c>
    </row>
    <row r="3604" spans="1:11" x14ac:dyDescent="0.25">
      <c r="B3604" s="115" t="s">
        <v>1241</v>
      </c>
      <c r="D3604" s="115" t="s">
        <v>8710</v>
      </c>
      <c r="E3604" s="115" t="s">
        <v>1242</v>
      </c>
      <c r="F3604" s="115">
        <v>0</v>
      </c>
      <c r="G3604" s="115">
        <v>0</v>
      </c>
      <c r="H3604" s="115">
        <v>0</v>
      </c>
      <c r="I3604" s="115">
        <v>0</v>
      </c>
      <c r="J3604" s="115">
        <v>0</v>
      </c>
      <c r="K3604" s="115">
        <v>0</v>
      </c>
    </row>
    <row r="3605" spans="1:11" x14ac:dyDescent="0.25">
      <c r="B3605" s="115" t="s">
        <v>1241</v>
      </c>
      <c r="D3605" s="115" t="s">
        <v>8710</v>
      </c>
      <c r="E3605" s="115" t="s">
        <v>1242</v>
      </c>
      <c r="F3605" s="115">
        <v>0</v>
      </c>
      <c r="G3605" s="115">
        <v>0</v>
      </c>
      <c r="H3605" s="115">
        <v>0</v>
      </c>
      <c r="I3605" s="115">
        <v>0</v>
      </c>
      <c r="J3605" s="115">
        <v>0</v>
      </c>
      <c r="K3605" s="115">
        <v>0</v>
      </c>
    </row>
    <row r="3606" spans="1:11" x14ac:dyDescent="0.25">
      <c r="B3606" s="115" t="s">
        <v>1241</v>
      </c>
      <c r="D3606" s="115" t="s">
        <v>8710</v>
      </c>
      <c r="E3606" s="115" t="s">
        <v>1242</v>
      </c>
      <c r="F3606" s="115">
        <v>0</v>
      </c>
      <c r="G3606" s="115">
        <v>0</v>
      </c>
      <c r="H3606" s="115">
        <v>0</v>
      </c>
      <c r="I3606" s="115">
        <v>0</v>
      </c>
      <c r="J3606" s="115">
        <v>0</v>
      </c>
      <c r="K3606" s="115">
        <v>0</v>
      </c>
    </row>
    <row r="3607" spans="1:11" x14ac:dyDescent="0.25">
      <c r="B3607" s="115" t="s">
        <v>1241</v>
      </c>
      <c r="D3607" s="115" t="s">
        <v>8710</v>
      </c>
      <c r="E3607" s="115" t="s">
        <v>1242</v>
      </c>
      <c r="F3607" s="115">
        <v>0</v>
      </c>
      <c r="G3607" s="115">
        <v>0</v>
      </c>
      <c r="H3607" s="115">
        <v>0</v>
      </c>
      <c r="I3607" s="115">
        <v>0</v>
      </c>
      <c r="J3607" s="115">
        <v>0</v>
      </c>
      <c r="K3607" s="115">
        <v>0</v>
      </c>
    </row>
    <row r="3608" spans="1:11" x14ac:dyDescent="0.25">
      <c r="B3608" s="115" t="s">
        <v>1241</v>
      </c>
      <c r="D3608" s="115" t="s">
        <v>8710</v>
      </c>
      <c r="E3608" s="115" t="s">
        <v>1242</v>
      </c>
      <c r="F3608" s="115">
        <v>0</v>
      </c>
      <c r="G3608" s="115">
        <v>0</v>
      </c>
      <c r="H3608" s="115">
        <v>0</v>
      </c>
      <c r="I3608" s="115">
        <v>0</v>
      </c>
      <c r="J3608" s="115">
        <v>0</v>
      </c>
      <c r="K3608" s="115">
        <v>0</v>
      </c>
    </row>
    <row r="3609" spans="1:11" x14ac:dyDescent="0.25">
      <c r="B3609" s="115" t="s">
        <v>3908</v>
      </c>
      <c r="D3609" s="115" t="s">
        <v>10428</v>
      </c>
      <c r="E3609" s="115" t="s">
        <v>3909</v>
      </c>
      <c r="F3609" s="115">
        <v>-537</v>
      </c>
      <c r="G3609" s="115">
        <v>-445</v>
      </c>
      <c r="H3609" s="115">
        <v>0</v>
      </c>
      <c r="I3609" s="115">
        <v>0</v>
      </c>
      <c r="J3609" s="115">
        <v>870</v>
      </c>
      <c r="K3609" s="115">
        <v>0</v>
      </c>
    </row>
    <row r="3610" spans="1:11" x14ac:dyDescent="0.25">
      <c r="B3610" s="115" t="s">
        <v>1241</v>
      </c>
      <c r="D3610" s="115" t="s">
        <v>10429</v>
      </c>
      <c r="E3610" s="115" t="s">
        <v>1242</v>
      </c>
      <c r="F3610" s="115">
        <v>0</v>
      </c>
      <c r="G3610" s="115">
        <v>0</v>
      </c>
      <c r="H3610" s="115">
        <v>0</v>
      </c>
      <c r="I3610" s="115">
        <v>0</v>
      </c>
      <c r="J3610" s="115">
        <v>0</v>
      </c>
      <c r="K3610" s="115">
        <v>0</v>
      </c>
    </row>
    <row r="3611" spans="1:11" x14ac:dyDescent="0.25">
      <c r="A3611" s="115" t="s">
        <v>1239</v>
      </c>
      <c r="B3611" s="115" t="s">
        <v>3910</v>
      </c>
      <c r="D3611" s="115" t="s">
        <v>10430</v>
      </c>
      <c r="E3611" s="115" t="s">
        <v>3911</v>
      </c>
      <c r="F3611" s="115">
        <v>0</v>
      </c>
      <c r="G3611" s="115">
        <v>-311</v>
      </c>
      <c r="H3611" s="115">
        <v>0</v>
      </c>
      <c r="I3611" s="115">
        <v>-56</v>
      </c>
      <c r="J3611" s="115">
        <v>-853</v>
      </c>
      <c r="K3611" s="115">
        <v>521</v>
      </c>
    </row>
    <row r="3612" spans="1:11" x14ac:dyDescent="0.25">
      <c r="B3612" s="115" t="s">
        <v>3912</v>
      </c>
      <c r="D3612" s="115" t="s">
        <v>10431</v>
      </c>
      <c r="E3612" s="115" t="s">
        <v>3913</v>
      </c>
      <c r="F3612" s="115">
        <v>-320</v>
      </c>
      <c r="G3612" s="115">
        <v>-216</v>
      </c>
      <c r="H3612" s="115">
        <v>153</v>
      </c>
      <c r="I3612" s="115">
        <v>0</v>
      </c>
      <c r="J3612" s="115">
        <v>-620</v>
      </c>
      <c r="K3612" s="115">
        <v>0</v>
      </c>
    </row>
    <row r="3613" spans="1:11" x14ac:dyDescent="0.25">
      <c r="B3613" s="115" t="s">
        <v>1241</v>
      </c>
      <c r="D3613" s="115" t="s">
        <v>10432</v>
      </c>
      <c r="E3613" s="115" t="s">
        <v>3914</v>
      </c>
      <c r="F3613" s="115">
        <v>301</v>
      </c>
      <c r="G3613" s="115">
        <v>0</v>
      </c>
      <c r="H3613" s="115">
        <v>0</v>
      </c>
      <c r="I3613" s="115">
        <v>0</v>
      </c>
      <c r="J3613" s="115">
        <v>414</v>
      </c>
      <c r="K3613" s="115">
        <v>0</v>
      </c>
    </row>
    <row r="3614" spans="1:11" x14ac:dyDescent="0.25">
      <c r="A3614" s="115" t="s">
        <v>1239</v>
      </c>
      <c r="B3614" s="115" t="s">
        <v>3113</v>
      </c>
      <c r="D3614" s="115" t="s">
        <v>10433</v>
      </c>
      <c r="E3614" s="115" t="s">
        <v>3915</v>
      </c>
      <c r="F3614" s="115">
        <v>0</v>
      </c>
      <c r="G3614" s="115">
        <v>0</v>
      </c>
      <c r="H3614" s="115">
        <v>-646</v>
      </c>
      <c r="I3614" s="115">
        <v>0</v>
      </c>
      <c r="J3614" s="115">
        <v>154</v>
      </c>
      <c r="K3614" s="115">
        <v>-1210</v>
      </c>
    </row>
    <row r="3615" spans="1:11" x14ac:dyDescent="0.25">
      <c r="B3615" s="115" t="s">
        <v>1241</v>
      </c>
      <c r="D3615" s="115" t="s">
        <v>10434</v>
      </c>
      <c r="E3615" s="115" t="s">
        <v>3916</v>
      </c>
      <c r="F3615" s="115">
        <v>0</v>
      </c>
      <c r="G3615" s="115">
        <v>-425</v>
      </c>
      <c r="H3615" s="115">
        <v>0</v>
      </c>
      <c r="I3615" s="115">
        <v>0</v>
      </c>
      <c r="J3615" s="115">
        <v>0</v>
      </c>
      <c r="K3615" s="115">
        <v>0</v>
      </c>
    </row>
    <row r="3616" spans="1:11" x14ac:dyDescent="0.25">
      <c r="A3616" s="115">
        <v>2</v>
      </c>
      <c r="B3616" s="115" t="s">
        <v>3917</v>
      </c>
      <c r="D3616" s="115" t="s">
        <v>10435</v>
      </c>
      <c r="E3616" s="115" t="s">
        <v>3918</v>
      </c>
      <c r="F3616" s="115">
        <v>0</v>
      </c>
      <c r="G3616" s="115">
        <v>-2688</v>
      </c>
      <c r="H3616" s="115">
        <v>106</v>
      </c>
      <c r="I3616" s="115">
        <v>0</v>
      </c>
      <c r="J3616" s="115">
        <v>271</v>
      </c>
      <c r="K3616" s="115">
        <v>-321</v>
      </c>
    </row>
    <row r="3617" spans="1:11" x14ac:dyDescent="0.25">
      <c r="A3617" s="115" t="s">
        <v>1239</v>
      </c>
      <c r="B3617" s="115" t="s">
        <v>3919</v>
      </c>
      <c r="D3617" s="115" t="s">
        <v>10436</v>
      </c>
      <c r="E3617" s="115" t="s">
        <v>1242</v>
      </c>
      <c r="F3617" s="115">
        <v>-158</v>
      </c>
      <c r="G3617" s="115">
        <v>0</v>
      </c>
      <c r="H3617" s="115">
        <v>0</v>
      </c>
      <c r="I3617" s="115">
        <v>0</v>
      </c>
      <c r="J3617" s="115">
        <v>0</v>
      </c>
      <c r="K3617" s="115">
        <v>0</v>
      </c>
    </row>
    <row r="3618" spans="1:11" x14ac:dyDescent="0.25">
      <c r="A3618" s="115">
        <v>-5</v>
      </c>
      <c r="B3618" s="115" t="s">
        <v>3920</v>
      </c>
      <c r="C3618" s="115" t="s">
        <v>1239</v>
      </c>
      <c r="D3618" s="115" t="s">
        <v>10437</v>
      </c>
      <c r="E3618" s="115" t="s">
        <v>3921</v>
      </c>
      <c r="F3618" s="115">
        <v>60</v>
      </c>
      <c r="G3618" s="115">
        <v>0</v>
      </c>
      <c r="H3618" s="115">
        <v>12292</v>
      </c>
      <c r="I3618" s="115">
        <v>-858</v>
      </c>
      <c r="J3618" s="115">
        <v>-565</v>
      </c>
      <c r="K3618" s="115">
        <v>-880</v>
      </c>
    </row>
    <row r="3619" spans="1:11" x14ac:dyDescent="0.25">
      <c r="A3619" s="115">
        <v>-1</v>
      </c>
      <c r="B3619" s="115" t="s">
        <v>1448</v>
      </c>
      <c r="D3619" s="115" t="s">
        <v>10438</v>
      </c>
      <c r="E3619" s="115" t="s">
        <v>3922</v>
      </c>
      <c r="F3619" s="115">
        <v>-112</v>
      </c>
      <c r="G3619" s="115">
        <v>-1844</v>
      </c>
      <c r="H3619" s="115">
        <v>0</v>
      </c>
      <c r="I3619" s="115">
        <v>-345</v>
      </c>
      <c r="J3619" s="115">
        <v>3078</v>
      </c>
      <c r="K3619" s="115">
        <v>0</v>
      </c>
    </row>
    <row r="3620" spans="1:11" x14ac:dyDescent="0.25">
      <c r="B3620" s="115" t="s">
        <v>1241</v>
      </c>
      <c r="D3620" s="115" t="s">
        <v>10439</v>
      </c>
      <c r="E3620" s="115" t="s">
        <v>3923</v>
      </c>
      <c r="F3620" s="115">
        <v>0</v>
      </c>
      <c r="G3620" s="115">
        <v>-516</v>
      </c>
      <c r="H3620" s="115">
        <v>-237</v>
      </c>
      <c r="I3620" s="115">
        <v>-1175</v>
      </c>
      <c r="J3620" s="115">
        <v>590</v>
      </c>
      <c r="K3620" s="115">
        <v>0</v>
      </c>
    </row>
    <row r="3621" spans="1:11" x14ac:dyDescent="0.25">
      <c r="B3621" s="115" t="s">
        <v>1241</v>
      </c>
      <c r="D3621" s="115" t="s">
        <v>10440</v>
      </c>
      <c r="E3621" s="115" t="s">
        <v>3924</v>
      </c>
      <c r="F3621" s="115">
        <v>-10076</v>
      </c>
      <c r="G3621" s="115">
        <v>0</v>
      </c>
      <c r="H3621" s="115">
        <v>202</v>
      </c>
      <c r="I3621" s="115">
        <v>-397</v>
      </c>
      <c r="J3621" s="115">
        <v>800</v>
      </c>
      <c r="K3621" s="115">
        <v>0</v>
      </c>
    </row>
    <row r="3622" spans="1:11" x14ac:dyDescent="0.25">
      <c r="A3622" s="115">
        <v>5</v>
      </c>
      <c r="B3622" s="115" t="s">
        <v>3925</v>
      </c>
      <c r="D3622" s="115" t="s">
        <v>10441</v>
      </c>
      <c r="E3622" s="115" t="s">
        <v>3926</v>
      </c>
      <c r="F3622" s="115">
        <v>-882</v>
      </c>
      <c r="G3622" s="115">
        <v>-195</v>
      </c>
      <c r="H3622" s="115">
        <v>-396</v>
      </c>
      <c r="I3622" s="115">
        <v>-1643</v>
      </c>
      <c r="J3622" s="115">
        <v>0</v>
      </c>
      <c r="K3622" s="115">
        <v>-776</v>
      </c>
    </row>
    <row r="3623" spans="1:11" x14ac:dyDescent="0.25">
      <c r="B3623" s="115" t="s">
        <v>1241</v>
      </c>
      <c r="D3623" s="115" t="s">
        <v>10442</v>
      </c>
      <c r="E3623" s="115" t="s">
        <v>3927</v>
      </c>
      <c r="F3623" s="115">
        <v>0</v>
      </c>
      <c r="G3623" s="115">
        <v>-376</v>
      </c>
      <c r="H3623" s="115">
        <v>0</v>
      </c>
      <c r="I3623" s="115">
        <v>0</v>
      </c>
      <c r="J3623" s="115">
        <v>-128</v>
      </c>
      <c r="K3623" s="115">
        <v>0</v>
      </c>
    </row>
    <row r="3624" spans="1:11" x14ac:dyDescent="0.25">
      <c r="B3624" s="115" t="s">
        <v>3928</v>
      </c>
      <c r="D3624" s="115" t="s">
        <v>10443</v>
      </c>
      <c r="E3624" s="115" t="s">
        <v>3929</v>
      </c>
      <c r="F3624" s="115">
        <v>0</v>
      </c>
      <c r="G3624" s="115">
        <v>0</v>
      </c>
      <c r="H3624" s="115">
        <v>0</v>
      </c>
      <c r="I3624" s="115">
        <v>0</v>
      </c>
      <c r="J3624" s="115">
        <v>-3392</v>
      </c>
      <c r="K3624" s="115">
        <v>0</v>
      </c>
    </row>
    <row r="3625" spans="1:11" x14ac:dyDescent="0.25">
      <c r="A3625" s="115">
        <v>2</v>
      </c>
      <c r="B3625" s="115" t="s">
        <v>3930</v>
      </c>
      <c r="D3625" s="115" t="s">
        <v>10444</v>
      </c>
      <c r="E3625" s="115" t="s">
        <v>3931</v>
      </c>
      <c r="F3625" s="115">
        <v>12109</v>
      </c>
      <c r="G3625" s="115">
        <v>-793</v>
      </c>
      <c r="H3625" s="115">
        <v>-232</v>
      </c>
      <c r="I3625" s="115">
        <v>0</v>
      </c>
      <c r="J3625" s="115">
        <v>0</v>
      </c>
      <c r="K3625" s="115">
        <v>0</v>
      </c>
    </row>
    <row r="3626" spans="1:11" x14ac:dyDescent="0.25">
      <c r="A3626" s="115" t="s">
        <v>1239</v>
      </c>
      <c r="B3626" s="115" t="s">
        <v>3932</v>
      </c>
      <c r="D3626" s="115" t="s">
        <v>10445</v>
      </c>
      <c r="E3626" s="115" t="s">
        <v>3933</v>
      </c>
      <c r="F3626" s="115">
        <v>-794</v>
      </c>
      <c r="G3626" s="115">
        <v>0</v>
      </c>
      <c r="H3626" s="115">
        <v>2597</v>
      </c>
      <c r="I3626" s="115">
        <v>0</v>
      </c>
      <c r="J3626" s="115">
        <v>0</v>
      </c>
      <c r="K3626" s="115">
        <v>-448</v>
      </c>
    </row>
    <row r="3627" spans="1:11" x14ac:dyDescent="0.25">
      <c r="B3627" s="115" t="s">
        <v>3934</v>
      </c>
      <c r="D3627" s="115" t="s">
        <v>10446</v>
      </c>
      <c r="E3627" s="115" t="s">
        <v>1242</v>
      </c>
      <c r="F3627" s="115">
        <v>0</v>
      </c>
      <c r="G3627" s="115">
        <v>0</v>
      </c>
      <c r="H3627" s="115">
        <v>0</v>
      </c>
      <c r="I3627" s="115">
        <v>0</v>
      </c>
      <c r="J3627" s="115">
        <v>0</v>
      </c>
      <c r="K3627" s="115">
        <v>0</v>
      </c>
    </row>
    <row r="3628" spans="1:11" x14ac:dyDescent="0.25">
      <c r="B3628" s="115" t="s">
        <v>1241</v>
      </c>
      <c r="C3628" s="115">
        <v>-1</v>
      </c>
      <c r="D3628" s="115" t="s">
        <v>10447</v>
      </c>
      <c r="E3628" s="115" t="s">
        <v>3935</v>
      </c>
      <c r="F3628" s="115">
        <v>-356</v>
      </c>
      <c r="G3628" s="115">
        <v>31</v>
      </c>
      <c r="H3628" s="115">
        <v>317</v>
      </c>
      <c r="I3628" s="115">
        <v>0</v>
      </c>
      <c r="J3628" s="115">
        <v>14866</v>
      </c>
      <c r="K3628" s="115">
        <v>-54</v>
      </c>
    </row>
    <row r="3629" spans="1:11" x14ac:dyDescent="0.25">
      <c r="B3629" s="115" t="s">
        <v>1241</v>
      </c>
      <c r="D3629" s="115" t="s">
        <v>10448</v>
      </c>
      <c r="E3629" s="115">
        <f>-3473  -2382  -1974  -1820   -444</f>
        <v>-10093</v>
      </c>
      <c r="F3629" s="115">
        <v>0</v>
      </c>
      <c r="G3629" s="115">
        <v>-3473</v>
      </c>
      <c r="H3629" s="115">
        <v>-2382</v>
      </c>
      <c r="I3629" s="115">
        <v>-1974</v>
      </c>
      <c r="J3629" s="115">
        <v>-1820</v>
      </c>
      <c r="K3629" s="115">
        <v>-444</v>
      </c>
    </row>
    <row r="3630" spans="1:11" x14ac:dyDescent="0.25">
      <c r="A3630" s="115">
        <v>3</v>
      </c>
      <c r="B3630" s="115" t="s">
        <v>3936</v>
      </c>
      <c r="D3630" s="115" t="s">
        <v>10449</v>
      </c>
      <c r="E3630" s="115" t="s">
        <v>3937</v>
      </c>
      <c r="F3630" s="115">
        <v>0</v>
      </c>
      <c r="G3630" s="115">
        <v>-309</v>
      </c>
      <c r="H3630" s="115">
        <v>0</v>
      </c>
      <c r="I3630" s="115">
        <v>-586</v>
      </c>
      <c r="J3630" s="115">
        <v>0</v>
      </c>
      <c r="K3630" s="115">
        <v>0</v>
      </c>
    </row>
    <row r="3631" spans="1:11" x14ac:dyDescent="0.25">
      <c r="A3631" s="115">
        <v>1</v>
      </c>
      <c r="B3631" s="115" t="s">
        <v>3938</v>
      </c>
      <c r="D3631" s="115" t="s">
        <v>10450</v>
      </c>
      <c r="E3631" s="115" t="s">
        <v>3939</v>
      </c>
      <c r="F3631" s="115">
        <v>0</v>
      </c>
      <c r="G3631" s="115">
        <v>0</v>
      </c>
      <c r="H3631" s="115">
        <v>-12160</v>
      </c>
      <c r="I3631" s="115">
        <v>0</v>
      </c>
      <c r="J3631" s="115">
        <v>-679</v>
      </c>
      <c r="K3631" s="115">
        <v>-406</v>
      </c>
    </row>
    <row r="3632" spans="1:11" x14ac:dyDescent="0.25">
      <c r="B3632" s="115" t="s">
        <v>3940</v>
      </c>
      <c r="D3632" s="115" t="s">
        <v>10451</v>
      </c>
      <c r="E3632" s="115" t="s">
        <v>3941</v>
      </c>
      <c r="F3632" s="115">
        <v>3309</v>
      </c>
      <c r="G3632" s="115">
        <v>1801</v>
      </c>
      <c r="H3632" s="115">
        <v>6637</v>
      </c>
      <c r="I3632" s="115">
        <v>4665</v>
      </c>
      <c r="J3632" s="115">
        <v>0</v>
      </c>
      <c r="K3632" s="115">
        <v>0</v>
      </c>
    </row>
    <row r="3633" spans="1:11" x14ac:dyDescent="0.25">
      <c r="B3633" s="115" t="s">
        <v>1241</v>
      </c>
      <c r="D3633" s="115" t="s">
        <v>10452</v>
      </c>
      <c r="E3633" s="115" t="s">
        <v>3942</v>
      </c>
      <c r="F3633" s="115">
        <v>0</v>
      </c>
      <c r="G3633" s="115">
        <v>2735</v>
      </c>
      <c r="H3633" s="115">
        <v>-573</v>
      </c>
      <c r="I3633" s="115">
        <v>6916</v>
      </c>
      <c r="J3633" s="115">
        <v>216</v>
      </c>
      <c r="K3633" s="115">
        <v>7624</v>
      </c>
    </row>
    <row r="3634" spans="1:11" x14ac:dyDescent="0.25">
      <c r="A3634" s="115">
        <v>3</v>
      </c>
      <c r="B3634" s="115" t="s">
        <v>1970</v>
      </c>
      <c r="D3634" s="115" t="s">
        <v>10453</v>
      </c>
      <c r="E3634" s="115" t="s">
        <v>3943</v>
      </c>
      <c r="F3634" s="115">
        <v>0</v>
      </c>
      <c r="G3634" s="115">
        <v>-7310</v>
      </c>
      <c r="H3634" s="115">
        <v>-1061</v>
      </c>
      <c r="I3634" s="115">
        <v>4333</v>
      </c>
      <c r="J3634" s="115">
        <v>3569</v>
      </c>
      <c r="K3634" s="115">
        <v>3525</v>
      </c>
    </row>
    <row r="3635" spans="1:11" x14ac:dyDescent="0.25">
      <c r="B3635" s="115" t="s">
        <v>1241</v>
      </c>
      <c r="D3635" s="115" t="s">
        <v>10454</v>
      </c>
      <c r="E3635" s="115" t="s">
        <v>3944</v>
      </c>
      <c r="F3635" s="115">
        <v>0</v>
      </c>
      <c r="G3635" s="115">
        <v>0</v>
      </c>
      <c r="H3635" s="115">
        <v>-1078</v>
      </c>
      <c r="I3635" s="115">
        <v>-160</v>
      </c>
      <c r="J3635" s="115">
        <v>0</v>
      </c>
      <c r="K3635" s="115">
        <v>0</v>
      </c>
    </row>
    <row r="3636" spans="1:11" x14ac:dyDescent="0.25">
      <c r="B3636" s="115" t="s">
        <v>1241</v>
      </c>
      <c r="D3636" s="115" t="s">
        <v>10455</v>
      </c>
      <c r="E3636" s="115" t="s">
        <v>3945</v>
      </c>
      <c r="F3636" s="115">
        <v>4267</v>
      </c>
      <c r="G3636" s="115">
        <v>0</v>
      </c>
      <c r="H3636" s="115">
        <v>0</v>
      </c>
      <c r="I3636" s="115">
        <v>-882</v>
      </c>
      <c r="J3636" s="115">
        <v>0</v>
      </c>
      <c r="K3636" s="115">
        <v>583</v>
      </c>
    </row>
    <row r="3637" spans="1:11" x14ac:dyDescent="0.25">
      <c r="B3637" s="115" t="s">
        <v>2155</v>
      </c>
      <c r="D3637" s="115" t="s">
        <v>10456</v>
      </c>
      <c r="E3637" s="115" t="s">
        <v>3946</v>
      </c>
      <c r="F3637" s="115">
        <v>0</v>
      </c>
      <c r="G3637" s="115">
        <v>-6258</v>
      </c>
      <c r="H3637" s="115">
        <v>-1327</v>
      </c>
      <c r="I3637" s="115">
        <v>2829</v>
      </c>
      <c r="J3637" s="115">
        <v>3239</v>
      </c>
      <c r="K3637" s="115">
        <v>3551</v>
      </c>
    </row>
    <row r="3638" spans="1:11" x14ac:dyDescent="0.25">
      <c r="A3638" s="115">
        <v>1</v>
      </c>
      <c r="B3638" s="115" t="s">
        <v>1517</v>
      </c>
      <c r="D3638" s="115" t="s">
        <v>10457</v>
      </c>
      <c r="E3638" s="115" t="s">
        <v>3947</v>
      </c>
      <c r="F3638" s="115">
        <v>0</v>
      </c>
      <c r="G3638" s="115">
        <v>0</v>
      </c>
      <c r="H3638" s="115">
        <v>0</v>
      </c>
      <c r="I3638" s="115">
        <v>0</v>
      </c>
      <c r="J3638" s="115">
        <v>82</v>
      </c>
      <c r="K3638" s="115">
        <v>0</v>
      </c>
    </row>
    <row r="3639" spans="1:11" x14ac:dyDescent="0.25">
      <c r="B3639" s="115" t="s">
        <v>1241</v>
      </c>
      <c r="D3639" s="115" t="s">
        <v>10458</v>
      </c>
      <c r="E3639" s="115" t="s">
        <v>1242</v>
      </c>
      <c r="F3639" s="115">
        <v>162</v>
      </c>
      <c r="G3639" s="115">
        <v>0</v>
      </c>
      <c r="H3639" s="115">
        <v>0</v>
      </c>
      <c r="I3639" s="115">
        <v>0</v>
      </c>
      <c r="J3639" s="115">
        <v>0</v>
      </c>
      <c r="K3639" s="115">
        <v>0</v>
      </c>
    </row>
    <row r="3640" spans="1:11" x14ac:dyDescent="0.25">
      <c r="A3640" s="115">
        <v>-1</v>
      </c>
      <c r="B3640" s="115" t="s">
        <v>3948</v>
      </c>
      <c r="D3640" s="115" t="s">
        <v>10459</v>
      </c>
      <c r="E3640" s="115" t="s">
        <v>3949</v>
      </c>
      <c r="F3640" s="115">
        <v>0</v>
      </c>
      <c r="G3640" s="115">
        <v>0</v>
      </c>
      <c r="H3640" s="115">
        <v>-8013</v>
      </c>
      <c r="I3640" s="115">
        <v>-539</v>
      </c>
      <c r="J3640" s="115">
        <v>0</v>
      </c>
      <c r="K3640" s="115">
        <v>2502</v>
      </c>
    </row>
    <row r="3641" spans="1:11" x14ac:dyDescent="0.25">
      <c r="B3641" s="115" t="s">
        <v>1241</v>
      </c>
      <c r="D3641" s="115" t="s">
        <v>10460</v>
      </c>
      <c r="E3641" s="115" t="s">
        <v>3950</v>
      </c>
      <c r="F3641" s="115">
        <v>-747</v>
      </c>
      <c r="G3641" s="115">
        <v>2234</v>
      </c>
      <c r="H3641" s="115">
        <v>1184</v>
      </c>
      <c r="I3641" s="115">
        <v>0</v>
      </c>
      <c r="J3641" s="115">
        <v>0</v>
      </c>
      <c r="K3641" s="115">
        <v>-72</v>
      </c>
    </row>
    <row r="3642" spans="1:11" x14ac:dyDescent="0.25">
      <c r="A3642" s="115">
        <v>-2</v>
      </c>
      <c r="B3642" s="115" t="s">
        <v>3951</v>
      </c>
      <c r="D3642" s="115" t="s">
        <v>10461</v>
      </c>
      <c r="E3642" s="115" t="s">
        <v>3952</v>
      </c>
      <c r="F3642" s="115">
        <v>492</v>
      </c>
      <c r="G3642" s="115">
        <v>544</v>
      </c>
      <c r="H3642" s="115">
        <v>719</v>
      </c>
      <c r="I3642" s="115">
        <v>-1045</v>
      </c>
      <c r="J3642" s="115">
        <v>-386</v>
      </c>
      <c r="K3642" s="115">
        <v>0</v>
      </c>
    </row>
    <row r="3643" spans="1:11" x14ac:dyDescent="0.25">
      <c r="B3643" s="115" t="s">
        <v>1241</v>
      </c>
      <c r="D3643" s="115" t="s">
        <v>10462</v>
      </c>
      <c r="E3643" s="115" t="s">
        <v>3953</v>
      </c>
      <c r="F3643" s="115">
        <v>-3349</v>
      </c>
      <c r="G3643" s="115">
        <v>0</v>
      </c>
      <c r="H3643" s="115">
        <v>531</v>
      </c>
      <c r="I3643" s="115">
        <v>111</v>
      </c>
      <c r="J3643" s="115">
        <v>1108</v>
      </c>
      <c r="K3643" s="115">
        <v>0</v>
      </c>
    </row>
    <row r="3644" spans="1:11" x14ac:dyDescent="0.25">
      <c r="A3644" s="115">
        <v>4</v>
      </c>
      <c r="B3644" s="115" t="s">
        <v>3954</v>
      </c>
      <c r="D3644" s="115" t="s">
        <v>10463</v>
      </c>
      <c r="E3644" s="115" t="s">
        <v>3955</v>
      </c>
      <c r="F3644" s="115">
        <v>7640</v>
      </c>
      <c r="G3644" s="115">
        <v>0</v>
      </c>
      <c r="H3644" s="115">
        <v>2989</v>
      </c>
      <c r="I3644" s="115">
        <v>5575</v>
      </c>
      <c r="J3644" s="115">
        <v>2096</v>
      </c>
      <c r="K3644" s="115">
        <v>486</v>
      </c>
    </row>
    <row r="3645" spans="1:11" x14ac:dyDescent="0.25">
      <c r="B3645" s="115" t="s">
        <v>3956</v>
      </c>
      <c r="D3645" s="115" t="s">
        <v>10464</v>
      </c>
      <c r="E3645" s="115" t="s">
        <v>3957</v>
      </c>
      <c r="F3645" s="115">
        <v>0</v>
      </c>
      <c r="G3645" s="115">
        <v>0</v>
      </c>
      <c r="H3645" s="115">
        <v>119</v>
      </c>
      <c r="I3645" s="115">
        <v>1235</v>
      </c>
      <c r="J3645" s="115">
        <v>0</v>
      </c>
      <c r="K3645" s="115">
        <v>1995</v>
      </c>
    </row>
    <row r="3646" spans="1:11" x14ac:dyDescent="0.25">
      <c r="A3646" s="115">
        <v>2</v>
      </c>
      <c r="B3646" s="115" t="s">
        <v>3958</v>
      </c>
      <c r="D3646" s="115" t="s">
        <v>10465</v>
      </c>
      <c r="E3646" s="115" t="s">
        <v>3959</v>
      </c>
      <c r="F3646" s="115">
        <v>0</v>
      </c>
      <c r="G3646" s="115">
        <v>0</v>
      </c>
      <c r="H3646" s="115">
        <v>0</v>
      </c>
      <c r="I3646" s="115">
        <v>0</v>
      </c>
      <c r="J3646" s="115">
        <v>-17188</v>
      </c>
      <c r="K3646" s="115">
        <v>0</v>
      </c>
    </row>
    <row r="3647" spans="1:11" x14ac:dyDescent="0.25">
      <c r="B3647" s="115" t="s">
        <v>3960</v>
      </c>
      <c r="D3647" s="115" t="s">
        <v>10466</v>
      </c>
      <c r="E3647" s="115" t="s">
        <v>3961</v>
      </c>
      <c r="F3647" s="115">
        <v>3865</v>
      </c>
      <c r="G3647" s="115">
        <v>770</v>
      </c>
      <c r="H3647" s="115">
        <v>3470</v>
      </c>
      <c r="I3647" s="115">
        <v>8956</v>
      </c>
      <c r="J3647" s="115">
        <v>8514</v>
      </c>
      <c r="K3647" s="115">
        <v>3498</v>
      </c>
    </row>
    <row r="3648" spans="1:11" x14ac:dyDescent="0.25">
      <c r="A3648" s="115">
        <v>4</v>
      </c>
      <c r="B3648" s="115" t="s">
        <v>3962</v>
      </c>
      <c r="D3648" s="115" t="s">
        <v>10467</v>
      </c>
      <c r="E3648" s="115" t="s">
        <v>3963</v>
      </c>
      <c r="F3648" s="115">
        <v>0</v>
      </c>
      <c r="G3648" s="115">
        <v>0</v>
      </c>
      <c r="H3648" s="115">
        <v>583</v>
      </c>
      <c r="I3648" s="115">
        <v>94</v>
      </c>
      <c r="J3648" s="115">
        <v>0</v>
      </c>
      <c r="K3648" s="115">
        <v>2754</v>
      </c>
    </row>
    <row r="3649" spans="1:11" x14ac:dyDescent="0.25">
      <c r="B3649" s="115" t="s">
        <v>1241</v>
      </c>
      <c r="D3649" s="115" t="s">
        <v>10468</v>
      </c>
      <c r="E3649" s="115" t="s">
        <v>3964</v>
      </c>
      <c r="F3649" s="115">
        <v>1091</v>
      </c>
      <c r="G3649" s="115">
        <v>169</v>
      </c>
      <c r="H3649" s="115">
        <v>-583</v>
      </c>
      <c r="I3649" s="115">
        <v>0</v>
      </c>
      <c r="J3649" s="115">
        <v>0</v>
      </c>
      <c r="K3649" s="115">
        <v>0</v>
      </c>
    </row>
    <row r="3650" spans="1:11" x14ac:dyDescent="0.25">
      <c r="B3650" s="115" t="s">
        <v>1241</v>
      </c>
      <c r="C3650" s="115">
        <v>-1</v>
      </c>
      <c r="D3650" s="115" t="s">
        <v>10469</v>
      </c>
      <c r="E3650" s="115" t="s">
        <v>3965</v>
      </c>
      <c r="F3650" s="115">
        <v>-1647</v>
      </c>
      <c r="G3650" s="115">
        <v>569</v>
      </c>
      <c r="H3650" s="115">
        <v>-227</v>
      </c>
      <c r="I3650" s="115">
        <v>0</v>
      </c>
      <c r="J3650" s="115">
        <v>-8910</v>
      </c>
      <c r="K3650" s="115">
        <v>552</v>
      </c>
    </row>
    <row r="3651" spans="1:11" x14ac:dyDescent="0.25">
      <c r="A3651" s="115" t="s">
        <v>1239</v>
      </c>
      <c r="B3651" s="115" t="s">
        <v>3966</v>
      </c>
      <c r="D3651" s="115" t="s">
        <v>10470</v>
      </c>
      <c r="E3651" s="115" t="s">
        <v>3967</v>
      </c>
      <c r="F3651" s="115">
        <v>1379</v>
      </c>
      <c r="G3651" s="115">
        <v>2343</v>
      </c>
      <c r="H3651" s="115">
        <v>-148</v>
      </c>
      <c r="I3651" s="115">
        <v>1543</v>
      </c>
      <c r="J3651" s="115">
        <v>926</v>
      </c>
      <c r="K3651" s="115">
        <v>0</v>
      </c>
    </row>
    <row r="3652" spans="1:11" x14ac:dyDescent="0.25">
      <c r="A3652" s="115">
        <v>-1</v>
      </c>
      <c r="B3652" s="115" t="s">
        <v>3968</v>
      </c>
      <c r="D3652" s="115" t="s">
        <v>10471</v>
      </c>
      <c r="E3652" s="115" t="s">
        <v>3969</v>
      </c>
      <c r="F3652" s="115">
        <v>0</v>
      </c>
      <c r="G3652" s="115">
        <v>1606</v>
      </c>
      <c r="H3652" s="115">
        <v>0</v>
      </c>
      <c r="I3652" s="115">
        <v>1658</v>
      </c>
      <c r="J3652" s="115">
        <v>0</v>
      </c>
      <c r="K3652" s="115">
        <v>0</v>
      </c>
    </row>
    <row r="3653" spans="1:11" x14ac:dyDescent="0.25">
      <c r="B3653" s="115" t="s">
        <v>1241</v>
      </c>
      <c r="D3653" s="115" t="s">
        <v>10472</v>
      </c>
      <c r="E3653" s="115" t="s">
        <v>3970</v>
      </c>
      <c r="F3653" s="115">
        <v>0</v>
      </c>
      <c r="G3653" s="115">
        <v>0</v>
      </c>
      <c r="H3653" s="115">
        <v>-11024</v>
      </c>
      <c r="I3653" s="115">
        <v>0</v>
      </c>
      <c r="J3653" s="115">
        <v>-179</v>
      </c>
      <c r="K3653" s="115">
        <v>1027</v>
      </c>
    </row>
    <row r="3654" spans="1:11" x14ac:dyDescent="0.25">
      <c r="A3654" s="115" t="s">
        <v>1239</v>
      </c>
      <c r="B3654" s="115" t="s">
        <v>1592</v>
      </c>
      <c r="D3654" s="115" t="s">
        <v>10473</v>
      </c>
      <c r="E3654" s="115" t="s">
        <v>3971</v>
      </c>
      <c r="F3654" s="115">
        <v>0</v>
      </c>
      <c r="G3654" s="115">
        <v>0</v>
      </c>
      <c r="H3654" s="115">
        <v>0</v>
      </c>
      <c r="I3654" s="115">
        <v>0</v>
      </c>
      <c r="J3654" s="115">
        <v>0</v>
      </c>
      <c r="K3654" s="115">
        <v>-2349</v>
      </c>
    </row>
    <row r="3655" spans="1:11" x14ac:dyDescent="0.25">
      <c r="A3655" s="115">
        <v>-5</v>
      </c>
      <c r="B3655" s="115" t="s">
        <v>3972</v>
      </c>
      <c r="D3655" s="115" t="s">
        <v>10474</v>
      </c>
      <c r="E3655" s="115" t="s">
        <v>3973</v>
      </c>
      <c r="F3655" s="115">
        <v>906</v>
      </c>
      <c r="G3655" s="115">
        <v>0</v>
      </c>
      <c r="H3655" s="115">
        <v>0</v>
      </c>
      <c r="I3655" s="115">
        <v>0</v>
      </c>
      <c r="J3655" s="115">
        <v>0</v>
      </c>
      <c r="K3655" s="115">
        <v>861</v>
      </c>
    </row>
    <row r="3656" spans="1:11" x14ac:dyDescent="0.25">
      <c r="B3656" s="115" t="s">
        <v>3974</v>
      </c>
      <c r="D3656" s="115" t="s">
        <v>10475</v>
      </c>
      <c r="E3656" s="115" t="s">
        <v>3975</v>
      </c>
      <c r="F3656" s="115">
        <v>-906</v>
      </c>
      <c r="G3656" s="115">
        <v>-897</v>
      </c>
      <c r="H3656" s="115">
        <v>0</v>
      </c>
      <c r="I3656" s="115">
        <v>0</v>
      </c>
      <c r="J3656" s="115">
        <v>0</v>
      </c>
      <c r="K3656" s="115">
        <v>0</v>
      </c>
    </row>
    <row r="3657" spans="1:11" x14ac:dyDescent="0.25">
      <c r="A3657" s="115">
        <v>-17</v>
      </c>
      <c r="B3657" s="115" t="s">
        <v>3976</v>
      </c>
      <c r="D3657" s="115" t="s">
        <v>10476</v>
      </c>
      <c r="E3657" s="115">
        <f>-8596 -12011 -33851 -27859 -14531</f>
        <v>-96848</v>
      </c>
      <c r="F3657" s="115">
        <v>-190</v>
      </c>
      <c r="G3657" s="115">
        <v>-8596</v>
      </c>
      <c r="H3657" s="115">
        <v>-12011</v>
      </c>
      <c r="I3657" s="115">
        <v>-33851</v>
      </c>
      <c r="J3657" s="115">
        <v>-27859</v>
      </c>
      <c r="K3657" s="115">
        <v>-14531</v>
      </c>
    </row>
    <row r="3658" spans="1:11" x14ac:dyDescent="0.25">
      <c r="A3658" s="115">
        <v>-19</v>
      </c>
      <c r="B3658" s="115" t="s">
        <v>3977</v>
      </c>
      <c r="D3658" s="115" t="s">
        <v>10477</v>
      </c>
      <c r="E3658" s="115" t="s">
        <v>3978</v>
      </c>
      <c r="F3658" s="115">
        <v>0</v>
      </c>
      <c r="G3658" s="115">
        <v>0</v>
      </c>
      <c r="H3658" s="115">
        <v>0</v>
      </c>
      <c r="I3658" s="115">
        <v>0</v>
      </c>
      <c r="J3658" s="115">
        <v>0</v>
      </c>
      <c r="K3658" s="115">
        <v>-14226</v>
      </c>
    </row>
    <row r="3659" spans="1:11" x14ac:dyDescent="0.25">
      <c r="A3659" s="115">
        <v>-4</v>
      </c>
      <c r="B3659" s="115" t="s">
        <v>3979</v>
      </c>
      <c r="C3659" s="115" t="s">
        <v>1239</v>
      </c>
      <c r="D3659" s="115" t="s">
        <v>10478</v>
      </c>
      <c r="E3659" s="115" t="s">
        <v>3980</v>
      </c>
      <c r="F3659" s="115">
        <v>-5913</v>
      </c>
      <c r="G3659" s="115">
        <v>0</v>
      </c>
      <c r="H3659" s="115">
        <v>0</v>
      </c>
      <c r="I3659" s="115">
        <v>-15311</v>
      </c>
      <c r="J3659" s="115">
        <v>0</v>
      </c>
      <c r="K3659" s="115">
        <v>-28708</v>
      </c>
    </row>
    <row r="3660" spans="1:11" x14ac:dyDescent="0.25">
      <c r="B3660" s="115" t="s">
        <v>1241</v>
      </c>
      <c r="D3660" s="115" t="s">
        <v>8710</v>
      </c>
      <c r="E3660" s="115" t="s">
        <v>1242</v>
      </c>
      <c r="F3660" s="115">
        <v>0</v>
      </c>
      <c r="G3660" s="115">
        <v>0</v>
      </c>
      <c r="H3660" s="115">
        <v>0</v>
      </c>
      <c r="I3660" s="115">
        <v>0</v>
      </c>
      <c r="J3660" s="115">
        <v>0</v>
      </c>
      <c r="K3660" s="115">
        <v>0</v>
      </c>
    </row>
    <row r="3661" spans="1:11" x14ac:dyDescent="0.25">
      <c r="B3661" s="115" t="s">
        <v>1241</v>
      </c>
      <c r="D3661" s="115" t="s">
        <v>8710</v>
      </c>
      <c r="E3661" s="115" t="s">
        <v>1242</v>
      </c>
      <c r="F3661" s="115">
        <v>0</v>
      </c>
      <c r="G3661" s="115">
        <v>0</v>
      </c>
      <c r="H3661" s="115">
        <v>0</v>
      </c>
      <c r="I3661" s="115">
        <v>0</v>
      </c>
      <c r="J3661" s="115">
        <v>0</v>
      </c>
      <c r="K3661" s="115">
        <v>0</v>
      </c>
    </row>
    <row r="3662" spans="1:11" x14ac:dyDescent="0.25">
      <c r="B3662" s="115" t="s">
        <v>1241</v>
      </c>
      <c r="D3662" s="115" t="s">
        <v>8710</v>
      </c>
      <c r="E3662" s="115" t="s">
        <v>1242</v>
      </c>
      <c r="F3662" s="115">
        <v>0</v>
      </c>
      <c r="G3662" s="115">
        <v>0</v>
      </c>
      <c r="H3662" s="115">
        <v>0</v>
      </c>
      <c r="I3662" s="115">
        <v>0</v>
      </c>
      <c r="J3662" s="115">
        <v>0</v>
      </c>
      <c r="K3662" s="115">
        <v>0</v>
      </c>
    </row>
    <row r="3663" spans="1:11" x14ac:dyDescent="0.25">
      <c r="B3663" s="115" t="s">
        <v>1241</v>
      </c>
      <c r="D3663" s="115" t="s">
        <v>8710</v>
      </c>
      <c r="E3663" s="115" t="s">
        <v>1242</v>
      </c>
      <c r="F3663" s="115">
        <v>0</v>
      </c>
      <c r="G3663" s="115">
        <v>0</v>
      </c>
      <c r="H3663" s="115">
        <v>0</v>
      </c>
      <c r="I3663" s="115">
        <v>0</v>
      </c>
      <c r="J3663" s="115">
        <v>0</v>
      </c>
      <c r="K3663" s="115">
        <v>0</v>
      </c>
    </row>
    <row r="3664" spans="1:11" x14ac:dyDescent="0.25">
      <c r="B3664" s="115" t="s">
        <v>1241</v>
      </c>
      <c r="D3664" s="115" t="s">
        <v>8710</v>
      </c>
      <c r="E3664" s="115" t="s">
        <v>1242</v>
      </c>
      <c r="F3664" s="115">
        <v>0</v>
      </c>
      <c r="G3664" s="115">
        <v>0</v>
      </c>
      <c r="H3664" s="115">
        <v>0</v>
      </c>
      <c r="I3664" s="115">
        <v>0</v>
      </c>
      <c r="J3664" s="115">
        <v>0</v>
      </c>
      <c r="K3664" s="115">
        <v>0</v>
      </c>
    </row>
    <row r="3665" spans="2:11" x14ac:dyDescent="0.25">
      <c r="B3665" s="115" t="s">
        <v>1241</v>
      </c>
      <c r="D3665" s="115" t="s">
        <v>8710</v>
      </c>
      <c r="E3665" s="115" t="s">
        <v>1242</v>
      </c>
      <c r="F3665" s="115">
        <v>0</v>
      </c>
      <c r="G3665" s="115">
        <v>0</v>
      </c>
      <c r="H3665" s="115">
        <v>0</v>
      </c>
      <c r="I3665" s="115">
        <v>0</v>
      </c>
      <c r="J3665" s="115">
        <v>0</v>
      </c>
      <c r="K3665" s="115">
        <v>0</v>
      </c>
    </row>
    <row r="3666" spans="2:11" x14ac:dyDescent="0.25">
      <c r="B3666" s="115" t="s">
        <v>1241</v>
      </c>
      <c r="D3666" s="115" t="s">
        <v>8710</v>
      </c>
      <c r="E3666" s="115" t="s">
        <v>1242</v>
      </c>
      <c r="F3666" s="115">
        <v>0</v>
      </c>
      <c r="G3666" s="115">
        <v>0</v>
      </c>
      <c r="H3666" s="115">
        <v>0</v>
      </c>
      <c r="I3666" s="115">
        <v>0</v>
      </c>
      <c r="J3666" s="115">
        <v>0</v>
      </c>
      <c r="K3666" s="115">
        <v>0</v>
      </c>
    </row>
    <row r="3667" spans="2:11" x14ac:dyDescent="0.25">
      <c r="B3667" s="115" t="s">
        <v>1241</v>
      </c>
      <c r="D3667" s="115" t="s">
        <v>8710</v>
      </c>
      <c r="E3667" s="115" t="s">
        <v>1242</v>
      </c>
      <c r="F3667" s="115">
        <v>0</v>
      </c>
      <c r="G3667" s="115">
        <v>0</v>
      </c>
      <c r="H3667" s="115">
        <v>0</v>
      </c>
      <c r="I3667" s="115">
        <v>0</v>
      </c>
      <c r="J3667" s="115">
        <v>0</v>
      </c>
      <c r="K3667" s="115">
        <v>0</v>
      </c>
    </row>
    <row r="3668" spans="2:11" x14ac:dyDescent="0.25">
      <c r="B3668" s="115" t="s">
        <v>1241</v>
      </c>
      <c r="D3668" s="115" t="s">
        <v>8710</v>
      </c>
      <c r="E3668" s="115" t="s">
        <v>1242</v>
      </c>
      <c r="F3668" s="115">
        <v>0</v>
      </c>
      <c r="G3668" s="115">
        <v>0</v>
      </c>
      <c r="H3668" s="115">
        <v>0</v>
      </c>
      <c r="I3668" s="115">
        <v>0</v>
      </c>
      <c r="J3668" s="115">
        <v>0</v>
      </c>
      <c r="K3668" s="115">
        <v>0</v>
      </c>
    </row>
    <row r="3669" spans="2:11" x14ac:dyDescent="0.25">
      <c r="B3669" s="115" t="s">
        <v>1241</v>
      </c>
      <c r="D3669" s="115" t="s">
        <v>8710</v>
      </c>
      <c r="E3669" s="115" t="s">
        <v>1242</v>
      </c>
      <c r="F3669" s="115">
        <v>0</v>
      </c>
      <c r="G3669" s="115">
        <v>0</v>
      </c>
      <c r="H3669" s="115">
        <v>0</v>
      </c>
      <c r="I3669" s="115">
        <v>0</v>
      </c>
      <c r="J3669" s="115">
        <v>0</v>
      </c>
      <c r="K3669" s="115">
        <v>0</v>
      </c>
    </row>
    <row r="3670" spans="2:11" x14ac:dyDescent="0.25">
      <c r="B3670" s="115" t="s">
        <v>1241</v>
      </c>
      <c r="D3670" s="115" t="s">
        <v>8710</v>
      </c>
      <c r="E3670" s="115" t="s">
        <v>1242</v>
      </c>
      <c r="F3670" s="115">
        <v>0</v>
      </c>
      <c r="G3670" s="115">
        <v>0</v>
      </c>
      <c r="H3670" s="115">
        <v>0</v>
      </c>
      <c r="I3670" s="115">
        <v>0</v>
      </c>
      <c r="J3670" s="115">
        <v>0</v>
      </c>
      <c r="K3670" s="115">
        <v>0</v>
      </c>
    </row>
    <row r="3671" spans="2:11" x14ac:dyDescent="0.25">
      <c r="B3671" s="115" t="s">
        <v>1241</v>
      </c>
      <c r="D3671" s="115" t="s">
        <v>8710</v>
      </c>
      <c r="E3671" s="115" t="s">
        <v>1242</v>
      </c>
      <c r="F3671" s="115">
        <v>0</v>
      </c>
      <c r="G3671" s="115">
        <v>0</v>
      </c>
      <c r="H3671" s="115">
        <v>0</v>
      </c>
      <c r="I3671" s="115">
        <v>0</v>
      </c>
      <c r="J3671" s="115">
        <v>0</v>
      </c>
      <c r="K3671" s="115">
        <v>0</v>
      </c>
    </row>
    <row r="3672" spans="2:11" x14ac:dyDescent="0.25">
      <c r="B3672" s="115" t="s">
        <v>1241</v>
      </c>
      <c r="D3672" s="115" t="s">
        <v>8710</v>
      </c>
      <c r="E3672" s="115" t="s">
        <v>1242</v>
      </c>
      <c r="F3672" s="115">
        <v>0</v>
      </c>
      <c r="G3672" s="115">
        <v>0</v>
      </c>
      <c r="H3672" s="115">
        <v>0</v>
      </c>
      <c r="I3672" s="115">
        <v>0</v>
      </c>
      <c r="J3672" s="115">
        <v>0</v>
      </c>
      <c r="K3672" s="115">
        <v>0</v>
      </c>
    </row>
    <row r="3673" spans="2:11" x14ac:dyDescent="0.25">
      <c r="B3673" s="115" t="s">
        <v>1241</v>
      </c>
      <c r="D3673" s="115" t="s">
        <v>8710</v>
      </c>
      <c r="E3673" s="115" t="s">
        <v>1242</v>
      </c>
      <c r="F3673" s="115">
        <v>0</v>
      </c>
      <c r="G3673" s="115">
        <v>0</v>
      </c>
      <c r="H3673" s="115">
        <v>0</v>
      </c>
      <c r="I3673" s="115">
        <v>0</v>
      </c>
      <c r="J3673" s="115">
        <v>0</v>
      </c>
      <c r="K3673" s="115">
        <v>0</v>
      </c>
    </row>
    <row r="3674" spans="2:11" x14ac:dyDescent="0.25">
      <c r="B3674" s="115" t="s">
        <v>1241</v>
      </c>
      <c r="D3674" s="115" t="s">
        <v>8710</v>
      </c>
      <c r="E3674" s="115" t="s">
        <v>1242</v>
      </c>
      <c r="F3674" s="115">
        <v>0</v>
      </c>
      <c r="G3674" s="115">
        <v>0</v>
      </c>
      <c r="H3674" s="115">
        <v>0</v>
      </c>
      <c r="I3674" s="115">
        <v>0</v>
      </c>
      <c r="J3674" s="115">
        <v>0</v>
      </c>
      <c r="K3674" s="115">
        <v>0</v>
      </c>
    </row>
    <row r="3675" spans="2:11" x14ac:dyDescent="0.25">
      <c r="B3675" s="115" t="s">
        <v>1241</v>
      </c>
      <c r="D3675" s="115" t="s">
        <v>8710</v>
      </c>
      <c r="E3675" s="115" t="s">
        <v>1242</v>
      </c>
      <c r="F3675" s="115">
        <v>0</v>
      </c>
      <c r="G3675" s="115">
        <v>0</v>
      </c>
      <c r="H3675" s="115">
        <v>0</v>
      </c>
      <c r="I3675" s="115">
        <v>0</v>
      </c>
      <c r="J3675" s="115">
        <v>0</v>
      </c>
      <c r="K3675" s="115">
        <v>0</v>
      </c>
    </row>
    <row r="3676" spans="2:11" x14ac:dyDescent="0.25">
      <c r="B3676" s="115" t="s">
        <v>1241</v>
      </c>
      <c r="D3676" s="115" t="s">
        <v>8710</v>
      </c>
      <c r="E3676" s="115" t="s">
        <v>1242</v>
      </c>
      <c r="F3676" s="115">
        <v>0</v>
      </c>
      <c r="G3676" s="115">
        <v>0</v>
      </c>
      <c r="H3676" s="115">
        <v>0</v>
      </c>
      <c r="I3676" s="115">
        <v>0</v>
      </c>
      <c r="J3676" s="115">
        <v>0</v>
      </c>
      <c r="K3676" s="115">
        <v>0</v>
      </c>
    </row>
    <row r="3677" spans="2:11" x14ac:dyDescent="0.25">
      <c r="B3677" s="115" t="s">
        <v>1241</v>
      </c>
      <c r="D3677" s="115" t="s">
        <v>8710</v>
      </c>
      <c r="E3677" s="115" t="s">
        <v>1242</v>
      </c>
      <c r="F3677" s="115">
        <v>0</v>
      </c>
      <c r="G3677" s="115">
        <v>0</v>
      </c>
      <c r="H3677" s="115">
        <v>0</v>
      </c>
      <c r="I3677" s="115">
        <v>0</v>
      </c>
      <c r="J3677" s="115">
        <v>0</v>
      </c>
      <c r="K3677" s="115">
        <v>0</v>
      </c>
    </row>
    <row r="3678" spans="2:11" x14ac:dyDescent="0.25">
      <c r="B3678" s="115" t="s">
        <v>1241</v>
      </c>
      <c r="D3678" s="115" t="s">
        <v>8710</v>
      </c>
      <c r="E3678" s="115" t="s">
        <v>1242</v>
      </c>
      <c r="F3678" s="115">
        <v>0</v>
      </c>
      <c r="G3678" s="115">
        <v>0</v>
      </c>
      <c r="H3678" s="115">
        <v>0</v>
      </c>
      <c r="I3678" s="115">
        <v>0</v>
      </c>
      <c r="J3678" s="115">
        <v>0</v>
      </c>
      <c r="K3678" s="115">
        <v>0</v>
      </c>
    </row>
    <row r="3679" spans="2:11" x14ac:dyDescent="0.25">
      <c r="B3679" s="115" t="s">
        <v>1241</v>
      </c>
      <c r="D3679" s="115" t="s">
        <v>8710</v>
      </c>
      <c r="E3679" s="115" t="s">
        <v>1242</v>
      </c>
      <c r="F3679" s="115">
        <v>0</v>
      </c>
      <c r="G3679" s="115">
        <v>0</v>
      </c>
      <c r="H3679" s="115">
        <v>0</v>
      </c>
      <c r="I3679" s="115">
        <v>0</v>
      </c>
      <c r="J3679" s="115">
        <v>0</v>
      </c>
      <c r="K3679" s="115">
        <v>0</v>
      </c>
    </row>
    <row r="3680" spans="2:11" x14ac:dyDescent="0.25">
      <c r="B3680" s="115" t="s">
        <v>1241</v>
      </c>
      <c r="D3680" s="115" t="s">
        <v>8710</v>
      </c>
      <c r="E3680" s="115" t="s">
        <v>1242</v>
      </c>
      <c r="F3680" s="115">
        <v>0</v>
      </c>
      <c r="G3680" s="115">
        <v>0</v>
      </c>
      <c r="H3680" s="115">
        <v>0</v>
      </c>
      <c r="I3680" s="115">
        <v>0</v>
      </c>
      <c r="J3680" s="115">
        <v>0</v>
      </c>
      <c r="K3680" s="115">
        <v>0</v>
      </c>
    </row>
    <row r="3681" spans="2:11" x14ac:dyDescent="0.25">
      <c r="B3681" s="115" t="s">
        <v>1241</v>
      </c>
      <c r="D3681" s="115" t="s">
        <v>8710</v>
      </c>
      <c r="E3681" s="115" t="s">
        <v>1242</v>
      </c>
      <c r="F3681" s="115">
        <v>0</v>
      </c>
      <c r="G3681" s="115">
        <v>0</v>
      </c>
      <c r="H3681" s="115">
        <v>0</v>
      </c>
      <c r="I3681" s="115">
        <v>0</v>
      </c>
      <c r="J3681" s="115">
        <v>0</v>
      </c>
      <c r="K3681" s="115">
        <v>0</v>
      </c>
    </row>
    <row r="3682" spans="2:11" x14ac:dyDescent="0.25">
      <c r="B3682" s="115" t="s">
        <v>1241</v>
      </c>
      <c r="D3682" s="115" t="s">
        <v>8710</v>
      </c>
      <c r="E3682" s="115" t="s">
        <v>1242</v>
      </c>
      <c r="F3682" s="115">
        <v>0</v>
      </c>
      <c r="G3682" s="115">
        <v>0</v>
      </c>
      <c r="H3682" s="115">
        <v>0</v>
      </c>
      <c r="I3682" s="115">
        <v>0</v>
      </c>
      <c r="J3682" s="115">
        <v>0</v>
      </c>
      <c r="K3682" s="115">
        <v>0</v>
      </c>
    </row>
    <row r="3683" spans="2:11" x14ac:dyDescent="0.25">
      <c r="B3683" s="115" t="s">
        <v>1241</v>
      </c>
      <c r="D3683" s="115" t="s">
        <v>8710</v>
      </c>
      <c r="E3683" s="115" t="s">
        <v>1242</v>
      </c>
      <c r="F3683" s="115">
        <v>0</v>
      </c>
      <c r="G3683" s="115">
        <v>0</v>
      </c>
      <c r="H3683" s="115">
        <v>0</v>
      </c>
      <c r="I3683" s="115">
        <v>0</v>
      </c>
      <c r="J3683" s="115">
        <v>0</v>
      </c>
      <c r="K3683" s="115">
        <v>0</v>
      </c>
    </row>
    <row r="3684" spans="2:11" x14ac:dyDescent="0.25">
      <c r="B3684" s="115" t="s">
        <v>1241</v>
      </c>
      <c r="D3684" s="115" t="s">
        <v>8710</v>
      </c>
      <c r="E3684" s="115" t="s">
        <v>1242</v>
      </c>
      <c r="F3684" s="115">
        <v>0</v>
      </c>
      <c r="G3684" s="115">
        <v>0</v>
      </c>
      <c r="H3684" s="115">
        <v>0</v>
      </c>
      <c r="I3684" s="115">
        <v>0</v>
      </c>
      <c r="J3684" s="115">
        <v>0</v>
      </c>
      <c r="K3684" s="115">
        <v>0</v>
      </c>
    </row>
    <row r="3685" spans="2:11" x14ac:dyDescent="0.25">
      <c r="B3685" s="115" t="s">
        <v>1241</v>
      </c>
      <c r="D3685" s="115" t="s">
        <v>8710</v>
      </c>
      <c r="E3685" s="115" t="s">
        <v>1242</v>
      </c>
      <c r="F3685" s="115">
        <v>0</v>
      </c>
      <c r="G3685" s="115">
        <v>0</v>
      </c>
      <c r="H3685" s="115">
        <v>0</v>
      </c>
      <c r="I3685" s="115">
        <v>0</v>
      </c>
      <c r="J3685" s="115">
        <v>0</v>
      </c>
      <c r="K3685" s="115">
        <v>0</v>
      </c>
    </row>
    <row r="3686" spans="2:11" x14ac:dyDescent="0.25">
      <c r="B3686" s="115" t="s">
        <v>1241</v>
      </c>
      <c r="D3686" s="115" t="s">
        <v>8710</v>
      </c>
      <c r="E3686" s="115" t="s">
        <v>1242</v>
      </c>
      <c r="F3686" s="115">
        <v>0</v>
      </c>
      <c r="G3686" s="115">
        <v>0</v>
      </c>
      <c r="H3686" s="115">
        <v>0</v>
      </c>
      <c r="I3686" s="115">
        <v>0</v>
      </c>
      <c r="J3686" s="115">
        <v>0</v>
      </c>
      <c r="K3686" s="115">
        <v>0</v>
      </c>
    </row>
    <row r="3687" spans="2:11" x14ac:dyDescent="0.25">
      <c r="B3687" s="115" t="s">
        <v>1241</v>
      </c>
      <c r="D3687" s="115" t="s">
        <v>8710</v>
      </c>
      <c r="E3687" s="115" t="s">
        <v>1242</v>
      </c>
      <c r="F3687" s="115">
        <v>0</v>
      </c>
      <c r="G3687" s="115">
        <v>0</v>
      </c>
      <c r="H3687" s="115">
        <v>0</v>
      </c>
      <c r="I3687" s="115">
        <v>0</v>
      </c>
      <c r="J3687" s="115">
        <v>0</v>
      </c>
      <c r="K3687" s="115">
        <v>0</v>
      </c>
    </row>
    <row r="3688" spans="2:11" x14ac:dyDescent="0.25">
      <c r="B3688" s="115" t="s">
        <v>1241</v>
      </c>
      <c r="D3688" s="115" t="s">
        <v>8710</v>
      </c>
      <c r="E3688" s="115" t="s">
        <v>1242</v>
      </c>
      <c r="F3688" s="115">
        <v>0</v>
      </c>
      <c r="G3688" s="115">
        <v>0</v>
      </c>
      <c r="H3688" s="115">
        <v>0</v>
      </c>
      <c r="I3688" s="115">
        <v>0</v>
      </c>
      <c r="J3688" s="115">
        <v>0</v>
      </c>
      <c r="K3688" s="115">
        <v>0</v>
      </c>
    </row>
    <row r="3689" spans="2:11" x14ac:dyDescent="0.25">
      <c r="B3689" s="115" t="s">
        <v>1241</v>
      </c>
      <c r="D3689" s="115" t="s">
        <v>8710</v>
      </c>
      <c r="E3689" s="115" t="s">
        <v>1242</v>
      </c>
      <c r="F3689" s="115">
        <v>0</v>
      </c>
      <c r="G3689" s="115">
        <v>0</v>
      </c>
      <c r="H3689" s="115">
        <v>0</v>
      </c>
      <c r="I3689" s="115">
        <v>0</v>
      </c>
      <c r="J3689" s="115">
        <v>0</v>
      </c>
      <c r="K3689" s="115">
        <v>0</v>
      </c>
    </row>
    <row r="3690" spans="2:11" x14ac:dyDescent="0.25">
      <c r="B3690" s="115" t="s">
        <v>1241</v>
      </c>
      <c r="D3690" s="115" t="s">
        <v>8710</v>
      </c>
      <c r="E3690" s="115" t="s">
        <v>1242</v>
      </c>
      <c r="F3690" s="115">
        <v>0</v>
      </c>
      <c r="G3690" s="115">
        <v>0</v>
      </c>
      <c r="H3690" s="115">
        <v>0</v>
      </c>
      <c r="I3690" s="115">
        <v>0</v>
      </c>
      <c r="J3690" s="115">
        <v>0</v>
      </c>
      <c r="K3690" s="115">
        <v>0</v>
      </c>
    </row>
    <row r="3691" spans="2:11" x14ac:dyDescent="0.25">
      <c r="B3691" s="115" t="s">
        <v>1241</v>
      </c>
      <c r="D3691" s="115" t="s">
        <v>8710</v>
      </c>
      <c r="E3691" s="115" t="s">
        <v>1242</v>
      </c>
      <c r="F3691" s="115">
        <v>0</v>
      </c>
      <c r="G3691" s="115">
        <v>0</v>
      </c>
      <c r="H3691" s="115">
        <v>0</v>
      </c>
      <c r="I3691" s="115">
        <v>0</v>
      </c>
      <c r="J3691" s="115">
        <v>0</v>
      </c>
      <c r="K3691" s="115">
        <v>0</v>
      </c>
    </row>
    <row r="3692" spans="2:11" x14ac:dyDescent="0.25">
      <c r="B3692" s="115" t="s">
        <v>1241</v>
      </c>
      <c r="D3692" s="115" t="s">
        <v>8710</v>
      </c>
      <c r="E3692" s="115" t="s">
        <v>1242</v>
      </c>
      <c r="F3692" s="115">
        <v>0</v>
      </c>
      <c r="G3692" s="115">
        <v>0</v>
      </c>
      <c r="H3692" s="115">
        <v>0</v>
      </c>
      <c r="I3692" s="115">
        <v>0</v>
      </c>
      <c r="J3692" s="115">
        <v>0</v>
      </c>
      <c r="K3692" s="115">
        <v>0</v>
      </c>
    </row>
    <row r="3693" spans="2:11" x14ac:dyDescent="0.25">
      <c r="B3693" s="115" t="s">
        <v>1241</v>
      </c>
      <c r="D3693" s="115" t="s">
        <v>8710</v>
      </c>
      <c r="E3693" s="115" t="s">
        <v>1242</v>
      </c>
      <c r="F3693" s="115">
        <v>0</v>
      </c>
      <c r="G3693" s="115">
        <v>0</v>
      </c>
      <c r="H3693" s="115">
        <v>0</v>
      </c>
      <c r="I3693" s="115">
        <v>0</v>
      </c>
      <c r="J3693" s="115">
        <v>0</v>
      </c>
      <c r="K3693" s="115">
        <v>0</v>
      </c>
    </row>
    <row r="3694" spans="2:11" x14ac:dyDescent="0.25">
      <c r="B3694" s="115" t="s">
        <v>1241</v>
      </c>
      <c r="D3694" s="115" t="s">
        <v>8710</v>
      </c>
      <c r="E3694" s="115" t="s">
        <v>1242</v>
      </c>
      <c r="F3694" s="115">
        <v>0</v>
      </c>
      <c r="G3694" s="115">
        <v>0</v>
      </c>
      <c r="H3694" s="115">
        <v>0</v>
      </c>
      <c r="I3694" s="115">
        <v>0</v>
      </c>
      <c r="J3694" s="115">
        <v>0</v>
      </c>
      <c r="K3694" s="115">
        <v>0</v>
      </c>
    </row>
    <row r="3695" spans="2:11" x14ac:dyDescent="0.25">
      <c r="B3695" s="115" t="s">
        <v>1241</v>
      </c>
      <c r="D3695" s="115" t="s">
        <v>8710</v>
      </c>
      <c r="E3695" s="115" t="s">
        <v>1242</v>
      </c>
      <c r="F3695" s="115">
        <v>0</v>
      </c>
      <c r="G3695" s="115">
        <v>0</v>
      </c>
      <c r="H3695" s="115">
        <v>0</v>
      </c>
      <c r="I3695" s="115">
        <v>0</v>
      </c>
      <c r="J3695" s="115">
        <v>0</v>
      </c>
      <c r="K3695" s="115">
        <v>0</v>
      </c>
    </row>
    <row r="3696" spans="2:11" x14ac:dyDescent="0.25">
      <c r="B3696" s="115" t="s">
        <v>1241</v>
      </c>
      <c r="D3696" s="115" t="s">
        <v>8710</v>
      </c>
      <c r="E3696" s="115" t="s">
        <v>1242</v>
      </c>
      <c r="F3696" s="115">
        <v>0</v>
      </c>
      <c r="G3696" s="115">
        <v>0</v>
      </c>
      <c r="H3696" s="115">
        <v>0</v>
      </c>
      <c r="I3696" s="115">
        <v>0</v>
      </c>
      <c r="J3696" s="115">
        <v>0</v>
      </c>
      <c r="K3696" s="115">
        <v>0</v>
      </c>
    </row>
    <row r="3697" spans="2:11" x14ac:dyDescent="0.25">
      <c r="B3697" s="115" t="s">
        <v>1241</v>
      </c>
      <c r="D3697" s="115" t="s">
        <v>8710</v>
      </c>
      <c r="E3697" s="115" t="s">
        <v>1242</v>
      </c>
      <c r="F3697" s="115">
        <v>0</v>
      </c>
      <c r="G3697" s="115">
        <v>0</v>
      </c>
      <c r="H3697" s="115">
        <v>0</v>
      </c>
      <c r="I3697" s="115">
        <v>0</v>
      </c>
      <c r="J3697" s="115">
        <v>0</v>
      </c>
      <c r="K3697" s="115">
        <v>0</v>
      </c>
    </row>
    <row r="3698" spans="2:11" x14ac:dyDescent="0.25">
      <c r="B3698" s="115" t="s">
        <v>1241</v>
      </c>
      <c r="D3698" s="115" t="s">
        <v>8710</v>
      </c>
      <c r="E3698" s="115" t="s">
        <v>1242</v>
      </c>
      <c r="F3698" s="115">
        <v>0</v>
      </c>
      <c r="G3698" s="115">
        <v>0</v>
      </c>
      <c r="H3698" s="115">
        <v>0</v>
      </c>
      <c r="I3698" s="115">
        <v>0</v>
      </c>
      <c r="J3698" s="115">
        <v>0</v>
      </c>
      <c r="K3698" s="115">
        <v>0</v>
      </c>
    </row>
    <row r="3699" spans="2:11" x14ac:dyDescent="0.25">
      <c r="B3699" s="115" t="s">
        <v>1241</v>
      </c>
      <c r="D3699" s="115" t="s">
        <v>8710</v>
      </c>
      <c r="E3699" s="115" t="s">
        <v>1242</v>
      </c>
      <c r="F3699" s="115">
        <v>0</v>
      </c>
      <c r="G3699" s="115">
        <v>0</v>
      </c>
      <c r="H3699" s="115">
        <v>0</v>
      </c>
      <c r="I3699" s="115">
        <v>0</v>
      </c>
      <c r="J3699" s="115">
        <v>0</v>
      </c>
      <c r="K3699" s="115">
        <v>0</v>
      </c>
    </row>
    <row r="3700" spans="2:11" x14ac:dyDescent="0.25">
      <c r="B3700" s="115" t="s">
        <v>1241</v>
      </c>
      <c r="D3700" s="115" t="s">
        <v>8710</v>
      </c>
      <c r="E3700" s="115" t="s">
        <v>1242</v>
      </c>
      <c r="F3700" s="115">
        <v>0</v>
      </c>
      <c r="G3700" s="115">
        <v>0</v>
      </c>
      <c r="H3700" s="115">
        <v>0</v>
      </c>
      <c r="I3700" s="115">
        <v>0</v>
      </c>
      <c r="J3700" s="115">
        <v>0</v>
      </c>
      <c r="K3700" s="115">
        <v>0</v>
      </c>
    </row>
    <row r="3701" spans="2:11" x14ac:dyDescent="0.25">
      <c r="B3701" s="115" t="s">
        <v>1241</v>
      </c>
      <c r="D3701" s="115" t="s">
        <v>8710</v>
      </c>
      <c r="E3701" s="115" t="s">
        <v>1242</v>
      </c>
      <c r="F3701" s="115">
        <v>0</v>
      </c>
      <c r="G3701" s="115">
        <v>0</v>
      </c>
      <c r="H3701" s="115">
        <v>0</v>
      </c>
      <c r="I3701" s="115">
        <v>0</v>
      </c>
      <c r="J3701" s="115">
        <v>0</v>
      </c>
      <c r="K3701" s="115">
        <v>0</v>
      </c>
    </row>
    <row r="3702" spans="2:11" x14ac:dyDescent="0.25">
      <c r="B3702" s="115" t="s">
        <v>1241</v>
      </c>
      <c r="D3702" s="115" t="s">
        <v>8710</v>
      </c>
      <c r="E3702" s="115" t="s">
        <v>1242</v>
      </c>
      <c r="F3702" s="115">
        <v>0</v>
      </c>
      <c r="G3702" s="115">
        <v>0</v>
      </c>
      <c r="H3702" s="115">
        <v>0</v>
      </c>
      <c r="I3702" s="115">
        <v>0</v>
      </c>
      <c r="J3702" s="115">
        <v>0</v>
      </c>
      <c r="K3702" s="115">
        <v>0</v>
      </c>
    </row>
    <row r="3703" spans="2:11" x14ac:dyDescent="0.25">
      <c r="B3703" s="115" t="s">
        <v>1241</v>
      </c>
      <c r="D3703" s="115" t="s">
        <v>8710</v>
      </c>
      <c r="E3703" s="115" t="s">
        <v>1242</v>
      </c>
      <c r="F3703" s="115">
        <v>0</v>
      </c>
      <c r="G3703" s="115">
        <v>0</v>
      </c>
      <c r="H3703" s="115">
        <v>0</v>
      </c>
      <c r="I3703" s="115">
        <v>0</v>
      </c>
      <c r="J3703" s="115">
        <v>0</v>
      </c>
      <c r="K3703" s="115">
        <v>0</v>
      </c>
    </row>
    <row r="3704" spans="2:11" x14ac:dyDescent="0.25">
      <c r="B3704" s="115" t="s">
        <v>1241</v>
      </c>
      <c r="D3704" s="115" t="s">
        <v>8710</v>
      </c>
      <c r="E3704" s="115" t="s">
        <v>1242</v>
      </c>
      <c r="F3704" s="115">
        <v>0</v>
      </c>
      <c r="G3704" s="115">
        <v>0</v>
      </c>
      <c r="H3704" s="115">
        <v>0</v>
      </c>
      <c r="I3704" s="115">
        <v>0</v>
      </c>
      <c r="J3704" s="115">
        <v>0</v>
      </c>
      <c r="K3704" s="115">
        <v>0</v>
      </c>
    </row>
    <row r="3705" spans="2:11" x14ac:dyDescent="0.25">
      <c r="B3705" s="115" t="s">
        <v>1241</v>
      </c>
      <c r="D3705" s="115" t="s">
        <v>8710</v>
      </c>
      <c r="E3705" s="115" t="s">
        <v>1242</v>
      </c>
      <c r="F3705" s="115">
        <v>0</v>
      </c>
      <c r="G3705" s="115">
        <v>0</v>
      </c>
      <c r="H3705" s="115">
        <v>0</v>
      </c>
      <c r="I3705" s="115">
        <v>0</v>
      </c>
      <c r="J3705" s="115">
        <v>0</v>
      </c>
      <c r="K3705" s="115">
        <v>0</v>
      </c>
    </row>
    <row r="3706" spans="2:11" x14ac:dyDescent="0.25">
      <c r="B3706" s="115" t="s">
        <v>1241</v>
      </c>
      <c r="D3706" s="115" t="s">
        <v>8710</v>
      </c>
      <c r="E3706" s="115" t="s">
        <v>1242</v>
      </c>
      <c r="F3706" s="115">
        <v>0</v>
      </c>
      <c r="G3706" s="115">
        <v>0</v>
      </c>
      <c r="H3706" s="115">
        <v>0</v>
      </c>
      <c r="I3706" s="115">
        <v>0</v>
      </c>
      <c r="J3706" s="115">
        <v>0</v>
      </c>
      <c r="K3706" s="115">
        <v>0</v>
      </c>
    </row>
    <row r="3707" spans="2:11" x14ac:dyDescent="0.25">
      <c r="B3707" s="115" t="s">
        <v>1241</v>
      </c>
      <c r="D3707" s="115" t="s">
        <v>8710</v>
      </c>
      <c r="E3707" s="115" t="s">
        <v>1242</v>
      </c>
      <c r="F3707" s="115">
        <v>0</v>
      </c>
      <c r="G3707" s="115">
        <v>0</v>
      </c>
      <c r="H3707" s="115">
        <v>0</v>
      </c>
      <c r="I3707" s="115">
        <v>0</v>
      </c>
      <c r="J3707" s="115">
        <v>0</v>
      </c>
      <c r="K3707" s="115">
        <v>0</v>
      </c>
    </row>
    <row r="3708" spans="2:11" x14ac:dyDescent="0.25">
      <c r="B3708" s="115" t="s">
        <v>1241</v>
      </c>
      <c r="D3708" s="115" t="s">
        <v>8710</v>
      </c>
      <c r="E3708" s="115" t="s">
        <v>1242</v>
      </c>
      <c r="F3708" s="115">
        <v>0</v>
      </c>
      <c r="G3708" s="115">
        <v>0</v>
      </c>
      <c r="H3708" s="115">
        <v>0</v>
      </c>
      <c r="I3708" s="115">
        <v>0</v>
      </c>
      <c r="J3708" s="115">
        <v>0</v>
      </c>
      <c r="K3708" s="115">
        <v>0</v>
      </c>
    </row>
    <row r="3709" spans="2:11" x14ac:dyDescent="0.25">
      <c r="B3709" s="115" t="s">
        <v>1241</v>
      </c>
      <c r="D3709" s="115" t="s">
        <v>8710</v>
      </c>
      <c r="E3709" s="115" t="s">
        <v>1242</v>
      </c>
      <c r="F3709" s="115">
        <v>0</v>
      </c>
      <c r="G3709" s="115">
        <v>0</v>
      </c>
      <c r="H3709" s="115">
        <v>0</v>
      </c>
      <c r="I3709" s="115">
        <v>0</v>
      </c>
      <c r="J3709" s="115">
        <v>0</v>
      </c>
      <c r="K3709" s="115">
        <v>0</v>
      </c>
    </row>
    <row r="3710" spans="2:11" x14ac:dyDescent="0.25">
      <c r="B3710" s="115" t="s">
        <v>1241</v>
      </c>
      <c r="D3710" s="115" t="s">
        <v>8710</v>
      </c>
      <c r="E3710" s="115" t="s">
        <v>1242</v>
      </c>
      <c r="F3710" s="115">
        <v>0</v>
      </c>
      <c r="G3710" s="115">
        <v>0</v>
      </c>
      <c r="H3710" s="115">
        <v>0</v>
      </c>
      <c r="I3710" s="115">
        <v>0</v>
      </c>
      <c r="J3710" s="115">
        <v>0</v>
      </c>
      <c r="K3710" s="115">
        <v>0</v>
      </c>
    </row>
    <row r="3711" spans="2:11" x14ac:dyDescent="0.25">
      <c r="B3711" s="115" t="s">
        <v>1241</v>
      </c>
      <c r="D3711" s="115" t="s">
        <v>8710</v>
      </c>
      <c r="E3711" s="115" t="s">
        <v>1242</v>
      </c>
      <c r="F3711" s="115">
        <v>0</v>
      </c>
      <c r="G3711" s="115">
        <v>0</v>
      </c>
      <c r="H3711" s="115">
        <v>0</v>
      </c>
      <c r="I3711" s="115">
        <v>0</v>
      </c>
      <c r="J3711" s="115">
        <v>0</v>
      </c>
      <c r="K3711" s="115">
        <v>0</v>
      </c>
    </row>
    <row r="3712" spans="2:11" x14ac:dyDescent="0.25">
      <c r="B3712" s="115" t="s">
        <v>1241</v>
      </c>
      <c r="D3712" s="115" t="s">
        <v>8710</v>
      </c>
      <c r="E3712" s="115" t="s">
        <v>1242</v>
      </c>
      <c r="F3712" s="115">
        <v>0</v>
      </c>
      <c r="G3712" s="115">
        <v>0</v>
      </c>
      <c r="H3712" s="115">
        <v>0</v>
      </c>
      <c r="I3712" s="115">
        <v>0</v>
      </c>
      <c r="J3712" s="115">
        <v>0</v>
      </c>
      <c r="K3712" s="115">
        <v>0</v>
      </c>
    </row>
    <row r="3713" spans="2:11" x14ac:dyDescent="0.25">
      <c r="B3713" s="115" t="s">
        <v>1241</v>
      </c>
      <c r="D3713" s="115" t="s">
        <v>8710</v>
      </c>
      <c r="E3713" s="115" t="s">
        <v>1242</v>
      </c>
      <c r="F3713" s="115">
        <v>0</v>
      </c>
      <c r="G3713" s="115">
        <v>0</v>
      </c>
      <c r="H3713" s="115">
        <v>0</v>
      </c>
      <c r="I3713" s="115">
        <v>0</v>
      </c>
      <c r="J3713" s="115">
        <v>0</v>
      </c>
      <c r="K3713" s="115">
        <v>0</v>
      </c>
    </row>
    <row r="3714" spans="2:11" x14ac:dyDescent="0.25">
      <c r="B3714" s="115" t="s">
        <v>1241</v>
      </c>
      <c r="D3714" s="115" t="s">
        <v>8710</v>
      </c>
      <c r="E3714" s="115" t="s">
        <v>1242</v>
      </c>
      <c r="F3714" s="115">
        <v>0</v>
      </c>
      <c r="G3714" s="115">
        <v>0</v>
      </c>
      <c r="H3714" s="115">
        <v>0</v>
      </c>
      <c r="I3714" s="115">
        <v>0</v>
      </c>
      <c r="J3714" s="115">
        <v>0</v>
      </c>
      <c r="K3714" s="115">
        <v>0</v>
      </c>
    </row>
    <row r="3715" spans="2:11" x14ac:dyDescent="0.25">
      <c r="B3715" s="115" t="s">
        <v>1241</v>
      </c>
      <c r="D3715" s="115" t="s">
        <v>8710</v>
      </c>
      <c r="E3715" s="115" t="s">
        <v>1242</v>
      </c>
      <c r="F3715" s="115">
        <v>0</v>
      </c>
      <c r="G3715" s="115">
        <v>0</v>
      </c>
      <c r="H3715" s="115">
        <v>0</v>
      </c>
      <c r="I3715" s="115">
        <v>0</v>
      </c>
      <c r="J3715" s="115">
        <v>0</v>
      </c>
      <c r="K3715" s="115">
        <v>0</v>
      </c>
    </row>
    <row r="3716" spans="2:11" x14ac:dyDescent="0.25">
      <c r="B3716" s="115" t="s">
        <v>1241</v>
      </c>
      <c r="D3716" s="115" t="s">
        <v>8710</v>
      </c>
      <c r="E3716" s="115" t="s">
        <v>1242</v>
      </c>
      <c r="F3716" s="115">
        <v>0</v>
      </c>
      <c r="G3716" s="115">
        <v>0</v>
      </c>
      <c r="H3716" s="115">
        <v>0</v>
      </c>
      <c r="I3716" s="115">
        <v>0</v>
      </c>
      <c r="J3716" s="115">
        <v>0</v>
      </c>
      <c r="K3716" s="115">
        <v>0</v>
      </c>
    </row>
    <row r="3717" spans="2:11" x14ac:dyDescent="0.25">
      <c r="B3717" s="115" t="s">
        <v>1241</v>
      </c>
      <c r="D3717" s="115" t="s">
        <v>8710</v>
      </c>
      <c r="E3717" s="115" t="s">
        <v>1242</v>
      </c>
      <c r="F3717" s="115">
        <v>0</v>
      </c>
      <c r="G3717" s="115">
        <v>0</v>
      </c>
      <c r="H3717" s="115">
        <v>0</v>
      </c>
      <c r="I3717" s="115">
        <v>0</v>
      </c>
      <c r="J3717" s="115">
        <v>0</v>
      </c>
      <c r="K3717" s="115">
        <v>0</v>
      </c>
    </row>
    <row r="3718" spans="2:11" x14ac:dyDescent="0.25">
      <c r="B3718" s="115" t="s">
        <v>1241</v>
      </c>
      <c r="D3718" s="115" t="s">
        <v>8710</v>
      </c>
      <c r="E3718" s="115" t="s">
        <v>1242</v>
      </c>
      <c r="F3718" s="115">
        <v>0</v>
      </c>
      <c r="G3718" s="115">
        <v>0</v>
      </c>
      <c r="H3718" s="115">
        <v>0</v>
      </c>
      <c r="I3718" s="115">
        <v>0</v>
      </c>
      <c r="J3718" s="115">
        <v>0</v>
      </c>
      <c r="K3718" s="115">
        <v>0</v>
      </c>
    </row>
    <row r="3719" spans="2:11" x14ac:dyDescent="0.25">
      <c r="B3719" s="115" t="s">
        <v>1241</v>
      </c>
      <c r="D3719" s="115" t="s">
        <v>8710</v>
      </c>
      <c r="E3719" s="115" t="s">
        <v>1242</v>
      </c>
      <c r="F3719" s="115">
        <v>0</v>
      </c>
      <c r="G3719" s="115">
        <v>0</v>
      </c>
      <c r="H3719" s="115">
        <v>0</v>
      </c>
      <c r="I3719" s="115">
        <v>0</v>
      </c>
      <c r="J3719" s="115">
        <v>0</v>
      </c>
      <c r="K3719" s="115">
        <v>0</v>
      </c>
    </row>
    <row r="3720" spans="2:11" x14ac:dyDescent="0.25">
      <c r="B3720" s="115" t="s">
        <v>1241</v>
      </c>
      <c r="D3720" s="115" t="s">
        <v>8710</v>
      </c>
      <c r="E3720" s="115" t="s">
        <v>1242</v>
      </c>
      <c r="F3720" s="115">
        <v>0</v>
      </c>
      <c r="G3720" s="115">
        <v>0</v>
      </c>
      <c r="H3720" s="115">
        <v>0</v>
      </c>
      <c r="I3720" s="115">
        <v>0</v>
      </c>
      <c r="J3720" s="115">
        <v>0</v>
      </c>
      <c r="K3720" s="115">
        <v>0</v>
      </c>
    </row>
    <row r="3721" spans="2:11" x14ac:dyDescent="0.25">
      <c r="B3721" s="115" t="s">
        <v>1241</v>
      </c>
      <c r="D3721" s="115" t="s">
        <v>8710</v>
      </c>
      <c r="E3721" s="115" t="s">
        <v>1242</v>
      </c>
      <c r="F3721" s="115">
        <v>0</v>
      </c>
      <c r="G3721" s="115">
        <v>0</v>
      </c>
      <c r="H3721" s="115">
        <v>0</v>
      </c>
      <c r="I3721" s="115">
        <v>0</v>
      </c>
      <c r="J3721" s="115">
        <v>0</v>
      </c>
      <c r="K3721" s="115">
        <v>0</v>
      </c>
    </row>
    <row r="3722" spans="2:11" x14ac:dyDescent="0.25">
      <c r="B3722" s="115" t="s">
        <v>1241</v>
      </c>
      <c r="D3722" s="115" t="s">
        <v>8710</v>
      </c>
      <c r="E3722" s="115" t="s">
        <v>1242</v>
      </c>
      <c r="F3722" s="115">
        <v>0</v>
      </c>
      <c r="G3722" s="115">
        <v>0</v>
      </c>
      <c r="H3722" s="115">
        <v>0</v>
      </c>
      <c r="I3722" s="115">
        <v>0</v>
      </c>
      <c r="J3722" s="115">
        <v>0</v>
      </c>
      <c r="K3722" s="115">
        <v>0</v>
      </c>
    </row>
    <row r="3723" spans="2:11" x14ac:dyDescent="0.25">
      <c r="B3723" s="115" t="s">
        <v>1241</v>
      </c>
      <c r="D3723" s="115" t="s">
        <v>8710</v>
      </c>
      <c r="E3723" s="115" t="s">
        <v>1242</v>
      </c>
      <c r="F3723" s="115">
        <v>0</v>
      </c>
      <c r="G3723" s="115">
        <v>0</v>
      </c>
      <c r="H3723" s="115">
        <v>0</v>
      </c>
      <c r="I3723" s="115">
        <v>0</v>
      </c>
      <c r="J3723" s="115">
        <v>0</v>
      </c>
      <c r="K3723" s="115">
        <v>0</v>
      </c>
    </row>
    <row r="3724" spans="2:11" x14ac:dyDescent="0.25">
      <c r="B3724" s="115" t="s">
        <v>1241</v>
      </c>
      <c r="D3724" s="115" t="s">
        <v>8710</v>
      </c>
      <c r="E3724" s="115" t="s">
        <v>1242</v>
      </c>
      <c r="F3724" s="115">
        <v>0</v>
      </c>
      <c r="G3724" s="115">
        <v>0</v>
      </c>
      <c r="H3724" s="115">
        <v>0</v>
      </c>
      <c r="I3724" s="115">
        <v>0</v>
      </c>
      <c r="J3724" s="115">
        <v>0</v>
      </c>
      <c r="K3724" s="115">
        <v>0</v>
      </c>
    </row>
    <row r="3725" spans="2:11" x14ac:dyDescent="0.25">
      <c r="B3725" s="115" t="s">
        <v>1241</v>
      </c>
      <c r="D3725" s="115" t="s">
        <v>8710</v>
      </c>
      <c r="E3725" s="115" t="s">
        <v>1242</v>
      </c>
      <c r="F3725" s="115">
        <v>0</v>
      </c>
      <c r="G3725" s="115">
        <v>0</v>
      </c>
      <c r="H3725" s="115">
        <v>0</v>
      </c>
      <c r="I3725" s="115">
        <v>0</v>
      </c>
      <c r="J3725" s="115">
        <v>0</v>
      </c>
      <c r="K3725" s="115">
        <v>0</v>
      </c>
    </row>
    <row r="3726" spans="2:11" x14ac:dyDescent="0.25">
      <c r="B3726" s="115" t="s">
        <v>1241</v>
      </c>
      <c r="D3726" s="115" t="s">
        <v>8710</v>
      </c>
      <c r="E3726" s="115" t="s">
        <v>1242</v>
      </c>
      <c r="F3726" s="115">
        <v>0</v>
      </c>
      <c r="G3726" s="115">
        <v>0</v>
      </c>
      <c r="H3726" s="115">
        <v>0</v>
      </c>
      <c r="I3726" s="115">
        <v>0</v>
      </c>
      <c r="J3726" s="115">
        <v>0</v>
      </c>
      <c r="K3726" s="115">
        <v>0</v>
      </c>
    </row>
    <row r="3727" spans="2:11" x14ac:dyDescent="0.25">
      <c r="B3727" s="115" t="s">
        <v>1241</v>
      </c>
      <c r="D3727" s="115" t="s">
        <v>8710</v>
      </c>
      <c r="E3727" s="115" t="s">
        <v>1242</v>
      </c>
      <c r="F3727" s="115">
        <v>0</v>
      </c>
      <c r="G3727" s="115">
        <v>0</v>
      </c>
      <c r="H3727" s="115">
        <v>0</v>
      </c>
      <c r="I3727" s="115">
        <v>0</v>
      </c>
      <c r="J3727" s="115">
        <v>0</v>
      </c>
      <c r="K3727" s="115">
        <v>0</v>
      </c>
    </row>
    <row r="3728" spans="2:11" x14ac:dyDescent="0.25">
      <c r="B3728" s="115" t="s">
        <v>1241</v>
      </c>
      <c r="D3728" s="115" t="s">
        <v>8710</v>
      </c>
      <c r="E3728" s="115" t="s">
        <v>1242</v>
      </c>
      <c r="F3728" s="115">
        <v>0</v>
      </c>
      <c r="G3728" s="115">
        <v>0</v>
      </c>
      <c r="H3728" s="115">
        <v>0</v>
      </c>
      <c r="I3728" s="115">
        <v>0</v>
      </c>
      <c r="J3728" s="115">
        <v>0</v>
      </c>
      <c r="K3728" s="115">
        <v>0</v>
      </c>
    </row>
    <row r="3729" spans="2:11" x14ac:dyDescent="0.25">
      <c r="B3729" s="115" t="s">
        <v>1241</v>
      </c>
      <c r="D3729" s="115" t="s">
        <v>8710</v>
      </c>
      <c r="E3729" s="115" t="s">
        <v>1242</v>
      </c>
      <c r="F3729" s="115">
        <v>0</v>
      </c>
      <c r="G3729" s="115">
        <v>0</v>
      </c>
      <c r="H3729" s="115">
        <v>0</v>
      </c>
      <c r="I3729" s="115">
        <v>0</v>
      </c>
      <c r="J3729" s="115">
        <v>0</v>
      </c>
      <c r="K3729" s="115">
        <v>0</v>
      </c>
    </row>
    <row r="3730" spans="2:11" x14ac:dyDescent="0.25">
      <c r="B3730" s="115" t="s">
        <v>1241</v>
      </c>
      <c r="D3730" s="115" t="s">
        <v>8710</v>
      </c>
      <c r="E3730" s="115" t="s">
        <v>1242</v>
      </c>
      <c r="F3730" s="115">
        <v>0</v>
      </c>
      <c r="G3730" s="115">
        <v>0</v>
      </c>
      <c r="H3730" s="115">
        <v>0</v>
      </c>
      <c r="I3730" s="115">
        <v>0</v>
      </c>
      <c r="J3730" s="115">
        <v>0</v>
      </c>
      <c r="K3730" s="115">
        <v>0</v>
      </c>
    </row>
    <row r="3731" spans="2:11" x14ac:dyDescent="0.25">
      <c r="B3731" s="115" t="s">
        <v>1241</v>
      </c>
      <c r="D3731" s="115" t="s">
        <v>8710</v>
      </c>
      <c r="E3731" s="115" t="s">
        <v>1242</v>
      </c>
      <c r="F3731" s="115">
        <v>0</v>
      </c>
      <c r="G3731" s="115">
        <v>0</v>
      </c>
      <c r="H3731" s="115">
        <v>0</v>
      </c>
      <c r="I3731" s="115">
        <v>0</v>
      </c>
      <c r="J3731" s="115">
        <v>0</v>
      </c>
      <c r="K3731" s="115">
        <v>0</v>
      </c>
    </row>
    <row r="3732" spans="2:11" x14ac:dyDescent="0.25">
      <c r="B3732" s="115" t="s">
        <v>1241</v>
      </c>
      <c r="D3732" s="115" t="s">
        <v>8710</v>
      </c>
      <c r="E3732" s="115" t="s">
        <v>1242</v>
      </c>
      <c r="F3732" s="115">
        <v>0</v>
      </c>
      <c r="G3732" s="115">
        <v>0</v>
      </c>
      <c r="H3732" s="115">
        <v>0</v>
      </c>
      <c r="I3732" s="115">
        <v>0</v>
      </c>
      <c r="J3732" s="115">
        <v>0</v>
      </c>
      <c r="K3732" s="115">
        <v>0</v>
      </c>
    </row>
    <row r="3733" spans="2:11" x14ac:dyDescent="0.25">
      <c r="B3733" s="115" t="s">
        <v>1241</v>
      </c>
      <c r="D3733" s="115" t="s">
        <v>8710</v>
      </c>
      <c r="E3733" s="115" t="s">
        <v>1242</v>
      </c>
      <c r="F3733" s="115">
        <v>0</v>
      </c>
      <c r="G3733" s="115">
        <v>0</v>
      </c>
      <c r="H3733" s="115">
        <v>0</v>
      </c>
      <c r="I3733" s="115">
        <v>0</v>
      </c>
      <c r="J3733" s="115">
        <v>0</v>
      </c>
      <c r="K3733" s="115">
        <v>0</v>
      </c>
    </row>
    <row r="3734" spans="2:11" x14ac:dyDescent="0.25">
      <c r="B3734" s="115" t="s">
        <v>1241</v>
      </c>
      <c r="D3734" s="115" t="s">
        <v>8710</v>
      </c>
      <c r="E3734" s="115" t="s">
        <v>1242</v>
      </c>
      <c r="F3734" s="115">
        <v>0</v>
      </c>
      <c r="G3734" s="115">
        <v>0</v>
      </c>
      <c r="H3734" s="115">
        <v>0</v>
      </c>
      <c r="I3734" s="115">
        <v>0</v>
      </c>
      <c r="J3734" s="115">
        <v>0</v>
      </c>
      <c r="K3734" s="115">
        <v>0</v>
      </c>
    </row>
    <row r="3735" spans="2:11" x14ac:dyDescent="0.25">
      <c r="B3735" s="115" t="s">
        <v>1241</v>
      </c>
      <c r="D3735" s="115" t="s">
        <v>8710</v>
      </c>
      <c r="E3735" s="115" t="s">
        <v>1242</v>
      </c>
      <c r="F3735" s="115">
        <v>0</v>
      </c>
      <c r="G3735" s="115">
        <v>0</v>
      </c>
      <c r="H3735" s="115">
        <v>0</v>
      </c>
      <c r="I3735" s="115">
        <v>0</v>
      </c>
      <c r="J3735" s="115">
        <v>0</v>
      </c>
      <c r="K3735" s="115">
        <v>0</v>
      </c>
    </row>
    <row r="3736" spans="2:11" x14ac:dyDescent="0.25">
      <c r="B3736" s="115" t="s">
        <v>1241</v>
      </c>
      <c r="D3736" s="115" t="s">
        <v>8710</v>
      </c>
      <c r="E3736" s="115" t="s">
        <v>1242</v>
      </c>
      <c r="F3736" s="115">
        <v>0</v>
      </c>
      <c r="G3736" s="115">
        <v>0</v>
      </c>
      <c r="H3736" s="115">
        <v>0</v>
      </c>
      <c r="I3736" s="115">
        <v>0</v>
      </c>
      <c r="J3736" s="115">
        <v>0</v>
      </c>
      <c r="K3736" s="115">
        <v>0</v>
      </c>
    </row>
    <row r="3737" spans="2:11" x14ac:dyDescent="0.25">
      <c r="B3737" s="115" t="s">
        <v>1241</v>
      </c>
      <c r="D3737" s="115" t="s">
        <v>8710</v>
      </c>
      <c r="E3737" s="115" t="s">
        <v>1242</v>
      </c>
      <c r="F3737" s="115">
        <v>0</v>
      </c>
      <c r="G3737" s="115">
        <v>0</v>
      </c>
      <c r="H3737" s="115">
        <v>0</v>
      </c>
      <c r="I3737" s="115">
        <v>0</v>
      </c>
      <c r="J3737" s="115">
        <v>0</v>
      </c>
      <c r="K3737" s="115">
        <v>0</v>
      </c>
    </row>
    <row r="3738" spans="2:11" x14ac:dyDescent="0.25">
      <c r="B3738" s="115" t="s">
        <v>1241</v>
      </c>
      <c r="D3738" s="115" t="s">
        <v>8710</v>
      </c>
      <c r="E3738" s="115" t="s">
        <v>1242</v>
      </c>
      <c r="F3738" s="115">
        <v>0</v>
      </c>
      <c r="G3738" s="115">
        <v>0</v>
      </c>
      <c r="H3738" s="115">
        <v>0</v>
      </c>
      <c r="I3738" s="115">
        <v>0</v>
      </c>
      <c r="J3738" s="115">
        <v>0</v>
      </c>
      <c r="K3738" s="115">
        <v>0</v>
      </c>
    </row>
    <row r="3739" spans="2:11" x14ac:dyDescent="0.25">
      <c r="B3739" s="115" t="s">
        <v>1241</v>
      </c>
      <c r="D3739" s="115" t="s">
        <v>8710</v>
      </c>
      <c r="E3739" s="115" t="s">
        <v>1242</v>
      </c>
      <c r="F3739" s="115">
        <v>0</v>
      </c>
      <c r="G3739" s="115">
        <v>0</v>
      </c>
      <c r="H3739" s="115">
        <v>0</v>
      </c>
      <c r="I3739" s="115">
        <v>0</v>
      </c>
      <c r="J3739" s="115">
        <v>0</v>
      </c>
      <c r="K3739" s="115">
        <v>0</v>
      </c>
    </row>
    <row r="3740" spans="2:11" x14ac:dyDescent="0.25">
      <c r="B3740" s="115" t="s">
        <v>1241</v>
      </c>
      <c r="D3740" s="115" t="s">
        <v>8710</v>
      </c>
      <c r="E3740" s="115" t="s">
        <v>1242</v>
      </c>
      <c r="F3740" s="115">
        <v>0</v>
      </c>
      <c r="G3740" s="115">
        <v>0</v>
      </c>
      <c r="H3740" s="115">
        <v>0</v>
      </c>
      <c r="I3740" s="115">
        <v>0</v>
      </c>
      <c r="J3740" s="115">
        <v>0</v>
      </c>
      <c r="K3740" s="115">
        <v>0</v>
      </c>
    </row>
    <row r="3741" spans="2:11" x14ac:dyDescent="0.25">
      <c r="B3741" s="115" t="s">
        <v>1241</v>
      </c>
      <c r="D3741" s="115" t="s">
        <v>8710</v>
      </c>
      <c r="E3741" s="115" t="s">
        <v>1242</v>
      </c>
      <c r="F3741" s="115">
        <v>0</v>
      </c>
      <c r="G3741" s="115">
        <v>0</v>
      </c>
      <c r="H3741" s="115">
        <v>0</v>
      </c>
      <c r="I3741" s="115">
        <v>0</v>
      </c>
      <c r="J3741" s="115">
        <v>0</v>
      </c>
      <c r="K3741" s="115">
        <v>0</v>
      </c>
    </row>
    <row r="3742" spans="2:11" x14ac:dyDescent="0.25">
      <c r="B3742" s="115" t="s">
        <v>1241</v>
      </c>
      <c r="D3742" s="115" t="s">
        <v>8710</v>
      </c>
      <c r="E3742" s="115" t="s">
        <v>1242</v>
      </c>
      <c r="F3742" s="115">
        <v>0</v>
      </c>
      <c r="G3742" s="115">
        <v>0</v>
      </c>
      <c r="H3742" s="115">
        <v>0</v>
      </c>
      <c r="I3742" s="115">
        <v>0</v>
      </c>
      <c r="J3742" s="115">
        <v>0</v>
      </c>
      <c r="K3742" s="115">
        <v>0</v>
      </c>
    </row>
    <row r="3743" spans="2:11" x14ac:dyDescent="0.25">
      <c r="B3743" s="115" t="s">
        <v>1241</v>
      </c>
      <c r="D3743" s="115" t="s">
        <v>8710</v>
      </c>
      <c r="E3743" s="115" t="s">
        <v>1242</v>
      </c>
      <c r="F3743" s="115">
        <v>0</v>
      </c>
      <c r="G3743" s="115">
        <v>0</v>
      </c>
      <c r="H3743" s="115">
        <v>0</v>
      </c>
      <c r="I3743" s="115">
        <v>0</v>
      </c>
      <c r="J3743" s="115">
        <v>0</v>
      </c>
      <c r="K3743" s="115">
        <v>0</v>
      </c>
    </row>
    <row r="3744" spans="2:11" x14ac:dyDescent="0.25">
      <c r="B3744" s="115" t="s">
        <v>1241</v>
      </c>
      <c r="D3744" s="115" t="s">
        <v>8710</v>
      </c>
      <c r="E3744" s="115" t="s">
        <v>1242</v>
      </c>
      <c r="F3744" s="115">
        <v>0</v>
      </c>
      <c r="G3744" s="115">
        <v>0</v>
      </c>
      <c r="H3744" s="115">
        <v>0</v>
      </c>
      <c r="I3744" s="115">
        <v>0</v>
      </c>
      <c r="J3744" s="115">
        <v>0</v>
      </c>
      <c r="K3744" s="115">
        <v>0</v>
      </c>
    </row>
    <row r="3745" spans="2:11" x14ac:dyDescent="0.25">
      <c r="B3745" s="115" t="s">
        <v>1241</v>
      </c>
      <c r="D3745" s="115" t="s">
        <v>8710</v>
      </c>
      <c r="E3745" s="115" t="s">
        <v>1242</v>
      </c>
      <c r="F3745" s="115">
        <v>0</v>
      </c>
      <c r="G3745" s="115">
        <v>0</v>
      </c>
      <c r="H3745" s="115">
        <v>0</v>
      </c>
      <c r="I3745" s="115">
        <v>0</v>
      </c>
      <c r="J3745" s="115">
        <v>0</v>
      </c>
      <c r="K3745" s="115">
        <v>0</v>
      </c>
    </row>
    <row r="3746" spans="2:11" x14ac:dyDescent="0.25">
      <c r="B3746" s="115" t="s">
        <v>1241</v>
      </c>
      <c r="D3746" s="115" t="s">
        <v>8710</v>
      </c>
      <c r="E3746" s="115" t="s">
        <v>1242</v>
      </c>
      <c r="F3746" s="115">
        <v>0</v>
      </c>
      <c r="G3746" s="115">
        <v>0</v>
      </c>
      <c r="H3746" s="115">
        <v>0</v>
      </c>
      <c r="I3746" s="115">
        <v>0</v>
      </c>
      <c r="J3746" s="115">
        <v>0</v>
      </c>
      <c r="K3746" s="115">
        <v>0</v>
      </c>
    </row>
    <row r="3747" spans="2:11" x14ac:dyDescent="0.25">
      <c r="B3747" s="115" t="s">
        <v>1241</v>
      </c>
      <c r="D3747" s="115" t="s">
        <v>8710</v>
      </c>
      <c r="E3747" s="115" t="s">
        <v>1242</v>
      </c>
      <c r="F3747" s="115">
        <v>0</v>
      </c>
      <c r="G3747" s="115">
        <v>0</v>
      </c>
      <c r="H3747" s="115">
        <v>0</v>
      </c>
      <c r="I3747" s="115">
        <v>0</v>
      </c>
      <c r="J3747" s="115">
        <v>0</v>
      </c>
      <c r="K3747" s="115">
        <v>0</v>
      </c>
    </row>
    <row r="3748" spans="2:11" x14ac:dyDescent="0.25">
      <c r="B3748" s="115" t="s">
        <v>1241</v>
      </c>
      <c r="D3748" s="115" t="s">
        <v>8710</v>
      </c>
      <c r="E3748" s="115" t="s">
        <v>1242</v>
      </c>
      <c r="F3748" s="115">
        <v>0</v>
      </c>
      <c r="G3748" s="115">
        <v>0</v>
      </c>
      <c r="H3748" s="115">
        <v>0</v>
      </c>
      <c r="I3748" s="115">
        <v>0</v>
      </c>
      <c r="J3748" s="115">
        <v>0</v>
      </c>
      <c r="K3748" s="115">
        <v>0</v>
      </c>
    </row>
    <row r="3749" spans="2:11" x14ac:dyDescent="0.25">
      <c r="B3749" s="115" t="s">
        <v>1241</v>
      </c>
      <c r="D3749" s="115" t="s">
        <v>8710</v>
      </c>
      <c r="E3749" s="115" t="s">
        <v>1242</v>
      </c>
      <c r="F3749" s="115">
        <v>0</v>
      </c>
      <c r="G3749" s="115">
        <v>0</v>
      </c>
      <c r="H3749" s="115">
        <v>0</v>
      </c>
      <c r="I3749" s="115">
        <v>0</v>
      </c>
      <c r="J3749" s="115">
        <v>0</v>
      </c>
      <c r="K3749" s="115">
        <v>0</v>
      </c>
    </row>
    <row r="3750" spans="2:11" x14ac:dyDescent="0.25">
      <c r="B3750" s="115" t="s">
        <v>1241</v>
      </c>
      <c r="D3750" s="115" t="s">
        <v>8710</v>
      </c>
      <c r="E3750" s="115" t="s">
        <v>1242</v>
      </c>
      <c r="F3750" s="115">
        <v>0</v>
      </c>
      <c r="G3750" s="115">
        <v>0</v>
      </c>
      <c r="H3750" s="115">
        <v>0</v>
      </c>
      <c r="I3750" s="115">
        <v>0</v>
      </c>
      <c r="J3750" s="115">
        <v>0</v>
      </c>
      <c r="K3750" s="115">
        <v>0</v>
      </c>
    </row>
    <row r="3751" spans="2:11" x14ac:dyDescent="0.25">
      <c r="B3751" s="115" t="s">
        <v>1241</v>
      </c>
      <c r="D3751" s="115" t="s">
        <v>8710</v>
      </c>
      <c r="E3751" s="115" t="s">
        <v>1242</v>
      </c>
      <c r="F3751" s="115">
        <v>0</v>
      </c>
      <c r="G3751" s="115">
        <v>0</v>
      </c>
      <c r="H3751" s="115">
        <v>0</v>
      </c>
      <c r="I3751" s="115">
        <v>0</v>
      </c>
      <c r="J3751" s="115">
        <v>0</v>
      </c>
      <c r="K3751" s="115">
        <v>0</v>
      </c>
    </row>
    <row r="3752" spans="2:11" x14ac:dyDescent="0.25">
      <c r="B3752" s="115" t="s">
        <v>1241</v>
      </c>
      <c r="D3752" s="115" t="s">
        <v>8710</v>
      </c>
      <c r="E3752" s="115" t="s">
        <v>1242</v>
      </c>
      <c r="F3752" s="115">
        <v>0</v>
      </c>
      <c r="G3752" s="115">
        <v>0</v>
      </c>
      <c r="H3752" s="115">
        <v>0</v>
      </c>
      <c r="I3752" s="115">
        <v>0</v>
      </c>
      <c r="J3752" s="115">
        <v>0</v>
      </c>
      <c r="K3752" s="115">
        <v>0</v>
      </c>
    </row>
    <row r="3753" spans="2:11" x14ac:dyDescent="0.25">
      <c r="B3753" s="115" t="s">
        <v>1241</v>
      </c>
      <c r="D3753" s="115" t="s">
        <v>8710</v>
      </c>
      <c r="E3753" s="115" t="s">
        <v>1242</v>
      </c>
      <c r="F3753" s="115">
        <v>0</v>
      </c>
      <c r="G3753" s="115">
        <v>0</v>
      </c>
      <c r="H3753" s="115">
        <v>0</v>
      </c>
      <c r="I3753" s="115">
        <v>0</v>
      </c>
      <c r="J3753" s="115">
        <v>0</v>
      </c>
      <c r="K3753" s="115">
        <v>0</v>
      </c>
    </row>
    <row r="3754" spans="2:11" x14ac:dyDescent="0.25">
      <c r="B3754" s="115" t="s">
        <v>1241</v>
      </c>
      <c r="D3754" s="115" t="s">
        <v>8710</v>
      </c>
      <c r="E3754" s="115" t="s">
        <v>1242</v>
      </c>
      <c r="F3754" s="115">
        <v>0</v>
      </c>
      <c r="G3754" s="115">
        <v>0</v>
      </c>
      <c r="H3754" s="115">
        <v>0</v>
      </c>
      <c r="I3754" s="115">
        <v>0</v>
      </c>
      <c r="J3754" s="115">
        <v>0</v>
      </c>
      <c r="K3754" s="115">
        <v>0</v>
      </c>
    </row>
    <row r="3755" spans="2:11" x14ac:dyDescent="0.25">
      <c r="B3755" s="115" t="s">
        <v>1241</v>
      </c>
      <c r="D3755" s="115" t="s">
        <v>8710</v>
      </c>
      <c r="E3755" s="115" t="s">
        <v>1242</v>
      </c>
      <c r="F3755" s="115">
        <v>0</v>
      </c>
      <c r="G3755" s="115">
        <v>0</v>
      </c>
      <c r="H3755" s="115">
        <v>0</v>
      </c>
      <c r="I3755" s="115">
        <v>0</v>
      </c>
      <c r="J3755" s="115">
        <v>0</v>
      </c>
      <c r="K3755" s="115">
        <v>0</v>
      </c>
    </row>
    <row r="3756" spans="2:11" x14ac:dyDescent="0.25">
      <c r="B3756" s="115" t="s">
        <v>1241</v>
      </c>
      <c r="D3756" s="115" t="s">
        <v>8710</v>
      </c>
      <c r="E3756" s="115" t="s">
        <v>1242</v>
      </c>
      <c r="F3756" s="115">
        <v>0</v>
      </c>
      <c r="G3756" s="115">
        <v>0</v>
      </c>
      <c r="H3756" s="115">
        <v>0</v>
      </c>
      <c r="I3756" s="115">
        <v>0</v>
      </c>
      <c r="J3756" s="115">
        <v>0</v>
      </c>
      <c r="K3756" s="115">
        <v>0</v>
      </c>
    </row>
    <row r="3757" spans="2:11" x14ac:dyDescent="0.25">
      <c r="B3757" s="115" t="s">
        <v>1241</v>
      </c>
      <c r="D3757" s="115" t="s">
        <v>8710</v>
      </c>
      <c r="E3757" s="115" t="s">
        <v>1242</v>
      </c>
      <c r="F3757" s="115">
        <v>0</v>
      </c>
      <c r="G3757" s="115">
        <v>0</v>
      </c>
      <c r="H3757" s="115">
        <v>0</v>
      </c>
      <c r="I3757" s="115">
        <v>0</v>
      </c>
      <c r="J3757" s="115">
        <v>0</v>
      </c>
      <c r="K3757" s="115">
        <v>0</v>
      </c>
    </row>
    <row r="3758" spans="2:11" x14ac:dyDescent="0.25">
      <c r="B3758" s="115" t="s">
        <v>1241</v>
      </c>
      <c r="D3758" s="115" t="s">
        <v>8710</v>
      </c>
      <c r="E3758" s="115" t="s">
        <v>1242</v>
      </c>
      <c r="F3758" s="115">
        <v>0</v>
      </c>
      <c r="G3758" s="115">
        <v>0</v>
      </c>
      <c r="H3758" s="115">
        <v>0</v>
      </c>
      <c r="I3758" s="115">
        <v>0</v>
      </c>
      <c r="J3758" s="115">
        <v>0</v>
      </c>
      <c r="K3758" s="115">
        <v>0</v>
      </c>
    </row>
    <row r="3759" spans="2:11" x14ac:dyDescent="0.25">
      <c r="B3759" s="115" t="s">
        <v>1241</v>
      </c>
      <c r="D3759" s="115" t="s">
        <v>8710</v>
      </c>
      <c r="E3759" s="115" t="s">
        <v>1242</v>
      </c>
      <c r="F3759" s="115">
        <v>0</v>
      </c>
      <c r="G3759" s="115">
        <v>0</v>
      </c>
      <c r="H3759" s="115">
        <v>0</v>
      </c>
      <c r="I3759" s="115">
        <v>0</v>
      </c>
      <c r="J3759" s="115">
        <v>0</v>
      </c>
      <c r="K3759" s="115">
        <v>0</v>
      </c>
    </row>
    <row r="3760" spans="2:11" x14ac:dyDescent="0.25">
      <c r="B3760" s="115" t="s">
        <v>1241</v>
      </c>
      <c r="D3760" s="115" t="s">
        <v>8710</v>
      </c>
      <c r="E3760" s="115" t="s">
        <v>1242</v>
      </c>
      <c r="F3760" s="115">
        <v>0</v>
      </c>
      <c r="G3760" s="115">
        <v>0</v>
      </c>
      <c r="H3760" s="115">
        <v>0</v>
      </c>
      <c r="I3760" s="115">
        <v>0</v>
      </c>
      <c r="J3760" s="115">
        <v>0</v>
      </c>
      <c r="K3760" s="115">
        <v>0</v>
      </c>
    </row>
    <row r="3761" spans="1:11" x14ac:dyDescent="0.25">
      <c r="B3761" s="115" t="s">
        <v>1241</v>
      </c>
      <c r="D3761" s="115" t="s">
        <v>8710</v>
      </c>
      <c r="E3761" s="115" t="s">
        <v>1242</v>
      </c>
      <c r="F3761" s="115">
        <v>0</v>
      </c>
      <c r="G3761" s="115">
        <v>0</v>
      </c>
      <c r="H3761" s="115">
        <v>0</v>
      </c>
      <c r="I3761" s="115">
        <v>0</v>
      </c>
      <c r="J3761" s="115">
        <v>0</v>
      </c>
      <c r="K3761" s="115">
        <v>0</v>
      </c>
    </row>
    <row r="3762" spans="1:11" x14ac:dyDescent="0.25">
      <c r="B3762" s="115" t="s">
        <v>1241</v>
      </c>
      <c r="D3762" s="115" t="s">
        <v>8710</v>
      </c>
      <c r="E3762" s="115" t="s">
        <v>1242</v>
      </c>
      <c r="F3762" s="115">
        <v>0</v>
      </c>
      <c r="G3762" s="115">
        <v>0</v>
      </c>
      <c r="H3762" s="115">
        <v>0</v>
      </c>
      <c r="I3762" s="115">
        <v>0</v>
      </c>
      <c r="J3762" s="115">
        <v>0</v>
      </c>
      <c r="K3762" s="115">
        <v>0</v>
      </c>
    </row>
    <row r="3763" spans="1:11" x14ac:dyDescent="0.25">
      <c r="A3763" s="115" t="s">
        <v>1239</v>
      </c>
      <c r="B3763" s="115" t="s">
        <v>3981</v>
      </c>
      <c r="C3763" s="115" t="s">
        <v>1239</v>
      </c>
      <c r="D3763" s="115" t="s">
        <v>10479</v>
      </c>
      <c r="E3763" s="115" t="s">
        <v>3982</v>
      </c>
      <c r="F3763" s="115">
        <v>-1972</v>
      </c>
      <c r="G3763" s="115">
        <v>0</v>
      </c>
      <c r="H3763" s="115">
        <v>0</v>
      </c>
      <c r="I3763" s="115">
        <v>-294</v>
      </c>
      <c r="J3763" s="115">
        <v>0</v>
      </c>
      <c r="K3763" s="115">
        <v>0</v>
      </c>
    </row>
    <row r="3764" spans="1:11" x14ac:dyDescent="0.25">
      <c r="B3764" s="115" t="s">
        <v>3983</v>
      </c>
      <c r="C3764" s="115" t="s">
        <v>1239</v>
      </c>
      <c r="D3764" s="115" t="s">
        <v>10480</v>
      </c>
      <c r="E3764" s="115" t="s">
        <v>3984</v>
      </c>
      <c r="F3764" s="115">
        <v>0</v>
      </c>
      <c r="G3764" s="115">
        <v>0</v>
      </c>
      <c r="H3764" s="115">
        <v>0</v>
      </c>
      <c r="I3764" s="115">
        <v>0</v>
      </c>
      <c r="J3764" s="115">
        <v>0</v>
      </c>
      <c r="K3764" s="115">
        <v>-1777</v>
      </c>
    </row>
    <row r="3765" spans="1:11" x14ac:dyDescent="0.25">
      <c r="B3765" s="115" t="s">
        <v>1241</v>
      </c>
      <c r="D3765" s="115" t="s">
        <v>10481</v>
      </c>
      <c r="E3765" s="115" t="s">
        <v>3985</v>
      </c>
      <c r="F3765" s="115">
        <v>-10</v>
      </c>
      <c r="G3765" s="115">
        <v>0</v>
      </c>
      <c r="H3765" s="115">
        <v>833</v>
      </c>
      <c r="I3765" s="115">
        <v>1156</v>
      </c>
      <c r="J3765" s="115">
        <v>583</v>
      </c>
      <c r="K3765" s="115">
        <v>0</v>
      </c>
    </row>
    <row r="3766" spans="1:11" x14ac:dyDescent="0.25">
      <c r="B3766" s="115" t="s">
        <v>3986</v>
      </c>
      <c r="D3766" s="115" t="s">
        <v>10482</v>
      </c>
      <c r="E3766" s="115" t="s">
        <v>3987</v>
      </c>
      <c r="F3766" s="115">
        <v>-757</v>
      </c>
      <c r="G3766" s="115">
        <v>-372</v>
      </c>
      <c r="H3766" s="115">
        <v>0</v>
      </c>
      <c r="I3766" s="115">
        <v>148</v>
      </c>
      <c r="J3766" s="115">
        <v>0</v>
      </c>
      <c r="K3766" s="115">
        <v>0</v>
      </c>
    </row>
    <row r="3767" spans="1:11" x14ac:dyDescent="0.25">
      <c r="B3767" s="115" t="s">
        <v>1241</v>
      </c>
      <c r="D3767" s="115" t="s">
        <v>10483</v>
      </c>
      <c r="E3767" s="115" t="s">
        <v>3988</v>
      </c>
      <c r="F3767" s="115">
        <v>0</v>
      </c>
      <c r="G3767" s="115">
        <v>0</v>
      </c>
      <c r="H3767" s="115">
        <v>0</v>
      </c>
      <c r="I3767" s="115">
        <v>331</v>
      </c>
      <c r="J3767" s="115">
        <v>0</v>
      </c>
      <c r="K3767" s="115">
        <v>69</v>
      </c>
    </row>
    <row r="3768" spans="1:11" x14ac:dyDescent="0.25">
      <c r="B3768" s="115" t="s">
        <v>1241</v>
      </c>
      <c r="D3768" s="115" t="s">
        <v>10484</v>
      </c>
      <c r="E3768" s="115" t="s">
        <v>3989</v>
      </c>
      <c r="F3768" s="115">
        <v>0</v>
      </c>
      <c r="G3768" s="115">
        <v>281</v>
      </c>
      <c r="H3768" s="115">
        <v>0</v>
      </c>
      <c r="I3768" s="115">
        <v>1174</v>
      </c>
      <c r="J3768" s="115">
        <v>392</v>
      </c>
      <c r="K3768" s="115">
        <v>0</v>
      </c>
    </row>
    <row r="3769" spans="1:11" x14ac:dyDescent="0.25">
      <c r="B3769" s="115" t="s">
        <v>3990</v>
      </c>
      <c r="C3769" s="115" t="s">
        <v>1239</v>
      </c>
      <c r="D3769" s="115" t="s">
        <v>10485</v>
      </c>
      <c r="E3769" s="115" t="s">
        <v>3991</v>
      </c>
      <c r="F3769" s="115">
        <v>12919</v>
      </c>
      <c r="G3769" s="115">
        <v>0</v>
      </c>
      <c r="H3769" s="115">
        <v>0</v>
      </c>
      <c r="I3769" s="115">
        <v>0</v>
      </c>
      <c r="J3769" s="115">
        <v>0</v>
      </c>
      <c r="K3769" s="115">
        <v>5607</v>
      </c>
    </row>
    <row r="3770" spans="1:11" x14ac:dyDescent="0.25">
      <c r="A3770" s="115">
        <v>-1</v>
      </c>
      <c r="B3770" s="115" t="s">
        <v>3992</v>
      </c>
      <c r="D3770" s="115" t="s">
        <v>10486</v>
      </c>
      <c r="E3770" s="115" t="s">
        <v>3993</v>
      </c>
      <c r="F3770" s="115">
        <v>-124</v>
      </c>
      <c r="G3770" s="115">
        <v>3623</v>
      </c>
      <c r="H3770" s="115">
        <v>0</v>
      </c>
      <c r="I3770" s="115">
        <v>-2081</v>
      </c>
      <c r="J3770" s="115">
        <v>-1757</v>
      </c>
      <c r="K3770" s="115">
        <v>-344</v>
      </c>
    </row>
    <row r="3771" spans="1:11" x14ac:dyDescent="0.25">
      <c r="B3771" s="115" t="s">
        <v>3994</v>
      </c>
      <c r="D3771" s="115" t="s">
        <v>10487</v>
      </c>
      <c r="E3771" s="115" t="s">
        <v>3145</v>
      </c>
      <c r="F3771" s="115">
        <v>0</v>
      </c>
      <c r="G3771" s="115">
        <v>0</v>
      </c>
      <c r="H3771" s="115">
        <v>0</v>
      </c>
      <c r="I3771" s="115">
        <v>0</v>
      </c>
      <c r="J3771" s="115">
        <v>0</v>
      </c>
      <c r="K3771" s="115">
        <v>-75</v>
      </c>
    </row>
    <row r="3772" spans="1:11" x14ac:dyDescent="0.25">
      <c r="B3772" s="115" t="s">
        <v>3995</v>
      </c>
      <c r="D3772" s="115" t="s">
        <v>10488</v>
      </c>
      <c r="E3772" s="115" t="s">
        <v>3996</v>
      </c>
      <c r="F3772" s="115">
        <v>0</v>
      </c>
      <c r="G3772" s="115">
        <v>2275</v>
      </c>
      <c r="H3772" s="115">
        <v>-1194</v>
      </c>
      <c r="I3772" s="115">
        <v>-724</v>
      </c>
      <c r="J3772" s="115">
        <v>202</v>
      </c>
      <c r="K3772" s="115">
        <v>-30637</v>
      </c>
    </row>
    <row r="3773" spans="1:11" x14ac:dyDescent="0.25">
      <c r="B3773" s="115" t="s">
        <v>3997</v>
      </c>
      <c r="C3773" s="115" t="s">
        <v>1239</v>
      </c>
      <c r="D3773" s="115" t="s">
        <v>10489</v>
      </c>
      <c r="E3773" s="115" t="s">
        <v>3998</v>
      </c>
      <c r="F3773" s="115">
        <v>228</v>
      </c>
      <c r="G3773" s="115">
        <v>0</v>
      </c>
      <c r="H3773" s="115">
        <v>-217</v>
      </c>
      <c r="I3773" s="115">
        <v>-55</v>
      </c>
      <c r="J3773" s="115">
        <v>0</v>
      </c>
      <c r="K3773" s="115">
        <v>0</v>
      </c>
    </row>
    <row r="3774" spans="1:11" x14ac:dyDescent="0.25">
      <c r="B3774" s="115" t="s">
        <v>2011</v>
      </c>
      <c r="D3774" s="115" t="s">
        <v>10490</v>
      </c>
      <c r="E3774" s="115" t="s">
        <v>3999</v>
      </c>
      <c r="F3774" s="115">
        <v>425</v>
      </c>
      <c r="G3774" s="115">
        <v>220</v>
      </c>
      <c r="H3774" s="115">
        <v>-20</v>
      </c>
      <c r="I3774" s="115">
        <v>639</v>
      </c>
      <c r="J3774" s="115">
        <v>0</v>
      </c>
      <c r="K3774" s="115">
        <v>0</v>
      </c>
    </row>
    <row r="3775" spans="1:11" x14ac:dyDescent="0.25">
      <c r="B3775" s="115" t="s">
        <v>1241</v>
      </c>
      <c r="D3775" s="115" t="s">
        <v>10491</v>
      </c>
      <c r="E3775" s="115" t="s">
        <v>4000</v>
      </c>
      <c r="F3775" s="115">
        <v>0</v>
      </c>
      <c r="G3775" s="115">
        <v>554</v>
      </c>
      <c r="H3775" s="115">
        <v>49</v>
      </c>
      <c r="I3775" s="115">
        <v>-136</v>
      </c>
      <c r="J3775" s="115">
        <v>0</v>
      </c>
      <c r="K3775" s="115">
        <v>1548</v>
      </c>
    </row>
    <row r="3776" spans="1:11" x14ac:dyDescent="0.25">
      <c r="B3776" s="115">
        <f>-98   -451</f>
        <v>-549</v>
      </c>
      <c r="D3776" s="115" t="s">
        <v>10492</v>
      </c>
      <c r="E3776" s="115" t="s">
        <v>4001</v>
      </c>
      <c r="F3776" s="115">
        <v>-20</v>
      </c>
      <c r="G3776" s="115">
        <v>-1759</v>
      </c>
      <c r="H3776" s="115">
        <v>-3048</v>
      </c>
      <c r="I3776" s="115">
        <v>0</v>
      </c>
      <c r="J3776" s="115">
        <v>136</v>
      </c>
      <c r="K3776" s="115">
        <v>0</v>
      </c>
    </row>
    <row r="3777" spans="1:11" x14ac:dyDescent="0.25">
      <c r="B3777" s="115" t="s">
        <v>4002</v>
      </c>
      <c r="D3777" s="115" t="s">
        <v>10493</v>
      </c>
      <c r="E3777" s="115" t="s">
        <v>4003</v>
      </c>
      <c r="F3777" s="115">
        <v>6</v>
      </c>
      <c r="G3777" s="115">
        <v>0</v>
      </c>
      <c r="H3777" s="115">
        <v>0</v>
      </c>
      <c r="I3777" s="115">
        <v>247</v>
      </c>
      <c r="J3777" s="115">
        <v>0</v>
      </c>
      <c r="K3777" s="115">
        <v>60</v>
      </c>
    </row>
    <row r="3778" spans="1:11" x14ac:dyDescent="0.25">
      <c r="A3778" s="115" t="s">
        <v>1239</v>
      </c>
      <c r="B3778" s="115" t="s">
        <v>4004</v>
      </c>
      <c r="D3778" s="115" t="s">
        <v>10494</v>
      </c>
      <c r="E3778" s="115" t="s">
        <v>4005</v>
      </c>
      <c r="F3778" s="115">
        <v>0</v>
      </c>
      <c r="G3778" s="115">
        <v>0</v>
      </c>
      <c r="H3778" s="115">
        <v>0</v>
      </c>
      <c r="I3778" s="115">
        <v>149</v>
      </c>
      <c r="J3778" s="115">
        <v>0</v>
      </c>
      <c r="K3778" s="115">
        <v>-1094</v>
      </c>
    </row>
    <row r="3779" spans="1:11" x14ac:dyDescent="0.25">
      <c r="B3779" s="115" t="s">
        <v>4006</v>
      </c>
      <c r="D3779" s="115" t="s">
        <v>10495</v>
      </c>
      <c r="E3779" s="115" t="s">
        <v>4007</v>
      </c>
      <c r="F3779" s="115">
        <v>-3847</v>
      </c>
      <c r="G3779" s="115">
        <v>4136</v>
      </c>
      <c r="H3779" s="115">
        <v>0</v>
      </c>
      <c r="I3779" s="115">
        <v>0</v>
      </c>
      <c r="J3779" s="115">
        <v>0</v>
      </c>
      <c r="K3779" s="115">
        <v>-555</v>
      </c>
    </row>
    <row r="3780" spans="1:11" x14ac:dyDescent="0.25">
      <c r="A3780" s="115" t="s">
        <v>1239</v>
      </c>
      <c r="B3780" s="115" t="s">
        <v>4008</v>
      </c>
      <c r="D3780" s="115" t="s">
        <v>10496</v>
      </c>
      <c r="E3780" s="115" t="s">
        <v>4009</v>
      </c>
      <c r="F3780" s="115">
        <v>0</v>
      </c>
      <c r="G3780" s="115">
        <v>484</v>
      </c>
      <c r="H3780" s="115">
        <v>0</v>
      </c>
      <c r="I3780" s="115">
        <v>0</v>
      </c>
      <c r="J3780" s="115">
        <v>-1185</v>
      </c>
      <c r="K3780" s="115">
        <v>0</v>
      </c>
    </row>
    <row r="3781" spans="1:11" x14ac:dyDescent="0.25">
      <c r="A3781" s="115">
        <v>-5</v>
      </c>
      <c r="B3781" s="115" t="s">
        <v>2077</v>
      </c>
      <c r="D3781" s="115" t="s">
        <v>10497</v>
      </c>
      <c r="E3781" s="115" t="s">
        <v>1242</v>
      </c>
      <c r="F3781" s="115">
        <v>0</v>
      </c>
      <c r="G3781" s="115">
        <v>0</v>
      </c>
      <c r="H3781" s="115">
        <v>0</v>
      </c>
      <c r="I3781" s="115">
        <v>0</v>
      </c>
      <c r="J3781" s="115">
        <v>0</v>
      </c>
      <c r="K3781" s="115">
        <v>0</v>
      </c>
    </row>
    <row r="3782" spans="1:11" x14ac:dyDescent="0.25">
      <c r="B3782" s="115" t="s">
        <v>2909</v>
      </c>
      <c r="D3782" s="115" t="s">
        <v>10498</v>
      </c>
      <c r="E3782" s="115" t="s">
        <v>4010</v>
      </c>
      <c r="F3782" s="115">
        <v>-20</v>
      </c>
      <c r="G3782" s="115">
        <v>222</v>
      </c>
      <c r="H3782" s="115">
        <v>0</v>
      </c>
      <c r="I3782" s="115">
        <v>-278</v>
      </c>
      <c r="J3782" s="115">
        <v>-896</v>
      </c>
      <c r="K3782" s="115">
        <v>0</v>
      </c>
    </row>
    <row r="3783" spans="1:11" x14ac:dyDescent="0.25">
      <c r="B3783" s="115" t="s">
        <v>1241</v>
      </c>
      <c r="D3783" s="115" t="s">
        <v>10499</v>
      </c>
      <c r="E3783" s="115" t="s">
        <v>4011</v>
      </c>
      <c r="F3783" s="115">
        <v>-976</v>
      </c>
      <c r="G3783" s="115">
        <v>2075</v>
      </c>
      <c r="H3783" s="115">
        <v>710</v>
      </c>
      <c r="I3783" s="115">
        <v>665</v>
      </c>
      <c r="J3783" s="115">
        <v>527</v>
      </c>
      <c r="K3783" s="115">
        <v>1682</v>
      </c>
    </row>
    <row r="3784" spans="1:11" x14ac:dyDescent="0.25">
      <c r="B3784" s="115" t="s">
        <v>1241</v>
      </c>
      <c r="D3784" s="115" t="s">
        <v>10500</v>
      </c>
      <c r="E3784" s="115" t="s">
        <v>4012</v>
      </c>
      <c r="F3784" s="115">
        <v>-5022</v>
      </c>
      <c r="G3784" s="115">
        <v>0</v>
      </c>
      <c r="H3784" s="115">
        <v>-1467</v>
      </c>
      <c r="I3784" s="115">
        <v>0</v>
      </c>
      <c r="J3784" s="115">
        <v>0</v>
      </c>
      <c r="K3784" s="115">
        <v>-9554</v>
      </c>
    </row>
    <row r="3785" spans="1:11" x14ac:dyDescent="0.25">
      <c r="A3785" s="115" t="s">
        <v>1239</v>
      </c>
      <c r="B3785" s="115" t="s">
        <v>4013</v>
      </c>
      <c r="D3785" s="115" t="s">
        <v>10501</v>
      </c>
      <c r="E3785" s="115" t="s">
        <v>4014</v>
      </c>
      <c r="F3785" s="115">
        <v>0</v>
      </c>
      <c r="G3785" s="115">
        <v>-310</v>
      </c>
      <c r="H3785" s="115">
        <v>0</v>
      </c>
      <c r="I3785" s="115">
        <v>17</v>
      </c>
      <c r="J3785" s="115">
        <v>-510</v>
      </c>
      <c r="K3785" s="115">
        <v>441</v>
      </c>
    </row>
    <row r="3786" spans="1:11" x14ac:dyDescent="0.25">
      <c r="A3786" s="115">
        <v>11</v>
      </c>
      <c r="B3786" s="115" t="s">
        <v>4015</v>
      </c>
      <c r="C3786" s="115" t="s">
        <v>1239</v>
      </c>
      <c r="D3786" s="115" t="s">
        <v>10502</v>
      </c>
      <c r="E3786" s="115" t="s">
        <v>4016</v>
      </c>
      <c r="F3786" s="115">
        <v>1927</v>
      </c>
      <c r="G3786" s="115">
        <v>2452</v>
      </c>
      <c r="H3786" s="115">
        <v>2212</v>
      </c>
      <c r="I3786" s="115">
        <v>0</v>
      </c>
      <c r="J3786" s="115">
        <v>0</v>
      </c>
      <c r="K3786" s="115">
        <v>0</v>
      </c>
    </row>
    <row r="3787" spans="1:11" x14ac:dyDescent="0.25">
      <c r="B3787" s="115" t="s">
        <v>1241</v>
      </c>
      <c r="D3787" s="115" t="s">
        <v>10503</v>
      </c>
      <c r="E3787" s="115" t="s">
        <v>4017</v>
      </c>
      <c r="F3787" s="115">
        <v>470</v>
      </c>
      <c r="G3787" s="115">
        <v>440</v>
      </c>
      <c r="H3787" s="115">
        <v>2316</v>
      </c>
      <c r="I3787" s="115">
        <v>-254</v>
      </c>
      <c r="J3787" s="115">
        <v>125</v>
      </c>
      <c r="K3787" s="115">
        <v>-770</v>
      </c>
    </row>
    <row r="3788" spans="1:11" x14ac:dyDescent="0.25">
      <c r="B3788" s="115" t="s">
        <v>1241</v>
      </c>
      <c r="D3788" s="115" t="s">
        <v>10504</v>
      </c>
      <c r="E3788" s="115" t="s">
        <v>4018</v>
      </c>
      <c r="F3788" s="115">
        <v>197</v>
      </c>
      <c r="G3788" s="115">
        <v>-1801</v>
      </c>
      <c r="H3788" s="115">
        <v>0</v>
      </c>
      <c r="I3788" s="115">
        <v>0</v>
      </c>
      <c r="J3788" s="115">
        <v>0</v>
      </c>
      <c r="K3788" s="115">
        <v>0</v>
      </c>
    </row>
    <row r="3789" spans="1:11" x14ac:dyDescent="0.25">
      <c r="B3789" s="115" t="s">
        <v>1241</v>
      </c>
      <c r="D3789" s="115" t="s">
        <v>8710</v>
      </c>
      <c r="E3789" s="115" t="s">
        <v>1242</v>
      </c>
      <c r="F3789" s="115">
        <v>0</v>
      </c>
      <c r="G3789" s="115">
        <v>0</v>
      </c>
      <c r="H3789" s="115">
        <v>0</v>
      </c>
      <c r="I3789" s="115">
        <v>0</v>
      </c>
      <c r="J3789" s="115">
        <v>0</v>
      </c>
      <c r="K3789" s="115">
        <v>0</v>
      </c>
    </row>
    <row r="3790" spans="1:11" x14ac:dyDescent="0.25">
      <c r="B3790" s="115" t="s">
        <v>1241</v>
      </c>
      <c r="D3790" s="115" t="s">
        <v>8710</v>
      </c>
      <c r="E3790" s="115" t="s">
        <v>1242</v>
      </c>
      <c r="F3790" s="115">
        <v>0</v>
      </c>
      <c r="G3790" s="115">
        <v>0</v>
      </c>
      <c r="H3790" s="115">
        <v>0</v>
      </c>
      <c r="I3790" s="115">
        <v>0</v>
      </c>
      <c r="J3790" s="115">
        <v>0</v>
      </c>
      <c r="K3790" s="115">
        <v>0</v>
      </c>
    </row>
    <row r="3791" spans="1:11" x14ac:dyDescent="0.25">
      <c r="B3791" s="115" t="s">
        <v>1241</v>
      </c>
      <c r="D3791" s="115" t="s">
        <v>8710</v>
      </c>
      <c r="E3791" s="115" t="s">
        <v>1242</v>
      </c>
      <c r="F3791" s="115">
        <v>0</v>
      </c>
      <c r="G3791" s="115">
        <v>0</v>
      </c>
      <c r="H3791" s="115">
        <v>0</v>
      </c>
      <c r="I3791" s="115">
        <v>0</v>
      </c>
      <c r="J3791" s="115">
        <v>0</v>
      </c>
      <c r="K3791" s="115">
        <v>0</v>
      </c>
    </row>
    <row r="3792" spans="1:11" x14ac:dyDescent="0.25">
      <c r="B3792" s="115" t="s">
        <v>1241</v>
      </c>
      <c r="D3792" s="115" t="s">
        <v>8710</v>
      </c>
      <c r="E3792" s="115" t="s">
        <v>1242</v>
      </c>
      <c r="F3792" s="115">
        <v>0</v>
      </c>
      <c r="G3792" s="115">
        <v>0</v>
      </c>
      <c r="H3792" s="115">
        <v>0</v>
      </c>
      <c r="I3792" s="115">
        <v>0</v>
      </c>
      <c r="J3792" s="115">
        <v>0</v>
      </c>
      <c r="K3792" s="115">
        <v>0</v>
      </c>
    </row>
    <row r="3793" spans="2:11" x14ac:dyDescent="0.25">
      <c r="B3793" s="115" t="s">
        <v>1241</v>
      </c>
      <c r="D3793" s="115" t="s">
        <v>8710</v>
      </c>
      <c r="E3793" s="115" t="s">
        <v>1242</v>
      </c>
      <c r="F3793" s="115">
        <v>0</v>
      </c>
      <c r="G3793" s="115">
        <v>0</v>
      </c>
      <c r="H3793" s="115">
        <v>0</v>
      </c>
      <c r="I3793" s="115">
        <v>0</v>
      </c>
      <c r="J3793" s="115">
        <v>0</v>
      </c>
      <c r="K3793" s="115">
        <v>0</v>
      </c>
    </row>
    <row r="3794" spans="2:11" x14ac:dyDescent="0.25">
      <c r="B3794" s="115" t="s">
        <v>1241</v>
      </c>
      <c r="D3794" s="115" t="s">
        <v>8710</v>
      </c>
      <c r="E3794" s="115" t="s">
        <v>1242</v>
      </c>
      <c r="F3794" s="115">
        <v>0</v>
      </c>
      <c r="G3794" s="115">
        <v>0</v>
      </c>
      <c r="H3794" s="115">
        <v>0</v>
      </c>
      <c r="I3794" s="115">
        <v>0</v>
      </c>
      <c r="J3794" s="115">
        <v>0</v>
      </c>
      <c r="K3794" s="115">
        <v>0</v>
      </c>
    </row>
    <row r="3795" spans="2:11" x14ac:dyDescent="0.25">
      <c r="B3795" s="115" t="s">
        <v>1241</v>
      </c>
      <c r="D3795" s="115" t="s">
        <v>8710</v>
      </c>
      <c r="E3795" s="115" t="s">
        <v>1242</v>
      </c>
      <c r="F3795" s="115">
        <v>0</v>
      </c>
      <c r="G3795" s="115">
        <v>0</v>
      </c>
      <c r="H3795" s="115">
        <v>0</v>
      </c>
      <c r="I3795" s="115">
        <v>0</v>
      </c>
      <c r="J3795" s="115">
        <v>0</v>
      </c>
      <c r="K3795" s="115">
        <v>0</v>
      </c>
    </row>
    <row r="3796" spans="2:11" x14ac:dyDescent="0.25">
      <c r="B3796" s="115" t="s">
        <v>1241</v>
      </c>
      <c r="D3796" s="115" t="s">
        <v>8710</v>
      </c>
      <c r="E3796" s="115" t="s">
        <v>1242</v>
      </c>
      <c r="F3796" s="115">
        <v>0</v>
      </c>
      <c r="G3796" s="115">
        <v>0</v>
      </c>
      <c r="H3796" s="115">
        <v>0</v>
      </c>
      <c r="I3796" s="115">
        <v>0</v>
      </c>
      <c r="J3796" s="115">
        <v>0</v>
      </c>
      <c r="K3796" s="115">
        <v>0</v>
      </c>
    </row>
    <row r="3797" spans="2:11" x14ac:dyDescent="0.25">
      <c r="B3797" s="115" t="s">
        <v>1241</v>
      </c>
      <c r="D3797" s="115" t="s">
        <v>8710</v>
      </c>
      <c r="E3797" s="115" t="s">
        <v>1242</v>
      </c>
      <c r="F3797" s="115">
        <v>0</v>
      </c>
      <c r="G3797" s="115">
        <v>0</v>
      </c>
      <c r="H3797" s="115">
        <v>0</v>
      </c>
      <c r="I3797" s="115">
        <v>0</v>
      </c>
      <c r="J3797" s="115">
        <v>0</v>
      </c>
      <c r="K3797" s="115">
        <v>0</v>
      </c>
    </row>
    <row r="3798" spans="2:11" x14ac:dyDescent="0.25">
      <c r="B3798" s="115" t="s">
        <v>1241</v>
      </c>
      <c r="D3798" s="115" t="s">
        <v>8710</v>
      </c>
      <c r="E3798" s="115" t="s">
        <v>1242</v>
      </c>
      <c r="F3798" s="115">
        <v>0</v>
      </c>
      <c r="G3798" s="115">
        <v>0</v>
      </c>
      <c r="H3798" s="115">
        <v>0</v>
      </c>
      <c r="I3798" s="115">
        <v>0</v>
      </c>
      <c r="J3798" s="115">
        <v>0</v>
      </c>
      <c r="K3798" s="115">
        <v>0</v>
      </c>
    </row>
    <row r="3799" spans="2:11" x14ac:dyDescent="0.25">
      <c r="B3799" s="115" t="s">
        <v>1241</v>
      </c>
      <c r="D3799" s="115" t="s">
        <v>8710</v>
      </c>
      <c r="E3799" s="115" t="s">
        <v>1242</v>
      </c>
      <c r="F3799" s="115">
        <v>0</v>
      </c>
      <c r="G3799" s="115">
        <v>0</v>
      </c>
      <c r="H3799" s="115">
        <v>0</v>
      </c>
      <c r="I3799" s="115">
        <v>0</v>
      </c>
      <c r="J3799" s="115">
        <v>0</v>
      </c>
      <c r="K3799" s="115">
        <v>0</v>
      </c>
    </row>
    <row r="3800" spans="2:11" x14ac:dyDescent="0.25">
      <c r="B3800" s="115" t="s">
        <v>1241</v>
      </c>
      <c r="D3800" s="115" t="s">
        <v>8710</v>
      </c>
      <c r="E3800" s="115" t="s">
        <v>1242</v>
      </c>
      <c r="F3800" s="115">
        <v>0</v>
      </c>
      <c r="G3800" s="115">
        <v>0</v>
      </c>
      <c r="H3800" s="115">
        <v>0</v>
      </c>
      <c r="I3800" s="115">
        <v>0</v>
      </c>
      <c r="J3800" s="115">
        <v>0</v>
      </c>
      <c r="K3800" s="115">
        <v>0</v>
      </c>
    </row>
    <row r="3801" spans="2:11" x14ac:dyDescent="0.25">
      <c r="B3801" s="115" t="s">
        <v>1241</v>
      </c>
      <c r="D3801" s="115" t="s">
        <v>8710</v>
      </c>
      <c r="E3801" s="115" t="s">
        <v>1242</v>
      </c>
      <c r="F3801" s="115">
        <v>0</v>
      </c>
      <c r="G3801" s="115">
        <v>0</v>
      </c>
      <c r="H3801" s="115">
        <v>0</v>
      </c>
      <c r="I3801" s="115">
        <v>0</v>
      </c>
      <c r="J3801" s="115">
        <v>0</v>
      </c>
      <c r="K3801" s="115">
        <v>0</v>
      </c>
    </row>
    <row r="3802" spans="2:11" x14ac:dyDescent="0.25">
      <c r="B3802" s="115" t="s">
        <v>1241</v>
      </c>
      <c r="D3802" s="115" t="s">
        <v>8710</v>
      </c>
      <c r="E3802" s="115" t="s">
        <v>1242</v>
      </c>
      <c r="F3802" s="115">
        <v>0</v>
      </c>
      <c r="G3802" s="115">
        <v>0</v>
      </c>
      <c r="H3802" s="115">
        <v>0</v>
      </c>
      <c r="I3802" s="115">
        <v>0</v>
      </c>
      <c r="J3802" s="115">
        <v>0</v>
      </c>
      <c r="K3802" s="115">
        <v>0</v>
      </c>
    </row>
    <row r="3803" spans="2:11" x14ac:dyDescent="0.25">
      <c r="B3803" s="115" t="s">
        <v>1241</v>
      </c>
      <c r="D3803" s="115" t="s">
        <v>8710</v>
      </c>
      <c r="E3803" s="115" t="s">
        <v>1242</v>
      </c>
      <c r="F3803" s="115">
        <v>0</v>
      </c>
      <c r="G3803" s="115">
        <v>0</v>
      </c>
      <c r="H3803" s="115">
        <v>0</v>
      </c>
      <c r="I3803" s="115">
        <v>0</v>
      </c>
      <c r="J3803" s="115">
        <v>0</v>
      </c>
      <c r="K3803" s="115">
        <v>0</v>
      </c>
    </row>
    <row r="3804" spans="2:11" x14ac:dyDescent="0.25">
      <c r="B3804" s="115" t="s">
        <v>1241</v>
      </c>
      <c r="D3804" s="115" t="s">
        <v>8710</v>
      </c>
      <c r="E3804" s="115" t="s">
        <v>1242</v>
      </c>
      <c r="F3804" s="115">
        <v>0</v>
      </c>
      <c r="G3804" s="115">
        <v>0</v>
      </c>
      <c r="H3804" s="115">
        <v>0</v>
      </c>
      <c r="I3804" s="115">
        <v>0</v>
      </c>
      <c r="J3804" s="115">
        <v>0</v>
      </c>
      <c r="K3804" s="115">
        <v>0</v>
      </c>
    </row>
    <row r="3805" spans="2:11" x14ac:dyDescent="0.25">
      <c r="B3805" s="115" t="s">
        <v>1241</v>
      </c>
      <c r="D3805" s="115" t="s">
        <v>8710</v>
      </c>
      <c r="E3805" s="115" t="s">
        <v>1242</v>
      </c>
      <c r="F3805" s="115">
        <v>0</v>
      </c>
      <c r="G3805" s="115">
        <v>0</v>
      </c>
      <c r="H3805" s="115">
        <v>0</v>
      </c>
      <c r="I3805" s="115">
        <v>0</v>
      </c>
      <c r="J3805" s="115">
        <v>0</v>
      </c>
      <c r="K3805" s="115">
        <v>0</v>
      </c>
    </row>
    <row r="3806" spans="2:11" x14ac:dyDescent="0.25">
      <c r="B3806" s="115" t="s">
        <v>1241</v>
      </c>
      <c r="D3806" s="115" t="s">
        <v>8710</v>
      </c>
      <c r="E3806" s="115" t="s">
        <v>1242</v>
      </c>
      <c r="F3806" s="115">
        <v>0</v>
      </c>
      <c r="G3806" s="115">
        <v>0</v>
      </c>
      <c r="H3806" s="115">
        <v>0</v>
      </c>
      <c r="I3806" s="115">
        <v>0</v>
      </c>
      <c r="J3806" s="115">
        <v>0</v>
      </c>
      <c r="K3806" s="115">
        <v>0</v>
      </c>
    </row>
    <row r="3807" spans="2:11" x14ac:dyDescent="0.25">
      <c r="B3807" s="115" t="s">
        <v>1241</v>
      </c>
      <c r="D3807" s="115" t="s">
        <v>8710</v>
      </c>
      <c r="E3807" s="115" t="s">
        <v>1242</v>
      </c>
      <c r="F3807" s="115">
        <v>0</v>
      </c>
      <c r="G3807" s="115">
        <v>0</v>
      </c>
      <c r="H3807" s="115">
        <v>0</v>
      </c>
      <c r="I3807" s="115">
        <v>0</v>
      </c>
      <c r="J3807" s="115">
        <v>0</v>
      </c>
      <c r="K3807" s="115">
        <v>0</v>
      </c>
    </row>
    <row r="3808" spans="2:11" x14ac:dyDescent="0.25">
      <c r="B3808" s="115" t="s">
        <v>1241</v>
      </c>
      <c r="D3808" s="115" t="s">
        <v>8710</v>
      </c>
      <c r="E3808" s="115" t="s">
        <v>1242</v>
      </c>
      <c r="F3808" s="115">
        <v>0</v>
      </c>
      <c r="G3808" s="115">
        <v>0</v>
      </c>
      <c r="H3808" s="115">
        <v>0</v>
      </c>
      <c r="I3808" s="115">
        <v>0</v>
      </c>
      <c r="J3808" s="115">
        <v>0</v>
      </c>
      <c r="K3808" s="115">
        <v>0</v>
      </c>
    </row>
    <row r="3809" spans="1:11" x14ac:dyDescent="0.25">
      <c r="B3809" s="115" t="s">
        <v>1241</v>
      </c>
      <c r="D3809" s="115" t="s">
        <v>8710</v>
      </c>
      <c r="E3809" s="115" t="s">
        <v>1242</v>
      </c>
      <c r="F3809" s="115">
        <v>0</v>
      </c>
      <c r="G3809" s="115">
        <v>0</v>
      </c>
      <c r="H3809" s="115">
        <v>0</v>
      </c>
      <c r="I3809" s="115">
        <v>0</v>
      </c>
      <c r="J3809" s="115">
        <v>0</v>
      </c>
      <c r="K3809" s="115">
        <v>0</v>
      </c>
    </row>
    <row r="3810" spans="1:11" x14ac:dyDescent="0.25">
      <c r="B3810" s="115" t="s">
        <v>1241</v>
      </c>
      <c r="D3810" s="115" t="s">
        <v>8710</v>
      </c>
      <c r="E3810" s="115" t="s">
        <v>1242</v>
      </c>
      <c r="F3810" s="115">
        <v>0</v>
      </c>
      <c r="G3810" s="115">
        <v>0</v>
      </c>
      <c r="H3810" s="115">
        <v>0</v>
      </c>
      <c r="I3810" s="115">
        <v>0</v>
      </c>
      <c r="J3810" s="115">
        <v>0</v>
      </c>
      <c r="K3810" s="115">
        <v>0</v>
      </c>
    </row>
    <row r="3811" spans="1:11" x14ac:dyDescent="0.25">
      <c r="B3811" s="115" t="s">
        <v>1241</v>
      </c>
      <c r="D3811" s="115" t="s">
        <v>8710</v>
      </c>
      <c r="E3811" s="115" t="s">
        <v>1242</v>
      </c>
      <c r="F3811" s="115">
        <v>0</v>
      </c>
      <c r="G3811" s="115">
        <v>0</v>
      </c>
      <c r="H3811" s="115">
        <v>0</v>
      </c>
      <c r="I3811" s="115">
        <v>0</v>
      </c>
      <c r="J3811" s="115">
        <v>0</v>
      </c>
      <c r="K3811" s="115">
        <v>0</v>
      </c>
    </row>
    <row r="3812" spans="1:11" x14ac:dyDescent="0.25">
      <c r="B3812" s="115" t="s">
        <v>1241</v>
      </c>
      <c r="D3812" s="115" t="s">
        <v>8710</v>
      </c>
      <c r="E3812" s="115" t="s">
        <v>1242</v>
      </c>
      <c r="F3812" s="115">
        <v>0</v>
      </c>
      <c r="G3812" s="115">
        <v>0</v>
      </c>
      <c r="H3812" s="115">
        <v>0</v>
      </c>
      <c r="I3812" s="115">
        <v>0</v>
      </c>
      <c r="J3812" s="115">
        <v>0</v>
      </c>
      <c r="K3812" s="115">
        <v>0</v>
      </c>
    </row>
    <row r="3813" spans="1:11" x14ac:dyDescent="0.25">
      <c r="B3813" s="115" t="s">
        <v>1241</v>
      </c>
      <c r="D3813" s="115" t="s">
        <v>8710</v>
      </c>
      <c r="E3813" s="115" t="s">
        <v>1242</v>
      </c>
      <c r="F3813" s="115">
        <v>0</v>
      </c>
      <c r="G3813" s="115">
        <v>0</v>
      </c>
      <c r="H3813" s="115">
        <v>0</v>
      </c>
      <c r="I3813" s="115">
        <v>0</v>
      </c>
      <c r="J3813" s="115">
        <v>0</v>
      </c>
      <c r="K3813" s="115">
        <v>0</v>
      </c>
    </row>
    <row r="3814" spans="1:11" x14ac:dyDescent="0.25">
      <c r="B3814" s="115" t="s">
        <v>1241</v>
      </c>
      <c r="D3814" s="115" t="s">
        <v>8710</v>
      </c>
      <c r="E3814" s="115" t="s">
        <v>1242</v>
      </c>
      <c r="F3814" s="115">
        <v>0</v>
      </c>
      <c r="G3814" s="115">
        <v>0</v>
      </c>
      <c r="H3814" s="115">
        <v>0</v>
      </c>
      <c r="I3814" s="115">
        <v>0</v>
      </c>
      <c r="J3814" s="115">
        <v>0</v>
      </c>
      <c r="K3814" s="115">
        <v>0</v>
      </c>
    </row>
    <row r="3815" spans="1:11" x14ac:dyDescent="0.25">
      <c r="B3815" s="115" t="s">
        <v>4019</v>
      </c>
      <c r="D3815" s="115" t="s">
        <v>10505</v>
      </c>
      <c r="E3815" s="115" t="s">
        <v>4020</v>
      </c>
      <c r="F3815" s="115">
        <v>2063</v>
      </c>
      <c r="G3815" s="115">
        <v>-20948</v>
      </c>
      <c r="H3815" s="115">
        <v>0</v>
      </c>
      <c r="I3815" s="115">
        <v>0</v>
      </c>
      <c r="J3815" s="115">
        <v>11</v>
      </c>
      <c r="K3815" s="115">
        <v>0</v>
      </c>
    </row>
    <row r="3816" spans="1:11" x14ac:dyDescent="0.25">
      <c r="B3816" s="115" t="s">
        <v>1241</v>
      </c>
      <c r="D3816" s="115" t="s">
        <v>10506</v>
      </c>
      <c r="E3816" s="115" t="s">
        <v>1242</v>
      </c>
      <c r="F3816" s="115">
        <v>0</v>
      </c>
      <c r="G3816" s="115">
        <v>0</v>
      </c>
      <c r="H3816" s="115">
        <v>0</v>
      </c>
      <c r="I3816" s="115">
        <v>0</v>
      </c>
      <c r="J3816" s="115">
        <v>0</v>
      </c>
      <c r="K3816" s="115">
        <v>0</v>
      </c>
    </row>
    <row r="3817" spans="1:11" x14ac:dyDescent="0.25">
      <c r="A3817" s="115" t="s">
        <v>1239</v>
      </c>
      <c r="B3817" s="115" t="s">
        <v>1590</v>
      </c>
      <c r="D3817" s="115" t="s">
        <v>10507</v>
      </c>
      <c r="E3817" s="115" t="s">
        <v>4021</v>
      </c>
      <c r="F3817" s="115">
        <v>0</v>
      </c>
      <c r="G3817" s="115">
        <v>960</v>
      </c>
      <c r="H3817" s="115">
        <v>0</v>
      </c>
      <c r="I3817" s="115">
        <v>25</v>
      </c>
      <c r="J3817" s="115">
        <v>146</v>
      </c>
      <c r="K3817" s="115">
        <v>71</v>
      </c>
    </row>
    <row r="3818" spans="1:11" x14ac:dyDescent="0.25">
      <c r="B3818" s="115" t="s">
        <v>4022</v>
      </c>
      <c r="D3818" s="115" t="s">
        <v>10508</v>
      </c>
      <c r="E3818" s="115" t="s">
        <v>4023</v>
      </c>
      <c r="F3818" s="115">
        <v>-9487</v>
      </c>
      <c r="G3818" s="115">
        <v>-3261</v>
      </c>
      <c r="H3818" s="115">
        <v>-850</v>
      </c>
      <c r="I3818" s="115">
        <v>0</v>
      </c>
      <c r="J3818" s="115">
        <v>188</v>
      </c>
      <c r="K3818" s="115">
        <v>0</v>
      </c>
    </row>
    <row r="3819" spans="1:11" x14ac:dyDescent="0.25">
      <c r="B3819" s="115" t="s">
        <v>1241</v>
      </c>
      <c r="D3819" s="115" t="s">
        <v>10509</v>
      </c>
      <c r="E3819" s="115" t="s">
        <v>4024</v>
      </c>
      <c r="F3819" s="115">
        <v>886</v>
      </c>
      <c r="G3819" s="115">
        <v>0</v>
      </c>
      <c r="H3819" s="115">
        <v>0</v>
      </c>
      <c r="I3819" s="115">
        <v>0</v>
      </c>
      <c r="J3819" s="115">
        <v>-695</v>
      </c>
      <c r="K3819" s="115">
        <v>0</v>
      </c>
    </row>
    <row r="3820" spans="1:11" x14ac:dyDescent="0.25">
      <c r="A3820" s="115" t="s">
        <v>1239</v>
      </c>
      <c r="B3820" s="115" t="s">
        <v>2787</v>
      </c>
      <c r="D3820" s="115" t="s">
        <v>10510</v>
      </c>
      <c r="E3820" s="115" t="s">
        <v>4025</v>
      </c>
      <c r="F3820" s="115">
        <v>0</v>
      </c>
      <c r="G3820" s="115">
        <v>0</v>
      </c>
      <c r="H3820" s="115">
        <v>236</v>
      </c>
      <c r="I3820" s="115">
        <v>0</v>
      </c>
      <c r="J3820" s="115">
        <v>3678</v>
      </c>
      <c r="K3820" s="115">
        <v>-403</v>
      </c>
    </row>
    <row r="3821" spans="1:11" x14ac:dyDescent="0.25">
      <c r="B3821" s="115" t="s">
        <v>1241</v>
      </c>
      <c r="D3821" s="115" t="s">
        <v>10511</v>
      </c>
      <c r="E3821" s="115" t="s">
        <v>4026</v>
      </c>
      <c r="F3821" s="115">
        <v>0</v>
      </c>
      <c r="G3821" s="115">
        <v>6237</v>
      </c>
      <c r="H3821" s="115">
        <v>0</v>
      </c>
      <c r="I3821" s="115">
        <v>0</v>
      </c>
      <c r="J3821" s="115">
        <v>0</v>
      </c>
      <c r="K3821" s="115">
        <v>0</v>
      </c>
    </row>
    <row r="3822" spans="1:11" x14ac:dyDescent="0.25">
      <c r="A3822" s="115">
        <v>9</v>
      </c>
      <c r="B3822" s="115" t="s">
        <v>4027</v>
      </c>
      <c r="D3822" s="115" t="s">
        <v>10512</v>
      </c>
      <c r="E3822" s="115" t="s">
        <v>4028</v>
      </c>
      <c r="F3822" s="115">
        <v>0</v>
      </c>
      <c r="G3822" s="115">
        <v>1584</v>
      </c>
      <c r="H3822" s="115">
        <v>986</v>
      </c>
      <c r="I3822" s="115">
        <v>0</v>
      </c>
      <c r="J3822" s="115">
        <v>709</v>
      </c>
      <c r="K3822" s="115">
        <v>4472</v>
      </c>
    </row>
    <row r="3823" spans="1:11" x14ac:dyDescent="0.25">
      <c r="B3823" s="115" t="s">
        <v>4029</v>
      </c>
      <c r="D3823" s="115" t="s">
        <v>10513</v>
      </c>
      <c r="E3823" s="115" t="s">
        <v>1242</v>
      </c>
      <c r="F3823" s="115">
        <v>5127</v>
      </c>
      <c r="G3823" s="115">
        <v>0</v>
      </c>
      <c r="H3823" s="115">
        <v>0</v>
      </c>
      <c r="I3823" s="115">
        <v>0</v>
      </c>
      <c r="J3823" s="115">
        <v>0</v>
      </c>
      <c r="K3823" s="115">
        <v>0</v>
      </c>
    </row>
    <row r="3824" spans="1:11" x14ac:dyDescent="0.25">
      <c r="A3824" s="115">
        <v>-1</v>
      </c>
      <c r="B3824" s="115" t="s">
        <v>4030</v>
      </c>
      <c r="D3824" s="115" t="s">
        <v>10514</v>
      </c>
      <c r="E3824" s="115" t="s">
        <v>4031</v>
      </c>
      <c r="F3824" s="115">
        <v>-3242</v>
      </c>
      <c r="G3824" s="115">
        <v>0</v>
      </c>
      <c r="H3824" s="115">
        <v>1146</v>
      </c>
      <c r="I3824" s="115">
        <v>362</v>
      </c>
      <c r="J3824" s="115">
        <v>-811</v>
      </c>
      <c r="K3824" s="115">
        <v>-995</v>
      </c>
    </row>
    <row r="3825" spans="1:11" x14ac:dyDescent="0.25">
      <c r="A3825" s="115">
        <v>-2</v>
      </c>
      <c r="B3825" s="115" t="s">
        <v>4032</v>
      </c>
      <c r="C3825" s="115">
        <v>-3</v>
      </c>
      <c r="D3825" s="115" t="s">
        <v>10515</v>
      </c>
      <c r="E3825" s="115" t="s">
        <v>4033</v>
      </c>
      <c r="F3825" s="115">
        <v>-108</v>
      </c>
      <c r="G3825" s="115">
        <v>-54</v>
      </c>
      <c r="H3825" s="115">
        <v>0</v>
      </c>
      <c r="I3825" s="115">
        <v>-7</v>
      </c>
      <c r="J3825" s="115">
        <v>-1215</v>
      </c>
      <c r="K3825" s="115">
        <v>0</v>
      </c>
    </row>
    <row r="3826" spans="1:11" x14ac:dyDescent="0.25">
      <c r="B3826" s="115" t="s">
        <v>1241</v>
      </c>
      <c r="D3826" s="115" t="s">
        <v>10516</v>
      </c>
      <c r="E3826" s="115" t="s">
        <v>4034</v>
      </c>
      <c r="F3826" s="115">
        <v>0</v>
      </c>
      <c r="G3826" s="115">
        <v>174</v>
      </c>
      <c r="H3826" s="115">
        <v>883</v>
      </c>
      <c r="I3826" s="115">
        <v>-113</v>
      </c>
      <c r="J3826" s="115">
        <v>-697</v>
      </c>
      <c r="K3826" s="115">
        <v>0</v>
      </c>
    </row>
    <row r="3827" spans="1:11" x14ac:dyDescent="0.25">
      <c r="B3827" s="115" t="s">
        <v>1241</v>
      </c>
      <c r="D3827" s="115" t="s">
        <v>10517</v>
      </c>
      <c r="E3827" s="115" t="s">
        <v>4035</v>
      </c>
      <c r="F3827" s="115">
        <v>-211</v>
      </c>
      <c r="G3827" s="115">
        <v>0</v>
      </c>
      <c r="H3827" s="115">
        <v>973</v>
      </c>
      <c r="I3827" s="115">
        <v>40</v>
      </c>
      <c r="J3827" s="115">
        <v>473</v>
      </c>
      <c r="K3827" s="115">
        <v>0</v>
      </c>
    </row>
    <row r="3828" spans="1:11" x14ac:dyDescent="0.25">
      <c r="A3828" s="115" t="s">
        <v>1239</v>
      </c>
      <c r="B3828" s="115" t="s">
        <v>4036</v>
      </c>
      <c r="D3828" s="115" t="s">
        <v>10518</v>
      </c>
      <c r="E3828" s="115" t="s">
        <v>4037</v>
      </c>
      <c r="F3828" s="115">
        <v>-1946</v>
      </c>
      <c r="G3828" s="115">
        <v>1015</v>
      </c>
      <c r="H3828" s="115">
        <v>-35294</v>
      </c>
      <c r="I3828" s="115">
        <v>-8048</v>
      </c>
      <c r="J3828" s="115">
        <v>0</v>
      </c>
      <c r="K3828" s="115">
        <v>-132</v>
      </c>
    </row>
    <row r="3829" spans="1:11" x14ac:dyDescent="0.25">
      <c r="B3829" s="115" t="s">
        <v>1241</v>
      </c>
      <c r="C3829" s="115" t="s">
        <v>1239</v>
      </c>
      <c r="D3829" s="115" t="s">
        <v>10519</v>
      </c>
      <c r="E3829" s="115" t="s">
        <v>4038</v>
      </c>
      <c r="F3829" s="115">
        <v>0</v>
      </c>
      <c r="G3829" s="115">
        <v>42</v>
      </c>
      <c r="H3829" s="115">
        <v>0</v>
      </c>
      <c r="I3829" s="115">
        <v>0</v>
      </c>
      <c r="J3829" s="115">
        <v>-73</v>
      </c>
      <c r="K3829" s="115">
        <v>0</v>
      </c>
    </row>
    <row r="3830" spans="1:11" x14ac:dyDescent="0.25">
      <c r="B3830" s="115" t="s">
        <v>4039</v>
      </c>
      <c r="D3830" s="115" t="s">
        <v>10520</v>
      </c>
      <c r="E3830" s="115" t="s">
        <v>4040</v>
      </c>
      <c r="F3830" s="115">
        <v>0</v>
      </c>
      <c r="G3830" s="115">
        <v>0</v>
      </c>
      <c r="H3830" s="115">
        <v>0</v>
      </c>
      <c r="I3830" s="115">
        <v>0</v>
      </c>
      <c r="J3830" s="115">
        <v>827</v>
      </c>
      <c r="K3830" s="115">
        <v>0</v>
      </c>
    </row>
    <row r="3831" spans="1:11" x14ac:dyDescent="0.25">
      <c r="B3831" s="115" t="s">
        <v>4041</v>
      </c>
      <c r="D3831" s="115" t="s">
        <v>10521</v>
      </c>
      <c r="E3831" s="115" t="s">
        <v>4042</v>
      </c>
      <c r="F3831" s="115">
        <v>1403</v>
      </c>
      <c r="G3831" s="115">
        <v>640</v>
      </c>
      <c r="H3831" s="115">
        <v>152</v>
      </c>
      <c r="I3831" s="115">
        <v>0</v>
      </c>
      <c r="J3831" s="115">
        <v>0</v>
      </c>
      <c r="K3831" s="115">
        <v>0</v>
      </c>
    </row>
    <row r="3832" spans="1:11" x14ac:dyDescent="0.25">
      <c r="A3832" s="115">
        <v>-42</v>
      </c>
      <c r="B3832" s="115" t="s">
        <v>4043</v>
      </c>
      <c r="D3832" s="115" t="s">
        <v>10522</v>
      </c>
      <c r="E3832" s="115" t="s">
        <v>4044</v>
      </c>
      <c r="F3832" s="115">
        <v>161</v>
      </c>
      <c r="G3832" s="115">
        <v>0</v>
      </c>
      <c r="H3832" s="115">
        <v>-1169</v>
      </c>
      <c r="I3832" s="115">
        <v>0</v>
      </c>
      <c r="J3832" s="115">
        <v>0</v>
      </c>
      <c r="K3832" s="115">
        <v>63</v>
      </c>
    </row>
    <row r="3833" spans="1:11" x14ac:dyDescent="0.25">
      <c r="B3833" s="115" t="s">
        <v>4045</v>
      </c>
      <c r="D3833" s="115" t="s">
        <v>10523</v>
      </c>
      <c r="E3833" s="115" t="s">
        <v>1242</v>
      </c>
      <c r="F3833" s="115">
        <v>0</v>
      </c>
      <c r="G3833" s="115">
        <v>0</v>
      </c>
      <c r="H3833" s="115">
        <v>0</v>
      </c>
      <c r="I3833" s="115">
        <v>0</v>
      </c>
      <c r="J3833" s="115">
        <v>0</v>
      </c>
      <c r="K3833" s="115">
        <v>0</v>
      </c>
    </row>
    <row r="3834" spans="1:11" x14ac:dyDescent="0.25">
      <c r="B3834" s="115" t="s">
        <v>1241</v>
      </c>
      <c r="D3834" s="115" t="s">
        <v>10524</v>
      </c>
      <c r="E3834" s="115" t="s">
        <v>4046</v>
      </c>
      <c r="F3834" s="115">
        <v>777</v>
      </c>
      <c r="G3834" s="115">
        <v>106</v>
      </c>
      <c r="H3834" s="115">
        <v>925</v>
      </c>
      <c r="I3834" s="115">
        <v>0</v>
      </c>
      <c r="J3834" s="115">
        <v>498</v>
      </c>
      <c r="K3834" s="115">
        <v>-3811</v>
      </c>
    </row>
    <row r="3835" spans="1:11" x14ac:dyDescent="0.25">
      <c r="B3835" s="115" t="s">
        <v>1241</v>
      </c>
      <c r="D3835" s="115" t="s">
        <v>10525</v>
      </c>
      <c r="E3835" s="115" t="s">
        <v>4047</v>
      </c>
      <c r="F3835" s="115">
        <v>0</v>
      </c>
      <c r="G3835" s="115">
        <v>-1548</v>
      </c>
      <c r="H3835" s="115">
        <v>6195</v>
      </c>
      <c r="I3835" s="115">
        <v>1197</v>
      </c>
      <c r="J3835" s="115">
        <v>-348</v>
      </c>
      <c r="K3835" s="115">
        <v>-2517</v>
      </c>
    </row>
    <row r="3836" spans="1:11" x14ac:dyDescent="0.25">
      <c r="A3836" s="115">
        <v>1</v>
      </c>
      <c r="B3836" s="115" t="s">
        <v>1773</v>
      </c>
      <c r="D3836" s="115" t="s">
        <v>10526</v>
      </c>
      <c r="E3836" s="115" t="s">
        <v>4048</v>
      </c>
      <c r="F3836" s="115">
        <v>0</v>
      </c>
      <c r="G3836" s="115">
        <v>4731</v>
      </c>
      <c r="H3836" s="115">
        <v>0</v>
      </c>
      <c r="I3836" s="115">
        <v>2972</v>
      </c>
      <c r="J3836" s="115">
        <v>0</v>
      </c>
      <c r="K3836" s="115">
        <v>0</v>
      </c>
    </row>
    <row r="3837" spans="1:11" x14ac:dyDescent="0.25">
      <c r="A3837" s="115">
        <v>3</v>
      </c>
      <c r="B3837" s="115" t="s">
        <v>4049</v>
      </c>
      <c r="D3837" s="115" t="s">
        <v>10527</v>
      </c>
      <c r="E3837" s="115" t="s">
        <v>4050</v>
      </c>
      <c r="F3837" s="115">
        <v>0</v>
      </c>
      <c r="G3837" s="115">
        <v>0</v>
      </c>
      <c r="H3837" s="115">
        <v>-760</v>
      </c>
      <c r="I3837" s="115">
        <v>0</v>
      </c>
      <c r="J3837" s="115">
        <v>3935</v>
      </c>
      <c r="K3837" s="115">
        <v>46</v>
      </c>
    </row>
    <row r="3838" spans="1:11" x14ac:dyDescent="0.25">
      <c r="A3838" s="115">
        <v>-6</v>
      </c>
      <c r="B3838" s="115" t="s">
        <v>4051</v>
      </c>
      <c r="D3838" s="115" t="s">
        <v>10528</v>
      </c>
      <c r="E3838" s="115" t="s">
        <v>4052</v>
      </c>
      <c r="F3838" s="115">
        <v>2319</v>
      </c>
      <c r="G3838" s="115">
        <v>-9</v>
      </c>
      <c r="H3838" s="115">
        <v>22423</v>
      </c>
      <c r="I3838" s="115">
        <v>5369</v>
      </c>
      <c r="J3838" s="115">
        <v>0</v>
      </c>
      <c r="K3838" s="115">
        <v>0</v>
      </c>
    </row>
    <row r="3839" spans="1:11" x14ac:dyDescent="0.25">
      <c r="B3839" s="115" t="s">
        <v>1241</v>
      </c>
      <c r="D3839" s="115" t="s">
        <v>10529</v>
      </c>
      <c r="E3839" s="115" t="s">
        <v>4053</v>
      </c>
      <c r="F3839" s="115">
        <v>0</v>
      </c>
      <c r="G3839" s="115">
        <v>-15</v>
      </c>
      <c r="H3839" s="115">
        <v>140</v>
      </c>
      <c r="I3839" s="115">
        <v>-1543</v>
      </c>
      <c r="J3839" s="115">
        <v>73</v>
      </c>
      <c r="K3839" s="115">
        <v>-936</v>
      </c>
    </row>
    <row r="3840" spans="1:11" x14ac:dyDescent="0.25">
      <c r="A3840" s="115" t="s">
        <v>1239</v>
      </c>
      <c r="B3840" s="115" t="s">
        <v>4054</v>
      </c>
      <c r="D3840" s="115" t="s">
        <v>10530</v>
      </c>
      <c r="E3840" s="115" t="s">
        <v>4055</v>
      </c>
      <c r="F3840" s="115">
        <v>0</v>
      </c>
      <c r="G3840" s="115">
        <v>313</v>
      </c>
      <c r="H3840" s="115">
        <v>-1540</v>
      </c>
      <c r="I3840" s="115">
        <v>0</v>
      </c>
      <c r="J3840" s="115">
        <v>0</v>
      </c>
      <c r="K3840" s="115">
        <v>0</v>
      </c>
    </row>
    <row r="3841" spans="1:11" x14ac:dyDescent="0.25">
      <c r="B3841" s="115" t="s">
        <v>4056</v>
      </c>
      <c r="D3841" s="115" t="s">
        <v>10531</v>
      </c>
      <c r="E3841" s="115" t="s">
        <v>4057</v>
      </c>
      <c r="F3841" s="115">
        <v>769</v>
      </c>
      <c r="G3841" s="115">
        <v>-321</v>
      </c>
      <c r="H3841" s="115">
        <v>498</v>
      </c>
      <c r="I3841" s="115">
        <v>-4277</v>
      </c>
      <c r="J3841" s="115">
        <v>0</v>
      </c>
      <c r="K3841" s="115">
        <v>0</v>
      </c>
    </row>
    <row r="3842" spans="1:11" x14ac:dyDescent="0.25">
      <c r="B3842" s="115" t="s">
        <v>4058</v>
      </c>
      <c r="D3842" s="115" t="s">
        <v>10532</v>
      </c>
      <c r="E3842" s="115" t="s">
        <v>4059</v>
      </c>
      <c r="F3842" s="115">
        <v>484</v>
      </c>
      <c r="G3842" s="115">
        <v>-642</v>
      </c>
      <c r="H3842" s="115">
        <v>0</v>
      </c>
      <c r="I3842" s="115">
        <v>0</v>
      </c>
      <c r="J3842" s="115">
        <v>0</v>
      </c>
      <c r="K3842" s="115">
        <v>0</v>
      </c>
    </row>
    <row r="3843" spans="1:11" x14ac:dyDescent="0.25">
      <c r="B3843" s="115" t="s">
        <v>1241</v>
      </c>
      <c r="D3843" s="115" t="s">
        <v>10533</v>
      </c>
      <c r="E3843" s="115" t="s">
        <v>4060</v>
      </c>
      <c r="F3843" s="115">
        <v>0</v>
      </c>
      <c r="G3843" s="115">
        <v>-459</v>
      </c>
      <c r="H3843" s="115">
        <v>0</v>
      </c>
      <c r="I3843" s="115">
        <v>419</v>
      </c>
      <c r="J3843" s="115">
        <v>0</v>
      </c>
      <c r="K3843" s="115">
        <v>484</v>
      </c>
    </row>
    <row r="3844" spans="1:11" x14ac:dyDescent="0.25">
      <c r="A3844" s="115" t="s">
        <v>1239</v>
      </c>
      <c r="B3844" s="115" t="s">
        <v>4061</v>
      </c>
      <c r="D3844" s="115" t="s">
        <v>10534</v>
      </c>
      <c r="E3844" s="115" t="s">
        <v>4062</v>
      </c>
      <c r="F3844" s="115">
        <v>-4451</v>
      </c>
      <c r="G3844" s="115">
        <v>-31</v>
      </c>
      <c r="H3844" s="115">
        <v>-1161</v>
      </c>
      <c r="I3844" s="115">
        <v>-3786</v>
      </c>
      <c r="J3844" s="115">
        <v>1111</v>
      </c>
      <c r="K3844" s="115">
        <v>0</v>
      </c>
    </row>
    <row r="3845" spans="1:11" x14ac:dyDescent="0.25">
      <c r="B3845" s="115" t="s">
        <v>4063</v>
      </c>
      <c r="D3845" s="115" t="s">
        <v>10535</v>
      </c>
      <c r="E3845" s="115" t="s">
        <v>4064</v>
      </c>
      <c r="F3845" s="115">
        <v>0</v>
      </c>
      <c r="G3845" s="115">
        <v>0</v>
      </c>
      <c r="H3845" s="115">
        <v>750</v>
      </c>
      <c r="I3845" s="115">
        <v>0</v>
      </c>
      <c r="J3845" s="115">
        <v>0</v>
      </c>
      <c r="K3845" s="115">
        <v>0</v>
      </c>
    </row>
    <row r="3846" spans="1:11" x14ac:dyDescent="0.25">
      <c r="A3846" s="115" t="s">
        <v>1239</v>
      </c>
      <c r="B3846" s="115" t="s">
        <v>4065</v>
      </c>
      <c r="D3846" s="115" t="s">
        <v>10536</v>
      </c>
      <c r="E3846" s="115" t="s">
        <v>4066</v>
      </c>
      <c r="F3846" s="115">
        <v>0</v>
      </c>
      <c r="G3846" s="115">
        <v>0</v>
      </c>
      <c r="H3846" s="115">
        <v>0</v>
      </c>
      <c r="I3846" s="115">
        <v>0</v>
      </c>
      <c r="J3846" s="115">
        <v>426</v>
      </c>
      <c r="K3846" s="115">
        <v>0</v>
      </c>
    </row>
    <row r="3847" spans="1:11" x14ac:dyDescent="0.25">
      <c r="A3847" s="115">
        <v>8</v>
      </c>
      <c r="B3847" s="115" t="s">
        <v>4067</v>
      </c>
      <c r="D3847" s="115" t="s">
        <v>10537</v>
      </c>
      <c r="E3847" s="115" t="s">
        <v>4068</v>
      </c>
      <c r="F3847" s="115">
        <v>7518</v>
      </c>
      <c r="G3847" s="115">
        <v>9331</v>
      </c>
      <c r="H3847" s="115">
        <v>0</v>
      </c>
      <c r="I3847" s="115">
        <v>9413</v>
      </c>
      <c r="J3847" s="115">
        <v>0</v>
      </c>
      <c r="K3847" s="115">
        <v>0</v>
      </c>
    </row>
    <row r="3848" spans="1:11" x14ac:dyDescent="0.25">
      <c r="B3848" s="115" t="s">
        <v>1241</v>
      </c>
      <c r="C3848" s="115">
        <v>2</v>
      </c>
      <c r="D3848" s="115" t="s">
        <v>10538</v>
      </c>
      <c r="E3848" s="115" t="s">
        <v>4069</v>
      </c>
      <c r="F3848" s="115">
        <v>-249</v>
      </c>
      <c r="G3848" s="115">
        <v>0</v>
      </c>
      <c r="H3848" s="115">
        <v>0</v>
      </c>
      <c r="I3848" s="115">
        <v>829</v>
      </c>
      <c r="J3848" s="115">
        <v>1124</v>
      </c>
      <c r="K3848" s="115">
        <v>0</v>
      </c>
    </row>
    <row r="3849" spans="1:11" x14ac:dyDescent="0.25">
      <c r="B3849" s="115" t="s">
        <v>4070</v>
      </c>
      <c r="D3849" s="115" t="s">
        <v>10539</v>
      </c>
      <c r="E3849" s="115" t="s">
        <v>4071</v>
      </c>
      <c r="F3849" s="115">
        <v>10335</v>
      </c>
      <c r="G3849" s="115">
        <v>5164</v>
      </c>
      <c r="H3849" s="115">
        <v>6490</v>
      </c>
      <c r="I3849" s="115">
        <v>0</v>
      </c>
      <c r="J3849" s="115">
        <v>0</v>
      </c>
      <c r="K3849" s="115">
        <v>0</v>
      </c>
    </row>
    <row r="3850" spans="1:11" x14ac:dyDescent="0.25">
      <c r="B3850" s="115" t="s">
        <v>1241</v>
      </c>
      <c r="C3850" s="115">
        <v>-1</v>
      </c>
      <c r="D3850" s="115" t="s">
        <v>10540</v>
      </c>
      <c r="E3850" s="115" t="s">
        <v>4072</v>
      </c>
      <c r="F3850" s="115">
        <v>-15223</v>
      </c>
      <c r="G3850" s="115">
        <v>441</v>
      </c>
      <c r="H3850" s="115">
        <v>-4671</v>
      </c>
      <c r="I3850" s="115">
        <v>0</v>
      </c>
      <c r="J3850" s="115">
        <v>2241</v>
      </c>
      <c r="K3850" s="115">
        <v>775</v>
      </c>
    </row>
    <row r="3851" spans="1:11" x14ac:dyDescent="0.25">
      <c r="A3851" s="115" t="s">
        <v>1239</v>
      </c>
      <c r="B3851" s="115" t="s">
        <v>4073</v>
      </c>
      <c r="C3851" s="115" t="s">
        <v>1239</v>
      </c>
      <c r="D3851" s="115" t="s">
        <v>10541</v>
      </c>
      <c r="E3851" s="115" t="s">
        <v>4074</v>
      </c>
      <c r="F3851" s="115">
        <v>-5597</v>
      </c>
      <c r="G3851" s="115">
        <v>-34146</v>
      </c>
      <c r="H3851" s="115">
        <v>1281</v>
      </c>
      <c r="I3851" s="115">
        <v>-232</v>
      </c>
      <c r="J3851" s="115">
        <v>0</v>
      </c>
      <c r="K3851" s="115">
        <v>-105</v>
      </c>
    </row>
    <row r="3852" spans="1:11" x14ac:dyDescent="0.25">
      <c r="A3852" s="115">
        <v>2</v>
      </c>
      <c r="B3852" s="115" t="s">
        <v>4075</v>
      </c>
      <c r="D3852" s="115" t="s">
        <v>10542</v>
      </c>
      <c r="E3852" s="115" t="s">
        <v>4076</v>
      </c>
      <c r="F3852" s="115">
        <v>-23</v>
      </c>
      <c r="G3852" s="115">
        <v>863</v>
      </c>
      <c r="H3852" s="115">
        <v>0</v>
      </c>
      <c r="I3852" s="115">
        <v>208</v>
      </c>
      <c r="J3852" s="115">
        <v>783</v>
      </c>
      <c r="K3852" s="115">
        <v>-256</v>
      </c>
    </row>
    <row r="3853" spans="1:11" x14ac:dyDescent="0.25">
      <c r="A3853" s="115" t="s">
        <v>1239</v>
      </c>
      <c r="B3853" s="115" t="s">
        <v>4077</v>
      </c>
      <c r="D3853" s="115" t="s">
        <v>10543</v>
      </c>
      <c r="E3853" s="115" t="s">
        <v>4078</v>
      </c>
      <c r="F3853" s="115">
        <v>0</v>
      </c>
      <c r="G3853" s="115">
        <v>0</v>
      </c>
      <c r="H3853" s="115">
        <v>-1627</v>
      </c>
      <c r="I3853" s="115">
        <v>0</v>
      </c>
      <c r="J3853" s="115">
        <v>-343</v>
      </c>
      <c r="K3853" s="115">
        <v>-189</v>
      </c>
    </row>
    <row r="3854" spans="1:11" x14ac:dyDescent="0.25">
      <c r="B3854" s="115" t="s">
        <v>4079</v>
      </c>
      <c r="D3854" s="115" t="s">
        <v>10544</v>
      </c>
      <c r="E3854" s="115" t="s">
        <v>4080</v>
      </c>
      <c r="F3854" s="115">
        <v>-276</v>
      </c>
      <c r="G3854" s="115">
        <v>368</v>
      </c>
      <c r="H3854" s="115">
        <v>-2676</v>
      </c>
      <c r="I3854" s="115">
        <v>1297</v>
      </c>
      <c r="J3854" s="115">
        <v>-6105</v>
      </c>
      <c r="K3854" s="115">
        <v>-33300</v>
      </c>
    </row>
    <row r="3855" spans="1:11" x14ac:dyDescent="0.25">
      <c r="B3855" s="115" t="s">
        <v>4081</v>
      </c>
      <c r="D3855" s="115" t="s">
        <v>10545</v>
      </c>
      <c r="E3855" s="115" t="s">
        <v>4082</v>
      </c>
      <c r="F3855" s="115">
        <v>2605</v>
      </c>
      <c r="G3855" s="115">
        <v>-106</v>
      </c>
      <c r="H3855" s="115">
        <v>0</v>
      </c>
      <c r="I3855" s="115">
        <v>-180</v>
      </c>
      <c r="J3855" s="115">
        <v>0</v>
      </c>
      <c r="K3855" s="115">
        <v>0</v>
      </c>
    </row>
    <row r="3856" spans="1:11" x14ac:dyDescent="0.25">
      <c r="A3856" s="115" t="s">
        <v>1239</v>
      </c>
      <c r="B3856" s="115" t="s">
        <v>1711</v>
      </c>
      <c r="D3856" s="115" t="s">
        <v>10546</v>
      </c>
      <c r="E3856" s="115" t="s">
        <v>1242</v>
      </c>
      <c r="F3856" s="115">
        <v>-743</v>
      </c>
      <c r="G3856" s="115">
        <v>0</v>
      </c>
      <c r="H3856" s="115">
        <v>0</v>
      </c>
      <c r="I3856" s="115">
        <v>0</v>
      </c>
      <c r="J3856" s="115">
        <v>0</v>
      </c>
      <c r="K3856" s="115">
        <v>0</v>
      </c>
    </row>
    <row r="3857" spans="1:11" x14ac:dyDescent="0.25">
      <c r="A3857" s="115">
        <v>-3</v>
      </c>
      <c r="B3857" s="115" t="s">
        <v>1973</v>
      </c>
      <c r="D3857" s="115" t="s">
        <v>10547</v>
      </c>
      <c r="E3857" s="115" t="s">
        <v>4083</v>
      </c>
      <c r="F3857" s="115">
        <v>616</v>
      </c>
      <c r="G3857" s="115">
        <v>0</v>
      </c>
      <c r="H3857" s="115">
        <v>1945</v>
      </c>
      <c r="I3857" s="115">
        <v>587</v>
      </c>
      <c r="J3857" s="115">
        <v>147</v>
      </c>
      <c r="K3857" s="115">
        <v>0</v>
      </c>
    </row>
    <row r="3858" spans="1:11" x14ac:dyDescent="0.25">
      <c r="B3858" s="115" t="s">
        <v>1241</v>
      </c>
      <c r="C3858" s="115" t="s">
        <v>1239</v>
      </c>
      <c r="D3858" s="115" t="s">
        <v>10548</v>
      </c>
      <c r="E3858" s="115" t="s">
        <v>4084</v>
      </c>
      <c r="F3858" s="115">
        <v>1870</v>
      </c>
      <c r="G3858" s="115">
        <v>-148</v>
      </c>
      <c r="H3858" s="115">
        <v>71</v>
      </c>
      <c r="I3858" s="115">
        <v>0</v>
      </c>
      <c r="J3858" s="115">
        <v>1322</v>
      </c>
      <c r="K3858" s="115">
        <v>0</v>
      </c>
    </row>
    <row r="3859" spans="1:11" x14ac:dyDescent="0.25">
      <c r="B3859" s="115" t="s">
        <v>4085</v>
      </c>
      <c r="D3859" s="115" t="s">
        <v>10549</v>
      </c>
      <c r="E3859" s="115" t="s">
        <v>4086</v>
      </c>
      <c r="F3859" s="115">
        <v>0</v>
      </c>
      <c r="G3859" s="115">
        <v>-161</v>
      </c>
      <c r="H3859" s="115">
        <v>0</v>
      </c>
      <c r="I3859" s="115">
        <v>0</v>
      </c>
      <c r="J3859" s="115">
        <v>0</v>
      </c>
      <c r="K3859" s="115">
        <v>0</v>
      </c>
    </row>
    <row r="3860" spans="1:11" x14ac:dyDescent="0.25">
      <c r="B3860" s="115" t="s">
        <v>1241</v>
      </c>
      <c r="D3860" s="115" t="s">
        <v>10550</v>
      </c>
      <c r="E3860" s="115" t="s">
        <v>4087</v>
      </c>
      <c r="F3860" s="115">
        <v>-1479</v>
      </c>
      <c r="G3860" s="115">
        <v>0</v>
      </c>
      <c r="H3860" s="115">
        <v>-283</v>
      </c>
      <c r="I3860" s="115">
        <v>-136</v>
      </c>
      <c r="J3860" s="115">
        <v>463</v>
      </c>
      <c r="K3860" s="115">
        <v>0</v>
      </c>
    </row>
    <row r="3861" spans="1:11" x14ac:dyDescent="0.25">
      <c r="A3861" s="115">
        <v>7</v>
      </c>
      <c r="B3861" s="115" t="s">
        <v>4088</v>
      </c>
      <c r="D3861" s="115" t="s">
        <v>10551</v>
      </c>
      <c r="E3861" s="115" t="s">
        <v>4089</v>
      </c>
      <c r="F3861" s="115">
        <v>0</v>
      </c>
      <c r="G3861" s="115">
        <v>0</v>
      </c>
      <c r="H3861" s="115">
        <v>0</v>
      </c>
      <c r="I3861" s="115">
        <v>-42387</v>
      </c>
      <c r="J3861" s="115">
        <v>660</v>
      </c>
      <c r="K3861" s="115">
        <v>867</v>
      </c>
    </row>
    <row r="3862" spans="1:11" x14ac:dyDescent="0.25">
      <c r="B3862" s="115" t="s">
        <v>4090</v>
      </c>
      <c r="D3862" s="115" t="s">
        <v>10552</v>
      </c>
      <c r="E3862" s="115" t="s">
        <v>4091</v>
      </c>
      <c r="F3862" s="115">
        <v>0</v>
      </c>
      <c r="G3862" s="115">
        <v>0</v>
      </c>
      <c r="H3862" s="115">
        <v>0</v>
      </c>
      <c r="I3862" s="115">
        <v>3463</v>
      </c>
      <c r="J3862" s="115">
        <v>0</v>
      </c>
      <c r="K3862" s="115">
        <v>2070</v>
      </c>
    </row>
    <row r="3863" spans="1:11" x14ac:dyDescent="0.25">
      <c r="B3863" s="115" t="s">
        <v>1241</v>
      </c>
      <c r="D3863" s="115" t="s">
        <v>10553</v>
      </c>
      <c r="E3863" s="115" t="s">
        <v>4092</v>
      </c>
      <c r="F3863" s="115">
        <v>0</v>
      </c>
      <c r="G3863" s="115">
        <v>0</v>
      </c>
      <c r="H3863" s="115">
        <v>0</v>
      </c>
      <c r="I3863" s="115">
        <v>0</v>
      </c>
      <c r="J3863" s="115">
        <v>-7526</v>
      </c>
      <c r="K3863" s="115">
        <v>0</v>
      </c>
    </row>
    <row r="3864" spans="1:11" x14ac:dyDescent="0.25">
      <c r="A3864" s="115">
        <v>10</v>
      </c>
      <c r="B3864" s="115" t="s">
        <v>4093</v>
      </c>
      <c r="C3864" s="115" t="s">
        <v>1239</v>
      </c>
      <c r="D3864" s="115" t="s">
        <v>10554</v>
      </c>
      <c r="E3864" s="115" t="s">
        <v>4094</v>
      </c>
      <c r="F3864" s="115">
        <v>1577</v>
      </c>
      <c r="G3864" s="115">
        <v>-1055</v>
      </c>
      <c r="H3864" s="115">
        <v>1217</v>
      </c>
      <c r="I3864" s="115">
        <v>952</v>
      </c>
      <c r="J3864" s="115">
        <v>5026</v>
      </c>
      <c r="K3864" s="115">
        <v>19953</v>
      </c>
    </row>
    <row r="3865" spans="1:11" x14ac:dyDescent="0.25">
      <c r="B3865" s="115" t="s">
        <v>1241</v>
      </c>
      <c r="D3865" s="115" t="s">
        <v>10555</v>
      </c>
      <c r="E3865" s="115" t="s">
        <v>4095</v>
      </c>
      <c r="F3865" s="115">
        <v>0</v>
      </c>
      <c r="G3865" s="115">
        <v>0</v>
      </c>
      <c r="H3865" s="115">
        <v>0</v>
      </c>
      <c r="I3865" s="115">
        <v>181</v>
      </c>
      <c r="J3865" s="115">
        <v>82</v>
      </c>
      <c r="K3865" s="115">
        <v>-1639</v>
      </c>
    </row>
    <row r="3866" spans="1:11" x14ac:dyDescent="0.25">
      <c r="B3866" s="115" t="s">
        <v>4096</v>
      </c>
      <c r="C3866" s="115" t="s">
        <v>1239</v>
      </c>
      <c r="D3866" s="115" t="s">
        <v>10556</v>
      </c>
      <c r="E3866" s="115" t="s">
        <v>4097</v>
      </c>
      <c r="F3866" s="115">
        <v>0</v>
      </c>
      <c r="G3866" s="115">
        <v>164</v>
      </c>
      <c r="H3866" s="115">
        <v>0</v>
      </c>
      <c r="I3866" s="115">
        <v>2057</v>
      </c>
      <c r="J3866" s="115">
        <v>-711</v>
      </c>
      <c r="K3866" s="115">
        <v>0</v>
      </c>
    </row>
    <row r="3867" spans="1:11" x14ac:dyDescent="0.25">
      <c r="B3867" s="115" t="s">
        <v>1241</v>
      </c>
      <c r="D3867" s="115" t="s">
        <v>10557</v>
      </c>
      <c r="E3867" s="115" t="s">
        <v>4098</v>
      </c>
      <c r="F3867" s="115">
        <v>0</v>
      </c>
      <c r="G3867" s="115">
        <v>21841</v>
      </c>
      <c r="H3867" s="115">
        <v>0</v>
      </c>
      <c r="I3867" s="115">
        <v>0</v>
      </c>
      <c r="J3867" s="115">
        <v>0</v>
      </c>
      <c r="K3867" s="115">
        <v>0</v>
      </c>
    </row>
    <row r="3868" spans="1:11" x14ac:dyDescent="0.25">
      <c r="B3868" s="115" t="s">
        <v>1241</v>
      </c>
      <c r="D3868" s="115" t="s">
        <v>8710</v>
      </c>
      <c r="E3868" s="115" t="s">
        <v>1242</v>
      </c>
      <c r="F3868" s="115">
        <v>0</v>
      </c>
      <c r="G3868" s="115">
        <v>0</v>
      </c>
      <c r="H3868" s="115">
        <v>0</v>
      </c>
      <c r="I3868" s="115">
        <v>0</v>
      </c>
      <c r="J3868" s="115">
        <v>0</v>
      </c>
      <c r="K3868" s="115">
        <v>0</v>
      </c>
    </row>
    <row r="3869" spans="1:11" x14ac:dyDescent="0.25">
      <c r="B3869" s="115" t="s">
        <v>1241</v>
      </c>
      <c r="D3869" s="115" t="s">
        <v>8710</v>
      </c>
      <c r="E3869" s="115" t="s">
        <v>1242</v>
      </c>
      <c r="F3869" s="115">
        <v>0</v>
      </c>
      <c r="G3869" s="115">
        <v>0</v>
      </c>
      <c r="H3869" s="115">
        <v>0</v>
      </c>
      <c r="I3869" s="115">
        <v>0</v>
      </c>
      <c r="J3869" s="115">
        <v>0</v>
      </c>
      <c r="K3869" s="115">
        <v>0</v>
      </c>
    </row>
    <row r="3870" spans="1:11" x14ac:dyDescent="0.25">
      <c r="B3870" s="115" t="s">
        <v>1241</v>
      </c>
      <c r="D3870" s="115" t="s">
        <v>8710</v>
      </c>
      <c r="E3870" s="115" t="s">
        <v>1242</v>
      </c>
      <c r="F3870" s="115">
        <v>0</v>
      </c>
      <c r="G3870" s="115">
        <v>0</v>
      </c>
      <c r="H3870" s="115">
        <v>0</v>
      </c>
      <c r="I3870" s="115">
        <v>0</v>
      </c>
      <c r="J3870" s="115">
        <v>0</v>
      </c>
      <c r="K3870" s="115">
        <v>0</v>
      </c>
    </row>
    <row r="3871" spans="1:11" x14ac:dyDescent="0.25">
      <c r="B3871" s="115" t="s">
        <v>1241</v>
      </c>
      <c r="D3871" s="115" t="s">
        <v>8710</v>
      </c>
      <c r="E3871" s="115" t="s">
        <v>1242</v>
      </c>
      <c r="F3871" s="115">
        <v>0</v>
      </c>
      <c r="G3871" s="115">
        <v>0</v>
      </c>
      <c r="H3871" s="115">
        <v>0</v>
      </c>
      <c r="I3871" s="115">
        <v>0</v>
      </c>
      <c r="J3871" s="115">
        <v>0</v>
      </c>
      <c r="K3871" s="115">
        <v>0</v>
      </c>
    </row>
    <row r="3872" spans="1:11" x14ac:dyDescent="0.25">
      <c r="B3872" s="115" t="s">
        <v>1241</v>
      </c>
      <c r="D3872" s="115" t="s">
        <v>8710</v>
      </c>
      <c r="E3872" s="115" t="s">
        <v>1242</v>
      </c>
      <c r="F3872" s="115">
        <v>0</v>
      </c>
      <c r="G3872" s="115">
        <v>0</v>
      </c>
      <c r="H3872" s="115">
        <v>0</v>
      </c>
      <c r="I3872" s="115">
        <v>0</v>
      </c>
      <c r="J3872" s="115">
        <v>0</v>
      </c>
      <c r="K3872" s="115">
        <v>0</v>
      </c>
    </row>
    <row r="3873" spans="2:11" x14ac:dyDescent="0.25">
      <c r="B3873" s="115" t="s">
        <v>1241</v>
      </c>
      <c r="D3873" s="115" t="s">
        <v>8710</v>
      </c>
      <c r="E3873" s="115" t="s">
        <v>1242</v>
      </c>
      <c r="F3873" s="115">
        <v>0</v>
      </c>
      <c r="G3873" s="115">
        <v>0</v>
      </c>
      <c r="H3873" s="115">
        <v>0</v>
      </c>
      <c r="I3873" s="115">
        <v>0</v>
      </c>
      <c r="J3873" s="115">
        <v>0</v>
      </c>
      <c r="K3873" s="115">
        <v>0</v>
      </c>
    </row>
    <row r="3874" spans="2:11" x14ac:dyDescent="0.25">
      <c r="B3874" s="115" t="s">
        <v>1241</v>
      </c>
      <c r="D3874" s="115" t="s">
        <v>8710</v>
      </c>
      <c r="E3874" s="115" t="s">
        <v>1242</v>
      </c>
      <c r="F3874" s="115">
        <v>0</v>
      </c>
      <c r="G3874" s="115">
        <v>0</v>
      </c>
      <c r="H3874" s="115">
        <v>0</v>
      </c>
      <c r="I3874" s="115">
        <v>0</v>
      </c>
      <c r="J3874" s="115">
        <v>0</v>
      </c>
      <c r="K3874" s="115">
        <v>0</v>
      </c>
    </row>
    <row r="3875" spans="2:11" x14ac:dyDescent="0.25">
      <c r="B3875" s="115" t="s">
        <v>1241</v>
      </c>
      <c r="D3875" s="115" t="s">
        <v>8710</v>
      </c>
      <c r="E3875" s="115" t="s">
        <v>1242</v>
      </c>
      <c r="F3875" s="115">
        <v>0</v>
      </c>
      <c r="G3875" s="115">
        <v>0</v>
      </c>
      <c r="H3875" s="115">
        <v>0</v>
      </c>
      <c r="I3875" s="115">
        <v>0</v>
      </c>
      <c r="J3875" s="115">
        <v>0</v>
      </c>
      <c r="K3875" s="115">
        <v>0</v>
      </c>
    </row>
    <row r="3876" spans="2:11" x14ac:dyDescent="0.25">
      <c r="B3876" s="115" t="s">
        <v>1241</v>
      </c>
      <c r="D3876" s="115" t="s">
        <v>8710</v>
      </c>
      <c r="E3876" s="115" t="s">
        <v>1242</v>
      </c>
      <c r="F3876" s="115">
        <v>0</v>
      </c>
      <c r="G3876" s="115">
        <v>0</v>
      </c>
      <c r="H3876" s="115">
        <v>0</v>
      </c>
      <c r="I3876" s="115">
        <v>0</v>
      </c>
      <c r="J3876" s="115">
        <v>0</v>
      </c>
      <c r="K3876" s="115">
        <v>0</v>
      </c>
    </row>
    <row r="3877" spans="2:11" x14ac:dyDescent="0.25">
      <c r="B3877" s="115" t="s">
        <v>1241</v>
      </c>
      <c r="D3877" s="115" t="s">
        <v>8710</v>
      </c>
      <c r="E3877" s="115" t="s">
        <v>1242</v>
      </c>
      <c r="F3877" s="115">
        <v>0</v>
      </c>
      <c r="G3877" s="115">
        <v>0</v>
      </c>
      <c r="H3877" s="115">
        <v>0</v>
      </c>
      <c r="I3877" s="115">
        <v>0</v>
      </c>
      <c r="J3877" s="115">
        <v>0</v>
      </c>
      <c r="K3877" s="115">
        <v>0</v>
      </c>
    </row>
    <row r="3878" spans="2:11" x14ac:dyDescent="0.25">
      <c r="B3878" s="115" t="s">
        <v>1241</v>
      </c>
      <c r="D3878" s="115" t="s">
        <v>8710</v>
      </c>
      <c r="E3878" s="115" t="s">
        <v>1242</v>
      </c>
      <c r="F3878" s="115">
        <v>0</v>
      </c>
      <c r="G3878" s="115">
        <v>0</v>
      </c>
      <c r="H3878" s="115">
        <v>0</v>
      </c>
      <c r="I3878" s="115">
        <v>0</v>
      </c>
      <c r="J3878" s="115">
        <v>0</v>
      </c>
      <c r="K3878" s="115">
        <v>0</v>
      </c>
    </row>
    <row r="3879" spans="2:11" x14ac:dyDescent="0.25">
      <c r="B3879" s="115" t="s">
        <v>1241</v>
      </c>
      <c r="D3879" s="115" t="s">
        <v>8710</v>
      </c>
      <c r="E3879" s="115" t="s">
        <v>1242</v>
      </c>
      <c r="F3879" s="115">
        <v>0</v>
      </c>
      <c r="G3879" s="115">
        <v>0</v>
      </c>
      <c r="H3879" s="115">
        <v>0</v>
      </c>
      <c r="I3879" s="115">
        <v>0</v>
      </c>
      <c r="J3879" s="115">
        <v>0</v>
      </c>
      <c r="K3879" s="115">
        <v>0</v>
      </c>
    </row>
    <row r="3880" spans="2:11" x14ac:dyDescent="0.25">
      <c r="B3880" s="115" t="s">
        <v>1241</v>
      </c>
      <c r="D3880" s="115" t="s">
        <v>8710</v>
      </c>
      <c r="E3880" s="115" t="s">
        <v>1242</v>
      </c>
      <c r="F3880" s="115">
        <v>0</v>
      </c>
      <c r="G3880" s="115">
        <v>0</v>
      </c>
      <c r="H3880" s="115">
        <v>0</v>
      </c>
      <c r="I3880" s="115">
        <v>0</v>
      </c>
      <c r="J3880" s="115">
        <v>0</v>
      </c>
      <c r="K3880" s="115">
        <v>0</v>
      </c>
    </row>
    <row r="3881" spans="2:11" x14ac:dyDescent="0.25">
      <c r="B3881" s="115" t="s">
        <v>1241</v>
      </c>
      <c r="D3881" s="115" t="s">
        <v>8710</v>
      </c>
      <c r="E3881" s="115" t="s">
        <v>1242</v>
      </c>
      <c r="F3881" s="115">
        <v>0</v>
      </c>
      <c r="G3881" s="115">
        <v>0</v>
      </c>
      <c r="H3881" s="115">
        <v>0</v>
      </c>
      <c r="I3881" s="115">
        <v>0</v>
      </c>
      <c r="J3881" s="115">
        <v>0</v>
      </c>
      <c r="K3881" s="115">
        <v>0</v>
      </c>
    </row>
    <row r="3882" spans="2:11" x14ac:dyDescent="0.25">
      <c r="B3882" s="115" t="s">
        <v>1241</v>
      </c>
      <c r="D3882" s="115" t="s">
        <v>8710</v>
      </c>
      <c r="E3882" s="115" t="s">
        <v>1242</v>
      </c>
      <c r="F3882" s="115">
        <v>0</v>
      </c>
      <c r="G3882" s="115">
        <v>0</v>
      </c>
      <c r="H3882" s="115">
        <v>0</v>
      </c>
      <c r="I3882" s="115">
        <v>0</v>
      </c>
      <c r="J3882" s="115">
        <v>0</v>
      </c>
      <c r="K3882" s="115">
        <v>0</v>
      </c>
    </row>
    <row r="3883" spans="2:11" x14ac:dyDescent="0.25">
      <c r="B3883" s="115" t="s">
        <v>1241</v>
      </c>
      <c r="D3883" s="115" t="s">
        <v>8710</v>
      </c>
      <c r="E3883" s="115" t="s">
        <v>1242</v>
      </c>
      <c r="F3883" s="115">
        <v>0</v>
      </c>
      <c r="G3883" s="115">
        <v>0</v>
      </c>
      <c r="H3883" s="115">
        <v>0</v>
      </c>
      <c r="I3883" s="115">
        <v>0</v>
      </c>
      <c r="J3883" s="115">
        <v>0</v>
      </c>
      <c r="K3883" s="115">
        <v>0</v>
      </c>
    </row>
    <row r="3884" spans="2:11" x14ac:dyDescent="0.25">
      <c r="B3884" s="115" t="s">
        <v>1241</v>
      </c>
      <c r="D3884" s="115" t="s">
        <v>8710</v>
      </c>
      <c r="E3884" s="115" t="s">
        <v>1242</v>
      </c>
      <c r="F3884" s="115">
        <v>0</v>
      </c>
      <c r="G3884" s="115">
        <v>0</v>
      </c>
      <c r="H3884" s="115">
        <v>0</v>
      </c>
      <c r="I3884" s="115">
        <v>0</v>
      </c>
      <c r="J3884" s="115">
        <v>0</v>
      </c>
      <c r="K3884" s="115">
        <v>0</v>
      </c>
    </row>
    <row r="3885" spans="2:11" x14ac:dyDescent="0.25">
      <c r="B3885" s="115" t="s">
        <v>1241</v>
      </c>
      <c r="D3885" s="115" t="s">
        <v>8710</v>
      </c>
      <c r="E3885" s="115" t="s">
        <v>1242</v>
      </c>
      <c r="F3885" s="115">
        <v>0</v>
      </c>
      <c r="G3885" s="115">
        <v>0</v>
      </c>
      <c r="H3885" s="115">
        <v>0</v>
      </c>
      <c r="I3885" s="115">
        <v>0</v>
      </c>
      <c r="J3885" s="115">
        <v>0</v>
      </c>
      <c r="K3885" s="115">
        <v>0</v>
      </c>
    </row>
    <row r="3886" spans="2:11" x14ac:dyDescent="0.25">
      <c r="B3886" s="115" t="s">
        <v>1241</v>
      </c>
      <c r="D3886" s="115" t="s">
        <v>8710</v>
      </c>
      <c r="E3886" s="115" t="s">
        <v>1242</v>
      </c>
      <c r="F3886" s="115">
        <v>0</v>
      </c>
      <c r="G3886" s="115">
        <v>0</v>
      </c>
      <c r="H3886" s="115">
        <v>0</v>
      </c>
      <c r="I3886" s="115">
        <v>0</v>
      </c>
      <c r="J3886" s="115">
        <v>0</v>
      </c>
      <c r="K3886" s="115">
        <v>0</v>
      </c>
    </row>
    <row r="3887" spans="2:11" x14ac:dyDescent="0.25">
      <c r="B3887" s="115" t="s">
        <v>1241</v>
      </c>
      <c r="D3887" s="115" t="s">
        <v>8710</v>
      </c>
      <c r="E3887" s="115" t="s">
        <v>1242</v>
      </c>
      <c r="F3887" s="115">
        <v>0</v>
      </c>
      <c r="G3887" s="115">
        <v>0</v>
      </c>
      <c r="H3887" s="115">
        <v>0</v>
      </c>
      <c r="I3887" s="115">
        <v>0</v>
      </c>
      <c r="J3887" s="115">
        <v>0</v>
      </c>
      <c r="K3887" s="115">
        <v>0</v>
      </c>
    </row>
    <row r="3888" spans="2:11" x14ac:dyDescent="0.25">
      <c r="B3888" s="115" t="s">
        <v>1241</v>
      </c>
      <c r="D3888" s="115" t="s">
        <v>8710</v>
      </c>
      <c r="E3888" s="115" t="s">
        <v>1242</v>
      </c>
      <c r="F3888" s="115">
        <v>0</v>
      </c>
      <c r="G3888" s="115">
        <v>0</v>
      </c>
      <c r="H3888" s="115">
        <v>0</v>
      </c>
      <c r="I3888" s="115">
        <v>0</v>
      </c>
      <c r="J3888" s="115">
        <v>0</v>
      </c>
      <c r="K3888" s="115">
        <v>0</v>
      </c>
    </row>
    <row r="3889" spans="2:11" x14ac:dyDescent="0.25">
      <c r="B3889" s="115" t="s">
        <v>1241</v>
      </c>
      <c r="D3889" s="115" t="s">
        <v>8710</v>
      </c>
      <c r="E3889" s="115" t="s">
        <v>1242</v>
      </c>
      <c r="F3889" s="115">
        <v>0</v>
      </c>
      <c r="G3889" s="115">
        <v>0</v>
      </c>
      <c r="H3889" s="115">
        <v>0</v>
      </c>
      <c r="I3889" s="115">
        <v>0</v>
      </c>
      <c r="J3889" s="115">
        <v>0</v>
      </c>
      <c r="K3889" s="115">
        <v>0</v>
      </c>
    </row>
    <row r="3890" spans="2:11" x14ac:dyDescent="0.25">
      <c r="B3890" s="115" t="s">
        <v>1241</v>
      </c>
      <c r="D3890" s="115" t="s">
        <v>8710</v>
      </c>
      <c r="E3890" s="115" t="s">
        <v>1242</v>
      </c>
      <c r="F3890" s="115">
        <v>0</v>
      </c>
      <c r="G3890" s="115">
        <v>0</v>
      </c>
      <c r="H3890" s="115">
        <v>0</v>
      </c>
      <c r="I3890" s="115">
        <v>0</v>
      </c>
      <c r="J3890" s="115">
        <v>0</v>
      </c>
      <c r="K3890" s="115">
        <v>0</v>
      </c>
    </row>
    <row r="3891" spans="2:11" x14ac:dyDescent="0.25">
      <c r="B3891" s="115" t="s">
        <v>1241</v>
      </c>
      <c r="D3891" s="115" t="s">
        <v>8710</v>
      </c>
      <c r="E3891" s="115" t="s">
        <v>1242</v>
      </c>
      <c r="F3891" s="115">
        <v>0</v>
      </c>
      <c r="G3891" s="115">
        <v>0</v>
      </c>
      <c r="H3891" s="115">
        <v>0</v>
      </c>
      <c r="I3891" s="115">
        <v>0</v>
      </c>
      <c r="J3891" s="115">
        <v>0</v>
      </c>
      <c r="K3891" s="115">
        <v>0</v>
      </c>
    </row>
    <row r="3892" spans="2:11" x14ac:dyDescent="0.25">
      <c r="B3892" s="115" t="s">
        <v>1241</v>
      </c>
      <c r="D3892" s="115" t="s">
        <v>8710</v>
      </c>
      <c r="E3892" s="115" t="s">
        <v>1242</v>
      </c>
      <c r="F3892" s="115">
        <v>0</v>
      </c>
      <c r="G3892" s="115">
        <v>0</v>
      </c>
      <c r="H3892" s="115">
        <v>0</v>
      </c>
      <c r="I3892" s="115">
        <v>0</v>
      </c>
      <c r="J3892" s="115">
        <v>0</v>
      </c>
      <c r="K3892" s="115">
        <v>0</v>
      </c>
    </row>
    <row r="3893" spans="2:11" x14ac:dyDescent="0.25">
      <c r="B3893" s="115" t="s">
        <v>1241</v>
      </c>
      <c r="D3893" s="115" t="s">
        <v>8710</v>
      </c>
      <c r="E3893" s="115" t="s">
        <v>1242</v>
      </c>
      <c r="F3893" s="115">
        <v>0</v>
      </c>
      <c r="G3893" s="115">
        <v>0</v>
      </c>
      <c r="H3893" s="115">
        <v>0</v>
      </c>
      <c r="I3893" s="115">
        <v>0</v>
      </c>
      <c r="J3893" s="115">
        <v>0</v>
      </c>
      <c r="K3893" s="115">
        <v>0</v>
      </c>
    </row>
    <row r="3894" spans="2:11" x14ac:dyDescent="0.25">
      <c r="B3894" s="115" t="s">
        <v>1241</v>
      </c>
      <c r="D3894" s="115" t="s">
        <v>8710</v>
      </c>
      <c r="E3894" s="115" t="s">
        <v>1242</v>
      </c>
      <c r="F3894" s="115">
        <v>0</v>
      </c>
      <c r="G3894" s="115">
        <v>0</v>
      </c>
      <c r="H3894" s="115">
        <v>0</v>
      </c>
      <c r="I3894" s="115">
        <v>0</v>
      </c>
      <c r="J3894" s="115">
        <v>0</v>
      </c>
      <c r="K3894" s="115">
        <v>0</v>
      </c>
    </row>
    <row r="3895" spans="2:11" x14ac:dyDescent="0.25">
      <c r="B3895" s="115" t="s">
        <v>1241</v>
      </c>
      <c r="D3895" s="115" t="s">
        <v>8710</v>
      </c>
      <c r="E3895" s="115" t="s">
        <v>1242</v>
      </c>
      <c r="F3895" s="115">
        <v>0</v>
      </c>
      <c r="G3895" s="115">
        <v>0</v>
      </c>
      <c r="H3895" s="115">
        <v>0</v>
      </c>
      <c r="I3895" s="115">
        <v>0</v>
      </c>
      <c r="J3895" s="115">
        <v>0</v>
      </c>
      <c r="K3895" s="115">
        <v>0</v>
      </c>
    </row>
    <row r="3896" spans="2:11" x14ac:dyDescent="0.25">
      <c r="B3896" s="115" t="s">
        <v>1241</v>
      </c>
      <c r="D3896" s="115" t="s">
        <v>8710</v>
      </c>
      <c r="E3896" s="115" t="s">
        <v>1242</v>
      </c>
      <c r="F3896" s="115">
        <v>0</v>
      </c>
      <c r="G3896" s="115">
        <v>0</v>
      </c>
      <c r="H3896" s="115">
        <v>0</v>
      </c>
      <c r="I3896" s="115">
        <v>0</v>
      </c>
      <c r="J3896" s="115">
        <v>0</v>
      </c>
      <c r="K3896" s="115">
        <v>0</v>
      </c>
    </row>
    <row r="3897" spans="2:11" x14ac:dyDescent="0.25">
      <c r="B3897" s="115" t="s">
        <v>1241</v>
      </c>
      <c r="D3897" s="115" t="s">
        <v>8710</v>
      </c>
      <c r="E3897" s="115" t="s">
        <v>1242</v>
      </c>
      <c r="F3897" s="115">
        <v>0</v>
      </c>
      <c r="G3897" s="115">
        <v>0</v>
      </c>
      <c r="H3897" s="115">
        <v>0</v>
      </c>
      <c r="I3897" s="115">
        <v>0</v>
      </c>
      <c r="J3897" s="115">
        <v>0</v>
      </c>
      <c r="K3897" s="115">
        <v>0</v>
      </c>
    </row>
    <row r="3898" spans="2:11" x14ac:dyDescent="0.25">
      <c r="B3898" s="115" t="s">
        <v>1241</v>
      </c>
      <c r="D3898" s="115" t="s">
        <v>8710</v>
      </c>
      <c r="E3898" s="115" t="s">
        <v>1242</v>
      </c>
      <c r="F3898" s="115">
        <v>0</v>
      </c>
      <c r="G3898" s="115">
        <v>0</v>
      </c>
      <c r="H3898" s="115">
        <v>0</v>
      </c>
      <c r="I3898" s="115">
        <v>0</v>
      </c>
      <c r="J3898" s="115">
        <v>0</v>
      </c>
      <c r="K3898" s="115">
        <v>0</v>
      </c>
    </row>
    <row r="3899" spans="2:11" x14ac:dyDescent="0.25">
      <c r="B3899" s="115" t="s">
        <v>1241</v>
      </c>
      <c r="D3899" s="115" t="s">
        <v>8710</v>
      </c>
      <c r="E3899" s="115" t="s">
        <v>1242</v>
      </c>
      <c r="F3899" s="115">
        <v>0</v>
      </c>
      <c r="G3899" s="115">
        <v>0</v>
      </c>
      <c r="H3899" s="115">
        <v>0</v>
      </c>
      <c r="I3899" s="115">
        <v>0</v>
      </c>
      <c r="J3899" s="115">
        <v>0</v>
      </c>
      <c r="K3899" s="115">
        <v>0</v>
      </c>
    </row>
    <row r="3900" spans="2:11" x14ac:dyDescent="0.25">
      <c r="B3900" s="115" t="s">
        <v>1241</v>
      </c>
      <c r="D3900" s="115" t="s">
        <v>8710</v>
      </c>
      <c r="E3900" s="115" t="s">
        <v>1242</v>
      </c>
      <c r="F3900" s="115">
        <v>0</v>
      </c>
      <c r="G3900" s="115">
        <v>0</v>
      </c>
      <c r="H3900" s="115">
        <v>0</v>
      </c>
      <c r="I3900" s="115">
        <v>0</v>
      </c>
      <c r="J3900" s="115">
        <v>0</v>
      </c>
      <c r="K3900" s="115">
        <v>0</v>
      </c>
    </row>
    <row r="3901" spans="2:11" x14ac:dyDescent="0.25">
      <c r="B3901" s="115" t="s">
        <v>1241</v>
      </c>
      <c r="D3901" s="115" t="s">
        <v>8710</v>
      </c>
      <c r="E3901" s="115" t="s">
        <v>1242</v>
      </c>
      <c r="F3901" s="115">
        <v>0</v>
      </c>
      <c r="G3901" s="115">
        <v>0</v>
      </c>
      <c r="H3901" s="115">
        <v>0</v>
      </c>
      <c r="I3901" s="115">
        <v>0</v>
      </c>
      <c r="J3901" s="115">
        <v>0</v>
      </c>
      <c r="K3901" s="115">
        <v>0</v>
      </c>
    </row>
    <row r="3902" spans="2:11" x14ac:dyDescent="0.25">
      <c r="B3902" s="115" t="s">
        <v>1241</v>
      </c>
      <c r="D3902" s="115" t="s">
        <v>8710</v>
      </c>
      <c r="E3902" s="115" t="s">
        <v>1242</v>
      </c>
      <c r="F3902" s="115">
        <v>0</v>
      </c>
      <c r="G3902" s="115">
        <v>0</v>
      </c>
      <c r="H3902" s="115">
        <v>0</v>
      </c>
      <c r="I3902" s="115">
        <v>0</v>
      </c>
      <c r="J3902" s="115">
        <v>0</v>
      </c>
      <c r="K3902" s="115">
        <v>0</v>
      </c>
    </row>
    <row r="3903" spans="2:11" x14ac:dyDescent="0.25">
      <c r="B3903" s="115" t="s">
        <v>1241</v>
      </c>
      <c r="D3903" s="115" t="s">
        <v>8710</v>
      </c>
      <c r="E3903" s="115" t="s">
        <v>1242</v>
      </c>
      <c r="F3903" s="115">
        <v>0</v>
      </c>
      <c r="G3903" s="115">
        <v>0</v>
      </c>
      <c r="H3903" s="115">
        <v>0</v>
      </c>
      <c r="I3903" s="115">
        <v>0</v>
      </c>
      <c r="J3903" s="115">
        <v>0</v>
      </c>
      <c r="K3903" s="115">
        <v>0</v>
      </c>
    </row>
    <row r="3904" spans="2:11" x14ac:dyDescent="0.25">
      <c r="B3904" s="115" t="s">
        <v>1241</v>
      </c>
      <c r="D3904" s="115" t="s">
        <v>8710</v>
      </c>
      <c r="E3904" s="115" t="s">
        <v>1242</v>
      </c>
      <c r="F3904" s="115">
        <v>0</v>
      </c>
      <c r="G3904" s="115">
        <v>0</v>
      </c>
      <c r="H3904" s="115">
        <v>0</v>
      </c>
      <c r="I3904" s="115">
        <v>0</v>
      </c>
      <c r="J3904" s="115">
        <v>0</v>
      </c>
      <c r="K3904" s="115">
        <v>0</v>
      </c>
    </row>
    <row r="3905" spans="2:11" x14ac:dyDescent="0.25">
      <c r="B3905" s="115" t="s">
        <v>1241</v>
      </c>
      <c r="D3905" s="115" t="s">
        <v>8710</v>
      </c>
      <c r="E3905" s="115" t="s">
        <v>1242</v>
      </c>
      <c r="F3905" s="115">
        <v>0</v>
      </c>
      <c r="G3905" s="115">
        <v>0</v>
      </c>
      <c r="H3905" s="115">
        <v>0</v>
      </c>
      <c r="I3905" s="115">
        <v>0</v>
      </c>
      <c r="J3905" s="115">
        <v>0</v>
      </c>
      <c r="K3905" s="115">
        <v>0</v>
      </c>
    </row>
    <row r="3906" spans="2:11" x14ac:dyDescent="0.25">
      <c r="B3906" s="115" t="s">
        <v>1241</v>
      </c>
      <c r="D3906" s="115" t="s">
        <v>8710</v>
      </c>
      <c r="E3906" s="115" t="s">
        <v>1242</v>
      </c>
      <c r="F3906" s="115">
        <v>0</v>
      </c>
      <c r="G3906" s="115">
        <v>0</v>
      </c>
      <c r="H3906" s="115">
        <v>0</v>
      </c>
      <c r="I3906" s="115">
        <v>0</v>
      </c>
      <c r="J3906" s="115">
        <v>0</v>
      </c>
      <c r="K3906" s="115">
        <v>0</v>
      </c>
    </row>
    <row r="3907" spans="2:11" x14ac:dyDescent="0.25">
      <c r="B3907" s="115" t="s">
        <v>1241</v>
      </c>
      <c r="D3907" s="115" t="s">
        <v>8710</v>
      </c>
      <c r="E3907" s="115" t="s">
        <v>1242</v>
      </c>
      <c r="F3907" s="115">
        <v>0</v>
      </c>
      <c r="G3907" s="115">
        <v>0</v>
      </c>
      <c r="H3907" s="115">
        <v>0</v>
      </c>
      <c r="I3907" s="115">
        <v>0</v>
      </c>
      <c r="J3907" s="115">
        <v>0</v>
      </c>
      <c r="K3907" s="115">
        <v>0</v>
      </c>
    </row>
    <row r="3908" spans="2:11" x14ac:dyDescent="0.25">
      <c r="B3908" s="115" t="s">
        <v>1241</v>
      </c>
      <c r="D3908" s="115" t="s">
        <v>8710</v>
      </c>
      <c r="E3908" s="115" t="s">
        <v>1242</v>
      </c>
      <c r="F3908" s="115">
        <v>0</v>
      </c>
      <c r="G3908" s="115">
        <v>0</v>
      </c>
      <c r="H3908" s="115">
        <v>0</v>
      </c>
      <c r="I3908" s="115">
        <v>0</v>
      </c>
      <c r="J3908" s="115">
        <v>0</v>
      </c>
      <c r="K3908" s="115">
        <v>0</v>
      </c>
    </row>
    <row r="3909" spans="2:11" x14ac:dyDescent="0.25">
      <c r="B3909" s="115" t="s">
        <v>1241</v>
      </c>
      <c r="D3909" s="115" t="s">
        <v>8710</v>
      </c>
      <c r="E3909" s="115" t="s">
        <v>1242</v>
      </c>
      <c r="F3909" s="115">
        <v>0</v>
      </c>
      <c r="G3909" s="115">
        <v>0</v>
      </c>
      <c r="H3909" s="115">
        <v>0</v>
      </c>
      <c r="I3909" s="115">
        <v>0</v>
      </c>
      <c r="J3909" s="115">
        <v>0</v>
      </c>
      <c r="K3909" s="115">
        <v>0</v>
      </c>
    </row>
    <row r="3910" spans="2:11" x14ac:dyDescent="0.25">
      <c r="B3910" s="115" t="s">
        <v>1241</v>
      </c>
      <c r="D3910" s="115" t="s">
        <v>8710</v>
      </c>
      <c r="E3910" s="115" t="s">
        <v>1242</v>
      </c>
      <c r="F3910" s="115">
        <v>0</v>
      </c>
      <c r="G3910" s="115">
        <v>0</v>
      </c>
      <c r="H3910" s="115">
        <v>0</v>
      </c>
      <c r="I3910" s="115">
        <v>0</v>
      </c>
      <c r="J3910" s="115">
        <v>0</v>
      </c>
      <c r="K3910" s="115">
        <v>0</v>
      </c>
    </row>
    <row r="3911" spans="2:11" x14ac:dyDescent="0.25">
      <c r="B3911" s="115" t="s">
        <v>1241</v>
      </c>
      <c r="D3911" s="115" t="s">
        <v>8710</v>
      </c>
      <c r="E3911" s="115" t="s">
        <v>1242</v>
      </c>
      <c r="F3911" s="115">
        <v>0</v>
      </c>
      <c r="G3911" s="115">
        <v>0</v>
      </c>
      <c r="H3911" s="115">
        <v>0</v>
      </c>
      <c r="I3911" s="115">
        <v>0</v>
      </c>
      <c r="J3911" s="115">
        <v>0</v>
      </c>
      <c r="K3911" s="115">
        <v>0</v>
      </c>
    </row>
    <row r="3912" spans="2:11" x14ac:dyDescent="0.25">
      <c r="B3912" s="115" t="s">
        <v>1241</v>
      </c>
      <c r="D3912" s="115" t="s">
        <v>8710</v>
      </c>
      <c r="E3912" s="115" t="s">
        <v>1242</v>
      </c>
      <c r="F3912" s="115">
        <v>0</v>
      </c>
      <c r="G3912" s="115">
        <v>0</v>
      </c>
      <c r="H3912" s="115">
        <v>0</v>
      </c>
      <c r="I3912" s="115">
        <v>0</v>
      </c>
      <c r="J3912" s="115">
        <v>0</v>
      </c>
      <c r="K3912" s="115">
        <v>0</v>
      </c>
    </row>
    <row r="3913" spans="2:11" x14ac:dyDescent="0.25">
      <c r="B3913" s="115" t="s">
        <v>1241</v>
      </c>
      <c r="D3913" s="115" t="s">
        <v>8710</v>
      </c>
      <c r="E3913" s="115" t="s">
        <v>1242</v>
      </c>
      <c r="F3913" s="115">
        <v>0</v>
      </c>
      <c r="G3913" s="115">
        <v>0</v>
      </c>
      <c r="H3913" s="115">
        <v>0</v>
      </c>
      <c r="I3913" s="115">
        <v>0</v>
      </c>
      <c r="J3913" s="115">
        <v>0</v>
      </c>
      <c r="K3913" s="115">
        <v>0</v>
      </c>
    </row>
    <row r="3914" spans="2:11" x14ac:dyDescent="0.25">
      <c r="B3914" s="115" t="s">
        <v>1241</v>
      </c>
      <c r="D3914" s="115" t="s">
        <v>8710</v>
      </c>
      <c r="E3914" s="115" t="s">
        <v>1242</v>
      </c>
      <c r="F3914" s="115">
        <v>0</v>
      </c>
      <c r="G3914" s="115">
        <v>0</v>
      </c>
      <c r="H3914" s="115">
        <v>0</v>
      </c>
      <c r="I3914" s="115">
        <v>0</v>
      </c>
      <c r="J3914" s="115">
        <v>0</v>
      </c>
      <c r="K3914" s="115">
        <v>0</v>
      </c>
    </row>
    <row r="3915" spans="2:11" x14ac:dyDescent="0.25">
      <c r="B3915" s="115" t="s">
        <v>1241</v>
      </c>
      <c r="D3915" s="115" t="s">
        <v>8710</v>
      </c>
      <c r="E3915" s="115" t="s">
        <v>1242</v>
      </c>
      <c r="F3915" s="115">
        <v>0</v>
      </c>
      <c r="G3915" s="115">
        <v>0</v>
      </c>
      <c r="H3915" s="115">
        <v>0</v>
      </c>
      <c r="I3915" s="115">
        <v>0</v>
      </c>
      <c r="J3915" s="115">
        <v>0</v>
      </c>
      <c r="K3915" s="115">
        <v>0</v>
      </c>
    </row>
    <row r="3916" spans="2:11" x14ac:dyDescent="0.25">
      <c r="B3916" s="115" t="s">
        <v>1241</v>
      </c>
      <c r="D3916" s="115" t="s">
        <v>8710</v>
      </c>
      <c r="E3916" s="115" t="s">
        <v>1242</v>
      </c>
      <c r="F3916" s="115">
        <v>0</v>
      </c>
      <c r="G3916" s="115">
        <v>0</v>
      </c>
      <c r="H3916" s="115">
        <v>0</v>
      </c>
      <c r="I3916" s="115">
        <v>0</v>
      </c>
      <c r="J3916" s="115">
        <v>0</v>
      </c>
      <c r="K3916" s="115">
        <v>0</v>
      </c>
    </row>
    <row r="3917" spans="2:11" x14ac:dyDescent="0.25">
      <c r="B3917" s="115" t="s">
        <v>1241</v>
      </c>
      <c r="D3917" s="115" t="s">
        <v>8710</v>
      </c>
      <c r="E3917" s="115" t="s">
        <v>1242</v>
      </c>
      <c r="F3917" s="115">
        <v>0</v>
      </c>
      <c r="G3917" s="115">
        <v>0</v>
      </c>
      <c r="H3917" s="115">
        <v>0</v>
      </c>
      <c r="I3917" s="115">
        <v>0</v>
      </c>
      <c r="J3917" s="115">
        <v>0</v>
      </c>
      <c r="K3917" s="115">
        <v>0</v>
      </c>
    </row>
    <row r="3918" spans="2:11" x14ac:dyDescent="0.25">
      <c r="B3918" s="115" t="s">
        <v>1241</v>
      </c>
      <c r="D3918" s="115" t="s">
        <v>8710</v>
      </c>
      <c r="E3918" s="115" t="s">
        <v>1242</v>
      </c>
      <c r="F3918" s="115">
        <v>0</v>
      </c>
      <c r="G3918" s="115">
        <v>0</v>
      </c>
      <c r="H3918" s="115">
        <v>0</v>
      </c>
      <c r="I3918" s="115">
        <v>0</v>
      </c>
      <c r="J3918" s="115">
        <v>0</v>
      </c>
      <c r="K3918" s="115">
        <v>0</v>
      </c>
    </row>
    <row r="3919" spans="2:11" x14ac:dyDescent="0.25">
      <c r="B3919" s="115" t="s">
        <v>1241</v>
      </c>
      <c r="D3919" s="115" t="s">
        <v>8710</v>
      </c>
      <c r="E3919" s="115" t="s">
        <v>1242</v>
      </c>
      <c r="F3919" s="115">
        <v>0</v>
      </c>
      <c r="G3919" s="115">
        <v>0</v>
      </c>
      <c r="H3919" s="115">
        <v>0</v>
      </c>
      <c r="I3919" s="115">
        <v>0</v>
      </c>
      <c r="J3919" s="115">
        <v>0</v>
      </c>
      <c r="K3919" s="115">
        <v>0</v>
      </c>
    </row>
    <row r="3920" spans="2:11" x14ac:dyDescent="0.25">
      <c r="B3920" s="115" t="s">
        <v>1241</v>
      </c>
      <c r="D3920" s="115" t="s">
        <v>8710</v>
      </c>
      <c r="E3920" s="115" t="s">
        <v>1242</v>
      </c>
      <c r="F3920" s="115">
        <v>0</v>
      </c>
      <c r="G3920" s="115">
        <v>0</v>
      </c>
      <c r="H3920" s="115">
        <v>0</v>
      </c>
      <c r="I3920" s="115">
        <v>0</v>
      </c>
      <c r="J3920" s="115">
        <v>0</v>
      </c>
      <c r="K3920" s="115">
        <v>0</v>
      </c>
    </row>
    <row r="3921" spans="2:11" x14ac:dyDescent="0.25">
      <c r="B3921" s="115" t="s">
        <v>1241</v>
      </c>
      <c r="D3921" s="115" t="s">
        <v>8710</v>
      </c>
      <c r="E3921" s="115" t="s">
        <v>1242</v>
      </c>
      <c r="F3921" s="115">
        <v>0</v>
      </c>
      <c r="G3921" s="115">
        <v>0</v>
      </c>
      <c r="H3921" s="115">
        <v>0</v>
      </c>
      <c r="I3921" s="115">
        <v>0</v>
      </c>
      <c r="J3921" s="115">
        <v>0</v>
      </c>
      <c r="K3921" s="115">
        <v>0</v>
      </c>
    </row>
    <row r="3922" spans="2:11" x14ac:dyDescent="0.25">
      <c r="B3922" s="115" t="s">
        <v>1241</v>
      </c>
      <c r="D3922" s="115" t="s">
        <v>8710</v>
      </c>
      <c r="E3922" s="115" t="s">
        <v>1242</v>
      </c>
      <c r="F3922" s="115">
        <v>0</v>
      </c>
      <c r="G3922" s="115">
        <v>0</v>
      </c>
      <c r="H3922" s="115">
        <v>0</v>
      </c>
      <c r="I3922" s="115">
        <v>0</v>
      </c>
      <c r="J3922" s="115">
        <v>0</v>
      </c>
      <c r="K3922" s="115">
        <v>0</v>
      </c>
    </row>
    <row r="3923" spans="2:11" x14ac:dyDescent="0.25">
      <c r="B3923" s="115" t="s">
        <v>1241</v>
      </c>
      <c r="D3923" s="115" t="s">
        <v>8710</v>
      </c>
      <c r="E3923" s="115" t="s">
        <v>1242</v>
      </c>
      <c r="F3923" s="115">
        <v>0</v>
      </c>
      <c r="G3923" s="115">
        <v>0</v>
      </c>
      <c r="H3923" s="115">
        <v>0</v>
      </c>
      <c r="I3923" s="115">
        <v>0</v>
      </c>
      <c r="J3923" s="115">
        <v>0</v>
      </c>
      <c r="K3923" s="115">
        <v>0</v>
      </c>
    </row>
    <row r="3924" spans="2:11" x14ac:dyDescent="0.25">
      <c r="B3924" s="115" t="s">
        <v>1241</v>
      </c>
      <c r="D3924" s="115" t="s">
        <v>8710</v>
      </c>
      <c r="E3924" s="115" t="s">
        <v>1242</v>
      </c>
      <c r="F3924" s="115">
        <v>0</v>
      </c>
      <c r="G3924" s="115">
        <v>0</v>
      </c>
      <c r="H3924" s="115">
        <v>0</v>
      </c>
      <c r="I3924" s="115">
        <v>0</v>
      </c>
      <c r="J3924" s="115">
        <v>0</v>
      </c>
      <c r="K3924" s="115">
        <v>0</v>
      </c>
    </row>
    <row r="3925" spans="2:11" x14ac:dyDescent="0.25">
      <c r="B3925" s="115" t="s">
        <v>1241</v>
      </c>
      <c r="D3925" s="115" t="s">
        <v>8710</v>
      </c>
      <c r="E3925" s="115" t="s">
        <v>1242</v>
      </c>
      <c r="F3925" s="115">
        <v>0</v>
      </c>
      <c r="G3925" s="115">
        <v>0</v>
      </c>
      <c r="H3925" s="115">
        <v>0</v>
      </c>
      <c r="I3925" s="115">
        <v>0</v>
      </c>
      <c r="J3925" s="115">
        <v>0</v>
      </c>
      <c r="K3925" s="115">
        <v>0</v>
      </c>
    </row>
    <row r="3926" spans="2:11" x14ac:dyDescent="0.25">
      <c r="B3926" s="115" t="s">
        <v>1241</v>
      </c>
      <c r="D3926" s="115" t="s">
        <v>8710</v>
      </c>
      <c r="E3926" s="115" t="s">
        <v>1242</v>
      </c>
      <c r="F3926" s="115">
        <v>0</v>
      </c>
      <c r="G3926" s="115">
        <v>0</v>
      </c>
      <c r="H3926" s="115">
        <v>0</v>
      </c>
      <c r="I3926" s="115">
        <v>0</v>
      </c>
      <c r="J3926" s="115">
        <v>0</v>
      </c>
      <c r="K3926" s="115">
        <v>0</v>
      </c>
    </row>
    <row r="3927" spans="2:11" x14ac:dyDescent="0.25">
      <c r="B3927" s="115" t="s">
        <v>1241</v>
      </c>
      <c r="D3927" s="115" t="s">
        <v>8710</v>
      </c>
      <c r="E3927" s="115" t="s">
        <v>1242</v>
      </c>
      <c r="F3927" s="115">
        <v>0</v>
      </c>
      <c r="G3927" s="115">
        <v>0</v>
      </c>
      <c r="H3927" s="115">
        <v>0</v>
      </c>
      <c r="I3927" s="115">
        <v>0</v>
      </c>
      <c r="J3927" s="115">
        <v>0</v>
      </c>
      <c r="K3927" s="115">
        <v>0</v>
      </c>
    </row>
    <row r="3928" spans="2:11" x14ac:dyDescent="0.25">
      <c r="B3928" s="115" t="s">
        <v>1241</v>
      </c>
      <c r="D3928" s="115" t="s">
        <v>8710</v>
      </c>
      <c r="E3928" s="115" t="s">
        <v>1242</v>
      </c>
      <c r="F3928" s="115">
        <v>0</v>
      </c>
      <c r="G3928" s="115">
        <v>0</v>
      </c>
      <c r="H3928" s="115">
        <v>0</v>
      </c>
      <c r="I3928" s="115">
        <v>0</v>
      </c>
      <c r="J3928" s="115">
        <v>0</v>
      </c>
      <c r="K3928" s="115">
        <v>0</v>
      </c>
    </row>
    <row r="3929" spans="2:11" x14ac:dyDescent="0.25">
      <c r="B3929" s="115" t="s">
        <v>1241</v>
      </c>
      <c r="D3929" s="115" t="s">
        <v>8710</v>
      </c>
      <c r="E3929" s="115" t="s">
        <v>1242</v>
      </c>
      <c r="F3929" s="115">
        <v>0</v>
      </c>
      <c r="G3929" s="115">
        <v>0</v>
      </c>
      <c r="H3929" s="115">
        <v>0</v>
      </c>
      <c r="I3929" s="115">
        <v>0</v>
      </c>
      <c r="J3929" s="115">
        <v>0</v>
      </c>
      <c r="K3929" s="115">
        <v>0</v>
      </c>
    </row>
    <row r="3930" spans="2:11" x14ac:dyDescent="0.25">
      <c r="B3930" s="115" t="s">
        <v>1241</v>
      </c>
      <c r="D3930" s="115" t="s">
        <v>8710</v>
      </c>
      <c r="E3930" s="115" t="s">
        <v>1242</v>
      </c>
      <c r="F3930" s="115">
        <v>0</v>
      </c>
      <c r="G3930" s="115">
        <v>0</v>
      </c>
      <c r="H3930" s="115">
        <v>0</v>
      </c>
      <c r="I3930" s="115">
        <v>0</v>
      </c>
      <c r="J3930" s="115">
        <v>0</v>
      </c>
      <c r="K3930" s="115">
        <v>0</v>
      </c>
    </row>
    <row r="3931" spans="2:11" x14ac:dyDescent="0.25">
      <c r="B3931" s="115" t="s">
        <v>1241</v>
      </c>
      <c r="D3931" s="115" t="s">
        <v>8710</v>
      </c>
      <c r="E3931" s="115" t="s">
        <v>1242</v>
      </c>
      <c r="F3931" s="115">
        <v>0</v>
      </c>
      <c r="G3931" s="115">
        <v>0</v>
      </c>
      <c r="H3931" s="115">
        <v>0</v>
      </c>
      <c r="I3931" s="115">
        <v>0</v>
      </c>
      <c r="J3931" s="115">
        <v>0</v>
      </c>
      <c r="K3931" s="115">
        <v>0</v>
      </c>
    </row>
    <row r="3932" spans="2:11" x14ac:dyDescent="0.25">
      <c r="B3932" s="115" t="s">
        <v>1241</v>
      </c>
      <c r="D3932" s="115" t="s">
        <v>8710</v>
      </c>
      <c r="E3932" s="115" t="s">
        <v>1242</v>
      </c>
      <c r="F3932" s="115">
        <v>0</v>
      </c>
      <c r="G3932" s="115">
        <v>0</v>
      </c>
      <c r="H3932" s="115">
        <v>0</v>
      </c>
      <c r="I3932" s="115">
        <v>0</v>
      </c>
      <c r="J3932" s="115">
        <v>0</v>
      </c>
      <c r="K3932" s="115">
        <v>0</v>
      </c>
    </row>
    <row r="3933" spans="2:11" x14ac:dyDescent="0.25">
      <c r="B3933" s="115" t="s">
        <v>1241</v>
      </c>
      <c r="D3933" s="115" t="s">
        <v>8710</v>
      </c>
      <c r="E3933" s="115" t="s">
        <v>1242</v>
      </c>
      <c r="F3933" s="115">
        <v>0</v>
      </c>
      <c r="G3933" s="115">
        <v>0</v>
      </c>
      <c r="H3933" s="115">
        <v>0</v>
      </c>
      <c r="I3933" s="115">
        <v>0</v>
      </c>
      <c r="J3933" s="115">
        <v>0</v>
      </c>
      <c r="K3933" s="115">
        <v>0</v>
      </c>
    </row>
    <row r="3934" spans="2:11" x14ac:dyDescent="0.25">
      <c r="B3934" s="115" t="s">
        <v>1241</v>
      </c>
      <c r="D3934" s="115" t="s">
        <v>8710</v>
      </c>
      <c r="E3934" s="115" t="s">
        <v>1242</v>
      </c>
      <c r="F3934" s="115">
        <v>0</v>
      </c>
      <c r="G3934" s="115">
        <v>0</v>
      </c>
      <c r="H3934" s="115">
        <v>0</v>
      </c>
      <c r="I3934" s="115">
        <v>0</v>
      </c>
      <c r="J3934" s="115">
        <v>0</v>
      </c>
      <c r="K3934" s="115">
        <v>0</v>
      </c>
    </row>
    <row r="3935" spans="2:11" x14ac:dyDescent="0.25">
      <c r="B3935" s="115" t="s">
        <v>1241</v>
      </c>
      <c r="D3935" s="115" t="s">
        <v>8710</v>
      </c>
      <c r="E3935" s="115" t="s">
        <v>1242</v>
      </c>
      <c r="F3935" s="115">
        <v>0</v>
      </c>
      <c r="G3935" s="115">
        <v>0</v>
      </c>
      <c r="H3935" s="115">
        <v>0</v>
      </c>
      <c r="I3935" s="115">
        <v>0</v>
      </c>
      <c r="J3935" s="115">
        <v>0</v>
      </c>
      <c r="K3935" s="115">
        <v>0</v>
      </c>
    </row>
    <row r="3936" spans="2:11" x14ac:dyDescent="0.25">
      <c r="B3936" s="115" t="s">
        <v>1241</v>
      </c>
      <c r="D3936" s="115" t="s">
        <v>8710</v>
      </c>
      <c r="E3936" s="115" t="s">
        <v>1242</v>
      </c>
      <c r="F3936" s="115">
        <v>0</v>
      </c>
      <c r="G3936" s="115">
        <v>0</v>
      </c>
      <c r="H3936" s="115">
        <v>0</v>
      </c>
      <c r="I3936" s="115">
        <v>0</v>
      </c>
      <c r="J3936" s="115">
        <v>0</v>
      </c>
      <c r="K3936" s="115">
        <v>0</v>
      </c>
    </row>
    <row r="3937" spans="2:11" x14ac:dyDescent="0.25">
      <c r="B3937" s="115" t="s">
        <v>1241</v>
      </c>
      <c r="D3937" s="115" t="s">
        <v>8710</v>
      </c>
      <c r="E3937" s="115" t="s">
        <v>1242</v>
      </c>
      <c r="F3937" s="115">
        <v>0</v>
      </c>
      <c r="G3937" s="115">
        <v>0</v>
      </c>
      <c r="H3937" s="115">
        <v>0</v>
      </c>
      <c r="I3937" s="115">
        <v>0</v>
      </c>
      <c r="J3937" s="115">
        <v>0</v>
      </c>
      <c r="K3937" s="115">
        <v>0</v>
      </c>
    </row>
    <row r="3938" spans="2:11" x14ac:dyDescent="0.25">
      <c r="B3938" s="115" t="s">
        <v>1241</v>
      </c>
      <c r="D3938" s="115" t="s">
        <v>8710</v>
      </c>
      <c r="E3938" s="115" t="s">
        <v>1242</v>
      </c>
      <c r="F3938" s="115">
        <v>0</v>
      </c>
      <c r="G3938" s="115">
        <v>0</v>
      </c>
      <c r="H3938" s="115">
        <v>0</v>
      </c>
      <c r="I3938" s="115">
        <v>0</v>
      </c>
      <c r="J3938" s="115">
        <v>0</v>
      </c>
      <c r="K3938" s="115">
        <v>0</v>
      </c>
    </row>
    <row r="3939" spans="2:11" x14ac:dyDescent="0.25">
      <c r="B3939" s="115" t="s">
        <v>1241</v>
      </c>
      <c r="D3939" s="115" t="s">
        <v>8710</v>
      </c>
      <c r="E3939" s="115" t="s">
        <v>1242</v>
      </c>
      <c r="F3939" s="115">
        <v>0</v>
      </c>
      <c r="G3939" s="115">
        <v>0</v>
      </c>
      <c r="H3939" s="115">
        <v>0</v>
      </c>
      <c r="I3939" s="115">
        <v>0</v>
      </c>
      <c r="J3939" s="115">
        <v>0</v>
      </c>
      <c r="K3939" s="115">
        <v>0</v>
      </c>
    </row>
    <row r="3940" spans="2:11" x14ac:dyDescent="0.25">
      <c r="B3940" s="115" t="s">
        <v>1241</v>
      </c>
      <c r="D3940" s="115" t="s">
        <v>8710</v>
      </c>
      <c r="E3940" s="115" t="s">
        <v>1242</v>
      </c>
      <c r="F3940" s="115">
        <v>0</v>
      </c>
      <c r="G3940" s="115">
        <v>0</v>
      </c>
      <c r="H3940" s="115">
        <v>0</v>
      </c>
      <c r="I3940" s="115">
        <v>0</v>
      </c>
      <c r="J3940" s="115">
        <v>0</v>
      </c>
      <c r="K3940" s="115">
        <v>0</v>
      </c>
    </row>
    <row r="3941" spans="2:11" x14ac:dyDescent="0.25">
      <c r="B3941" s="115" t="s">
        <v>1241</v>
      </c>
      <c r="D3941" s="115" t="s">
        <v>8710</v>
      </c>
      <c r="E3941" s="115" t="s">
        <v>1242</v>
      </c>
      <c r="F3941" s="115">
        <v>0</v>
      </c>
      <c r="G3941" s="115">
        <v>0</v>
      </c>
      <c r="H3941" s="115">
        <v>0</v>
      </c>
      <c r="I3941" s="115">
        <v>0</v>
      </c>
      <c r="J3941" s="115">
        <v>0</v>
      </c>
      <c r="K3941" s="115">
        <v>0</v>
      </c>
    </row>
    <row r="3942" spans="2:11" x14ac:dyDescent="0.25">
      <c r="B3942" s="115" t="s">
        <v>1241</v>
      </c>
      <c r="D3942" s="115" t="s">
        <v>8710</v>
      </c>
      <c r="E3942" s="115" t="s">
        <v>1242</v>
      </c>
      <c r="F3942" s="115">
        <v>0</v>
      </c>
      <c r="G3942" s="115">
        <v>0</v>
      </c>
      <c r="H3942" s="115">
        <v>0</v>
      </c>
      <c r="I3942" s="115">
        <v>0</v>
      </c>
      <c r="J3942" s="115">
        <v>0</v>
      </c>
      <c r="K3942" s="115">
        <v>0</v>
      </c>
    </row>
    <row r="3943" spans="2:11" x14ac:dyDescent="0.25">
      <c r="B3943" s="115" t="s">
        <v>1241</v>
      </c>
      <c r="D3943" s="115" t="s">
        <v>8710</v>
      </c>
      <c r="E3943" s="115" t="s">
        <v>1242</v>
      </c>
      <c r="F3943" s="115">
        <v>0</v>
      </c>
      <c r="G3943" s="115">
        <v>0</v>
      </c>
      <c r="H3943" s="115">
        <v>0</v>
      </c>
      <c r="I3943" s="115">
        <v>0</v>
      </c>
      <c r="J3943" s="115">
        <v>0</v>
      </c>
      <c r="K3943" s="115">
        <v>0</v>
      </c>
    </row>
    <row r="3944" spans="2:11" x14ac:dyDescent="0.25">
      <c r="B3944" s="115" t="s">
        <v>1241</v>
      </c>
      <c r="D3944" s="115" t="s">
        <v>8710</v>
      </c>
      <c r="E3944" s="115" t="s">
        <v>1242</v>
      </c>
      <c r="F3944" s="115">
        <v>0</v>
      </c>
      <c r="G3944" s="115">
        <v>0</v>
      </c>
      <c r="H3944" s="115">
        <v>0</v>
      </c>
      <c r="I3944" s="115">
        <v>0</v>
      </c>
      <c r="J3944" s="115">
        <v>0</v>
      </c>
      <c r="K3944" s="115">
        <v>0</v>
      </c>
    </row>
    <row r="3945" spans="2:11" x14ac:dyDescent="0.25">
      <c r="B3945" s="115" t="s">
        <v>1241</v>
      </c>
      <c r="D3945" s="115" t="s">
        <v>8710</v>
      </c>
      <c r="E3945" s="115" t="s">
        <v>1242</v>
      </c>
      <c r="F3945" s="115">
        <v>0</v>
      </c>
      <c r="G3945" s="115">
        <v>0</v>
      </c>
      <c r="H3945" s="115">
        <v>0</v>
      </c>
      <c r="I3945" s="115">
        <v>0</v>
      </c>
      <c r="J3945" s="115">
        <v>0</v>
      </c>
      <c r="K3945" s="115">
        <v>0</v>
      </c>
    </row>
    <row r="3946" spans="2:11" x14ac:dyDescent="0.25">
      <c r="B3946" s="115" t="s">
        <v>1241</v>
      </c>
      <c r="D3946" s="115" t="s">
        <v>8710</v>
      </c>
      <c r="E3946" s="115" t="s">
        <v>1242</v>
      </c>
      <c r="F3946" s="115">
        <v>0</v>
      </c>
      <c r="G3946" s="115">
        <v>0</v>
      </c>
      <c r="H3946" s="115">
        <v>0</v>
      </c>
      <c r="I3946" s="115">
        <v>0</v>
      </c>
      <c r="J3946" s="115">
        <v>0</v>
      </c>
      <c r="K3946" s="115">
        <v>0</v>
      </c>
    </row>
    <row r="3947" spans="2:11" x14ac:dyDescent="0.25">
      <c r="B3947" s="115" t="s">
        <v>1241</v>
      </c>
      <c r="D3947" s="115" t="s">
        <v>8710</v>
      </c>
      <c r="E3947" s="115" t="s">
        <v>1242</v>
      </c>
      <c r="F3947" s="115">
        <v>0</v>
      </c>
      <c r="G3947" s="115">
        <v>0</v>
      </c>
      <c r="H3947" s="115">
        <v>0</v>
      </c>
      <c r="I3947" s="115">
        <v>0</v>
      </c>
      <c r="J3947" s="115">
        <v>0</v>
      </c>
      <c r="K3947" s="115">
        <v>0</v>
      </c>
    </row>
    <row r="3948" spans="2:11" x14ac:dyDescent="0.25">
      <c r="B3948" s="127" t="s">
        <v>1241</v>
      </c>
      <c r="D3948" s="115" t="s">
        <v>8710</v>
      </c>
      <c r="E3948" s="115" t="s">
        <v>1242</v>
      </c>
      <c r="F3948" s="115">
        <v>0</v>
      </c>
      <c r="G3948" s="115">
        <v>0</v>
      </c>
      <c r="H3948" s="115">
        <v>0</v>
      </c>
      <c r="I3948" s="115">
        <v>0</v>
      </c>
      <c r="J3948" s="115">
        <v>0</v>
      </c>
      <c r="K3948" s="115">
        <v>0</v>
      </c>
    </row>
    <row r="3949" spans="2:11" x14ac:dyDescent="0.25">
      <c r="B3949" s="115" t="s">
        <v>1241</v>
      </c>
      <c r="D3949" s="115" t="s">
        <v>8710</v>
      </c>
      <c r="E3949" s="115" t="s">
        <v>1242</v>
      </c>
      <c r="F3949" s="115">
        <v>0</v>
      </c>
      <c r="G3949" s="115">
        <v>0</v>
      </c>
      <c r="H3949" s="115">
        <v>0</v>
      </c>
      <c r="I3949" s="115">
        <v>0</v>
      </c>
      <c r="J3949" s="115">
        <v>0</v>
      </c>
      <c r="K3949" s="115">
        <v>0</v>
      </c>
    </row>
    <row r="3950" spans="2:11" x14ac:dyDescent="0.25">
      <c r="B3950" s="115" t="s">
        <v>1241</v>
      </c>
      <c r="D3950" s="115" t="s">
        <v>8710</v>
      </c>
      <c r="E3950" s="115" t="s">
        <v>1242</v>
      </c>
      <c r="F3950" s="115">
        <v>0</v>
      </c>
      <c r="G3950" s="115">
        <v>0</v>
      </c>
      <c r="H3950" s="115">
        <v>0</v>
      </c>
      <c r="I3950" s="115">
        <v>0</v>
      </c>
      <c r="J3950" s="115">
        <v>0</v>
      </c>
      <c r="K3950" s="115">
        <v>0</v>
      </c>
    </row>
    <row r="3951" spans="2:11" x14ac:dyDescent="0.25">
      <c r="B3951" s="115" t="s">
        <v>1241</v>
      </c>
      <c r="D3951" s="115" t="s">
        <v>8710</v>
      </c>
      <c r="E3951" s="115" t="s">
        <v>1242</v>
      </c>
      <c r="F3951" s="115">
        <v>0</v>
      </c>
      <c r="G3951" s="115">
        <v>0</v>
      </c>
      <c r="H3951" s="115">
        <v>0</v>
      </c>
      <c r="I3951" s="115">
        <v>0</v>
      </c>
      <c r="J3951" s="115">
        <v>0</v>
      </c>
      <c r="K3951" s="115">
        <v>0</v>
      </c>
    </row>
    <row r="3952" spans="2:11" x14ac:dyDescent="0.25">
      <c r="B3952" s="115" t="s">
        <v>1241</v>
      </c>
      <c r="D3952" s="115" t="s">
        <v>8710</v>
      </c>
      <c r="E3952" s="115" t="s">
        <v>1242</v>
      </c>
      <c r="F3952" s="115">
        <v>0</v>
      </c>
      <c r="G3952" s="115">
        <v>0</v>
      </c>
      <c r="H3952" s="115">
        <v>0</v>
      </c>
      <c r="I3952" s="115">
        <v>0</v>
      </c>
      <c r="J3952" s="115">
        <v>0</v>
      </c>
      <c r="K3952" s="115">
        <v>0</v>
      </c>
    </row>
    <row r="3953" spans="2:11" x14ac:dyDescent="0.25">
      <c r="B3953" s="115" t="s">
        <v>1241</v>
      </c>
      <c r="D3953" s="115" t="s">
        <v>8710</v>
      </c>
      <c r="E3953" s="115" t="s">
        <v>1242</v>
      </c>
      <c r="F3953" s="115">
        <v>0</v>
      </c>
      <c r="G3953" s="115">
        <v>0</v>
      </c>
      <c r="H3953" s="115">
        <v>0</v>
      </c>
      <c r="I3953" s="115">
        <v>0</v>
      </c>
      <c r="J3953" s="115">
        <v>0</v>
      </c>
      <c r="K3953" s="115">
        <v>0</v>
      </c>
    </row>
    <row r="3954" spans="2:11" x14ac:dyDescent="0.25">
      <c r="B3954" s="115" t="s">
        <v>1241</v>
      </c>
      <c r="D3954" s="115" t="s">
        <v>8710</v>
      </c>
      <c r="E3954" s="115" t="s">
        <v>1242</v>
      </c>
      <c r="F3954" s="115">
        <v>0</v>
      </c>
      <c r="G3954" s="115">
        <v>0</v>
      </c>
      <c r="H3954" s="115">
        <v>0</v>
      </c>
      <c r="I3954" s="115">
        <v>0</v>
      </c>
      <c r="J3954" s="115">
        <v>0</v>
      </c>
      <c r="K3954" s="115">
        <v>0</v>
      </c>
    </row>
    <row r="3955" spans="2:11" x14ac:dyDescent="0.25">
      <c r="B3955" s="115" t="s">
        <v>1241</v>
      </c>
      <c r="D3955" s="115" t="s">
        <v>8710</v>
      </c>
      <c r="E3955" s="115" t="s">
        <v>1242</v>
      </c>
      <c r="F3955" s="115">
        <v>0</v>
      </c>
      <c r="G3955" s="115">
        <v>0</v>
      </c>
      <c r="H3955" s="115">
        <v>0</v>
      </c>
      <c r="I3955" s="115">
        <v>0</v>
      </c>
      <c r="J3955" s="115">
        <v>0</v>
      </c>
      <c r="K3955" s="115">
        <v>0</v>
      </c>
    </row>
    <row r="3956" spans="2:11" x14ac:dyDescent="0.25">
      <c r="B3956" s="115" t="s">
        <v>1241</v>
      </c>
      <c r="D3956" s="115" t="s">
        <v>8710</v>
      </c>
      <c r="E3956" s="115" t="s">
        <v>1242</v>
      </c>
      <c r="F3956" s="115">
        <v>0</v>
      </c>
      <c r="G3956" s="115">
        <v>0</v>
      </c>
      <c r="H3956" s="115">
        <v>0</v>
      </c>
      <c r="I3956" s="115">
        <v>0</v>
      </c>
      <c r="J3956" s="115">
        <v>0</v>
      </c>
      <c r="K3956" s="115">
        <v>0</v>
      </c>
    </row>
    <row r="3957" spans="2:11" x14ac:dyDescent="0.25">
      <c r="B3957" s="115" t="s">
        <v>1241</v>
      </c>
      <c r="D3957" s="115" t="s">
        <v>8710</v>
      </c>
      <c r="E3957" s="115" t="s">
        <v>1242</v>
      </c>
      <c r="F3957" s="115">
        <v>0</v>
      </c>
      <c r="G3957" s="115">
        <v>0</v>
      </c>
      <c r="H3957" s="115">
        <v>0</v>
      </c>
      <c r="I3957" s="115">
        <v>0</v>
      </c>
      <c r="J3957" s="115">
        <v>0</v>
      </c>
      <c r="K3957" s="115">
        <v>0</v>
      </c>
    </row>
    <row r="3958" spans="2:11" x14ac:dyDescent="0.25">
      <c r="B3958" s="115" t="s">
        <v>1241</v>
      </c>
      <c r="D3958" s="115" t="s">
        <v>8710</v>
      </c>
      <c r="E3958" s="115" t="s">
        <v>1242</v>
      </c>
      <c r="F3958" s="115">
        <v>0</v>
      </c>
      <c r="G3958" s="115">
        <v>0</v>
      </c>
      <c r="H3958" s="115">
        <v>0</v>
      </c>
      <c r="I3958" s="115">
        <v>0</v>
      </c>
      <c r="J3958" s="115">
        <v>0</v>
      </c>
      <c r="K3958" s="115">
        <v>0</v>
      </c>
    </row>
    <row r="3959" spans="2:11" x14ac:dyDescent="0.25">
      <c r="B3959" s="115" t="s">
        <v>1241</v>
      </c>
      <c r="D3959" s="115" t="s">
        <v>8710</v>
      </c>
      <c r="E3959" s="115" t="s">
        <v>1242</v>
      </c>
      <c r="F3959" s="115">
        <v>0</v>
      </c>
      <c r="G3959" s="115">
        <v>0</v>
      </c>
      <c r="H3959" s="115">
        <v>0</v>
      </c>
      <c r="I3959" s="115">
        <v>0</v>
      </c>
      <c r="J3959" s="115">
        <v>0</v>
      </c>
      <c r="K3959" s="115">
        <v>0</v>
      </c>
    </row>
    <row r="3960" spans="2:11" x14ac:dyDescent="0.25">
      <c r="B3960" s="115" t="s">
        <v>1241</v>
      </c>
      <c r="D3960" s="115" t="s">
        <v>8710</v>
      </c>
      <c r="E3960" s="115" t="s">
        <v>1242</v>
      </c>
      <c r="F3960" s="115">
        <v>0</v>
      </c>
      <c r="G3960" s="115">
        <v>0</v>
      </c>
      <c r="H3960" s="115">
        <v>0</v>
      </c>
      <c r="I3960" s="115">
        <v>0</v>
      </c>
      <c r="J3960" s="115">
        <v>0</v>
      </c>
      <c r="K3960" s="115">
        <v>0</v>
      </c>
    </row>
    <row r="3961" spans="2:11" x14ac:dyDescent="0.25">
      <c r="B3961" s="115" t="s">
        <v>1241</v>
      </c>
      <c r="D3961" s="115" t="s">
        <v>8710</v>
      </c>
      <c r="E3961" s="115" t="s">
        <v>1242</v>
      </c>
      <c r="F3961" s="115">
        <v>0</v>
      </c>
      <c r="G3961" s="115">
        <v>0</v>
      </c>
      <c r="H3961" s="115">
        <v>0</v>
      </c>
      <c r="I3961" s="115">
        <v>0</v>
      </c>
      <c r="J3961" s="115">
        <v>0</v>
      </c>
      <c r="K3961" s="115">
        <v>0</v>
      </c>
    </row>
    <row r="3962" spans="2:11" x14ac:dyDescent="0.25">
      <c r="B3962" s="115" t="s">
        <v>1241</v>
      </c>
      <c r="D3962" s="115" t="s">
        <v>8710</v>
      </c>
      <c r="E3962" s="115" t="s">
        <v>1242</v>
      </c>
      <c r="F3962" s="115">
        <v>0</v>
      </c>
      <c r="G3962" s="115">
        <v>0</v>
      </c>
      <c r="H3962" s="115">
        <v>0</v>
      </c>
      <c r="I3962" s="115">
        <v>0</v>
      </c>
      <c r="J3962" s="115">
        <v>0</v>
      </c>
      <c r="K3962" s="115">
        <v>0</v>
      </c>
    </row>
    <row r="3963" spans="2:11" x14ac:dyDescent="0.25">
      <c r="B3963" s="115" t="s">
        <v>1241</v>
      </c>
      <c r="D3963" s="115" t="s">
        <v>8710</v>
      </c>
      <c r="E3963" s="115" t="s">
        <v>1242</v>
      </c>
      <c r="F3963" s="115">
        <v>0</v>
      </c>
      <c r="G3963" s="115">
        <v>0</v>
      </c>
      <c r="H3963" s="115">
        <v>0</v>
      </c>
      <c r="I3963" s="115">
        <v>0</v>
      </c>
      <c r="J3963" s="115">
        <v>0</v>
      </c>
      <c r="K3963" s="115">
        <v>0</v>
      </c>
    </row>
    <row r="3964" spans="2:11" x14ac:dyDescent="0.25">
      <c r="B3964" s="115" t="s">
        <v>1241</v>
      </c>
      <c r="D3964" s="115" t="s">
        <v>8710</v>
      </c>
      <c r="E3964" s="115" t="s">
        <v>1242</v>
      </c>
      <c r="F3964" s="115">
        <v>0</v>
      </c>
      <c r="G3964" s="115">
        <v>0</v>
      </c>
      <c r="H3964" s="115">
        <v>0</v>
      </c>
      <c r="I3964" s="115">
        <v>0</v>
      </c>
      <c r="J3964" s="115">
        <v>0</v>
      </c>
      <c r="K3964" s="115">
        <v>0</v>
      </c>
    </row>
    <row r="3965" spans="2:11" x14ac:dyDescent="0.25">
      <c r="B3965" s="115" t="s">
        <v>1241</v>
      </c>
      <c r="D3965" s="115" t="s">
        <v>8710</v>
      </c>
      <c r="E3965" s="115" t="s">
        <v>1242</v>
      </c>
      <c r="F3965" s="115">
        <v>0</v>
      </c>
      <c r="G3965" s="115">
        <v>0</v>
      </c>
      <c r="H3965" s="115">
        <v>0</v>
      </c>
      <c r="I3965" s="115">
        <v>0</v>
      </c>
      <c r="J3965" s="115">
        <v>0</v>
      </c>
      <c r="K3965" s="115">
        <v>0</v>
      </c>
    </row>
    <row r="3966" spans="2:11" x14ac:dyDescent="0.25">
      <c r="B3966" s="115" t="s">
        <v>1241</v>
      </c>
      <c r="D3966" s="115" t="s">
        <v>8710</v>
      </c>
      <c r="E3966" s="115" t="s">
        <v>1242</v>
      </c>
      <c r="F3966" s="115">
        <v>0</v>
      </c>
      <c r="G3966" s="115">
        <v>0</v>
      </c>
      <c r="H3966" s="115">
        <v>0</v>
      </c>
      <c r="I3966" s="115">
        <v>0</v>
      </c>
      <c r="J3966" s="115">
        <v>0</v>
      </c>
      <c r="K3966" s="115">
        <v>0</v>
      </c>
    </row>
    <row r="3967" spans="2:11" x14ac:dyDescent="0.25">
      <c r="B3967" s="115" t="s">
        <v>1241</v>
      </c>
      <c r="D3967" s="115" t="s">
        <v>8710</v>
      </c>
      <c r="E3967" s="115" t="s">
        <v>1242</v>
      </c>
      <c r="F3967" s="115">
        <v>0</v>
      </c>
      <c r="G3967" s="115">
        <v>0</v>
      </c>
      <c r="H3967" s="115">
        <v>0</v>
      </c>
      <c r="I3967" s="115">
        <v>0</v>
      </c>
      <c r="J3967" s="115">
        <v>0</v>
      </c>
      <c r="K3967" s="115">
        <v>0</v>
      </c>
    </row>
    <row r="3968" spans="2:11" x14ac:dyDescent="0.25">
      <c r="B3968" s="115" t="s">
        <v>1241</v>
      </c>
      <c r="D3968" s="115" t="s">
        <v>8710</v>
      </c>
      <c r="E3968" s="115" t="s">
        <v>1242</v>
      </c>
      <c r="F3968" s="115">
        <v>0</v>
      </c>
      <c r="G3968" s="115">
        <v>0</v>
      </c>
      <c r="H3968" s="115">
        <v>0</v>
      </c>
      <c r="I3968" s="115">
        <v>0</v>
      </c>
      <c r="J3968" s="115">
        <v>0</v>
      </c>
      <c r="K3968" s="115">
        <v>0</v>
      </c>
    </row>
    <row r="3969" spans="2:11" x14ac:dyDescent="0.25">
      <c r="B3969" s="115" t="s">
        <v>1241</v>
      </c>
      <c r="D3969" s="115" t="s">
        <v>8710</v>
      </c>
      <c r="E3969" s="115" t="s">
        <v>1242</v>
      </c>
      <c r="F3969" s="115">
        <v>0</v>
      </c>
      <c r="G3969" s="115">
        <v>0</v>
      </c>
      <c r="H3969" s="115">
        <v>0</v>
      </c>
      <c r="I3969" s="115">
        <v>0</v>
      </c>
      <c r="J3969" s="115">
        <v>0</v>
      </c>
      <c r="K3969" s="115">
        <v>0</v>
      </c>
    </row>
    <row r="3970" spans="2:11" x14ac:dyDescent="0.25">
      <c r="B3970" s="115" t="s">
        <v>1241</v>
      </c>
      <c r="D3970" s="115" t="s">
        <v>8710</v>
      </c>
      <c r="E3970" s="115" t="s">
        <v>1242</v>
      </c>
      <c r="F3970" s="115">
        <v>0</v>
      </c>
      <c r="G3970" s="115">
        <v>0</v>
      </c>
      <c r="H3970" s="115">
        <v>0</v>
      </c>
      <c r="I3970" s="115">
        <v>0</v>
      </c>
      <c r="J3970" s="115">
        <v>0</v>
      </c>
      <c r="K3970" s="115">
        <v>0</v>
      </c>
    </row>
    <row r="3971" spans="2:11" x14ac:dyDescent="0.25">
      <c r="B3971" s="115" t="s">
        <v>1241</v>
      </c>
      <c r="D3971" s="115" t="s">
        <v>8710</v>
      </c>
      <c r="E3971" s="115" t="s">
        <v>1242</v>
      </c>
      <c r="F3971" s="115">
        <v>0</v>
      </c>
      <c r="G3971" s="115">
        <v>0</v>
      </c>
      <c r="H3971" s="115">
        <v>0</v>
      </c>
      <c r="I3971" s="115">
        <v>0</v>
      </c>
      <c r="J3971" s="115">
        <v>0</v>
      </c>
      <c r="K3971" s="115">
        <v>0</v>
      </c>
    </row>
    <row r="3972" spans="2:11" x14ac:dyDescent="0.25">
      <c r="B3972" s="115" t="s">
        <v>1241</v>
      </c>
      <c r="D3972" s="115" t="s">
        <v>8710</v>
      </c>
      <c r="E3972" s="115" t="s">
        <v>1242</v>
      </c>
      <c r="F3972" s="115">
        <v>0</v>
      </c>
      <c r="G3972" s="115">
        <v>0</v>
      </c>
      <c r="H3972" s="115">
        <v>0</v>
      </c>
      <c r="I3972" s="115">
        <v>0</v>
      </c>
      <c r="J3972" s="115">
        <v>0</v>
      </c>
      <c r="K3972" s="115">
        <v>0</v>
      </c>
    </row>
    <row r="3973" spans="2:11" x14ac:dyDescent="0.25">
      <c r="B3973" s="115" t="s">
        <v>1241</v>
      </c>
      <c r="D3973" s="115" t="s">
        <v>8710</v>
      </c>
      <c r="E3973" s="115" t="s">
        <v>1242</v>
      </c>
      <c r="F3973" s="115">
        <v>0</v>
      </c>
      <c r="G3973" s="115">
        <v>0</v>
      </c>
      <c r="H3973" s="115">
        <v>0</v>
      </c>
      <c r="I3973" s="115">
        <v>0</v>
      </c>
      <c r="J3973" s="115">
        <v>0</v>
      </c>
      <c r="K3973" s="115">
        <v>0</v>
      </c>
    </row>
    <row r="3974" spans="2:11" x14ac:dyDescent="0.25">
      <c r="B3974" s="115" t="s">
        <v>1241</v>
      </c>
      <c r="D3974" s="115" t="s">
        <v>8710</v>
      </c>
      <c r="E3974" s="115" t="s">
        <v>1242</v>
      </c>
      <c r="F3974" s="115">
        <v>0</v>
      </c>
      <c r="G3974" s="115">
        <v>0</v>
      </c>
      <c r="H3974" s="115">
        <v>0</v>
      </c>
      <c r="I3974" s="115">
        <v>0</v>
      </c>
      <c r="J3974" s="115">
        <v>0</v>
      </c>
      <c r="K3974" s="115">
        <v>0</v>
      </c>
    </row>
    <row r="3975" spans="2:11" x14ac:dyDescent="0.25">
      <c r="B3975" s="115" t="s">
        <v>1241</v>
      </c>
      <c r="D3975" s="115" t="s">
        <v>8710</v>
      </c>
      <c r="E3975" s="115" t="s">
        <v>1242</v>
      </c>
      <c r="F3975" s="115">
        <v>0</v>
      </c>
      <c r="G3975" s="115">
        <v>0</v>
      </c>
      <c r="H3975" s="115">
        <v>0</v>
      </c>
      <c r="I3975" s="115">
        <v>0</v>
      </c>
      <c r="J3975" s="115">
        <v>0</v>
      </c>
      <c r="K3975" s="115">
        <v>0</v>
      </c>
    </row>
    <row r="3976" spans="2:11" x14ac:dyDescent="0.25">
      <c r="B3976" s="115" t="s">
        <v>1241</v>
      </c>
      <c r="D3976" s="115" t="s">
        <v>8710</v>
      </c>
      <c r="E3976" s="115" t="s">
        <v>1242</v>
      </c>
      <c r="F3976" s="115">
        <v>0</v>
      </c>
      <c r="G3976" s="115">
        <v>0</v>
      </c>
      <c r="H3976" s="115">
        <v>0</v>
      </c>
      <c r="I3976" s="115">
        <v>0</v>
      </c>
      <c r="J3976" s="115">
        <v>0</v>
      </c>
      <c r="K3976" s="115">
        <v>0</v>
      </c>
    </row>
    <row r="3977" spans="2:11" x14ac:dyDescent="0.25">
      <c r="B3977" s="115" t="s">
        <v>1241</v>
      </c>
      <c r="D3977" s="115" t="s">
        <v>8710</v>
      </c>
      <c r="E3977" s="115" t="s">
        <v>1242</v>
      </c>
      <c r="F3977" s="115">
        <v>0</v>
      </c>
      <c r="G3977" s="115">
        <v>0</v>
      </c>
      <c r="H3977" s="115">
        <v>0</v>
      </c>
      <c r="I3977" s="115">
        <v>0</v>
      </c>
      <c r="J3977" s="115">
        <v>0</v>
      </c>
      <c r="K3977" s="115">
        <v>0</v>
      </c>
    </row>
    <row r="3978" spans="2:11" x14ac:dyDescent="0.25">
      <c r="B3978" s="115" t="s">
        <v>1241</v>
      </c>
      <c r="D3978" s="115" t="s">
        <v>8710</v>
      </c>
      <c r="E3978" s="115" t="s">
        <v>1242</v>
      </c>
      <c r="F3978" s="115">
        <v>0</v>
      </c>
      <c r="G3978" s="115">
        <v>0</v>
      </c>
      <c r="H3978" s="115">
        <v>0</v>
      </c>
      <c r="I3978" s="115">
        <v>0</v>
      </c>
      <c r="J3978" s="115">
        <v>0</v>
      </c>
      <c r="K3978" s="115">
        <v>0</v>
      </c>
    </row>
    <row r="3979" spans="2:11" x14ac:dyDescent="0.25">
      <c r="B3979" s="115" t="s">
        <v>1241</v>
      </c>
      <c r="D3979" s="115" t="s">
        <v>8710</v>
      </c>
      <c r="E3979" s="115" t="s">
        <v>1242</v>
      </c>
      <c r="F3979" s="115">
        <v>0</v>
      </c>
      <c r="G3979" s="115">
        <v>0</v>
      </c>
      <c r="H3979" s="115">
        <v>0</v>
      </c>
      <c r="I3979" s="115">
        <v>0</v>
      </c>
      <c r="J3979" s="115">
        <v>0</v>
      </c>
      <c r="K3979" s="115">
        <v>0</v>
      </c>
    </row>
    <row r="3980" spans="2:11" x14ac:dyDescent="0.25">
      <c r="B3980" s="115" t="s">
        <v>1241</v>
      </c>
      <c r="D3980" s="115" t="s">
        <v>8710</v>
      </c>
      <c r="E3980" s="115" t="s">
        <v>1242</v>
      </c>
      <c r="F3980" s="115">
        <v>0</v>
      </c>
      <c r="G3980" s="115">
        <v>0</v>
      </c>
      <c r="H3980" s="115">
        <v>0</v>
      </c>
      <c r="I3980" s="115">
        <v>0</v>
      </c>
      <c r="J3980" s="115">
        <v>0</v>
      </c>
      <c r="K3980" s="115">
        <v>0</v>
      </c>
    </row>
    <row r="3981" spans="2:11" x14ac:dyDescent="0.25">
      <c r="B3981" s="115" t="s">
        <v>1241</v>
      </c>
      <c r="D3981" s="115" t="s">
        <v>8710</v>
      </c>
      <c r="E3981" s="115" t="s">
        <v>1242</v>
      </c>
      <c r="F3981" s="115">
        <v>0</v>
      </c>
      <c r="G3981" s="115">
        <v>0</v>
      </c>
      <c r="H3981" s="115">
        <v>0</v>
      </c>
      <c r="I3981" s="115">
        <v>0</v>
      </c>
      <c r="J3981" s="115">
        <v>0</v>
      </c>
      <c r="K3981" s="115">
        <v>0</v>
      </c>
    </row>
    <row r="3982" spans="2:11" x14ac:dyDescent="0.25">
      <c r="B3982" s="115" t="s">
        <v>1241</v>
      </c>
      <c r="D3982" s="115" t="s">
        <v>8710</v>
      </c>
      <c r="E3982" s="115" t="s">
        <v>1242</v>
      </c>
      <c r="F3982" s="115">
        <v>0</v>
      </c>
      <c r="G3982" s="115">
        <v>0</v>
      </c>
      <c r="H3982" s="115">
        <v>0</v>
      </c>
      <c r="I3982" s="115">
        <v>0</v>
      </c>
      <c r="J3982" s="115">
        <v>0</v>
      </c>
      <c r="K3982" s="115">
        <v>0</v>
      </c>
    </row>
    <row r="3983" spans="2:11" x14ac:dyDescent="0.25">
      <c r="B3983" s="115" t="s">
        <v>1241</v>
      </c>
      <c r="D3983" s="115" t="s">
        <v>8710</v>
      </c>
      <c r="E3983" s="115" t="s">
        <v>1242</v>
      </c>
      <c r="F3983" s="115">
        <v>0</v>
      </c>
      <c r="G3983" s="115">
        <v>0</v>
      </c>
      <c r="H3983" s="115">
        <v>0</v>
      </c>
      <c r="I3983" s="115">
        <v>0</v>
      </c>
      <c r="J3983" s="115">
        <v>0</v>
      </c>
      <c r="K3983" s="115">
        <v>0</v>
      </c>
    </row>
    <row r="3984" spans="2:11" x14ac:dyDescent="0.25">
      <c r="B3984" s="115" t="s">
        <v>1241</v>
      </c>
      <c r="D3984" s="115" t="s">
        <v>8710</v>
      </c>
      <c r="E3984" s="115" t="s">
        <v>1242</v>
      </c>
      <c r="F3984" s="115">
        <v>0</v>
      </c>
      <c r="G3984" s="115">
        <v>0</v>
      </c>
      <c r="H3984" s="115">
        <v>0</v>
      </c>
      <c r="I3984" s="115">
        <v>0</v>
      </c>
      <c r="J3984" s="115">
        <v>0</v>
      </c>
      <c r="K3984" s="115">
        <v>0</v>
      </c>
    </row>
    <row r="3985" spans="2:11" x14ac:dyDescent="0.25">
      <c r="B3985" s="115" t="s">
        <v>1241</v>
      </c>
      <c r="D3985" s="115" t="s">
        <v>8710</v>
      </c>
      <c r="E3985" s="115" t="s">
        <v>1242</v>
      </c>
      <c r="F3985" s="115">
        <v>0</v>
      </c>
      <c r="G3985" s="115">
        <v>0</v>
      </c>
      <c r="H3985" s="115">
        <v>0</v>
      </c>
      <c r="I3985" s="115">
        <v>0</v>
      </c>
      <c r="J3985" s="115">
        <v>0</v>
      </c>
      <c r="K3985" s="115">
        <v>0</v>
      </c>
    </row>
    <row r="3986" spans="2:11" x14ac:dyDescent="0.25">
      <c r="B3986" s="115" t="s">
        <v>1241</v>
      </c>
      <c r="D3986" s="115" t="s">
        <v>8710</v>
      </c>
      <c r="E3986" s="115" t="s">
        <v>1242</v>
      </c>
      <c r="F3986" s="115">
        <v>0</v>
      </c>
      <c r="G3986" s="115">
        <v>0</v>
      </c>
      <c r="H3986" s="115">
        <v>0</v>
      </c>
      <c r="I3986" s="115">
        <v>0</v>
      </c>
      <c r="J3986" s="115">
        <v>0</v>
      </c>
      <c r="K3986" s="115">
        <v>0</v>
      </c>
    </row>
    <row r="3987" spans="2:11" x14ac:dyDescent="0.25">
      <c r="B3987" s="115" t="s">
        <v>1241</v>
      </c>
      <c r="D3987" s="115" t="s">
        <v>8710</v>
      </c>
      <c r="E3987" s="115" t="s">
        <v>1242</v>
      </c>
      <c r="F3987" s="115">
        <v>0</v>
      </c>
      <c r="G3987" s="115">
        <v>0</v>
      </c>
      <c r="H3987" s="115">
        <v>0</v>
      </c>
      <c r="I3987" s="115">
        <v>0</v>
      </c>
      <c r="J3987" s="115">
        <v>0</v>
      </c>
      <c r="K3987" s="115">
        <v>0</v>
      </c>
    </row>
    <row r="3988" spans="2:11" x14ac:dyDescent="0.25">
      <c r="B3988" s="115" t="s">
        <v>1241</v>
      </c>
      <c r="D3988" s="115" t="s">
        <v>8710</v>
      </c>
      <c r="E3988" s="115" t="s">
        <v>1242</v>
      </c>
      <c r="F3988" s="115">
        <v>0</v>
      </c>
      <c r="G3988" s="115">
        <v>0</v>
      </c>
      <c r="H3988" s="115">
        <v>0</v>
      </c>
      <c r="I3988" s="115">
        <v>0</v>
      </c>
      <c r="J3988" s="115">
        <v>0</v>
      </c>
      <c r="K3988" s="115">
        <v>0</v>
      </c>
    </row>
    <row r="3989" spans="2:11" x14ac:dyDescent="0.25">
      <c r="B3989" s="115" t="s">
        <v>1241</v>
      </c>
      <c r="D3989" s="115" t="s">
        <v>8710</v>
      </c>
      <c r="E3989" s="115" t="s">
        <v>1242</v>
      </c>
      <c r="F3989" s="115">
        <v>0</v>
      </c>
      <c r="G3989" s="115">
        <v>0</v>
      </c>
      <c r="H3989" s="115">
        <v>0</v>
      </c>
      <c r="I3989" s="115">
        <v>0</v>
      </c>
      <c r="J3989" s="115">
        <v>0</v>
      </c>
      <c r="K3989" s="115">
        <v>0</v>
      </c>
    </row>
    <row r="3990" spans="2:11" x14ac:dyDescent="0.25">
      <c r="B3990" s="115" t="s">
        <v>1241</v>
      </c>
      <c r="D3990" s="115" t="s">
        <v>8710</v>
      </c>
      <c r="E3990" s="115" t="s">
        <v>1242</v>
      </c>
      <c r="F3990" s="115">
        <v>0</v>
      </c>
      <c r="G3990" s="115">
        <v>0</v>
      </c>
      <c r="H3990" s="115">
        <v>0</v>
      </c>
      <c r="I3990" s="115">
        <v>0</v>
      </c>
      <c r="J3990" s="115">
        <v>0</v>
      </c>
      <c r="K3990" s="115">
        <v>0</v>
      </c>
    </row>
    <row r="3991" spans="2:11" x14ac:dyDescent="0.25">
      <c r="B3991" s="115" t="s">
        <v>1241</v>
      </c>
      <c r="D3991" s="115" t="s">
        <v>8710</v>
      </c>
      <c r="E3991" s="115" t="s">
        <v>1242</v>
      </c>
      <c r="F3991" s="115">
        <v>0</v>
      </c>
      <c r="G3991" s="115">
        <v>0</v>
      </c>
      <c r="H3991" s="115">
        <v>0</v>
      </c>
      <c r="I3991" s="115">
        <v>0</v>
      </c>
      <c r="J3991" s="115">
        <v>0</v>
      </c>
      <c r="K3991" s="115">
        <v>0</v>
      </c>
    </row>
    <row r="3992" spans="2:11" x14ac:dyDescent="0.25">
      <c r="B3992" s="115" t="s">
        <v>1241</v>
      </c>
      <c r="D3992" s="115" t="s">
        <v>8710</v>
      </c>
      <c r="E3992" s="115" t="s">
        <v>1242</v>
      </c>
      <c r="F3992" s="115">
        <v>0</v>
      </c>
      <c r="G3992" s="115">
        <v>0</v>
      </c>
      <c r="H3992" s="115">
        <v>0</v>
      </c>
      <c r="I3992" s="115">
        <v>0</v>
      </c>
      <c r="J3992" s="115">
        <v>0</v>
      </c>
      <c r="K3992" s="115">
        <v>0</v>
      </c>
    </row>
    <row r="3993" spans="2:11" x14ac:dyDescent="0.25">
      <c r="B3993" s="115" t="s">
        <v>1241</v>
      </c>
      <c r="D3993" s="115" t="s">
        <v>8710</v>
      </c>
      <c r="E3993" s="115" t="s">
        <v>1242</v>
      </c>
      <c r="F3993" s="115">
        <v>0</v>
      </c>
      <c r="G3993" s="115">
        <v>0</v>
      </c>
      <c r="H3993" s="115">
        <v>0</v>
      </c>
      <c r="I3993" s="115">
        <v>0</v>
      </c>
      <c r="J3993" s="115">
        <v>0</v>
      </c>
      <c r="K3993" s="115">
        <v>0</v>
      </c>
    </row>
    <row r="3994" spans="2:11" x14ac:dyDescent="0.25">
      <c r="B3994" s="115" t="s">
        <v>1241</v>
      </c>
      <c r="D3994" s="115" t="s">
        <v>8710</v>
      </c>
      <c r="E3994" s="115" t="s">
        <v>1242</v>
      </c>
      <c r="F3994" s="115">
        <v>0</v>
      </c>
      <c r="G3994" s="115">
        <v>0</v>
      </c>
      <c r="H3994" s="115">
        <v>0</v>
      </c>
      <c r="I3994" s="115">
        <v>0</v>
      </c>
      <c r="J3994" s="115">
        <v>0</v>
      </c>
      <c r="K3994" s="115">
        <v>0</v>
      </c>
    </row>
    <row r="3995" spans="2:11" x14ac:dyDescent="0.25">
      <c r="B3995" s="115" t="s">
        <v>1241</v>
      </c>
      <c r="D3995" s="115" t="s">
        <v>8710</v>
      </c>
      <c r="E3995" s="115" t="s">
        <v>1242</v>
      </c>
      <c r="F3995" s="115">
        <v>0</v>
      </c>
      <c r="G3995" s="115">
        <v>0</v>
      </c>
      <c r="H3995" s="115">
        <v>0</v>
      </c>
      <c r="I3995" s="115">
        <v>0</v>
      </c>
      <c r="J3995" s="115">
        <v>0</v>
      </c>
      <c r="K3995" s="115">
        <v>0</v>
      </c>
    </row>
    <row r="3996" spans="2:11" x14ac:dyDescent="0.25">
      <c r="B3996" s="115" t="s">
        <v>1241</v>
      </c>
      <c r="D3996" s="115" t="s">
        <v>8710</v>
      </c>
      <c r="E3996" s="115" t="s">
        <v>1242</v>
      </c>
      <c r="F3996" s="115">
        <v>0</v>
      </c>
      <c r="G3996" s="115">
        <v>0</v>
      </c>
      <c r="H3996" s="115">
        <v>0</v>
      </c>
      <c r="I3996" s="115">
        <v>0</v>
      </c>
      <c r="J3996" s="115">
        <v>0</v>
      </c>
      <c r="K3996" s="115">
        <v>0</v>
      </c>
    </row>
    <row r="3997" spans="2:11" x14ac:dyDescent="0.25">
      <c r="B3997" s="115" t="s">
        <v>1241</v>
      </c>
      <c r="D3997" s="115" t="s">
        <v>8710</v>
      </c>
      <c r="E3997" s="115" t="s">
        <v>1242</v>
      </c>
      <c r="F3997" s="115">
        <v>0</v>
      </c>
      <c r="G3997" s="115">
        <v>0</v>
      </c>
      <c r="H3997" s="115">
        <v>0</v>
      </c>
      <c r="I3997" s="115">
        <v>0</v>
      </c>
      <c r="J3997" s="115">
        <v>0</v>
      </c>
      <c r="K3997" s="115">
        <v>0</v>
      </c>
    </row>
    <row r="3998" spans="2:11" x14ac:dyDescent="0.25">
      <c r="B3998" s="115" t="s">
        <v>1241</v>
      </c>
      <c r="D3998" s="115" t="s">
        <v>8710</v>
      </c>
      <c r="E3998" s="115" t="s">
        <v>1242</v>
      </c>
      <c r="F3998" s="115">
        <v>0</v>
      </c>
      <c r="G3998" s="115">
        <v>0</v>
      </c>
      <c r="H3998" s="115">
        <v>0</v>
      </c>
      <c r="I3998" s="115">
        <v>0</v>
      </c>
      <c r="J3998" s="115">
        <v>0</v>
      </c>
      <c r="K3998" s="115">
        <v>0</v>
      </c>
    </row>
    <row r="3999" spans="2:11" x14ac:dyDescent="0.25">
      <c r="B3999" s="115" t="s">
        <v>1241</v>
      </c>
      <c r="D3999" s="115" t="s">
        <v>8710</v>
      </c>
      <c r="E3999" s="115" t="s">
        <v>1242</v>
      </c>
      <c r="F3999" s="115">
        <v>0</v>
      </c>
      <c r="G3999" s="115">
        <v>0</v>
      </c>
      <c r="H3999" s="115">
        <v>0</v>
      </c>
      <c r="I3999" s="115">
        <v>0</v>
      </c>
      <c r="J3999" s="115">
        <v>0</v>
      </c>
      <c r="K3999" s="115">
        <v>0</v>
      </c>
    </row>
    <row r="4000" spans="2:11" x14ac:dyDescent="0.25">
      <c r="B4000" s="115" t="s">
        <v>1241</v>
      </c>
      <c r="D4000" s="115" t="s">
        <v>8710</v>
      </c>
      <c r="E4000" s="115" t="s">
        <v>1242</v>
      </c>
      <c r="F4000" s="115">
        <v>0</v>
      </c>
      <c r="G4000" s="115">
        <v>0</v>
      </c>
      <c r="H4000" s="115">
        <v>0</v>
      </c>
      <c r="I4000" s="115">
        <v>0</v>
      </c>
      <c r="J4000" s="115">
        <v>0</v>
      </c>
      <c r="K4000" s="115">
        <v>0</v>
      </c>
    </row>
    <row r="4001" spans="2:11" x14ac:dyDescent="0.25">
      <c r="B4001" s="115" t="s">
        <v>1241</v>
      </c>
      <c r="D4001" s="115" t="s">
        <v>8710</v>
      </c>
      <c r="E4001" s="115" t="s">
        <v>1242</v>
      </c>
      <c r="F4001" s="115">
        <v>0</v>
      </c>
      <c r="G4001" s="115">
        <v>0</v>
      </c>
      <c r="H4001" s="115">
        <v>0</v>
      </c>
      <c r="I4001" s="115">
        <v>0</v>
      </c>
      <c r="J4001" s="115">
        <v>0</v>
      </c>
      <c r="K4001" s="115">
        <v>0</v>
      </c>
    </row>
    <row r="4002" spans="2:11" x14ac:dyDescent="0.25">
      <c r="B4002" s="115" t="s">
        <v>1241</v>
      </c>
      <c r="D4002" s="115" t="s">
        <v>8710</v>
      </c>
      <c r="E4002" s="115" t="s">
        <v>1242</v>
      </c>
      <c r="F4002" s="115">
        <v>0</v>
      </c>
      <c r="G4002" s="115">
        <v>0</v>
      </c>
      <c r="H4002" s="115">
        <v>0</v>
      </c>
      <c r="I4002" s="115">
        <v>0</v>
      </c>
      <c r="J4002" s="115">
        <v>0</v>
      </c>
      <c r="K4002" s="115">
        <v>0</v>
      </c>
    </row>
    <row r="4003" spans="2:11" x14ac:dyDescent="0.25">
      <c r="B4003" s="115" t="s">
        <v>1241</v>
      </c>
      <c r="D4003" s="115" t="s">
        <v>8710</v>
      </c>
      <c r="E4003" s="115" t="s">
        <v>1242</v>
      </c>
      <c r="F4003" s="115">
        <v>0</v>
      </c>
      <c r="G4003" s="115">
        <v>0</v>
      </c>
      <c r="H4003" s="115">
        <v>0</v>
      </c>
      <c r="I4003" s="115">
        <v>0</v>
      </c>
      <c r="J4003" s="115">
        <v>0</v>
      </c>
      <c r="K4003" s="115">
        <v>0</v>
      </c>
    </row>
    <row r="4004" spans="2:11" x14ac:dyDescent="0.25">
      <c r="B4004" s="115" t="s">
        <v>1241</v>
      </c>
      <c r="D4004" s="115" t="s">
        <v>8710</v>
      </c>
      <c r="E4004" s="115" t="s">
        <v>1242</v>
      </c>
      <c r="F4004" s="115">
        <v>0</v>
      </c>
      <c r="G4004" s="115">
        <v>0</v>
      </c>
      <c r="H4004" s="115">
        <v>0</v>
      </c>
      <c r="I4004" s="115">
        <v>0</v>
      </c>
      <c r="J4004" s="115">
        <v>0</v>
      </c>
      <c r="K4004" s="115">
        <v>0</v>
      </c>
    </row>
    <row r="4005" spans="2:11" x14ac:dyDescent="0.25">
      <c r="B4005" s="115" t="s">
        <v>1241</v>
      </c>
      <c r="D4005" s="115" t="s">
        <v>8710</v>
      </c>
      <c r="E4005" s="115" t="s">
        <v>1242</v>
      </c>
      <c r="F4005" s="115">
        <v>0</v>
      </c>
      <c r="G4005" s="115">
        <v>0</v>
      </c>
      <c r="H4005" s="115">
        <v>0</v>
      </c>
      <c r="I4005" s="115">
        <v>0</v>
      </c>
      <c r="J4005" s="115">
        <v>0</v>
      </c>
      <c r="K4005" s="115">
        <v>0</v>
      </c>
    </row>
    <row r="4006" spans="2:11" x14ac:dyDescent="0.25">
      <c r="B4006" s="115" t="s">
        <v>1241</v>
      </c>
      <c r="D4006" s="115" t="s">
        <v>8710</v>
      </c>
      <c r="E4006" s="115" t="s">
        <v>1242</v>
      </c>
      <c r="F4006" s="115">
        <v>0</v>
      </c>
      <c r="G4006" s="115">
        <v>0</v>
      </c>
      <c r="H4006" s="115">
        <v>0</v>
      </c>
      <c r="I4006" s="115">
        <v>0</v>
      </c>
      <c r="J4006" s="115">
        <v>0</v>
      </c>
      <c r="K4006" s="115">
        <v>0</v>
      </c>
    </row>
    <row r="4007" spans="2:11" x14ac:dyDescent="0.25">
      <c r="B4007" s="115" t="s">
        <v>1241</v>
      </c>
      <c r="D4007" s="115" t="s">
        <v>8710</v>
      </c>
      <c r="E4007" s="115" t="s">
        <v>1242</v>
      </c>
      <c r="F4007" s="115">
        <v>0</v>
      </c>
      <c r="G4007" s="115">
        <v>0</v>
      </c>
      <c r="H4007" s="115">
        <v>0</v>
      </c>
      <c r="I4007" s="115">
        <v>0</v>
      </c>
      <c r="J4007" s="115">
        <v>0</v>
      </c>
      <c r="K4007" s="115">
        <v>0</v>
      </c>
    </row>
    <row r="4008" spans="2:11" x14ac:dyDescent="0.25">
      <c r="B4008" s="115" t="s">
        <v>1241</v>
      </c>
      <c r="D4008" s="115" t="s">
        <v>8710</v>
      </c>
      <c r="E4008" s="115" t="s">
        <v>1242</v>
      </c>
      <c r="F4008" s="115">
        <v>0</v>
      </c>
      <c r="G4008" s="115">
        <v>0</v>
      </c>
      <c r="H4008" s="115">
        <v>0</v>
      </c>
      <c r="I4008" s="115">
        <v>0</v>
      </c>
      <c r="J4008" s="115">
        <v>0</v>
      </c>
      <c r="K4008" s="115">
        <v>0</v>
      </c>
    </row>
    <row r="4009" spans="2:11" x14ac:dyDescent="0.25">
      <c r="B4009" s="115" t="s">
        <v>1241</v>
      </c>
      <c r="D4009" s="115" t="s">
        <v>8710</v>
      </c>
      <c r="E4009" s="115" t="s">
        <v>1242</v>
      </c>
      <c r="F4009" s="115">
        <v>0</v>
      </c>
      <c r="G4009" s="115">
        <v>0</v>
      </c>
      <c r="H4009" s="115">
        <v>0</v>
      </c>
      <c r="I4009" s="115">
        <v>0</v>
      </c>
      <c r="J4009" s="115">
        <v>0</v>
      </c>
      <c r="K4009" s="115">
        <v>0</v>
      </c>
    </row>
    <row r="4010" spans="2:11" x14ac:dyDescent="0.25">
      <c r="B4010" s="115" t="s">
        <v>1241</v>
      </c>
      <c r="D4010" s="115" t="s">
        <v>8710</v>
      </c>
      <c r="E4010" s="115" t="s">
        <v>1242</v>
      </c>
      <c r="F4010" s="115">
        <v>0</v>
      </c>
      <c r="G4010" s="115">
        <v>0</v>
      </c>
      <c r="H4010" s="115">
        <v>0</v>
      </c>
      <c r="I4010" s="115">
        <v>0</v>
      </c>
      <c r="J4010" s="115">
        <v>0</v>
      </c>
      <c r="K4010" s="115">
        <v>0</v>
      </c>
    </row>
    <row r="4011" spans="2:11" x14ac:dyDescent="0.25">
      <c r="B4011" s="115" t="s">
        <v>1241</v>
      </c>
      <c r="D4011" s="115" t="s">
        <v>8710</v>
      </c>
      <c r="E4011" s="115" t="s">
        <v>1242</v>
      </c>
      <c r="F4011" s="115">
        <v>0</v>
      </c>
      <c r="G4011" s="115">
        <v>0</v>
      </c>
      <c r="H4011" s="115">
        <v>0</v>
      </c>
      <c r="I4011" s="115">
        <v>0</v>
      </c>
      <c r="J4011" s="115">
        <v>0</v>
      </c>
      <c r="K4011" s="115">
        <v>0</v>
      </c>
    </row>
    <row r="4012" spans="2:11" x14ac:dyDescent="0.25">
      <c r="B4012" s="115" t="s">
        <v>1241</v>
      </c>
      <c r="D4012" s="115" t="s">
        <v>8710</v>
      </c>
      <c r="E4012" s="115" t="s">
        <v>1242</v>
      </c>
      <c r="F4012" s="115">
        <v>0</v>
      </c>
      <c r="G4012" s="115">
        <v>0</v>
      </c>
      <c r="H4012" s="115">
        <v>0</v>
      </c>
      <c r="I4012" s="115">
        <v>0</v>
      </c>
      <c r="J4012" s="115">
        <v>0</v>
      </c>
      <c r="K4012" s="115">
        <v>0</v>
      </c>
    </row>
    <row r="4013" spans="2:11" x14ac:dyDescent="0.25">
      <c r="B4013" s="115" t="s">
        <v>1241</v>
      </c>
      <c r="D4013" s="115" t="s">
        <v>8710</v>
      </c>
      <c r="E4013" s="115" t="s">
        <v>1242</v>
      </c>
      <c r="F4013" s="115">
        <v>0</v>
      </c>
      <c r="G4013" s="115">
        <v>0</v>
      </c>
      <c r="H4013" s="115">
        <v>0</v>
      </c>
      <c r="I4013" s="115">
        <v>0</v>
      </c>
      <c r="J4013" s="115">
        <v>0</v>
      </c>
      <c r="K4013" s="115">
        <v>0</v>
      </c>
    </row>
    <row r="4014" spans="2:11" x14ac:dyDescent="0.25">
      <c r="B4014" s="115" t="s">
        <v>1241</v>
      </c>
      <c r="D4014" s="115" t="s">
        <v>8710</v>
      </c>
      <c r="E4014" s="115" t="s">
        <v>1242</v>
      </c>
      <c r="F4014" s="115">
        <v>0</v>
      </c>
      <c r="G4014" s="115">
        <v>0</v>
      </c>
      <c r="H4014" s="115">
        <v>0</v>
      </c>
      <c r="I4014" s="115">
        <v>0</v>
      </c>
      <c r="J4014" s="115">
        <v>0</v>
      </c>
      <c r="K4014" s="115">
        <v>0</v>
      </c>
    </row>
    <row r="4015" spans="2:11" x14ac:dyDescent="0.25">
      <c r="B4015" s="115" t="s">
        <v>1241</v>
      </c>
      <c r="D4015" s="115" t="s">
        <v>8710</v>
      </c>
      <c r="E4015" s="115" t="s">
        <v>1242</v>
      </c>
      <c r="F4015" s="115">
        <v>0</v>
      </c>
      <c r="G4015" s="115">
        <v>0</v>
      </c>
      <c r="H4015" s="115">
        <v>0</v>
      </c>
      <c r="I4015" s="115">
        <v>0</v>
      </c>
      <c r="J4015" s="115">
        <v>0</v>
      </c>
      <c r="K4015" s="115">
        <v>0</v>
      </c>
    </row>
    <row r="4016" spans="2:11" x14ac:dyDescent="0.25">
      <c r="B4016" s="115" t="s">
        <v>1241</v>
      </c>
      <c r="D4016" s="115" t="s">
        <v>8710</v>
      </c>
      <c r="E4016" s="115" t="s">
        <v>1242</v>
      </c>
      <c r="F4016" s="115">
        <v>0</v>
      </c>
      <c r="G4016" s="115">
        <v>0</v>
      </c>
      <c r="H4016" s="115">
        <v>0</v>
      </c>
      <c r="I4016" s="115">
        <v>0</v>
      </c>
      <c r="J4016" s="115">
        <v>0</v>
      </c>
      <c r="K4016" s="115">
        <v>0</v>
      </c>
    </row>
    <row r="4017" spans="2:11" x14ac:dyDescent="0.25">
      <c r="B4017" s="115" t="s">
        <v>1241</v>
      </c>
      <c r="D4017" s="115" t="s">
        <v>8710</v>
      </c>
      <c r="E4017" s="115" t="s">
        <v>1242</v>
      </c>
      <c r="F4017" s="115">
        <v>0</v>
      </c>
      <c r="G4017" s="115">
        <v>0</v>
      </c>
      <c r="H4017" s="115">
        <v>0</v>
      </c>
      <c r="I4017" s="115">
        <v>0</v>
      </c>
      <c r="J4017" s="115">
        <v>0</v>
      </c>
      <c r="K4017" s="115">
        <v>0</v>
      </c>
    </row>
    <row r="4018" spans="2:11" x14ac:dyDescent="0.25">
      <c r="B4018" s="115" t="s">
        <v>1241</v>
      </c>
      <c r="D4018" s="115" t="s">
        <v>8710</v>
      </c>
      <c r="E4018" s="115" t="s">
        <v>1242</v>
      </c>
      <c r="F4018" s="115">
        <v>0</v>
      </c>
      <c r="G4018" s="115">
        <v>0</v>
      </c>
      <c r="H4018" s="115">
        <v>0</v>
      </c>
      <c r="I4018" s="115">
        <v>0</v>
      </c>
      <c r="J4018" s="115">
        <v>0</v>
      </c>
      <c r="K4018" s="115">
        <v>0</v>
      </c>
    </row>
    <row r="4019" spans="2:11" x14ac:dyDescent="0.25">
      <c r="B4019" s="115" t="s">
        <v>1241</v>
      </c>
      <c r="D4019" s="115" t="s">
        <v>8710</v>
      </c>
      <c r="E4019" s="115" t="s">
        <v>1242</v>
      </c>
      <c r="F4019" s="115">
        <v>0</v>
      </c>
      <c r="G4019" s="115">
        <v>0</v>
      </c>
      <c r="H4019" s="115">
        <v>0</v>
      </c>
      <c r="I4019" s="115">
        <v>0</v>
      </c>
      <c r="J4019" s="115">
        <v>0</v>
      </c>
      <c r="K4019" s="115">
        <v>0</v>
      </c>
    </row>
    <row r="4020" spans="2:11" x14ac:dyDescent="0.25">
      <c r="B4020" s="115" t="s">
        <v>1241</v>
      </c>
      <c r="D4020" s="115" t="s">
        <v>8710</v>
      </c>
      <c r="E4020" s="115" t="s">
        <v>1242</v>
      </c>
      <c r="F4020" s="115">
        <v>0</v>
      </c>
      <c r="G4020" s="115">
        <v>0</v>
      </c>
      <c r="H4020" s="115">
        <v>0</v>
      </c>
      <c r="I4020" s="115">
        <v>0</v>
      </c>
      <c r="J4020" s="115">
        <v>0</v>
      </c>
      <c r="K4020" s="115">
        <v>0</v>
      </c>
    </row>
    <row r="4021" spans="2:11" x14ac:dyDescent="0.25">
      <c r="B4021" s="115" t="s">
        <v>1241</v>
      </c>
      <c r="D4021" s="115" t="s">
        <v>8710</v>
      </c>
      <c r="E4021" s="115" t="s">
        <v>1242</v>
      </c>
      <c r="F4021" s="115">
        <v>0</v>
      </c>
      <c r="G4021" s="115">
        <v>0</v>
      </c>
      <c r="H4021" s="115">
        <v>0</v>
      </c>
      <c r="I4021" s="115">
        <v>0</v>
      </c>
      <c r="J4021" s="115">
        <v>0</v>
      </c>
      <c r="K4021" s="115">
        <v>0</v>
      </c>
    </row>
    <row r="4022" spans="2:11" x14ac:dyDescent="0.25">
      <c r="B4022" s="115" t="s">
        <v>1241</v>
      </c>
      <c r="D4022" s="115" t="s">
        <v>8710</v>
      </c>
      <c r="E4022" s="115" t="s">
        <v>1242</v>
      </c>
      <c r="F4022" s="115">
        <v>0</v>
      </c>
      <c r="G4022" s="115">
        <v>0</v>
      </c>
      <c r="H4022" s="115">
        <v>0</v>
      </c>
      <c r="I4022" s="115">
        <v>0</v>
      </c>
      <c r="J4022" s="115">
        <v>0</v>
      </c>
      <c r="K4022" s="115">
        <v>0</v>
      </c>
    </row>
    <row r="4023" spans="2:11" x14ac:dyDescent="0.25">
      <c r="B4023" s="115" t="s">
        <v>1241</v>
      </c>
      <c r="D4023" s="115" t="s">
        <v>8710</v>
      </c>
      <c r="E4023" s="115" t="s">
        <v>1242</v>
      </c>
      <c r="F4023" s="115">
        <v>0</v>
      </c>
      <c r="G4023" s="115">
        <v>0</v>
      </c>
      <c r="H4023" s="115">
        <v>0</v>
      </c>
      <c r="I4023" s="115">
        <v>0</v>
      </c>
      <c r="J4023" s="115">
        <v>0</v>
      </c>
      <c r="K4023" s="115">
        <v>0</v>
      </c>
    </row>
    <row r="4024" spans="2:11" x14ac:dyDescent="0.25">
      <c r="B4024" s="115" t="s">
        <v>1241</v>
      </c>
      <c r="D4024" s="115" t="s">
        <v>8710</v>
      </c>
      <c r="E4024" s="115" t="s">
        <v>1242</v>
      </c>
      <c r="F4024" s="115">
        <v>0</v>
      </c>
      <c r="G4024" s="115">
        <v>0</v>
      </c>
      <c r="H4024" s="115">
        <v>0</v>
      </c>
      <c r="I4024" s="115">
        <v>0</v>
      </c>
      <c r="J4024" s="115">
        <v>0</v>
      </c>
      <c r="K4024" s="115">
        <v>0</v>
      </c>
    </row>
    <row r="4025" spans="2:11" x14ac:dyDescent="0.25">
      <c r="B4025" s="115" t="s">
        <v>1241</v>
      </c>
      <c r="D4025" s="115" t="s">
        <v>8710</v>
      </c>
      <c r="E4025" s="115" t="s">
        <v>1242</v>
      </c>
      <c r="F4025" s="115">
        <v>0</v>
      </c>
      <c r="G4025" s="115">
        <v>0</v>
      </c>
      <c r="H4025" s="115">
        <v>0</v>
      </c>
      <c r="I4025" s="115">
        <v>0</v>
      </c>
      <c r="J4025" s="115">
        <v>0</v>
      </c>
      <c r="K4025" s="115">
        <v>0</v>
      </c>
    </row>
    <row r="4026" spans="2:11" x14ac:dyDescent="0.25">
      <c r="B4026" s="115" t="s">
        <v>1241</v>
      </c>
      <c r="D4026" s="115" t="s">
        <v>8710</v>
      </c>
      <c r="E4026" s="115" t="s">
        <v>1242</v>
      </c>
      <c r="F4026" s="115">
        <v>0</v>
      </c>
      <c r="G4026" s="115">
        <v>0</v>
      </c>
      <c r="H4026" s="115">
        <v>0</v>
      </c>
      <c r="I4026" s="115">
        <v>0</v>
      </c>
      <c r="J4026" s="115">
        <v>0</v>
      </c>
      <c r="K4026" s="115">
        <v>0</v>
      </c>
    </row>
    <row r="4027" spans="2:11" x14ac:dyDescent="0.25">
      <c r="B4027" s="115" t="s">
        <v>1241</v>
      </c>
      <c r="D4027" s="115" t="s">
        <v>8710</v>
      </c>
      <c r="E4027" s="115" t="s">
        <v>1242</v>
      </c>
      <c r="F4027" s="115">
        <v>0</v>
      </c>
      <c r="G4027" s="115">
        <v>0</v>
      </c>
      <c r="H4027" s="115">
        <v>0</v>
      </c>
      <c r="I4027" s="115">
        <v>0</v>
      </c>
      <c r="J4027" s="115">
        <v>0</v>
      </c>
      <c r="K4027" s="115">
        <v>0</v>
      </c>
    </row>
    <row r="4028" spans="2:11" x14ac:dyDescent="0.25">
      <c r="B4028" s="115" t="s">
        <v>1241</v>
      </c>
      <c r="D4028" s="115" t="s">
        <v>8710</v>
      </c>
      <c r="E4028" s="115" t="s">
        <v>1242</v>
      </c>
      <c r="F4028" s="115">
        <v>0</v>
      </c>
      <c r="G4028" s="115">
        <v>0</v>
      </c>
      <c r="H4028" s="115">
        <v>0</v>
      </c>
      <c r="I4028" s="115">
        <v>0</v>
      </c>
      <c r="J4028" s="115">
        <v>0</v>
      </c>
      <c r="K4028" s="115">
        <v>0</v>
      </c>
    </row>
    <row r="4029" spans="2:11" x14ac:dyDescent="0.25">
      <c r="B4029" s="115" t="s">
        <v>1241</v>
      </c>
      <c r="D4029" s="115" t="s">
        <v>8710</v>
      </c>
      <c r="E4029" s="115" t="s">
        <v>1242</v>
      </c>
      <c r="F4029" s="115">
        <v>0</v>
      </c>
      <c r="G4029" s="115">
        <v>0</v>
      </c>
      <c r="H4029" s="115">
        <v>0</v>
      </c>
      <c r="I4029" s="115">
        <v>0</v>
      </c>
      <c r="J4029" s="115">
        <v>0</v>
      </c>
      <c r="K4029" s="115">
        <v>0</v>
      </c>
    </row>
    <row r="4030" spans="2:11" x14ac:dyDescent="0.25">
      <c r="B4030" s="115" t="s">
        <v>1241</v>
      </c>
      <c r="D4030" s="115" t="s">
        <v>8710</v>
      </c>
      <c r="E4030" s="115" t="s">
        <v>1242</v>
      </c>
      <c r="F4030" s="115">
        <v>0</v>
      </c>
      <c r="G4030" s="115">
        <v>0</v>
      </c>
      <c r="H4030" s="115">
        <v>0</v>
      </c>
      <c r="I4030" s="115">
        <v>0</v>
      </c>
      <c r="J4030" s="115">
        <v>0</v>
      </c>
      <c r="K4030" s="115">
        <v>0</v>
      </c>
    </row>
    <row r="4031" spans="2:11" x14ac:dyDescent="0.25">
      <c r="B4031" s="115" t="s">
        <v>1241</v>
      </c>
      <c r="D4031" s="115" t="s">
        <v>8710</v>
      </c>
      <c r="E4031" s="115" t="s">
        <v>1242</v>
      </c>
      <c r="F4031" s="115">
        <v>0</v>
      </c>
      <c r="G4031" s="115">
        <v>0</v>
      </c>
      <c r="H4031" s="115">
        <v>0</v>
      </c>
      <c r="I4031" s="115">
        <v>0</v>
      </c>
      <c r="J4031" s="115">
        <v>0</v>
      </c>
      <c r="K4031" s="115">
        <v>0</v>
      </c>
    </row>
    <row r="4032" spans="2:11" x14ac:dyDescent="0.25">
      <c r="B4032" s="115" t="s">
        <v>1241</v>
      </c>
      <c r="D4032" s="115" t="s">
        <v>8710</v>
      </c>
      <c r="E4032" s="115" t="s">
        <v>1242</v>
      </c>
      <c r="F4032" s="115">
        <v>0</v>
      </c>
      <c r="G4032" s="115">
        <v>0</v>
      </c>
      <c r="H4032" s="115">
        <v>0</v>
      </c>
      <c r="I4032" s="115">
        <v>0</v>
      </c>
      <c r="J4032" s="115">
        <v>0</v>
      </c>
      <c r="K4032" s="115">
        <v>0</v>
      </c>
    </row>
    <row r="4033" spans="2:11" x14ac:dyDescent="0.25">
      <c r="B4033" s="115" t="s">
        <v>1241</v>
      </c>
      <c r="D4033" s="115" t="s">
        <v>8710</v>
      </c>
      <c r="E4033" s="115" t="s">
        <v>1242</v>
      </c>
      <c r="F4033" s="115">
        <v>0</v>
      </c>
      <c r="G4033" s="115">
        <v>0</v>
      </c>
      <c r="H4033" s="115">
        <v>0</v>
      </c>
      <c r="I4033" s="115">
        <v>0</v>
      </c>
      <c r="J4033" s="115">
        <v>0</v>
      </c>
      <c r="K4033" s="115">
        <v>0</v>
      </c>
    </row>
    <row r="4034" spans="2:11" x14ac:dyDescent="0.25">
      <c r="B4034" s="115" t="s">
        <v>1241</v>
      </c>
      <c r="D4034" s="115" t="s">
        <v>8710</v>
      </c>
      <c r="E4034" s="115" t="s">
        <v>1242</v>
      </c>
      <c r="F4034" s="115">
        <v>0</v>
      </c>
      <c r="G4034" s="115">
        <v>0</v>
      </c>
      <c r="H4034" s="115">
        <v>0</v>
      </c>
      <c r="I4034" s="115">
        <v>0</v>
      </c>
      <c r="J4034" s="115">
        <v>0</v>
      </c>
      <c r="K4034" s="115">
        <v>0</v>
      </c>
    </row>
    <row r="4035" spans="2:11" x14ac:dyDescent="0.25">
      <c r="B4035" s="115" t="s">
        <v>1241</v>
      </c>
      <c r="D4035" s="115" t="s">
        <v>8710</v>
      </c>
      <c r="E4035" s="115" t="s">
        <v>1242</v>
      </c>
      <c r="F4035" s="115">
        <v>0</v>
      </c>
      <c r="G4035" s="115">
        <v>0</v>
      </c>
      <c r="H4035" s="115">
        <v>0</v>
      </c>
      <c r="I4035" s="115">
        <v>0</v>
      </c>
      <c r="J4035" s="115">
        <v>0</v>
      </c>
      <c r="K4035" s="115">
        <v>0</v>
      </c>
    </row>
    <row r="4036" spans="2:11" x14ac:dyDescent="0.25">
      <c r="B4036" s="115" t="s">
        <v>1241</v>
      </c>
      <c r="D4036" s="115" t="s">
        <v>8710</v>
      </c>
      <c r="E4036" s="115" t="s">
        <v>1242</v>
      </c>
      <c r="F4036" s="115">
        <v>0</v>
      </c>
      <c r="G4036" s="115">
        <v>0</v>
      </c>
      <c r="H4036" s="115">
        <v>0</v>
      </c>
      <c r="I4036" s="115">
        <v>0</v>
      </c>
      <c r="J4036" s="115">
        <v>0</v>
      </c>
      <c r="K4036" s="115">
        <v>0</v>
      </c>
    </row>
    <row r="4037" spans="2:11" x14ac:dyDescent="0.25">
      <c r="B4037" s="115" t="s">
        <v>1241</v>
      </c>
      <c r="D4037" s="115" t="s">
        <v>8710</v>
      </c>
      <c r="E4037" s="115" t="s">
        <v>1242</v>
      </c>
      <c r="F4037" s="115">
        <v>0</v>
      </c>
      <c r="G4037" s="115">
        <v>0</v>
      </c>
      <c r="H4037" s="115">
        <v>0</v>
      </c>
      <c r="I4037" s="115">
        <v>0</v>
      </c>
      <c r="J4037" s="115">
        <v>0</v>
      </c>
      <c r="K4037" s="115">
        <v>0</v>
      </c>
    </row>
    <row r="4038" spans="2:11" x14ac:dyDescent="0.25">
      <c r="B4038" s="115" t="s">
        <v>1241</v>
      </c>
      <c r="D4038" s="115" t="s">
        <v>8710</v>
      </c>
      <c r="E4038" s="115" t="s">
        <v>1242</v>
      </c>
      <c r="F4038" s="115">
        <v>0</v>
      </c>
      <c r="G4038" s="115">
        <v>0</v>
      </c>
      <c r="H4038" s="115">
        <v>0</v>
      </c>
      <c r="I4038" s="115">
        <v>0</v>
      </c>
      <c r="J4038" s="115">
        <v>0</v>
      </c>
      <c r="K4038" s="115">
        <v>0</v>
      </c>
    </row>
    <row r="4039" spans="2:11" x14ac:dyDescent="0.25">
      <c r="B4039" s="115" t="s">
        <v>1241</v>
      </c>
      <c r="D4039" s="115" t="s">
        <v>8710</v>
      </c>
      <c r="E4039" s="115" t="s">
        <v>1242</v>
      </c>
      <c r="F4039" s="115">
        <v>0</v>
      </c>
      <c r="G4039" s="115">
        <v>0</v>
      </c>
      <c r="H4039" s="115">
        <v>0</v>
      </c>
      <c r="I4039" s="115">
        <v>0</v>
      </c>
      <c r="J4039" s="115">
        <v>0</v>
      </c>
      <c r="K4039" s="115">
        <v>0</v>
      </c>
    </row>
    <row r="4040" spans="2:11" x14ac:dyDescent="0.25">
      <c r="B4040" s="115" t="s">
        <v>1241</v>
      </c>
      <c r="D4040" s="115" t="s">
        <v>8710</v>
      </c>
      <c r="E4040" s="115" t="s">
        <v>1242</v>
      </c>
      <c r="F4040" s="115">
        <v>0</v>
      </c>
      <c r="G4040" s="115">
        <v>0</v>
      </c>
      <c r="H4040" s="115">
        <v>0</v>
      </c>
      <c r="I4040" s="115">
        <v>0</v>
      </c>
      <c r="J4040" s="115">
        <v>0</v>
      </c>
      <c r="K4040" s="115">
        <v>0</v>
      </c>
    </row>
    <row r="4041" spans="2:11" x14ac:dyDescent="0.25">
      <c r="B4041" s="115" t="s">
        <v>1241</v>
      </c>
      <c r="D4041" s="115" t="s">
        <v>8710</v>
      </c>
      <c r="E4041" s="115" t="s">
        <v>1242</v>
      </c>
      <c r="F4041" s="115">
        <v>0</v>
      </c>
      <c r="G4041" s="115">
        <v>0</v>
      </c>
      <c r="H4041" s="115">
        <v>0</v>
      </c>
      <c r="I4041" s="115">
        <v>0</v>
      </c>
      <c r="J4041" s="115">
        <v>0</v>
      </c>
      <c r="K4041" s="115">
        <v>0</v>
      </c>
    </row>
    <row r="4042" spans="2:11" x14ac:dyDescent="0.25">
      <c r="B4042" s="115" t="s">
        <v>1241</v>
      </c>
      <c r="D4042" s="115" t="s">
        <v>8710</v>
      </c>
      <c r="E4042" s="115" t="s">
        <v>1242</v>
      </c>
      <c r="F4042" s="115">
        <v>0</v>
      </c>
      <c r="G4042" s="115">
        <v>0</v>
      </c>
      <c r="H4042" s="115">
        <v>0</v>
      </c>
      <c r="I4042" s="115">
        <v>0</v>
      </c>
      <c r="J4042" s="115">
        <v>0</v>
      </c>
      <c r="K4042" s="115">
        <v>0</v>
      </c>
    </row>
    <row r="4043" spans="2:11" x14ac:dyDescent="0.25">
      <c r="B4043" s="115" t="s">
        <v>1241</v>
      </c>
      <c r="D4043" s="115" t="s">
        <v>8710</v>
      </c>
      <c r="E4043" s="115" t="s">
        <v>1242</v>
      </c>
      <c r="F4043" s="115">
        <v>0</v>
      </c>
      <c r="G4043" s="115">
        <v>0</v>
      </c>
      <c r="H4043" s="115">
        <v>0</v>
      </c>
      <c r="I4043" s="115">
        <v>0</v>
      </c>
      <c r="J4043" s="115">
        <v>0</v>
      </c>
      <c r="K4043" s="115">
        <v>0</v>
      </c>
    </row>
    <row r="4044" spans="2:11" x14ac:dyDescent="0.25">
      <c r="B4044" s="115" t="s">
        <v>1241</v>
      </c>
      <c r="D4044" s="115" t="s">
        <v>8710</v>
      </c>
      <c r="E4044" s="115" t="s">
        <v>1242</v>
      </c>
      <c r="F4044" s="115">
        <v>0</v>
      </c>
      <c r="G4044" s="115">
        <v>0</v>
      </c>
      <c r="H4044" s="115">
        <v>0</v>
      </c>
      <c r="I4044" s="115">
        <v>0</v>
      </c>
      <c r="J4044" s="115">
        <v>0</v>
      </c>
      <c r="K4044" s="115">
        <v>0</v>
      </c>
    </row>
    <row r="4045" spans="2:11" x14ac:dyDescent="0.25">
      <c r="B4045" s="115" t="s">
        <v>1241</v>
      </c>
      <c r="D4045" s="115" t="s">
        <v>8710</v>
      </c>
      <c r="E4045" s="115" t="s">
        <v>1242</v>
      </c>
      <c r="F4045" s="115">
        <v>0</v>
      </c>
      <c r="G4045" s="115">
        <v>0</v>
      </c>
      <c r="H4045" s="115">
        <v>0</v>
      </c>
      <c r="I4045" s="115">
        <v>0</v>
      </c>
      <c r="J4045" s="115">
        <v>0</v>
      </c>
      <c r="K4045" s="115">
        <v>0</v>
      </c>
    </row>
    <row r="4046" spans="2:11" x14ac:dyDescent="0.25">
      <c r="B4046" s="115" t="s">
        <v>1241</v>
      </c>
      <c r="D4046" s="115" t="s">
        <v>8710</v>
      </c>
      <c r="E4046" s="115" t="s">
        <v>1242</v>
      </c>
      <c r="F4046" s="115">
        <v>0</v>
      </c>
      <c r="G4046" s="115">
        <v>0</v>
      </c>
      <c r="H4046" s="115">
        <v>0</v>
      </c>
      <c r="I4046" s="115">
        <v>0</v>
      </c>
      <c r="J4046" s="115">
        <v>0</v>
      </c>
      <c r="K4046" s="115">
        <v>0</v>
      </c>
    </row>
    <row r="4047" spans="2:11" x14ac:dyDescent="0.25">
      <c r="B4047" s="115" t="s">
        <v>1241</v>
      </c>
      <c r="D4047" s="115" t="s">
        <v>8710</v>
      </c>
      <c r="E4047" s="115" t="s">
        <v>1242</v>
      </c>
      <c r="F4047" s="115">
        <v>0</v>
      </c>
      <c r="G4047" s="115">
        <v>0</v>
      </c>
      <c r="H4047" s="115">
        <v>0</v>
      </c>
      <c r="I4047" s="115">
        <v>0</v>
      </c>
      <c r="J4047" s="115">
        <v>0</v>
      </c>
      <c r="K4047" s="115">
        <v>0</v>
      </c>
    </row>
    <row r="4048" spans="2:11" x14ac:dyDescent="0.25">
      <c r="B4048" s="115" t="s">
        <v>1241</v>
      </c>
      <c r="D4048" s="115" t="s">
        <v>8710</v>
      </c>
      <c r="E4048" s="115" t="s">
        <v>1242</v>
      </c>
      <c r="F4048" s="115">
        <v>0</v>
      </c>
      <c r="G4048" s="115">
        <v>0</v>
      </c>
      <c r="H4048" s="115">
        <v>0</v>
      </c>
      <c r="I4048" s="115">
        <v>0</v>
      </c>
      <c r="J4048" s="115">
        <v>0</v>
      </c>
      <c r="K4048" s="115">
        <v>0</v>
      </c>
    </row>
    <row r="4049" spans="2:11" x14ac:dyDescent="0.25">
      <c r="B4049" s="115" t="s">
        <v>1241</v>
      </c>
      <c r="D4049" s="115" t="s">
        <v>8710</v>
      </c>
      <c r="E4049" s="115" t="s">
        <v>1242</v>
      </c>
      <c r="F4049" s="115">
        <v>0</v>
      </c>
      <c r="G4049" s="115">
        <v>0</v>
      </c>
      <c r="H4049" s="115">
        <v>0</v>
      </c>
      <c r="I4049" s="115">
        <v>0</v>
      </c>
      <c r="J4049" s="115">
        <v>0</v>
      </c>
      <c r="K4049" s="115">
        <v>0</v>
      </c>
    </row>
    <row r="4050" spans="2:11" x14ac:dyDescent="0.25">
      <c r="B4050" s="115" t="s">
        <v>1241</v>
      </c>
      <c r="D4050" s="115" t="s">
        <v>8710</v>
      </c>
      <c r="E4050" s="115" t="s">
        <v>1242</v>
      </c>
      <c r="F4050" s="115">
        <v>0</v>
      </c>
      <c r="G4050" s="115">
        <v>0</v>
      </c>
      <c r="H4050" s="115">
        <v>0</v>
      </c>
      <c r="I4050" s="115">
        <v>0</v>
      </c>
      <c r="J4050" s="115">
        <v>0</v>
      </c>
      <c r="K4050" s="115">
        <v>0</v>
      </c>
    </row>
    <row r="4051" spans="2:11" x14ac:dyDescent="0.25">
      <c r="B4051" s="115" t="s">
        <v>1241</v>
      </c>
      <c r="D4051" s="115" t="s">
        <v>8710</v>
      </c>
      <c r="E4051" s="115" t="s">
        <v>1242</v>
      </c>
      <c r="F4051" s="115">
        <v>0</v>
      </c>
      <c r="G4051" s="115">
        <v>0</v>
      </c>
      <c r="H4051" s="115">
        <v>0</v>
      </c>
      <c r="I4051" s="115">
        <v>0</v>
      </c>
      <c r="J4051" s="115">
        <v>0</v>
      </c>
      <c r="K4051" s="115">
        <v>0</v>
      </c>
    </row>
    <row r="4052" spans="2:11" x14ac:dyDescent="0.25">
      <c r="B4052" s="115" t="s">
        <v>1241</v>
      </c>
      <c r="D4052" s="115" t="s">
        <v>8710</v>
      </c>
      <c r="E4052" s="115" t="s">
        <v>1242</v>
      </c>
      <c r="F4052" s="115">
        <v>0</v>
      </c>
      <c r="G4052" s="115">
        <v>0</v>
      </c>
      <c r="H4052" s="115">
        <v>0</v>
      </c>
      <c r="I4052" s="115">
        <v>0</v>
      </c>
      <c r="J4052" s="115">
        <v>0</v>
      </c>
      <c r="K4052" s="115">
        <v>0</v>
      </c>
    </row>
    <row r="4053" spans="2:11" x14ac:dyDescent="0.25">
      <c r="B4053" s="115" t="s">
        <v>1241</v>
      </c>
      <c r="D4053" s="115" t="s">
        <v>8710</v>
      </c>
      <c r="E4053" s="115" t="s">
        <v>1242</v>
      </c>
      <c r="F4053" s="115">
        <v>0</v>
      </c>
      <c r="G4053" s="115">
        <v>0</v>
      </c>
      <c r="H4053" s="115">
        <v>0</v>
      </c>
      <c r="I4053" s="115">
        <v>0</v>
      </c>
      <c r="J4053" s="115">
        <v>0</v>
      </c>
      <c r="K4053" s="115">
        <v>0</v>
      </c>
    </row>
    <row r="4054" spans="2:11" x14ac:dyDescent="0.25">
      <c r="B4054" s="115" t="s">
        <v>1241</v>
      </c>
      <c r="D4054" s="115" t="s">
        <v>8710</v>
      </c>
      <c r="E4054" s="115" t="s">
        <v>1242</v>
      </c>
      <c r="F4054" s="115">
        <v>0</v>
      </c>
      <c r="G4054" s="115">
        <v>0</v>
      </c>
      <c r="H4054" s="115">
        <v>0</v>
      </c>
      <c r="I4054" s="115">
        <v>0</v>
      </c>
      <c r="J4054" s="115">
        <v>0</v>
      </c>
      <c r="K4054" s="115">
        <v>0</v>
      </c>
    </row>
    <row r="4055" spans="2:11" x14ac:dyDescent="0.25">
      <c r="B4055" s="115" t="s">
        <v>1241</v>
      </c>
      <c r="D4055" s="115" t="s">
        <v>8710</v>
      </c>
      <c r="E4055" s="115" t="s">
        <v>1242</v>
      </c>
      <c r="F4055" s="115">
        <v>0</v>
      </c>
      <c r="G4055" s="115">
        <v>0</v>
      </c>
      <c r="H4055" s="115">
        <v>0</v>
      </c>
      <c r="I4055" s="115">
        <v>0</v>
      </c>
      <c r="J4055" s="115">
        <v>0</v>
      </c>
      <c r="K4055" s="115">
        <v>0</v>
      </c>
    </row>
    <row r="4056" spans="2:11" x14ac:dyDescent="0.25">
      <c r="B4056" s="115" t="s">
        <v>1241</v>
      </c>
      <c r="D4056" s="115" t="s">
        <v>8710</v>
      </c>
      <c r="E4056" s="115" t="s">
        <v>1242</v>
      </c>
      <c r="F4056" s="115">
        <v>0</v>
      </c>
      <c r="G4056" s="115">
        <v>0</v>
      </c>
      <c r="H4056" s="115">
        <v>0</v>
      </c>
      <c r="I4056" s="115">
        <v>0</v>
      </c>
      <c r="J4056" s="115">
        <v>0</v>
      </c>
      <c r="K4056" s="115">
        <v>0</v>
      </c>
    </row>
    <row r="4057" spans="2:11" x14ac:dyDescent="0.25">
      <c r="B4057" s="115" t="s">
        <v>1241</v>
      </c>
      <c r="D4057" s="115" t="s">
        <v>8710</v>
      </c>
      <c r="E4057" s="115" t="s">
        <v>1242</v>
      </c>
      <c r="F4057" s="115">
        <v>0</v>
      </c>
      <c r="G4057" s="115">
        <v>0</v>
      </c>
      <c r="H4057" s="115">
        <v>0</v>
      </c>
      <c r="I4057" s="115">
        <v>0</v>
      </c>
      <c r="J4057" s="115">
        <v>0</v>
      </c>
      <c r="K4057" s="115">
        <v>0</v>
      </c>
    </row>
    <row r="4058" spans="2:11" x14ac:dyDescent="0.25">
      <c r="B4058" s="115" t="s">
        <v>1241</v>
      </c>
      <c r="D4058" s="115" t="s">
        <v>8710</v>
      </c>
      <c r="E4058" s="115" t="s">
        <v>1242</v>
      </c>
      <c r="F4058" s="115">
        <v>0</v>
      </c>
      <c r="G4058" s="115">
        <v>0</v>
      </c>
      <c r="H4058" s="115">
        <v>0</v>
      </c>
      <c r="I4058" s="115">
        <v>0</v>
      </c>
      <c r="J4058" s="115">
        <v>0</v>
      </c>
      <c r="K4058" s="115">
        <v>0</v>
      </c>
    </row>
    <row r="4059" spans="2:11" x14ac:dyDescent="0.25">
      <c r="B4059" s="115" t="s">
        <v>1241</v>
      </c>
      <c r="D4059" s="115" t="s">
        <v>8710</v>
      </c>
      <c r="E4059" s="115" t="s">
        <v>1242</v>
      </c>
      <c r="F4059" s="115">
        <v>0</v>
      </c>
      <c r="G4059" s="115">
        <v>0</v>
      </c>
      <c r="H4059" s="115">
        <v>0</v>
      </c>
      <c r="I4059" s="115">
        <v>0</v>
      </c>
      <c r="J4059" s="115">
        <v>0</v>
      </c>
      <c r="K4059" s="115">
        <v>0</v>
      </c>
    </row>
    <row r="4060" spans="2:11" x14ac:dyDescent="0.25">
      <c r="B4060" s="115" t="s">
        <v>1241</v>
      </c>
      <c r="D4060" s="115" t="s">
        <v>8710</v>
      </c>
      <c r="E4060" s="115" t="s">
        <v>1242</v>
      </c>
      <c r="F4060" s="115">
        <v>0</v>
      </c>
      <c r="G4060" s="115">
        <v>0</v>
      </c>
      <c r="H4060" s="115">
        <v>0</v>
      </c>
      <c r="I4060" s="115">
        <v>0</v>
      </c>
      <c r="J4060" s="115">
        <v>0</v>
      </c>
      <c r="K4060" s="115">
        <v>0</v>
      </c>
    </row>
    <row r="4061" spans="2:11" x14ac:dyDescent="0.25">
      <c r="B4061" s="115" t="s">
        <v>1241</v>
      </c>
      <c r="D4061" s="115" t="s">
        <v>8710</v>
      </c>
      <c r="E4061" s="115" t="s">
        <v>1242</v>
      </c>
      <c r="F4061" s="115">
        <v>0</v>
      </c>
      <c r="G4061" s="115">
        <v>0</v>
      </c>
      <c r="H4061" s="115">
        <v>0</v>
      </c>
      <c r="I4061" s="115">
        <v>0</v>
      </c>
      <c r="J4061" s="115">
        <v>0</v>
      </c>
      <c r="K4061" s="115">
        <v>0</v>
      </c>
    </row>
    <row r="4062" spans="2:11" x14ac:dyDescent="0.25">
      <c r="B4062" s="115" t="s">
        <v>1241</v>
      </c>
      <c r="D4062" s="115" t="s">
        <v>8710</v>
      </c>
      <c r="E4062" s="115" t="s">
        <v>1242</v>
      </c>
      <c r="F4062" s="115">
        <v>0</v>
      </c>
      <c r="G4062" s="115">
        <v>0</v>
      </c>
      <c r="H4062" s="115">
        <v>0</v>
      </c>
      <c r="I4062" s="115">
        <v>0</v>
      </c>
      <c r="J4062" s="115">
        <v>0</v>
      </c>
      <c r="K4062" s="115">
        <v>0</v>
      </c>
    </row>
    <row r="4063" spans="2:11" x14ac:dyDescent="0.25">
      <c r="B4063" s="115" t="s">
        <v>1241</v>
      </c>
      <c r="D4063" s="115" t="s">
        <v>8710</v>
      </c>
      <c r="E4063" s="115" t="s">
        <v>1242</v>
      </c>
      <c r="F4063" s="115">
        <v>0</v>
      </c>
      <c r="G4063" s="115">
        <v>0</v>
      </c>
      <c r="H4063" s="115">
        <v>0</v>
      </c>
      <c r="I4063" s="115">
        <v>0</v>
      </c>
      <c r="J4063" s="115">
        <v>0</v>
      </c>
      <c r="K4063" s="115">
        <v>0</v>
      </c>
    </row>
    <row r="4064" spans="2:11" x14ac:dyDescent="0.25">
      <c r="B4064" s="115" t="s">
        <v>1241</v>
      </c>
      <c r="D4064" s="115" t="s">
        <v>8710</v>
      </c>
      <c r="E4064" s="115" t="s">
        <v>1242</v>
      </c>
      <c r="F4064" s="115">
        <v>0</v>
      </c>
      <c r="G4064" s="115">
        <v>0</v>
      </c>
      <c r="H4064" s="115">
        <v>0</v>
      </c>
      <c r="I4064" s="115">
        <v>0</v>
      </c>
      <c r="J4064" s="115">
        <v>0</v>
      </c>
      <c r="K4064" s="115">
        <v>0</v>
      </c>
    </row>
    <row r="4065" spans="2:11" x14ac:dyDescent="0.25">
      <c r="B4065" s="115" t="s">
        <v>1241</v>
      </c>
      <c r="D4065" s="115" t="s">
        <v>8710</v>
      </c>
      <c r="E4065" s="115" t="s">
        <v>1242</v>
      </c>
      <c r="F4065" s="115">
        <v>0</v>
      </c>
      <c r="G4065" s="115">
        <v>0</v>
      </c>
      <c r="H4065" s="115">
        <v>0</v>
      </c>
      <c r="I4065" s="115">
        <v>0</v>
      </c>
      <c r="J4065" s="115">
        <v>0</v>
      </c>
      <c r="K4065" s="115">
        <v>0</v>
      </c>
    </row>
    <row r="4066" spans="2:11" x14ac:dyDescent="0.25">
      <c r="B4066" s="115" t="s">
        <v>1241</v>
      </c>
      <c r="D4066" s="115" t="s">
        <v>8710</v>
      </c>
      <c r="E4066" s="115" t="s">
        <v>1242</v>
      </c>
      <c r="F4066" s="115">
        <v>0</v>
      </c>
      <c r="G4066" s="115">
        <v>0</v>
      </c>
      <c r="H4066" s="115">
        <v>0</v>
      </c>
      <c r="I4066" s="115">
        <v>0</v>
      </c>
      <c r="J4066" s="115">
        <v>0</v>
      </c>
      <c r="K4066" s="115">
        <v>0</v>
      </c>
    </row>
    <row r="4067" spans="2:11" x14ac:dyDescent="0.25">
      <c r="B4067" s="115" t="s">
        <v>1241</v>
      </c>
      <c r="D4067" s="115" t="s">
        <v>8710</v>
      </c>
      <c r="E4067" s="115" t="s">
        <v>1242</v>
      </c>
      <c r="F4067" s="115">
        <v>0</v>
      </c>
      <c r="G4067" s="115">
        <v>0</v>
      </c>
      <c r="H4067" s="115">
        <v>0</v>
      </c>
      <c r="I4067" s="115">
        <v>0</v>
      </c>
      <c r="J4067" s="115">
        <v>0</v>
      </c>
      <c r="K4067" s="115">
        <v>0</v>
      </c>
    </row>
    <row r="4068" spans="2:11" x14ac:dyDescent="0.25">
      <c r="B4068" s="115" t="s">
        <v>1241</v>
      </c>
      <c r="D4068" s="115" t="s">
        <v>8710</v>
      </c>
      <c r="E4068" s="115" t="s">
        <v>1242</v>
      </c>
      <c r="F4068" s="115">
        <v>0</v>
      </c>
      <c r="G4068" s="115">
        <v>0</v>
      </c>
      <c r="H4068" s="115">
        <v>0</v>
      </c>
      <c r="I4068" s="115">
        <v>0</v>
      </c>
      <c r="J4068" s="115">
        <v>0</v>
      </c>
      <c r="K4068" s="115">
        <v>0</v>
      </c>
    </row>
    <row r="4069" spans="2:11" x14ac:dyDescent="0.25">
      <c r="B4069" s="115" t="s">
        <v>1241</v>
      </c>
      <c r="D4069" s="115" t="s">
        <v>8710</v>
      </c>
      <c r="E4069" s="115" t="s">
        <v>1242</v>
      </c>
      <c r="F4069" s="115">
        <v>0</v>
      </c>
      <c r="G4069" s="115">
        <v>0</v>
      </c>
      <c r="H4069" s="115">
        <v>0</v>
      </c>
      <c r="I4069" s="115">
        <v>0</v>
      </c>
      <c r="J4069" s="115">
        <v>0</v>
      </c>
      <c r="K4069" s="115">
        <v>0</v>
      </c>
    </row>
    <row r="4070" spans="2:11" x14ac:dyDescent="0.25">
      <c r="B4070" s="115" t="s">
        <v>1241</v>
      </c>
      <c r="D4070" s="115" t="s">
        <v>8710</v>
      </c>
      <c r="E4070" s="115" t="s">
        <v>1242</v>
      </c>
      <c r="F4070" s="115">
        <v>0</v>
      </c>
      <c r="G4070" s="115">
        <v>0</v>
      </c>
      <c r="H4070" s="115">
        <v>0</v>
      </c>
      <c r="I4070" s="115">
        <v>0</v>
      </c>
      <c r="J4070" s="115">
        <v>0</v>
      </c>
      <c r="K4070" s="115">
        <v>0</v>
      </c>
    </row>
    <row r="4071" spans="2:11" x14ac:dyDescent="0.25">
      <c r="B4071" s="115" t="s">
        <v>1241</v>
      </c>
      <c r="D4071" s="115" t="s">
        <v>8710</v>
      </c>
      <c r="E4071" s="115" t="s">
        <v>1242</v>
      </c>
      <c r="F4071" s="115">
        <v>0</v>
      </c>
      <c r="G4071" s="115">
        <v>0</v>
      </c>
      <c r="H4071" s="115">
        <v>0</v>
      </c>
      <c r="I4071" s="115">
        <v>0</v>
      </c>
      <c r="J4071" s="115">
        <v>0</v>
      </c>
      <c r="K4071" s="115">
        <v>0</v>
      </c>
    </row>
    <row r="4072" spans="2:11" x14ac:dyDescent="0.25">
      <c r="B4072" s="115" t="s">
        <v>1241</v>
      </c>
      <c r="D4072" s="115" t="s">
        <v>8710</v>
      </c>
      <c r="E4072" s="115" t="s">
        <v>1242</v>
      </c>
      <c r="F4072" s="115">
        <v>0</v>
      </c>
      <c r="G4072" s="115">
        <v>0</v>
      </c>
      <c r="H4072" s="115">
        <v>0</v>
      </c>
      <c r="I4072" s="115">
        <v>0</v>
      </c>
      <c r="J4072" s="115">
        <v>0</v>
      </c>
      <c r="K4072" s="115">
        <v>0</v>
      </c>
    </row>
    <row r="4073" spans="2:11" x14ac:dyDescent="0.25">
      <c r="B4073" s="115" t="s">
        <v>1241</v>
      </c>
      <c r="D4073" s="115" t="s">
        <v>8710</v>
      </c>
      <c r="E4073" s="115" t="s">
        <v>1242</v>
      </c>
      <c r="F4073" s="115">
        <v>0</v>
      </c>
      <c r="G4073" s="115">
        <v>0</v>
      </c>
      <c r="H4073" s="115">
        <v>0</v>
      </c>
      <c r="I4073" s="115">
        <v>0</v>
      </c>
      <c r="J4073" s="115">
        <v>0</v>
      </c>
      <c r="K4073" s="115">
        <v>0</v>
      </c>
    </row>
    <row r="4074" spans="2:11" x14ac:dyDescent="0.25">
      <c r="B4074" s="115" t="s">
        <v>1241</v>
      </c>
      <c r="D4074" s="115" t="s">
        <v>8710</v>
      </c>
      <c r="E4074" s="115" t="s">
        <v>1242</v>
      </c>
      <c r="F4074" s="115">
        <v>0</v>
      </c>
      <c r="G4074" s="115">
        <v>0</v>
      </c>
      <c r="H4074" s="115">
        <v>0</v>
      </c>
      <c r="I4074" s="115">
        <v>0</v>
      </c>
      <c r="J4074" s="115">
        <v>0</v>
      </c>
      <c r="K4074" s="115">
        <v>0</v>
      </c>
    </row>
    <row r="4075" spans="2:11" x14ac:dyDescent="0.25">
      <c r="B4075" s="115" t="s">
        <v>1241</v>
      </c>
      <c r="D4075" s="115" t="s">
        <v>8710</v>
      </c>
      <c r="E4075" s="115" t="s">
        <v>1242</v>
      </c>
      <c r="F4075" s="115">
        <v>0</v>
      </c>
      <c r="G4075" s="115">
        <v>0</v>
      </c>
      <c r="H4075" s="115">
        <v>0</v>
      </c>
      <c r="I4075" s="115">
        <v>0</v>
      </c>
      <c r="J4075" s="115">
        <v>0</v>
      </c>
      <c r="K4075" s="115">
        <v>0</v>
      </c>
    </row>
    <row r="4076" spans="2:11" x14ac:dyDescent="0.25">
      <c r="B4076" s="115" t="s">
        <v>1241</v>
      </c>
      <c r="D4076" s="115" t="s">
        <v>8710</v>
      </c>
      <c r="E4076" s="115" t="s">
        <v>1242</v>
      </c>
      <c r="F4076" s="115">
        <v>0</v>
      </c>
      <c r="G4076" s="115">
        <v>0</v>
      </c>
      <c r="H4076" s="115">
        <v>0</v>
      </c>
      <c r="I4076" s="115">
        <v>0</v>
      </c>
      <c r="J4076" s="115">
        <v>0</v>
      </c>
      <c r="K4076" s="115">
        <v>0</v>
      </c>
    </row>
    <row r="4077" spans="2:11" x14ac:dyDescent="0.25">
      <c r="B4077" s="115" t="s">
        <v>1241</v>
      </c>
      <c r="D4077" s="115" t="s">
        <v>8710</v>
      </c>
      <c r="E4077" s="115" t="s">
        <v>1242</v>
      </c>
      <c r="F4077" s="115">
        <v>0</v>
      </c>
      <c r="G4077" s="115">
        <v>0</v>
      </c>
      <c r="H4077" s="115">
        <v>0</v>
      </c>
      <c r="I4077" s="115">
        <v>0</v>
      </c>
      <c r="J4077" s="115">
        <v>0</v>
      </c>
      <c r="K4077" s="115">
        <v>0</v>
      </c>
    </row>
    <row r="4078" spans="2:11" x14ac:dyDescent="0.25">
      <c r="B4078" s="115" t="s">
        <v>1241</v>
      </c>
      <c r="D4078" s="115" t="s">
        <v>8710</v>
      </c>
      <c r="E4078" s="115" t="s">
        <v>1242</v>
      </c>
      <c r="F4078" s="115">
        <v>0</v>
      </c>
      <c r="G4078" s="115">
        <v>0</v>
      </c>
      <c r="H4078" s="115">
        <v>0</v>
      </c>
      <c r="I4078" s="115">
        <v>0</v>
      </c>
      <c r="J4078" s="115">
        <v>0</v>
      </c>
      <c r="K4078" s="115">
        <v>0</v>
      </c>
    </row>
    <row r="4079" spans="2:11" x14ac:dyDescent="0.25">
      <c r="B4079" s="115" t="s">
        <v>1241</v>
      </c>
      <c r="D4079" s="115" t="s">
        <v>8710</v>
      </c>
      <c r="E4079" s="115" t="s">
        <v>1242</v>
      </c>
      <c r="F4079" s="115">
        <v>0</v>
      </c>
      <c r="G4079" s="115">
        <v>0</v>
      </c>
      <c r="H4079" s="115">
        <v>0</v>
      </c>
      <c r="I4079" s="115">
        <v>0</v>
      </c>
      <c r="J4079" s="115">
        <v>0</v>
      </c>
      <c r="K4079" s="115">
        <v>0</v>
      </c>
    </row>
    <row r="4080" spans="2:11" x14ac:dyDescent="0.25">
      <c r="B4080" s="115" t="s">
        <v>1241</v>
      </c>
      <c r="D4080" s="115" t="s">
        <v>8710</v>
      </c>
      <c r="E4080" s="115" t="s">
        <v>1242</v>
      </c>
      <c r="F4080" s="115">
        <v>0</v>
      </c>
      <c r="G4080" s="115">
        <v>0</v>
      </c>
      <c r="H4080" s="115">
        <v>0</v>
      </c>
      <c r="I4080" s="115">
        <v>0</v>
      </c>
      <c r="J4080" s="115">
        <v>0</v>
      </c>
      <c r="K4080" s="115">
        <v>0</v>
      </c>
    </row>
    <row r="4081" spans="2:11" x14ac:dyDescent="0.25">
      <c r="B4081" s="115" t="s">
        <v>1241</v>
      </c>
      <c r="D4081" s="115" t="s">
        <v>8710</v>
      </c>
      <c r="E4081" s="115" t="s">
        <v>1242</v>
      </c>
      <c r="F4081" s="115">
        <v>0</v>
      </c>
      <c r="G4081" s="115">
        <v>0</v>
      </c>
      <c r="H4081" s="115">
        <v>0</v>
      </c>
      <c r="I4081" s="115">
        <v>0</v>
      </c>
      <c r="J4081" s="115">
        <v>0</v>
      </c>
      <c r="K4081" s="115">
        <v>0</v>
      </c>
    </row>
    <row r="4082" spans="2:11" x14ac:dyDescent="0.25">
      <c r="B4082" s="115" t="s">
        <v>1241</v>
      </c>
      <c r="D4082" s="115" t="s">
        <v>8710</v>
      </c>
      <c r="E4082" s="115" t="s">
        <v>1242</v>
      </c>
      <c r="F4082" s="115">
        <v>0</v>
      </c>
      <c r="G4082" s="115">
        <v>0</v>
      </c>
      <c r="H4082" s="115">
        <v>0</v>
      </c>
      <c r="I4082" s="115">
        <v>0</v>
      </c>
      <c r="J4082" s="115">
        <v>0</v>
      </c>
      <c r="K4082" s="115">
        <v>0</v>
      </c>
    </row>
    <row r="4083" spans="2:11" x14ac:dyDescent="0.25">
      <c r="B4083" s="115" t="s">
        <v>1241</v>
      </c>
      <c r="D4083" s="115" t="s">
        <v>8710</v>
      </c>
      <c r="E4083" s="115" t="s">
        <v>1242</v>
      </c>
      <c r="F4083" s="115">
        <v>0</v>
      </c>
      <c r="G4083" s="115">
        <v>0</v>
      </c>
      <c r="H4083" s="115">
        <v>0</v>
      </c>
      <c r="I4083" s="115">
        <v>0</v>
      </c>
      <c r="J4083" s="115">
        <v>0</v>
      </c>
      <c r="K4083" s="115">
        <v>0</v>
      </c>
    </row>
    <row r="4084" spans="2:11" x14ac:dyDescent="0.25">
      <c r="B4084" s="115" t="s">
        <v>1241</v>
      </c>
      <c r="D4084" s="115" t="s">
        <v>8710</v>
      </c>
      <c r="E4084" s="115" t="s">
        <v>1242</v>
      </c>
      <c r="F4084" s="115">
        <v>0</v>
      </c>
      <c r="G4084" s="115">
        <v>0</v>
      </c>
      <c r="H4084" s="115">
        <v>0</v>
      </c>
      <c r="I4084" s="115">
        <v>0</v>
      </c>
      <c r="J4084" s="115">
        <v>0</v>
      </c>
      <c r="K4084" s="115">
        <v>0</v>
      </c>
    </row>
    <row r="4085" spans="2:11" x14ac:dyDescent="0.25">
      <c r="B4085" s="115" t="s">
        <v>1241</v>
      </c>
      <c r="D4085" s="115" t="s">
        <v>8710</v>
      </c>
      <c r="E4085" s="115" t="s">
        <v>1242</v>
      </c>
      <c r="F4085" s="115">
        <v>0</v>
      </c>
      <c r="G4085" s="115">
        <v>0</v>
      </c>
      <c r="H4085" s="115">
        <v>0</v>
      </c>
      <c r="I4085" s="115">
        <v>0</v>
      </c>
      <c r="J4085" s="115">
        <v>0</v>
      </c>
      <c r="K4085" s="115">
        <v>0</v>
      </c>
    </row>
    <row r="4086" spans="2:11" x14ac:dyDescent="0.25">
      <c r="B4086" s="115" t="s">
        <v>1241</v>
      </c>
      <c r="D4086" s="115" t="s">
        <v>8710</v>
      </c>
      <c r="E4086" s="115" t="s">
        <v>1242</v>
      </c>
      <c r="F4086" s="115">
        <v>0</v>
      </c>
      <c r="G4086" s="115">
        <v>0</v>
      </c>
      <c r="H4086" s="115">
        <v>0</v>
      </c>
      <c r="I4086" s="115">
        <v>0</v>
      </c>
      <c r="J4086" s="115">
        <v>0</v>
      </c>
      <c r="K4086" s="115">
        <v>0</v>
      </c>
    </row>
    <row r="4087" spans="2:11" x14ac:dyDescent="0.25">
      <c r="B4087" s="115" t="s">
        <v>1241</v>
      </c>
      <c r="D4087" s="115" t="s">
        <v>8710</v>
      </c>
      <c r="E4087" s="115" t="s">
        <v>1242</v>
      </c>
      <c r="F4087" s="115">
        <v>0</v>
      </c>
      <c r="G4087" s="115">
        <v>0</v>
      </c>
      <c r="H4087" s="115">
        <v>0</v>
      </c>
      <c r="I4087" s="115">
        <v>0</v>
      </c>
      <c r="J4087" s="115">
        <v>0</v>
      </c>
      <c r="K4087" s="115">
        <v>0</v>
      </c>
    </row>
    <row r="4088" spans="2:11" x14ac:dyDescent="0.25">
      <c r="B4088" s="115" t="s">
        <v>1241</v>
      </c>
      <c r="D4088" s="115" t="s">
        <v>8710</v>
      </c>
      <c r="E4088" s="115" t="s">
        <v>1242</v>
      </c>
      <c r="F4088" s="115">
        <v>0</v>
      </c>
      <c r="G4088" s="115">
        <v>0</v>
      </c>
      <c r="H4088" s="115">
        <v>0</v>
      </c>
      <c r="I4088" s="115">
        <v>0</v>
      </c>
      <c r="J4088" s="115">
        <v>0</v>
      </c>
      <c r="K4088" s="115">
        <v>0</v>
      </c>
    </row>
    <row r="4089" spans="2:11" x14ac:dyDescent="0.25">
      <c r="B4089" s="115" t="s">
        <v>1241</v>
      </c>
      <c r="D4089" s="115" t="s">
        <v>8710</v>
      </c>
      <c r="E4089" s="115" t="s">
        <v>1242</v>
      </c>
      <c r="F4089" s="115">
        <v>0</v>
      </c>
      <c r="G4089" s="115">
        <v>0</v>
      </c>
      <c r="H4089" s="115">
        <v>0</v>
      </c>
      <c r="I4089" s="115">
        <v>0</v>
      </c>
      <c r="J4089" s="115">
        <v>0</v>
      </c>
      <c r="K4089" s="115">
        <v>0</v>
      </c>
    </row>
    <row r="4090" spans="2:11" x14ac:dyDescent="0.25">
      <c r="B4090" s="115" t="s">
        <v>1241</v>
      </c>
      <c r="D4090" s="115" t="s">
        <v>8710</v>
      </c>
      <c r="E4090" s="115" t="s">
        <v>1242</v>
      </c>
      <c r="F4090" s="115">
        <v>0</v>
      </c>
      <c r="G4090" s="115">
        <v>0</v>
      </c>
      <c r="H4090" s="115">
        <v>0</v>
      </c>
      <c r="I4090" s="115">
        <v>0</v>
      </c>
      <c r="J4090" s="115">
        <v>0</v>
      </c>
      <c r="K4090" s="115">
        <v>0</v>
      </c>
    </row>
    <row r="4091" spans="2:11" x14ac:dyDescent="0.25">
      <c r="B4091" s="115" t="s">
        <v>1241</v>
      </c>
      <c r="D4091" s="115" t="s">
        <v>8710</v>
      </c>
      <c r="E4091" s="115" t="s">
        <v>1242</v>
      </c>
      <c r="F4091" s="115">
        <v>0</v>
      </c>
      <c r="G4091" s="115">
        <v>0</v>
      </c>
      <c r="H4091" s="115">
        <v>0</v>
      </c>
      <c r="I4091" s="115">
        <v>0</v>
      </c>
      <c r="J4091" s="115">
        <v>0</v>
      </c>
      <c r="K4091" s="115">
        <v>0</v>
      </c>
    </row>
    <row r="4092" spans="2:11" x14ac:dyDescent="0.25">
      <c r="B4092" s="115" t="s">
        <v>1241</v>
      </c>
      <c r="D4092" s="115" t="s">
        <v>8710</v>
      </c>
      <c r="E4092" s="115" t="s">
        <v>1242</v>
      </c>
      <c r="F4092" s="115">
        <v>0</v>
      </c>
      <c r="G4092" s="115">
        <v>0</v>
      </c>
      <c r="H4092" s="115">
        <v>0</v>
      </c>
      <c r="I4092" s="115">
        <v>0</v>
      </c>
      <c r="J4092" s="115">
        <v>0</v>
      </c>
      <c r="K4092" s="115">
        <v>0</v>
      </c>
    </row>
    <row r="4093" spans="2:11" x14ac:dyDescent="0.25">
      <c r="B4093" s="115" t="s">
        <v>1241</v>
      </c>
      <c r="D4093" s="115" t="s">
        <v>8710</v>
      </c>
      <c r="E4093" s="115" t="s">
        <v>1242</v>
      </c>
      <c r="F4093" s="115">
        <v>0</v>
      </c>
      <c r="G4093" s="115">
        <v>0</v>
      </c>
      <c r="H4093" s="115">
        <v>0</v>
      </c>
      <c r="I4093" s="115">
        <v>0</v>
      </c>
      <c r="J4093" s="115">
        <v>0</v>
      </c>
      <c r="K4093" s="115">
        <v>0</v>
      </c>
    </row>
    <row r="4094" spans="2:11" x14ac:dyDescent="0.25">
      <c r="B4094" s="115" t="s">
        <v>1241</v>
      </c>
      <c r="D4094" s="115" t="s">
        <v>8710</v>
      </c>
      <c r="E4094" s="115" t="s">
        <v>1242</v>
      </c>
      <c r="F4094" s="115">
        <v>0</v>
      </c>
      <c r="G4094" s="115">
        <v>0</v>
      </c>
      <c r="H4094" s="115">
        <v>0</v>
      </c>
      <c r="I4094" s="115">
        <v>0</v>
      </c>
      <c r="J4094" s="115">
        <v>0</v>
      </c>
      <c r="K4094" s="115">
        <v>0</v>
      </c>
    </row>
    <row r="4095" spans="2:11" x14ac:dyDescent="0.25">
      <c r="B4095" s="115" t="s">
        <v>1241</v>
      </c>
      <c r="D4095" s="115" t="s">
        <v>8710</v>
      </c>
      <c r="E4095" s="115" t="s">
        <v>1242</v>
      </c>
      <c r="F4095" s="115">
        <v>0</v>
      </c>
      <c r="G4095" s="115">
        <v>0</v>
      </c>
      <c r="H4095" s="115">
        <v>0</v>
      </c>
      <c r="I4095" s="115">
        <v>0</v>
      </c>
      <c r="J4095" s="115">
        <v>0</v>
      </c>
      <c r="K4095" s="115">
        <v>0</v>
      </c>
    </row>
    <row r="4096" spans="2:11" x14ac:dyDescent="0.25">
      <c r="B4096" s="115" t="s">
        <v>1241</v>
      </c>
      <c r="D4096" s="115" t="s">
        <v>8710</v>
      </c>
      <c r="E4096" s="115" t="s">
        <v>1242</v>
      </c>
      <c r="F4096" s="115">
        <v>0</v>
      </c>
      <c r="G4096" s="115">
        <v>0</v>
      </c>
      <c r="H4096" s="115">
        <v>0</v>
      </c>
      <c r="I4096" s="115">
        <v>0</v>
      </c>
      <c r="J4096" s="115">
        <v>0</v>
      </c>
      <c r="K4096" s="115">
        <v>0</v>
      </c>
    </row>
    <row r="4097" spans="2:11" x14ac:dyDescent="0.25">
      <c r="B4097" s="115" t="s">
        <v>1241</v>
      </c>
      <c r="D4097" s="115" t="s">
        <v>8710</v>
      </c>
      <c r="E4097" s="115" t="s">
        <v>1242</v>
      </c>
      <c r="F4097" s="115">
        <v>0</v>
      </c>
      <c r="G4097" s="115">
        <v>0</v>
      </c>
      <c r="H4097" s="115">
        <v>0</v>
      </c>
      <c r="I4097" s="115">
        <v>0</v>
      </c>
      <c r="J4097" s="115">
        <v>0</v>
      </c>
      <c r="K4097" s="115">
        <v>0</v>
      </c>
    </row>
    <row r="4098" spans="2:11" x14ac:dyDescent="0.25">
      <c r="B4098" s="115" t="s">
        <v>1241</v>
      </c>
      <c r="D4098" s="115" t="s">
        <v>8710</v>
      </c>
      <c r="E4098" s="115" t="s">
        <v>1242</v>
      </c>
      <c r="F4098" s="115">
        <v>0</v>
      </c>
      <c r="G4098" s="115">
        <v>0</v>
      </c>
      <c r="H4098" s="115">
        <v>0</v>
      </c>
      <c r="I4098" s="115">
        <v>0</v>
      </c>
      <c r="J4098" s="115">
        <v>0</v>
      </c>
      <c r="K4098" s="115">
        <v>0</v>
      </c>
    </row>
    <row r="4099" spans="2:11" x14ac:dyDescent="0.25">
      <c r="B4099" s="115" t="s">
        <v>1241</v>
      </c>
      <c r="D4099" s="115" t="s">
        <v>8710</v>
      </c>
      <c r="E4099" s="115" t="s">
        <v>1242</v>
      </c>
      <c r="F4099" s="115">
        <v>0</v>
      </c>
      <c r="G4099" s="115">
        <v>0</v>
      </c>
      <c r="H4099" s="115">
        <v>0</v>
      </c>
      <c r="I4099" s="115">
        <v>0</v>
      </c>
      <c r="J4099" s="115">
        <v>0</v>
      </c>
      <c r="K4099" s="115">
        <v>0</v>
      </c>
    </row>
    <row r="4100" spans="2:11" x14ac:dyDescent="0.25">
      <c r="B4100" s="115" t="s">
        <v>1241</v>
      </c>
      <c r="D4100" s="115" t="s">
        <v>8710</v>
      </c>
      <c r="E4100" s="115" t="s">
        <v>1242</v>
      </c>
      <c r="F4100" s="115">
        <v>0</v>
      </c>
      <c r="G4100" s="115">
        <v>0</v>
      </c>
      <c r="H4100" s="115">
        <v>0</v>
      </c>
      <c r="I4100" s="115">
        <v>0</v>
      </c>
      <c r="J4100" s="115">
        <v>0</v>
      </c>
      <c r="K4100" s="115">
        <v>0</v>
      </c>
    </row>
    <row r="4101" spans="2:11" x14ac:dyDescent="0.25">
      <c r="B4101" s="115" t="s">
        <v>1241</v>
      </c>
      <c r="D4101" s="115" t="s">
        <v>8710</v>
      </c>
      <c r="E4101" s="115" t="s">
        <v>1242</v>
      </c>
      <c r="F4101" s="115">
        <v>0</v>
      </c>
      <c r="G4101" s="115">
        <v>0</v>
      </c>
      <c r="H4101" s="115">
        <v>0</v>
      </c>
      <c r="I4101" s="115">
        <v>0</v>
      </c>
      <c r="J4101" s="115">
        <v>0</v>
      </c>
      <c r="K4101" s="115">
        <v>0</v>
      </c>
    </row>
    <row r="4102" spans="2:11" x14ac:dyDescent="0.25">
      <c r="B4102" s="115" t="s">
        <v>1241</v>
      </c>
      <c r="D4102" s="115" t="s">
        <v>8710</v>
      </c>
      <c r="E4102" s="115" t="s">
        <v>1242</v>
      </c>
      <c r="F4102" s="115">
        <v>0</v>
      </c>
      <c r="G4102" s="115">
        <v>0</v>
      </c>
      <c r="H4102" s="115">
        <v>0</v>
      </c>
      <c r="I4102" s="115">
        <v>0</v>
      </c>
      <c r="J4102" s="115">
        <v>0</v>
      </c>
      <c r="K4102" s="115">
        <v>0</v>
      </c>
    </row>
    <row r="4103" spans="2:11" x14ac:dyDescent="0.25">
      <c r="B4103" s="115" t="s">
        <v>1241</v>
      </c>
      <c r="D4103" s="115" t="s">
        <v>8710</v>
      </c>
      <c r="E4103" s="115" t="s">
        <v>1242</v>
      </c>
      <c r="F4103" s="115">
        <v>0</v>
      </c>
      <c r="G4103" s="115">
        <v>0</v>
      </c>
      <c r="H4103" s="115">
        <v>0</v>
      </c>
      <c r="I4103" s="115">
        <v>0</v>
      </c>
      <c r="J4103" s="115">
        <v>0</v>
      </c>
      <c r="K4103" s="115">
        <v>0</v>
      </c>
    </row>
    <row r="4104" spans="2:11" x14ac:dyDescent="0.25">
      <c r="B4104" s="115" t="s">
        <v>1241</v>
      </c>
      <c r="D4104" s="115" t="s">
        <v>8710</v>
      </c>
      <c r="E4104" s="115" t="s">
        <v>1242</v>
      </c>
      <c r="F4104" s="115">
        <v>0</v>
      </c>
      <c r="G4104" s="115">
        <v>0</v>
      </c>
      <c r="H4104" s="115">
        <v>0</v>
      </c>
      <c r="I4104" s="115">
        <v>0</v>
      </c>
      <c r="J4104" s="115">
        <v>0</v>
      </c>
      <c r="K4104" s="115">
        <v>0</v>
      </c>
    </row>
    <row r="4105" spans="2:11" x14ac:dyDescent="0.25">
      <c r="B4105" s="115" t="s">
        <v>1241</v>
      </c>
      <c r="D4105" s="115" t="s">
        <v>8710</v>
      </c>
      <c r="E4105" s="115" t="s">
        <v>1242</v>
      </c>
      <c r="F4105" s="115">
        <v>0</v>
      </c>
      <c r="G4105" s="115">
        <v>0</v>
      </c>
      <c r="H4105" s="115">
        <v>0</v>
      </c>
      <c r="I4105" s="115">
        <v>0</v>
      </c>
      <c r="J4105" s="115">
        <v>0</v>
      </c>
      <c r="K4105" s="115">
        <v>0</v>
      </c>
    </row>
    <row r="4106" spans="2:11" x14ac:dyDescent="0.25">
      <c r="B4106" s="115" t="s">
        <v>1241</v>
      </c>
      <c r="D4106" s="115" t="s">
        <v>8710</v>
      </c>
      <c r="E4106" s="115" t="s">
        <v>1242</v>
      </c>
      <c r="F4106" s="115">
        <v>0</v>
      </c>
      <c r="G4106" s="115">
        <v>0</v>
      </c>
      <c r="H4106" s="115">
        <v>0</v>
      </c>
      <c r="I4106" s="115">
        <v>0</v>
      </c>
      <c r="J4106" s="115">
        <v>0</v>
      </c>
      <c r="K4106" s="115">
        <v>0</v>
      </c>
    </row>
    <row r="4107" spans="2:11" x14ac:dyDescent="0.25">
      <c r="B4107" s="115" t="s">
        <v>1241</v>
      </c>
      <c r="D4107" s="115" t="s">
        <v>8710</v>
      </c>
      <c r="E4107" s="115" t="s">
        <v>1242</v>
      </c>
      <c r="F4107" s="115">
        <v>0</v>
      </c>
      <c r="G4107" s="115">
        <v>0</v>
      </c>
      <c r="H4107" s="115">
        <v>0</v>
      </c>
      <c r="I4107" s="115">
        <v>0</v>
      </c>
      <c r="J4107" s="115">
        <v>0</v>
      </c>
      <c r="K4107" s="115">
        <v>0</v>
      </c>
    </row>
    <row r="4108" spans="2:11" x14ac:dyDescent="0.25">
      <c r="B4108" s="115" t="s">
        <v>1241</v>
      </c>
      <c r="D4108" s="115" t="s">
        <v>8710</v>
      </c>
      <c r="E4108" s="115" t="s">
        <v>1242</v>
      </c>
      <c r="F4108" s="115">
        <v>0</v>
      </c>
      <c r="G4108" s="115">
        <v>0</v>
      </c>
      <c r="H4108" s="115">
        <v>0</v>
      </c>
      <c r="I4108" s="115">
        <v>0</v>
      </c>
      <c r="J4108" s="115">
        <v>0</v>
      </c>
      <c r="K4108" s="115">
        <v>0</v>
      </c>
    </row>
    <row r="4109" spans="2:11" x14ac:dyDescent="0.25">
      <c r="B4109" s="115" t="s">
        <v>1241</v>
      </c>
      <c r="D4109" s="115" t="s">
        <v>8710</v>
      </c>
      <c r="E4109" s="115" t="s">
        <v>1242</v>
      </c>
      <c r="F4109" s="115">
        <v>0</v>
      </c>
      <c r="G4109" s="115">
        <v>0</v>
      </c>
      <c r="H4109" s="115">
        <v>0</v>
      </c>
      <c r="I4109" s="115">
        <v>0</v>
      </c>
      <c r="J4109" s="115">
        <v>0</v>
      </c>
      <c r="K4109" s="115">
        <v>0</v>
      </c>
    </row>
    <row r="4110" spans="2:11" x14ac:dyDescent="0.25">
      <c r="B4110" s="115" t="s">
        <v>1241</v>
      </c>
      <c r="D4110" s="115" t="s">
        <v>8710</v>
      </c>
      <c r="E4110" s="115" t="s">
        <v>1242</v>
      </c>
      <c r="F4110" s="115">
        <v>0</v>
      </c>
      <c r="G4110" s="115">
        <v>0</v>
      </c>
      <c r="H4110" s="115">
        <v>0</v>
      </c>
      <c r="I4110" s="115">
        <v>0</v>
      </c>
      <c r="J4110" s="115">
        <v>0</v>
      </c>
      <c r="K4110" s="115">
        <v>0</v>
      </c>
    </row>
    <row r="4111" spans="2:11" x14ac:dyDescent="0.25">
      <c r="B4111" s="115" t="s">
        <v>1241</v>
      </c>
      <c r="D4111" s="115" t="s">
        <v>8710</v>
      </c>
      <c r="E4111" s="115" t="s">
        <v>1242</v>
      </c>
      <c r="F4111" s="115">
        <v>0</v>
      </c>
      <c r="G4111" s="115">
        <v>0</v>
      </c>
      <c r="H4111" s="115">
        <v>0</v>
      </c>
      <c r="I4111" s="115">
        <v>0</v>
      </c>
      <c r="J4111" s="115">
        <v>0</v>
      </c>
      <c r="K4111" s="115">
        <v>0</v>
      </c>
    </row>
    <row r="4112" spans="2:11" x14ac:dyDescent="0.25">
      <c r="B4112" s="115" t="s">
        <v>1241</v>
      </c>
      <c r="D4112" s="115" t="s">
        <v>8710</v>
      </c>
      <c r="E4112" s="115" t="s">
        <v>1242</v>
      </c>
      <c r="F4112" s="115">
        <v>0</v>
      </c>
      <c r="G4112" s="115">
        <v>0</v>
      </c>
      <c r="H4112" s="115">
        <v>0</v>
      </c>
      <c r="I4112" s="115">
        <v>0</v>
      </c>
      <c r="J4112" s="115">
        <v>0</v>
      </c>
      <c r="K4112" s="115">
        <v>0</v>
      </c>
    </row>
    <row r="4113" spans="2:11" x14ac:dyDescent="0.25">
      <c r="B4113" s="115" t="s">
        <v>1241</v>
      </c>
      <c r="D4113" s="115" t="s">
        <v>8710</v>
      </c>
      <c r="E4113" s="115" t="s">
        <v>1242</v>
      </c>
      <c r="F4113" s="115">
        <v>0</v>
      </c>
      <c r="G4113" s="115">
        <v>0</v>
      </c>
      <c r="H4113" s="115">
        <v>0</v>
      </c>
      <c r="I4113" s="115">
        <v>0</v>
      </c>
      <c r="J4113" s="115">
        <v>0</v>
      </c>
      <c r="K4113" s="115">
        <v>0</v>
      </c>
    </row>
    <row r="4114" spans="2:11" x14ac:dyDescent="0.25">
      <c r="B4114" s="115" t="s">
        <v>1241</v>
      </c>
      <c r="D4114" s="115" t="s">
        <v>8710</v>
      </c>
      <c r="E4114" s="115" t="s">
        <v>1242</v>
      </c>
      <c r="F4114" s="115">
        <v>0</v>
      </c>
      <c r="G4114" s="115">
        <v>0</v>
      </c>
      <c r="H4114" s="115">
        <v>0</v>
      </c>
      <c r="I4114" s="115">
        <v>0</v>
      </c>
      <c r="J4114" s="115">
        <v>0</v>
      </c>
      <c r="K4114" s="115">
        <v>0</v>
      </c>
    </row>
    <row r="4115" spans="2:11" x14ac:dyDescent="0.25">
      <c r="B4115" s="115" t="s">
        <v>1241</v>
      </c>
      <c r="D4115" s="115" t="s">
        <v>8710</v>
      </c>
      <c r="E4115" s="115" t="s">
        <v>1242</v>
      </c>
      <c r="F4115" s="115">
        <v>0</v>
      </c>
      <c r="G4115" s="115">
        <v>0</v>
      </c>
      <c r="H4115" s="115">
        <v>0</v>
      </c>
      <c r="I4115" s="115">
        <v>0</v>
      </c>
      <c r="J4115" s="115">
        <v>0</v>
      </c>
      <c r="K4115" s="115">
        <v>0</v>
      </c>
    </row>
    <row r="4116" spans="2:11" x14ac:dyDescent="0.25">
      <c r="B4116" s="115" t="s">
        <v>1241</v>
      </c>
      <c r="D4116" s="115" t="s">
        <v>8710</v>
      </c>
      <c r="E4116" s="115" t="s">
        <v>1242</v>
      </c>
      <c r="F4116" s="115">
        <v>0</v>
      </c>
      <c r="G4116" s="115">
        <v>0</v>
      </c>
      <c r="H4116" s="115">
        <v>0</v>
      </c>
      <c r="I4116" s="115">
        <v>0</v>
      </c>
      <c r="J4116" s="115">
        <v>0</v>
      </c>
      <c r="K4116" s="115">
        <v>0</v>
      </c>
    </row>
    <row r="4117" spans="2:11" x14ac:dyDescent="0.25">
      <c r="B4117" s="115" t="s">
        <v>1241</v>
      </c>
      <c r="D4117" s="115" t="s">
        <v>8710</v>
      </c>
      <c r="E4117" s="115" t="s">
        <v>1242</v>
      </c>
      <c r="F4117" s="115">
        <v>0</v>
      </c>
      <c r="G4117" s="115">
        <v>0</v>
      </c>
      <c r="H4117" s="115">
        <v>0</v>
      </c>
      <c r="I4117" s="115">
        <v>0</v>
      </c>
      <c r="J4117" s="115">
        <v>0</v>
      </c>
      <c r="K4117" s="115">
        <v>0</v>
      </c>
    </row>
    <row r="4118" spans="2:11" x14ac:dyDescent="0.25">
      <c r="B4118" s="115" t="s">
        <v>1241</v>
      </c>
      <c r="D4118" s="115" t="s">
        <v>8710</v>
      </c>
      <c r="E4118" s="115" t="s">
        <v>1242</v>
      </c>
      <c r="F4118" s="115">
        <v>0</v>
      </c>
      <c r="G4118" s="115">
        <v>0</v>
      </c>
      <c r="H4118" s="115">
        <v>0</v>
      </c>
      <c r="I4118" s="115">
        <v>0</v>
      </c>
      <c r="J4118" s="115">
        <v>0</v>
      </c>
      <c r="K4118" s="115">
        <v>0</v>
      </c>
    </row>
    <row r="4119" spans="2:11" x14ac:dyDescent="0.25">
      <c r="B4119" s="115" t="s">
        <v>1241</v>
      </c>
      <c r="D4119" s="115" t="s">
        <v>8710</v>
      </c>
      <c r="E4119" s="115" t="s">
        <v>1242</v>
      </c>
      <c r="F4119" s="115">
        <v>0</v>
      </c>
      <c r="G4119" s="115">
        <v>0</v>
      </c>
      <c r="H4119" s="115">
        <v>0</v>
      </c>
      <c r="I4119" s="115">
        <v>0</v>
      </c>
      <c r="J4119" s="115">
        <v>0</v>
      </c>
      <c r="K4119" s="115">
        <v>0</v>
      </c>
    </row>
    <row r="4120" spans="2:11" x14ac:dyDescent="0.25">
      <c r="B4120" s="115" t="s">
        <v>1241</v>
      </c>
      <c r="D4120" s="115" t="s">
        <v>8710</v>
      </c>
      <c r="E4120" s="115" t="s">
        <v>1242</v>
      </c>
      <c r="F4120" s="115">
        <v>0</v>
      </c>
      <c r="G4120" s="115">
        <v>0</v>
      </c>
      <c r="H4120" s="115">
        <v>0</v>
      </c>
      <c r="I4120" s="115">
        <v>0</v>
      </c>
      <c r="J4120" s="115">
        <v>0</v>
      </c>
      <c r="K4120" s="115">
        <v>0</v>
      </c>
    </row>
    <row r="4121" spans="2:11" x14ac:dyDescent="0.25">
      <c r="B4121" s="115" t="s">
        <v>1241</v>
      </c>
      <c r="D4121" s="115" t="s">
        <v>8710</v>
      </c>
      <c r="E4121" s="115" t="s">
        <v>1242</v>
      </c>
      <c r="F4121" s="115">
        <v>0</v>
      </c>
      <c r="G4121" s="115">
        <v>0</v>
      </c>
      <c r="H4121" s="115">
        <v>0</v>
      </c>
      <c r="I4121" s="115">
        <v>0</v>
      </c>
      <c r="J4121" s="115">
        <v>0</v>
      </c>
      <c r="K4121" s="115">
        <v>0</v>
      </c>
    </row>
    <row r="4122" spans="2:11" x14ac:dyDescent="0.25">
      <c r="B4122" s="115" t="s">
        <v>1241</v>
      </c>
      <c r="D4122" s="115" t="s">
        <v>8710</v>
      </c>
      <c r="E4122" s="115" t="s">
        <v>1242</v>
      </c>
      <c r="F4122" s="115">
        <v>0</v>
      </c>
      <c r="G4122" s="115">
        <v>0</v>
      </c>
      <c r="H4122" s="115">
        <v>0</v>
      </c>
      <c r="I4122" s="115">
        <v>0</v>
      </c>
      <c r="J4122" s="115">
        <v>0</v>
      </c>
      <c r="K4122" s="115">
        <v>0</v>
      </c>
    </row>
    <row r="4123" spans="2:11" x14ac:dyDescent="0.25">
      <c r="B4123" s="115" t="s">
        <v>1241</v>
      </c>
      <c r="D4123" s="115" t="s">
        <v>8710</v>
      </c>
      <c r="E4123" s="115" t="s">
        <v>1242</v>
      </c>
      <c r="F4123" s="115">
        <v>0</v>
      </c>
      <c r="G4123" s="115">
        <v>0</v>
      </c>
      <c r="H4123" s="115">
        <v>0</v>
      </c>
      <c r="I4123" s="115">
        <v>0</v>
      </c>
      <c r="J4123" s="115">
        <v>0</v>
      </c>
      <c r="K4123" s="115">
        <v>0</v>
      </c>
    </row>
    <row r="4124" spans="2:11" x14ac:dyDescent="0.25">
      <c r="B4124" s="115" t="s">
        <v>1241</v>
      </c>
      <c r="D4124" s="115" t="s">
        <v>8710</v>
      </c>
      <c r="E4124" s="115" t="s">
        <v>1242</v>
      </c>
      <c r="F4124" s="115">
        <v>0</v>
      </c>
      <c r="G4124" s="115">
        <v>0</v>
      </c>
      <c r="H4124" s="115">
        <v>0</v>
      </c>
      <c r="I4124" s="115">
        <v>0</v>
      </c>
      <c r="J4124" s="115">
        <v>0</v>
      </c>
      <c r="K4124" s="115">
        <v>0</v>
      </c>
    </row>
    <row r="4125" spans="2:11" x14ac:dyDescent="0.25">
      <c r="B4125" s="115" t="s">
        <v>1241</v>
      </c>
      <c r="D4125" s="115" t="s">
        <v>8710</v>
      </c>
      <c r="E4125" s="115" t="s">
        <v>1242</v>
      </c>
      <c r="F4125" s="115">
        <v>0</v>
      </c>
      <c r="G4125" s="115">
        <v>0</v>
      </c>
      <c r="H4125" s="115">
        <v>0</v>
      </c>
      <c r="I4125" s="115">
        <v>0</v>
      </c>
      <c r="J4125" s="115">
        <v>0</v>
      </c>
      <c r="K4125" s="115">
        <v>0</v>
      </c>
    </row>
    <row r="4126" spans="2:11" x14ac:dyDescent="0.25">
      <c r="B4126" s="115" t="s">
        <v>1241</v>
      </c>
      <c r="D4126" s="115" t="s">
        <v>8710</v>
      </c>
      <c r="E4126" s="115" t="s">
        <v>1242</v>
      </c>
      <c r="F4126" s="115">
        <v>0</v>
      </c>
      <c r="G4126" s="115">
        <v>0</v>
      </c>
      <c r="H4126" s="115">
        <v>0</v>
      </c>
      <c r="I4126" s="115">
        <v>0</v>
      </c>
      <c r="J4126" s="115">
        <v>0</v>
      </c>
      <c r="K4126" s="115">
        <v>0</v>
      </c>
    </row>
    <row r="4127" spans="2:11" x14ac:dyDescent="0.25">
      <c r="B4127" s="115" t="s">
        <v>1241</v>
      </c>
      <c r="D4127" s="115" t="s">
        <v>8710</v>
      </c>
      <c r="E4127" s="115" t="s">
        <v>1242</v>
      </c>
      <c r="F4127" s="115">
        <v>0</v>
      </c>
      <c r="G4127" s="115">
        <v>0</v>
      </c>
      <c r="H4127" s="115">
        <v>0</v>
      </c>
      <c r="I4127" s="115">
        <v>0</v>
      </c>
      <c r="J4127" s="115">
        <v>0</v>
      </c>
      <c r="K4127" s="115">
        <v>0</v>
      </c>
    </row>
    <row r="4128" spans="2:11" x14ac:dyDescent="0.25">
      <c r="B4128" s="115" t="s">
        <v>1241</v>
      </c>
      <c r="D4128" s="115" t="s">
        <v>8710</v>
      </c>
      <c r="E4128" s="115" t="s">
        <v>1242</v>
      </c>
      <c r="F4128" s="115">
        <v>0</v>
      </c>
      <c r="G4128" s="115">
        <v>0</v>
      </c>
      <c r="H4128" s="115">
        <v>0</v>
      </c>
      <c r="I4128" s="115">
        <v>0</v>
      </c>
      <c r="J4128" s="115">
        <v>0</v>
      </c>
      <c r="K4128" s="115">
        <v>0</v>
      </c>
    </row>
    <row r="4129" spans="2:11" x14ac:dyDescent="0.25">
      <c r="B4129" s="115" t="s">
        <v>1241</v>
      </c>
      <c r="D4129" s="115" t="s">
        <v>8710</v>
      </c>
      <c r="E4129" s="115" t="s">
        <v>1242</v>
      </c>
      <c r="F4129" s="115">
        <v>0</v>
      </c>
      <c r="G4129" s="115">
        <v>0</v>
      </c>
      <c r="H4129" s="115">
        <v>0</v>
      </c>
      <c r="I4129" s="115">
        <v>0</v>
      </c>
      <c r="J4129" s="115">
        <v>0</v>
      </c>
      <c r="K4129" s="115">
        <v>0</v>
      </c>
    </row>
    <row r="4130" spans="2:11" x14ac:dyDescent="0.25">
      <c r="B4130" s="115" t="s">
        <v>1241</v>
      </c>
      <c r="D4130" s="115" t="s">
        <v>8710</v>
      </c>
      <c r="E4130" s="115" t="s">
        <v>1242</v>
      </c>
      <c r="F4130" s="115">
        <v>0</v>
      </c>
      <c r="G4130" s="115">
        <v>0</v>
      </c>
      <c r="H4130" s="115">
        <v>0</v>
      </c>
      <c r="I4130" s="115">
        <v>0</v>
      </c>
      <c r="J4130" s="115">
        <v>0</v>
      </c>
      <c r="K4130" s="115">
        <v>0</v>
      </c>
    </row>
    <row r="4131" spans="2:11" x14ac:dyDescent="0.25">
      <c r="B4131" s="115" t="s">
        <v>1241</v>
      </c>
      <c r="D4131" s="115" t="s">
        <v>8710</v>
      </c>
      <c r="E4131" s="115" t="s">
        <v>1242</v>
      </c>
      <c r="F4131" s="115">
        <v>0</v>
      </c>
      <c r="G4131" s="115">
        <v>0</v>
      </c>
      <c r="H4131" s="115">
        <v>0</v>
      </c>
      <c r="I4131" s="115">
        <v>0</v>
      </c>
      <c r="J4131" s="115">
        <v>0</v>
      </c>
      <c r="K4131" s="115">
        <v>0</v>
      </c>
    </row>
    <row r="4132" spans="2:11" x14ac:dyDescent="0.25">
      <c r="B4132" s="115" t="s">
        <v>1241</v>
      </c>
      <c r="D4132" s="115" t="s">
        <v>8710</v>
      </c>
      <c r="E4132" s="115" t="s">
        <v>1242</v>
      </c>
      <c r="F4132" s="115">
        <v>0</v>
      </c>
      <c r="G4132" s="115">
        <v>0</v>
      </c>
      <c r="H4132" s="115">
        <v>0</v>
      </c>
      <c r="I4132" s="115">
        <v>0</v>
      </c>
      <c r="J4132" s="115">
        <v>0</v>
      </c>
      <c r="K4132" s="115">
        <v>0</v>
      </c>
    </row>
    <row r="4133" spans="2:11" x14ac:dyDescent="0.25">
      <c r="B4133" s="115" t="s">
        <v>1241</v>
      </c>
      <c r="D4133" s="115" t="s">
        <v>8710</v>
      </c>
      <c r="E4133" s="115" t="s">
        <v>1242</v>
      </c>
      <c r="F4133" s="115">
        <v>0</v>
      </c>
      <c r="G4133" s="115">
        <v>0</v>
      </c>
      <c r="H4133" s="115">
        <v>0</v>
      </c>
      <c r="I4133" s="115">
        <v>0</v>
      </c>
      <c r="J4133" s="115">
        <v>0</v>
      </c>
      <c r="K4133" s="115">
        <v>0</v>
      </c>
    </row>
    <row r="4134" spans="2:11" x14ac:dyDescent="0.25">
      <c r="B4134" s="115" t="s">
        <v>1241</v>
      </c>
      <c r="D4134" s="115" t="s">
        <v>8710</v>
      </c>
      <c r="E4134" s="115" t="s">
        <v>1242</v>
      </c>
      <c r="F4134" s="115">
        <v>0</v>
      </c>
      <c r="G4134" s="115">
        <v>0</v>
      </c>
      <c r="H4134" s="115">
        <v>0</v>
      </c>
      <c r="I4134" s="115">
        <v>0</v>
      </c>
      <c r="J4134" s="115">
        <v>0</v>
      </c>
      <c r="K4134" s="115">
        <v>0</v>
      </c>
    </row>
    <row r="4135" spans="2:11" x14ac:dyDescent="0.25">
      <c r="B4135" s="115" t="s">
        <v>1241</v>
      </c>
      <c r="D4135" s="115" t="s">
        <v>8710</v>
      </c>
      <c r="E4135" s="115" t="s">
        <v>1242</v>
      </c>
      <c r="F4135" s="115">
        <v>0</v>
      </c>
      <c r="G4135" s="115">
        <v>0</v>
      </c>
      <c r="H4135" s="115">
        <v>0</v>
      </c>
      <c r="I4135" s="115">
        <v>0</v>
      </c>
      <c r="J4135" s="115">
        <v>0</v>
      </c>
      <c r="K4135" s="115">
        <v>0</v>
      </c>
    </row>
    <row r="4136" spans="2:11" x14ac:dyDescent="0.25">
      <c r="B4136" s="115" t="s">
        <v>1241</v>
      </c>
      <c r="D4136" s="115" t="s">
        <v>8710</v>
      </c>
      <c r="E4136" s="115" t="s">
        <v>1242</v>
      </c>
      <c r="F4136" s="115">
        <v>0</v>
      </c>
      <c r="G4136" s="115">
        <v>0</v>
      </c>
      <c r="H4136" s="115">
        <v>0</v>
      </c>
      <c r="I4136" s="115">
        <v>0</v>
      </c>
      <c r="J4136" s="115">
        <v>0</v>
      </c>
      <c r="K4136" s="115">
        <v>0</v>
      </c>
    </row>
    <row r="4137" spans="2:11" x14ac:dyDescent="0.25">
      <c r="B4137" s="115" t="s">
        <v>1241</v>
      </c>
      <c r="D4137" s="115" t="s">
        <v>8710</v>
      </c>
      <c r="E4137" s="115" t="s">
        <v>1242</v>
      </c>
      <c r="F4137" s="115">
        <v>0</v>
      </c>
      <c r="G4137" s="115">
        <v>0</v>
      </c>
      <c r="H4137" s="115">
        <v>0</v>
      </c>
      <c r="I4137" s="115">
        <v>0</v>
      </c>
      <c r="J4137" s="115">
        <v>0</v>
      </c>
      <c r="K4137" s="115">
        <v>0</v>
      </c>
    </row>
    <row r="4138" spans="2:11" x14ac:dyDescent="0.25">
      <c r="B4138" s="115" t="s">
        <v>1241</v>
      </c>
      <c r="D4138" s="115" t="s">
        <v>8710</v>
      </c>
      <c r="E4138" s="115" t="s">
        <v>1242</v>
      </c>
      <c r="F4138" s="115">
        <v>0</v>
      </c>
      <c r="G4138" s="115">
        <v>0</v>
      </c>
      <c r="H4138" s="115">
        <v>0</v>
      </c>
      <c r="I4138" s="115">
        <v>0</v>
      </c>
      <c r="J4138" s="115">
        <v>0</v>
      </c>
      <c r="K4138" s="115">
        <v>0</v>
      </c>
    </row>
    <row r="4139" spans="2:11" x14ac:dyDescent="0.25">
      <c r="B4139" s="115" t="s">
        <v>1241</v>
      </c>
      <c r="D4139" s="115" t="s">
        <v>8710</v>
      </c>
      <c r="E4139" s="115" t="s">
        <v>1242</v>
      </c>
      <c r="F4139" s="115">
        <v>0</v>
      </c>
      <c r="G4139" s="115">
        <v>0</v>
      </c>
      <c r="H4139" s="115">
        <v>0</v>
      </c>
      <c r="I4139" s="115">
        <v>0</v>
      </c>
      <c r="J4139" s="115">
        <v>0</v>
      </c>
      <c r="K4139" s="115">
        <v>0</v>
      </c>
    </row>
    <row r="4140" spans="2:11" x14ac:dyDescent="0.25">
      <c r="B4140" s="115" t="s">
        <v>1241</v>
      </c>
      <c r="D4140" s="115" t="s">
        <v>8710</v>
      </c>
      <c r="E4140" s="115" t="s">
        <v>1242</v>
      </c>
      <c r="F4140" s="115">
        <v>0</v>
      </c>
      <c r="G4140" s="115">
        <v>0</v>
      </c>
      <c r="H4140" s="115">
        <v>0</v>
      </c>
      <c r="I4140" s="115">
        <v>0</v>
      </c>
      <c r="J4140" s="115">
        <v>0</v>
      </c>
      <c r="K4140" s="115">
        <v>0</v>
      </c>
    </row>
    <row r="4141" spans="2:11" x14ac:dyDescent="0.25">
      <c r="B4141" s="115" t="s">
        <v>1241</v>
      </c>
      <c r="D4141" s="115" t="s">
        <v>8710</v>
      </c>
      <c r="E4141" s="115" t="s">
        <v>1242</v>
      </c>
      <c r="F4141" s="115">
        <v>0</v>
      </c>
      <c r="G4141" s="115">
        <v>0</v>
      </c>
      <c r="H4141" s="115">
        <v>0</v>
      </c>
      <c r="I4141" s="115">
        <v>0</v>
      </c>
      <c r="J4141" s="115">
        <v>0</v>
      </c>
      <c r="K4141" s="115">
        <v>0</v>
      </c>
    </row>
    <row r="4142" spans="2:11" x14ac:dyDescent="0.25">
      <c r="B4142" s="115" t="s">
        <v>1241</v>
      </c>
      <c r="D4142" s="115" t="s">
        <v>8710</v>
      </c>
      <c r="E4142" s="115" t="s">
        <v>1242</v>
      </c>
      <c r="F4142" s="115">
        <v>0</v>
      </c>
      <c r="G4142" s="115">
        <v>0</v>
      </c>
      <c r="H4142" s="115">
        <v>0</v>
      </c>
      <c r="I4142" s="115">
        <v>0</v>
      </c>
      <c r="J4142" s="115">
        <v>0</v>
      </c>
      <c r="K4142" s="115">
        <v>0</v>
      </c>
    </row>
    <row r="4143" spans="2:11" x14ac:dyDescent="0.25">
      <c r="B4143" s="115" t="s">
        <v>1241</v>
      </c>
      <c r="D4143" s="115" t="s">
        <v>8710</v>
      </c>
      <c r="E4143" s="115" t="s">
        <v>1242</v>
      </c>
      <c r="F4143" s="115">
        <v>0</v>
      </c>
      <c r="G4143" s="115">
        <v>0</v>
      </c>
      <c r="H4143" s="115">
        <v>0</v>
      </c>
      <c r="I4143" s="115">
        <v>0</v>
      </c>
      <c r="J4143" s="115">
        <v>0</v>
      </c>
      <c r="K4143" s="115">
        <v>0</v>
      </c>
    </row>
    <row r="4144" spans="2:11" x14ac:dyDescent="0.25">
      <c r="B4144" s="115" t="s">
        <v>1241</v>
      </c>
      <c r="D4144" s="115" t="s">
        <v>8710</v>
      </c>
      <c r="E4144" s="115" t="s">
        <v>1242</v>
      </c>
      <c r="F4144" s="115">
        <v>0</v>
      </c>
      <c r="G4144" s="115">
        <v>0</v>
      </c>
      <c r="H4144" s="115">
        <v>0</v>
      </c>
      <c r="I4144" s="115">
        <v>0</v>
      </c>
      <c r="J4144" s="115">
        <v>0</v>
      </c>
      <c r="K4144" s="115">
        <v>0</v>
      </c>
    </row>
    <row r="4145" spans="2:11" x14ac:dyDescent="0.25">
      <c r="B4145" s="115" t="s">
        <v>1241</v>
      </c>
      <c r="D4145" s="115" t="s">
        <v>8710</v>
      </c>
      <c r="E4145" s="115" t="s">
        <v>1242</v>
      </c>
      <c r="F4145" s="115">
        <v>0</v>
      </c>
      <c r="G4145" s="115">
        <v>0</v>
      </c>
      <c r="H4145" s="115">
        <v>0</v>
      </c>
      <c r="I4145" s="115">
        <v>0</v>
      </c>
      <c r="J4145" s="115">
        <v>0</v>
      </c>
      <c r="K4145" s="115">
        <v>0</v>
      </c>
    </row>
    <row r="4146" spans="2:11" x14ac:dyDescent="0.25">
      <c r="B4146" s="115" t="s">
        <v>1241</v>
      </c>
      <c r="D4146" s="115" t="s">
        <v>8710</v>
      </c>
      <c r="E4146" s="115" t="s">
        <v>1242</v>
      </c>
      <c r="F4146" s="115">
        <v>0</v>
      </c>
      <c r="G4146" s="115">
        <v>0</v>
      </c>
      <c r="H4146" s="115">
        <v>0</v>
      </c>
      <c r="I4146" s="115">
        <v>0</v>
      </c>
      <c r="J4146" s="115">
        <v>0</v>
      </c>
      <c r="K4146" s="115">
        <v>0</v>
      </c>
    </row>
    <row r="4147" spans="2:11" x14ac:dyDescent="0.25">
      <c r="B4147" s="115" t="s">
        <v>1241</v>
      </c>
      <c r="D4147" s="115" t="s">
        <v>8710</v>
      </c>
      <c r="E4147" s="115" t="s">
        <v>1242</v>
      </c>
      <c r="F4147" s="115">
        <v>0</v>
      </c>
      <c r="G4147" s="115">
        <v>0</v>
      </c>
      <c r="H4147" s="115">
        <v>0</v>
      </c>
      <c r="I4147" s="115">
        <v>0</v>
      </c>
      <c r="J4147" s="115">
        <v>0</v>
      </c>
      <c r="K4147" s="115">
        <v>0</v>
      </c>
    </row>
    <row r="4148" spans="2:11" x14ac:dyDescent="0.25">
      <c r="B4148" s="115" t="s">
        <v>1241</v>
      </c>
      <c r="D4148" s="115" t="s">
        <v>8710</v>
      </c>
      <c r="E4148" s="115" t="s">
        <v>1242</v>
      </c>
      <c r="F4148" s="115">
        <v>0</v>
      </c>
      <c r="G4148" s="115">
        <v>0</v>
      </c>
      <c r="H4148" s="115">
        <v>0</v>
      </c>
      <c r="I4148" s="115">
        <v>0</v>
      </c>
      <c r="J4148" s="115">
        <v>0</v>
      </c>
      <c r="K4148" s="115">
        <v>0</v>
      </c>
    </row>
    <row r="4149" spans="2:11" x14ac:dyDescent="0.25">
      <c r="B4149" s="115" t="s">
        <v>1241</v>
      </c>
      <c r="D4149" s="115" t="s">
        <v>8710</v>
      </c>
      <c r="E4149" s="115" t="s">
        <v>1242</v>
      </c>
      <c r="F4149" s="115">
        <v>0</v>
      </c>
      <c r="G4149" s="115">
        <v>0</v>
      </c>
      <c r="H4149" s="115">
        <v>0</v>
      </c>
      <c r="I4149" s="115">
        <v>0</v>
      </c>
      <c r="J4149" s="115">
        <v>0</v>
      </c>
      <c r="K4149" s="115">
        <v>0</v>
      </c>
    </row>
    <row r="4150" spans="2:11" x14ac:dyDescent="0.25">
      <c r="B4150" s="115" t="s">
        <v>1241</v>
      </c>
      <c r="D4150" s="115" t="s">
        <v>8710</v>
      </c>
      <c r="E4150" s="115" t="s">
        <v>1242</v>
      </c>
      <c r="F4150" s="115">
        <v>0</v>
      </c>
      <c r="G4150" s="115">
        <v>0</v>
      </c>
      <c r="H4150" s="115">
        <v>0</v>
      </c>
      <c r="I4150" s="115">
        <v>0</v>
      </c>
      <c r="J4150" s="115">
        <v>0</v>
      </c>
      <c r="K4150" s="115">
        <v>0</v>
      </c>
    </row>
    <row r="4151" spans="2:11" x14ac:dyDescent="0.25">
      <c r="B4151" s="115" t="s">
        <v>1241</v>
      </c>
      <c r="D4151" s="115" t="s">
        <v>8710</v>
      </c>
      <c r="E4151" s="115" t="s">
        <v>1242</v>
      </c>
      <c r="F4151" s="115">
        <v>0</v>
      </c>
      <c r="G4151" s="115">
        <v>0</v>
      </c>
      <c r="H4151" s="115">
        <v>0</v>
      </c>
      <c r="I4151" s="115">
        <v>0</v>
      </c>
      <c r="J4151" s="115">
        <v>0</v>
      </c>
      <c r="K4151" s="115">
        <v>0</v>
      </c>
    </row>
    <row r="4152" spans="2:11" x14ac:dyDescent="0.25">
      <c r="B4152" s="115" t="s">
        <v>1241</v>
      </c>
      <c r="D4152" s="115" t="s">
        <v>8710</v>
      </c>
      <c r="E4152" s="115" t="s">
        <v>1242</v>
      </c>
      <c r="F4152" s="115">
        <v>0</v>
      </c>
      <c r="G4152" s="115">
        <v>0</v>
      </c>
      <c r="H4152" s="115">
        <v>0</v>
      </c>
      <c r="I4152" s="115">
        <v>0</v>
      </c>
      <c r="J4152" s="115">
        <v>0</v>
      </c>
      <c r="K4152" s="115">
        <v>0</v>
      </c>
    </row>
    <row r="4153" spans="2:11" x14ac:dyDescent="0.25">
      <c r="B4153" s="115" t="s">
        <v>1241</v>
      </c>
      <c r="D4153" s="115" t="s">
        <v>8710</v>
      </c>
      <c r="E4153" s="115" t="s">
        <v>1242</v>
      </c>
      <c r="F4153" s="115">
        <v>0</v>
      </c>
      <c r="G4153" s="115">
        <v>0</v>
      </c>
      <c r="H4153" s="115">
        <v>0</v>
      </c>
      <c r="I4153" s="115">
        <v>0</v>
      </c>
      <c r="J4153" s="115">
        <v>0</v>
      </c>
      <c r="K4153" s="115">
        <v>0</v>
      </c>
    </row>
    <row r="4154" spans="2:11" x14ac:dyDescent="0.25">
      <c r="B4154" s="115" t="s">
        <v>1241</v>
      </c>
      <c r="D4154" s="115" t="s">
        <v>8710</v>
      </c>
      <c r="E4154" s="115" t="s">
        <v>1242</v>
      </c>
      <c r="F4154" s="115">
        <v>0</v>
      </c>
      <c r="G4154" s="115">
        <v>0</v>
      </c>
      <c r="H4154" s="115">
        <v>0</v>
      </c>
      <c r="I4154" s="115">
        <v>0</v>
      </c>
      <c r="J4154" s="115">
        <v>0</v>
      </c>
      <c r="K4154" s="115">
        <v>0</v>
      </c>
    </row>
    <row r="4155" spans="2:11" x14ac:dyDescent="0.25">
      <c r="B4155" s="115" t="s">
        <v>1241</v>
      </c>
      <c r="D4155" s="115" t="s">
        <v>8710</v>
      </c>
      <c r="E4155" s="115" t="s">
        <v>1242</v>
      </c>
      <c r="F4155" s="115">
        <v>0</v>
      </c>
      <c r="G4155" s="115">
        <v>0</v>
      </c>
      <c r="H4155" s="115">
        <v>0</v>
      </c>
      <c r="I4155" s="115">
        <v>0</v>
      </c>
      <c r="J4155" s="115">
        <v>0</v>
      </c>
      <c r="K4155" s="115">
        <v>0</v>
      </c>
    </row>
    <row r="4156" spans="2:11" x14ac:dyDescent="0.25">
      <c r="B4156" s="115" t="s">
        <v>1241</v>
      </c>
      <c r="D4156" s="115" t="s">
        <v>8710</v>
      </c>
      <c r="E4156" s="115" t="s">
        <v>1242</v>
      </c>
      <c r="F4156" s="115">
        <v>0</v>
      </c>
      <c r="G4156" s="115">
        <v>0</v>
      </c>
      <c r="H4156" s="115">
        <v>0</v>
      </c>
      <c r="I4156" s="115">
        <v>0</v>
      </c>
      <c r="J4156" s="115">
        <v>0</v>
      </c>
      <c r="K4156" s="115">
        <v>0</v>
      </c>
    </row>
    <row r="4157" spans="2:11" x14ac:dyDescent="0.25">
      <c r="B4157" s="115" t="s">
        <v>1241</v>
      </c>
      <c r="D4157" s="115" t="s">
        <v>8710</v>
      </c>
      <c r="E4157" s="115" t="s">
        <v>1242</v>
      </c>
      <c r="F4157" s="115">
        <v>0</v>
      </c>
      <c r="G4157" s="115">
        <v>0</v>
      </c>
      <c r="H4157" s="115">
        <v>0</v>
      </c>
      <c r="I4157" s="115">
        <v>0</v>
      </c>
      <c r="J4157" s="115">
        <v>0</v>
      </c>
      <c r="K4157" s="115">
        <v>0</v>
      </c>
    </row>
    <row r="4158" spans="2:11" x14ac:dyDescent="0.25">
      <c r="B4158" s="115" t="s">
        <v>1241</v>
      </c>
      <c r="D4158" s="115" t="s">
        <v>8710</v>
      </c>
      <c r="E4158" s="115" t="s">
        <v>1242</v>
      </c>
      <c r="F4158" s="115">
        <v>0</v>
      </c>
      <c r="G4158" s="115">
        <v>0</v>
      </c>
      <c r="H4158" s="115">
        <v>0</v>
      </c>
      <c r="I4158" s="115">
        <v>0</v>
      </c>
      <c r="J4158" s="115">
        <v>0</v>
      </c>
      <c r="K4158" s="115">
        <v>0</v>
      </c>
    </row>
    <row r="4159" spans="2:11" x14ac:dyDescent="0.25">
      <c r="B4159" s="115" t="s">
        <v>1241</v>
      </c>
      <c r="D4159" s="115" t="s">
        <v>8710</v>
      </c>
      <c r="E4159" s="115" t="s">
        <v>1242</v>
      </c>
      <c r="F4159" s="115">
        <v>0</v>
      </c>
      <c r="G4159" s="115">
        <v>0</v>
      </c>
      <c r="H4159" s="115">
        <v>0</v>
      </c>
      <c r="I4159" s="115">
        <v>0</v>
      </c>
      <c r="J4159" s="115">
        <v>0</v>
      </c>
      <c r="K4159" s="115">
        <v>0</v>
      </c>
    </row>
    <row r="4160" spans="2:11" x14ac:dyDescent="0.25">
      <c r="B4160" s="115" t="s">
        <v>1241</v>
      </c>
      <c r="D4160" s="115" t="s">
        <v>8710</v>
      </c>
      <c r="E4160" s="115" t="s">
        <v>1242</v>
      </c>
      <c r="F4160" s="115">
        <v>0</v>
      </c>
      <c r="G4160" s="115">
        <v>0</v>
      </c>
      <c r="H4160" s="115">
        <v>0</v>
      </c>
      <c r="I4160" s="115">
        <v>0</v>
      </c>
      <c r="J4160" s="115">
        <v>0</v>
      </c>
      <c r="K4160" s="115">
        <v>0</v>
      </c>
    </row>
    <row r="4161" spans="2:11" x14ac:dyDescent="0.25">
      <c r="B4161" s="115" t="s">
        <v>1241</v>
      </c>
      <c r="D4161" s="115" t="s">
        <v>8710</v>
      </c>
      <c r="E4161" s="115" t="s">
        <v>1242</v>
      </c>
      <c r="F4161" s="115">
        <v>0</v>
      </c>
      <c r="G4161" s="115">
        <v>0</v>
      </c>
      <c r="H4161" s="115">
        <v>0</v>
      </c>
      <c r="I4161" s="115">
        <v>0</v>
      </c>
      <c r="J4161" s="115">
        <v>0</v>
      </c>
      <c r="K4161" s="115">
        <v>0</v>
      </c>
    </row>
    <row r="4162" spans="2:11" x14ac:dyDescent="0.25">
      <c r="B4162" s="115" t="s">
        <v>1241</v>
      </c>
      <c r="D4162" s="115" t="s">
        <v>8710</v>
      </c>
      <c r="E4162" s="115" t="s">
        <v>1242</v>
      </c>
      <c r="F4162" s="115">
        <v>0</v>
      </c>
      <c r="G4162" s="115">
        <v>0</v>
      </c>
      <c r="H4162" s="115">
        <v>0</v>
      </c>
      <c r="I4162" s="115">
        <v>0</v>
      </c>
      <c r="J4162" s="115">
        <v>0</v>
      </c>
      <c r="K4162" s="115">
        <v>0</v>
      </c>
    </row>
    <row r="4163" spans="2:11" x14ac:dyDescent="0.25">
      <c r="B4163" s="115" t="s">
        <v>1241</v>
      </c>
      <c r="D4163" s="115" t="s">
        <v>8710</v>
      </c>
      <c r="E4163" s="115" t="s">
        <v>1242</v>
      </c>
      <c r="F4163" s="115">
        <v>0</v>
      </c>
      <c r="G4163" s="115">
        <v>0</v>
      </c>
      <c r="H4163" s="115">
        <v>0</v>
      </c>
      <c r="I4163" s="115">
        <v>0</v>
      </c>
      <c r="J4163" s="115">
        <v>0</v>
      </c>
      <c r="K4163" s="115">
        <v>0</v>
      </c>
    </row>
    <row r="4164" spans="2:11" x14ac:dyDescent="0.25">
      <c r="B4164" s="115" t="s">
        <v>1241</v>
      </c>
      <c r="D4164" s="115" t="s">
        <v>8710</v>
      </c>
      <c r="E4164" s="115" t="s">
        <v>1242</v>
      </c>
      <c r="F4164" s="115">
        <v>0</v>
      </c>
      <c r="G4164" s="115">
        <v>0</v>
      </c>
      <c r="H4164" s="115">
        <v>0</v>
      </c>
      <c r="I4164" s="115">
        <v>0</v>
      </c>
      <c r="J4164" s="115">
        <v>0</v>
      </c>
      <c r="K4164" s="115">
        <v>0</v>
      </c>
    </row>
    <row r="4165" spans="2:11" x14ac:dyDescent="0.25">
      <c r="B4165" s="115" t="s">
        <v>1241</v>
      </c>
      <c r="D4165" s="115" t="s">
        <v>8710</v>
      </c>
      <c r="E4165" s="115" t="s">
        <v>1242</v>
      </c>
      <c r="F4165" s="115">
        <v>0</v>
      </c>
      <c r="G4165" s="115">
        <v>0</v>
      </c>
      <c r="H4165" s="115">
        <v>0</v>
      </c>
      <c r="I4165" s="115">
        <v>0</v>
      </c>
      <c r="J4165" s="115">
        <v>0</v>
      </c>
      <c r="K4165" s="115">
        <v>0</v>
      </c>
    </row>
    <row r="4166" spans="2:11" x14ac:dyDescent="0.25">
      <c r="B4166" s="115" t="s">
        <v>1241</v>
      </c>
      <c r="D4166" s="115" t="s">
        <v>8710</v>
      </c>
      <c r="E4166" s="115" t="s">
        <v>1242</v>
      </c>
      <c r="F4166" s="115">
        <v>0</v>
      </c>
      <c r="G4166" s="115">
        <v>0</v>
      </c>
      <c r="H4166" s="115">
        <v>0</v>
      </c>
      <c r="I4166" s="115">
        <v>0</v>
      </c>
      <c r="J4166" s="115">
        <v>0</v>
      </c>
      <c r="K4166" s="115">
        <v>0</v>
      </c>
    </row>
    <row r="4167" spans="2:11" x14ac:dyDescent="0.25">
      <c r="B4167" s="115" t="s">
        <v>1241</v>
      </c>
      <c r="D4167" s="115" t="s">
        <v>8710</v>
      </c>
      <c r="E4167" s="115" t="s">
        <v>1242</v>
      </c>
      <c r="F4167" s="115">
        <v>0</v>
      </c>
      <c r="G4167" s="115">
        <v>0</v>
      </c>
      <c r="H4167" s="115">
        <v>0</v>
      </c>
      <c r="I4167" s="115">
        <v>0</v>
      </c>
      <c r="J4167" s="115">
        <v>0</v>
      </c>
      <c r="K4167" s="115">
        <v>0</v>
      </c>
    </row>
    <row r="4168" spans="2:11" x14ac:dyDescent="0.25">
      <c r="B4168" s="115" t="s">
        <v>1241</v>
      </c>
      <c r="D4168" s="115" t="s">
        <v>8710</v>
      </c>
      <c r="E4168" s="115" t="s">
        <v>1242</v>
      </c>
      <c r="F4168" s="115">
        <v>0</v>
      </c>
      <c r="G4168" s="115">
        <v>0</v>
      </c>
      <c r="H4168" s="115">
        <v>0</v>
      </c>
      <c r="I4168" s="115">
        <v>0</v>
      </c>
      <c r="J4168" s="115">
        <v>0</v>
      </c>
      <c r="K4168" s="115">
        <v>0</v>
      </c>
    </row>
    <row r="4169" spans="2:11" x14ac:dyDescent="0.25">
      <c r="B4169" s="115" t="s">
        <v>1241</v>
      </c>
      <c r="D4169" s="115" t="s">
        <v>8710</v>
      </c>
      <c r="E4169" s="115" t="s">
        <v>1242</v>
      </c>
      <c r="F4169" s="115">
        <v>0</v>
      </c>
      <c r="G4169" s="115">
        <v>0</v>
      </c>
      <c r="H4169" s="115">
        <v>0</v>
      </c>
      <c r="I4169" s="115">
        <v>0</v>
      </c>
      <c r="J4169" s="115">
        <v>0</v>
      </c>
      <c r="K4169" s="115">
        <v>0</v>
      </c>
    </row>
    <row r="4170" spans="2:11" x14ac:dyDescent="0.25">
      <c r="B4170" s="115" t="s">
        <v>1241</v>
      </c>
      <c r="D4170" s="115" t="s">
        <v>8710</v>
      </c>
      <c r="E4170" s="115" t="s">
        <v>1242</v>
      </c>
      <c r="F4170" s="115">
        <v>0</v>
      </c>
      <c r="G4170" s="115">
        <v>0</v>
      </c>
      <c r="H4170" s="115">
        <v>0</v>
      </c>
      <c r="I4170" s="115">
        <v>0</v>
      </c>
      <c r="J4170" s="115">
        <v>0</v>
      </c>
      <c r="K4170" s="115">
        <v>0</v>
      </c>
    </row>
    <row r="4171" spans="2:11" x14ac:dyDescent="0.25">
      <c r="B4171" s="115" t="s">
        <v>1241</v>
      </c>
      <c r="D4171" s="115" t="s">
        <v>8710</v>
      </c>
      <c r="E4171" s="115" t="s">
        <v>1242</v>
      </c>
      <c r="F4171" s="115">
        <v>0</v>
      </c>
      <c r="G4171" s="115">
        <v>0</v>
      </c>
      <c r="H4171" s="115">
        <v>0</v>
      </c>
      <c r="I4171" s="115">
        <v>0</v>
      </c>
      <c r="J4171" s="115">
        <v>0</v>
      </c>
      <c r="K4171" s="115">
        <v>0</v>
      </c>
    </row>
    <row r="4172" spans="2:11" x14ac:dyDescent="0.25">
      <c r="B4172" s="115" t="s">
        <v>1241</v>
      </c>
      <c r="D4172" s="115" t="s">
        <v>8710</v>
      </c>
      <c r="E4172" s="115" t="s">
        <v>1242</v>
      </c>
      <c r="F4172" s="115">
        <v>0</v>
      </c>
      <c r="G4172" s="115">
        <v>0</v>
      </c>
      <c r="H4172" s="115">
        <v>0</v>
      </c>
      <c r="I4172" s="115">
        <v>0</v>
      </c>
      <c r="J4172" s="115">
        <v>0</v>
      </c>
      <c r="K4172" s="115">
        <v>0</v>
      </c>
    </row>
    <row r="4173" spans="2:11" x14ac:dyDescent="0.25">
      <c r="B4173" s="115" t="s">
        <v>1241</v>
      </c>
      <c r="D4173" s="115" t="s">
        <v>8710</v>
      </c>
      <c r="E4173" s="115" t="s">
        <v>1242</v>
      </c>
      <c r="F4173" s="115">
        <v>0</v>
      </c>
      <c r="G4173" s="115">
        <v>0</v>
      </c>
      <c r="H4173" s="115">
        <v>0</v>
      </c>
      <c r="I4173" s="115">
        <v>0</v>
      </c>
      <c r="J4173" s="115">
        <v>0</v>
      </c>
      <c r="K4173" s="115">
        <v>0</v>
      </c>
    </row>
    <row r="4174" spans="2:11" x14ac:dyDescent="0.25">
      <c r="B4174" s="115" t="s">
        <v>1241</v>
      </c>
      <c r="D4174" s="115" t="s">
        <v>8710</v>
      </c>
      <c r="E4174" s="115" t="s">
        <v>1242</v>
      </c>
      <c r="F4174" s="115">
        <v>0</v>
      </c>
      <c r="G4174" s="115">
        <v>0</v>
      </c>
      <c r="H4174" s="115">
        <v>0</v>
      </c>
      <c r="I4174" s="115">
        <v>0</v>
      </c>
      <c r="J4174" s="115">
        <v>0</v>
      </c>
      <c r="K4174" s="115">
        <v>0</v>
      </c>
    </row>
    <row r="4175" spans="2:11" x14ac:dyDescent="0.25">
      <c r="B4175" s="115" t="s">
        <v>1241</v>
      </c>
      <c r="D4175" s="115" t="s">
        <v>8710</v>
      </c>
      <c r="E4175" s="115" t="s">
        <v>1242</v>
      </c>
      <c r="F4175" s="115">
        <v>0</v>
      </c>
      <c r="G4175" s="115">
        <v>0</v>
      </c>
      <c r="H4175" s="115">
        <v>0</v>
      </c>
      <c r="I4175" s="115">
        <v>0</v>
      </c>
      <c r="J4175" s="115">
        <v>0</v>
      </c>
      <c r="K4175" s="115">
        <v>0</v>
      </c>
    </row>
    <row r="4176" spans="2:11" x14ac:dyDescent="0.25">
      <c r="B4176" s="115" t="s">
        <v>1241</v>
      </c>
      <c r="D4176" s="115" t="s">
        <v>8710</v>
      </c>
      <c r="E4176" s="115" t="s">
        <v>1242</v>
      </c>
      <c r="F4176" s="115">
        <v>0</v>
      </c>
      <c r="G4176" s="115">
        <v>0</v>
      </c>
      <c r="H4176" s="115">
        <v>0</v>
      </c>
      <c r="I4176" s="115">
        <v>0</v>
      </c>
      <c r="J4176" s="115">
        <v>0</v>
      </c>
      <c r="K4176" s="115">
        <v>0</v>
      </c>
    </row>
    <row r="4177" spans="2:11" x14ac:dyDescent="0.25">
      <c r="B4177" s="115" t="s">
        <v>1241</v>
      </c>
      <c r="D4177" s="115" t="s">
        <v>8710</v>
      </c>
      <c r="E4177" s="115" t="s">
        <v>1242</v>
      </c>
      <c r="F4177" s="115">
        <v>0</v>
      </c>
      <c r="G4177" s="115">
        <v>0</v>
      </c>
      <c r="H4177" s="115">
        <v>0</v>
      </c>
      <c r="I4177" s="115">
        <v>0</v>
      </c>
      <c r="J4177" s="115">
        <v>0</v>
      </c>
      <c r="K4177" s="115">
        <v>0</v>
      </c>
    </row>
    <row r="4178" spans="2:11" x14ac:dyDescent="0.25">
      <c r="B4178" s="115" t="s">
        <v>1241</v>
      </c>
      <c r="D4178" s="115" t="s">
        <v>8710</v>
      </c>
      <c r="E4178" s="115" t="s">
        <v>1242</v>
      </c>
      <c r="F4178" s="115">
        <v>0</v>
      </c>
      <c r="G4178" s="115">
        <v>0</v>
      </c>
      <c r="H4178" s="115">
        <v>0</v>
      </c>
      <c r="I4178" s="115">
        <v>0</v>
      </c>
      <c r="J4178" s="115">
        <v>0</v>
      </c>
      <c r="K4178" s="115">
        <v>0</v>
      </c>
    </row>
    <row r="4179" spans="2:11" x14ac:dyDescent="0.25">
      <c r="B4179" s="115" t="s">
        <v>1241</v>
      </c>
      <c r="D4179" s="115" t="s">
        <v>8710</v>
      </c>
      <c r="E4179" s="115" t="s">
        <v>1242</v>
      </c>
      <c r="F4179" s="115">
        <v>0</v>
      </c>
      <c r="G4179" s="115">
        <v>0</v>
      </c>
      <c r="H4179" s="115">
        <v>0</v>
      </c>
      <c r="I4179" s="115">
        <v>0</v>
      </c>
      <c r="J4179" s="115">
        <v>0</v>
      </c>
      <c r="K4179" s="115">
        <v>0</v>
      </c>
    </row>
    <row r="4180" spans="2:11" x14ac:dyDescent="0.25">
      <c r="B4180" s="115" t="s">
        <v>1241</v>
      </c>
      <c r="D4180" s="115" t="s">
        <v>8710</v>
      </c>
      <c r="E4180" s="115" t="s">
        <v>1242</v>
      </c>
      <c r="F4180" s="115">
        <v>0</v>
      </c>
      <c r="G4180" s="115">
        <v>0</v>
      </c>
      <c r="H4180" s="115">
        <v>0</v>
      </c>
      <c r="I4180" s="115">
        <v>0</v>
      </c>
      <c r="J4180" s="115">
        <v>0</v>
      </c>
      <c r="K4180" s="115">
        <v>0</v>
      </c>
    </row>
    <row r="4181" spans="2:11" x14ac:dyDescent="0.25">
      <c r="B4181" s="115" t="s">
        <v>1241</v>
      </c>
      <c r="D4181" s="115" t="s">
        <v>8710</v>
      </c>
      <c r="E4181" s="115" t="s">
        <v>1242</v>
      </c>
      <c r="F4181" s="115">
        <v>0</v>
      </c>
      <c r="G4181" s="115">
        <v>0</v>
      </c>
      <c r="H4181" s="115">
        <v>0</v>
      </c>
      <c r="I4181" s="115">
        <v>0</v>
      </c>
      <c r="J4181" s="115">
        <v>0</v>
      </c>
      <c r="K4181" s="115">
        <v>0</v>
      </c>
    </row>
    <row r="4182" spans="2:11" x14ac:dyDescent="0.25">
      <c r="B4182" s="115" t="s">
        <v>1241</v>
      </c>
      <c r="D4182" s="115" t="s">
        <v>8710</v>
      </c>
      <c r="E4182" s="115" t="s">
        <v>1242</v>
      </c>
      <c r="F4182" s="115">
        <v>0</v>
      </c>
      <c r="G4182" s="115">
        <v>0</v>
      </c>
      <c r="H4182" s="115">
        <v>0</v>
      </c>
      <c r="I4182" s="115">
        <v>0</v>
      </c>
      <c r="J4182" s="115">
        <v>0</v>
      </c>
      <c r="K4182" s="115">
        <v>0</v>
      </c>
    </row>
    <row r="4183" spans="2:11" x14ac:dyDescent="0.25">
      <c r="B4183" s="115" t="s">
        <v>1241</v>
      </c>
      <c r="D4183" s="115" t="s">
        <v>8710</v>
      </c>
      <c r="E4183" s="115" t="s">
        <v>1242</v>
      </c>
      <c r="F4183" s="115">
        <v>0</v>
      </c>
      <c r="G4183" s="115">
        <v>0</v>
      </c>
      <c r="H4183" s="115">
        <v>0</v>
      </c>
      <c r="I4183" s="115">
        <v>0</v>
      </c>
      <c r="J4183" s="115">
        <v>0</v>
      </c>
      <c r="K4183" s="115">
        <v>0</v>
      </c>
    </row>
    <row r="4184" spans="2:11" x14ac:dyDescent="0.25">
      <c r="B4184" s="115" t="s">
        <v>1241</v>
      </c>
      <c r="D4184" s="115" t="s">
        <v>8710</v>
      </c>
      <c r="E4184" s="115" t="s">
        <v>1242</v>
      </c>
      <c r="F4184" s="115">
        <v>0</v>
      </c>
      <c r="G4184" s="115">
        <v>0</v>
      </c>
      <c r="H4184" s="115">
        <v>0</v>
      </c>
      <c r="I4184" s="115">
        <v>0</v>
      </c>
      <c r="J4184" s="115">
        <v>0</v>
      </c>
      <c r="K4184" s="115">
        <v>0</v>
      </c>
    </row>
    <row r="4185" spans="2:11" x14ac:dyDescent="0.25">
      <c r="B4185" s="115" t="s">
        <v>1241</v>
      </c>
      <c r="D4185" s="115" t="s">
        <v>8710</v>
      </c>
      <c r="E4185" s="115" t="s">
        <v>1242</v>
      </c>
      <c r="F4185" s="115">
        <v>0</v>
      </c>
      <c r="G4185" s="115">
        <v>0</v>
      </c>
      <c r="H4185" s="115">
        <v>0</v>
      </c>
      <c r="I4185" s="115">
        <v>0</v>
      </c>
      <c r="J4185" s="115">
        <v>0</v>
      </c>
      <c r="K4185" s="115">
        <v>0</v>
      </c>
    </row>
    <row r="4186" spans="2:11" x14ac:dyDescent="0.25">
      <c r="B4186" s="115" t="s">
        <v>1241</v>
      </c>
      <c r="D4186" s="115" t="s">
        <v>8710</v>
      </c>
      <c r="E4186" s="115" t="s">
        <v>1242</v>
      </c>
      <c r="F4186" s="115">
        <v>0</v>
      </c>
      <c r="G4186" s="115">
        <v>0</v>
      </c>
      <c r="H4186" s="115">
        <v>0</v>
      </c>
      <c r="I4186" s="115">
        <v>0</v>
      </c>
      <c r="J4186" s="115">
        <v>0</v>
      </c>
      <c r="K4186" s="115">
        <v>0</v>
      </c>
    </row>
    <row r="4187" spans="2:11" x14ac:dyDescent="0.25">
      <c r="B4187" s="115" t="s">
        <v>1241</v>
      </c>
      <c r="D4187" s="115" t="s">
        <v>8710</v>
      </c>
      <c r="E4187" s="115" t="s">
        <v>1242</v>
      </c>
      <c r="F4187" s="115">
        <v>0</v>
      </c>
      <c r="G4187" s="115">
        <v>0</v>
      </c>
      <c r="H4187" s="115">
        <v>0</v>
      </c>
      <c r="I4187" s="115">
        <v>0</v>
      </c>
      <c r="J4187" s="115">
        <v>0</v>
      </c>
      <c r="K4187" s="115">
        <v>0</v>
      </c>
    </row>
    <row r="4188" spans="2:11" x14ac:dyDescent="0.25">
      <c r="B4188" s="115" t="s">
        <v>1241</v>
      </c>
      <c r="D4188" s="115" t="s">
        <v>8710</v>
      </c>
      <c r="E4188" s="115" t="s">
        <v>1242</v>
      </c>
      <c r="F4188" s="115">
        <v>0</v>
      </c>
      <c r="G4188" s="115">
        <v>0</v>
      </c>
      <c r="H4188" s="115">
        <v>0</v>
      </c>
      <c r="I4188" s="115">
        <v>0</v>
      </c>
      <c r="J4188" s="115">
        <v>0</v>
      </c>
      <c r="K4188" s="115">
        <v>0</v>
      </c>
    </row>
    <row r="4189" spans="2:11" x14ac:dyDescent="0.25">
      <c r="B4189" s="115" t="s">
        <v>1241</v>
      </c>
      <c r="D4189" s="115" t="s">
        <v>8710</v>
      </c>
      <c r="E4189" s="115" t="s">
        <v>1242</v>
      </c>
      <c r="F4189" s="115">
        <v>0</v>
      </c>
      <c r="G4189" s="115">
        <v>0</v>
      </c>
      <c r="H4189" s="115">
        <v>0</v>
      </c>
      <c r="I4189" s="115">
        <v>0</v>
      </c>
      <c r="J4189" s="115">
        <v>0</v>
      </c>
      <c r="K4189" s="115">
        <v>0</v>
      </c>
    </row>
    <row r="4190" spans="2:11" x14ac:dyDescent="0.25">
      <c r="B4190" s="115" t="s">
        <v>1241</v>
      </c>
      <c r="D4190" s="115" t="s">
        <v>8710</v>
      </c>
      <c r="E4190" s="115" t="s">
        <v>1242</v>
      </c>
      <c r="F4190" s="115">
        <v>0</v>
      </c>
      <c r="G4190" s="115">
        <v>0</v>
      </c>
      <c r="H4190" s="115">
        <v>0</v>
      </c>
      <c r="I4190" s="115">
        <v>0</v>
      </c>
      <c r="J4190" s="115">
        <v>0</v>
      </c>
      <c r="K4190" s="115">
        <v>0</v>
      </c>
    </row>
    <row r="4191" spans="2:11" x14ac:dyDescent="0.25">
      <c r="B4191" s="115" t="s">
        <v>1241</v>
      </c>
      <c r="D4191" s="115" t="s">
        <v>8710</v>
      </c>
      <c r="E4191" s="115" t="s">
        <v>1242</v>
      </c>
      <c r="F4191" s="115">
        <v>0</v>
      </c>
      <c r="G4191" s="115">
        <v>0</v>
      </c>
      <c r="H4191" s="115">
        <v>0</v>
      </c>
      <c r="I4191" s="115">
        <v>0</v>
      </c>
      <c r="J4191" s="115">
        <v>0</v>
      </c>
      <c r="K4191" s="115">
        <v>0</v>
      </c>
    </row>
    <row r="4192" spans="2:11" x14ac:dyDescent="0.25">
      <c r="B4192" s="115" t="s">
        <v>1241</v>
      </c>
      <c r="D4192" s="115" t="s">
        <v>8710</v>
      </c>
      <c r="E4192" s="115" t="s">
        <v>1242</v>
      </c>
      <c r="F4192" s="115">
        <v>0</v>
      </c>
      <c r="G4192" s="115">
        <v>0</v>
      </c>
      <c r="H4192" s="115">
        <v>0</v>
      </c>
      <c r="I4192" s="115">
        <v>0</v>
      </c>
      <c r="J4192" s="115">
        <v>0</v>
      </c>
      <c r="K4192" s="115">
        <v>0</v>
      </c>
    </row>
    <row r="4193" spans="2:11" x14ac:dyDescent="0.25">
      <c r="B4193" s="115" t="s">
        <v>1241</v>
      </c>
      <c r="D4193" s="115" t="s">
        <v>8710</v>
      </c>
      <c r="E4193" s="115" t="s">
        <v>1242</v>
      </c>
      <c r="F4193" s="115">
        <v>0</v>
      </c>
      <c r="G4193" s="115">
        <v>0</v>
      </c>
      <c r="H4193" s="115">
        <v>0</v>
      </c>
      <c r="I4193" s="115">
        <v>0</v>
      </c>
      <c r="J4193" s="115">
        <v>0</v>
      </c>
      <c r="K4193" s="115">
        <v>0</v>
      </c>
    </row>
    <row r="4194" spans="2:11" x14ac:dyDescent="0.25">
      <c r="B4194" s="115" t="s">
        <v>1241</v>
      </c>
      <c r="D4194" s="115" t="s">
        <v>8710</v>
      </c>
      <c r="E4194" s="115" t="s">
        <v>1242</v>
      </c>
      <c r="F4194" s="115">
        <v>0</v>
      </c>
      <c r="G4194" s="115">
        <v>0</v>
      </c>
      <c r="H4194" s="115">
        <v>0</v>
      </c>
      <c r="I4194" s="115">
        <v>0</v>
      </c>
      <c r="J4194" s="115">
        <v>0</v>
      </c>
      <c r="K4194" s="115">
        <v>0</v>
      </c>
    </row>
    <row r="4195" spans="2:11" x14ac:dyDescent="0.25">
      <c r="B4195" s="115" t="s">
        <v>1241</v>
      </c>
      <c r="D4195" s="115" t="s">
        <v>8710</v>
      </c>
      <c r="E4195" s="115" t="s">
        <v>1242</v>
      </c>
      <c r="F4195" s="115">
        <v>0</v>
      </c>
      <c r="G4195" s="115">
        <v>0</v>
      </c>
      <c r="H4195" s="115">
        <v>0</v>
      </c>
      <c r="I4195" s="115">
        <v>0</v>
      </c>
      <c r="J4195" s="115">
        <v>0</v>
      </c>
      <c r="K4195" s="115">
        <v>0</v>
      </c>
    </row>
    <row r="4196" spans="2:11" x14ac:dyDescent="0.25">
      <c r="B4196" s="115" t="s">
        <v>1241</v>
      </c>
      <c r="D4196" s="115" t="s">
        <v>8710</v>
      </c>
      <c r="E4196" s="115" t="s">
        <v>1242</v>
      </c>
      <c r="F4196" s="115">
        <v>0</v>
      </c>
      <c r="G4196" s="115">
        <v>0</v>
      </c>
      <c r="H4196" s="115">
        <v>0</v>
      </c>
      <c r="I4196" s="115">
        <v>0</v>
      </c>
      <c r="J4196" s="115">
        <v>0</v>
      </c>
      <c r="K4196" s="115">
        <v>0</v>
      </c>
    </row>
    <row r="4197" spans="2:11" x14ac:dyDescent="0.25">
      <c r="B4197" s="115" t="s">
        <v>1241</v>
      </c>
      <c r="D4197" s="115" t="s">
        <v>8710</v>
      </c>
      <c r="E4197" s="115" t="s">
        <v>1242</v>
      </c>
      <c r="F4197" s="115">
        <v>0</v>
      </c>
      <c r="G4197" s="115">
        <v>0</v>
      </c>
      <c r="H4197" s="115">
        <v>0</v>
      </c>
      <c r="I4197" s="115">
        <v>0</v>
      </c>
      <c r="J4197" s="115">
        <v>0</v>
      </c>
      <c r="K4197" s="115">
        <v>0</v>
      </c>
    </row>
    <row r="4198" spans="2:11" x14ac:dyDescent="0.25">
      <c r="B4198" s="115" t="s">
        <v>1241</v>
      </c>
      <c r="D4198" s="115" t="s">
        <v>8710</v>
      </c>
      <c r="E4198" s="115" t="s">
        <v>1242</v>
      </c>
      <c r="F4198" s="115">
        <v>0</v>
      </c>
      <c r="G4198" s="115">
        <v>0</v>
      </c>
      <c r="H4198" s="115">
        <v>0</v>
      </c>
      <c r="I4198" s="115">
        <v>0</v>
      </c>
      <c r="J4198" s="115">
        <v>0</v>
      </c>
      <c r="K4198" s="115">
        <v>0</v>
      </c>
    </row>
    <row r="4199" spans="2:11" x14ac:dyDescent="0.25">
      <c r="B4199" s="115" t="s">
        <v>1241</v>
      </c>
      <c r="D4199" s="115" t="s">
        <v>8710</v>
      </c>
      <c r="E4199" s="115" t="s">
        <v>1242</v>
      </c>
      <c r="F4199" s="115">
        <v>0</v>
      </c>
      <c r="G4199" s="115">
        <v>0</v>
      </c>
      <c r="H4199" s="115">
        <v>0</v>
      </c>
      <c r="I4199" s="115">
        <v>0</v>
      </c>
      <c r="J4199" s="115">
        <v>0</v>
      </c>
      <c r="K4199" s="115">
        <v>0</v>
      </c>
    </row>
    <row r="4200" spans="2:11" x14ac:dyDescent="0.25">
      <c r="B4200" s="115" t="s">
        <v>1241</v>
      </c>
      <c r="D4200" s="115" t="s">
        <v>8710</v>
      </c>
      <c r="E4200" s="115" t="s">
        <v>1242</v>
      </c>
      <c r="F4200" s="115">
        <v>0</v>
      </c>
      <c r="G4200" s="115">
        <v>0</v>
      </c>
      <c r="H4200" s="115">
        <v>0</v>
      </c>
      <c r="I4200" s="115">
        <v>0</v>
      </c>
      <c r="J4200" s="115">
        <v>0</v>
      </c>
      <c r="K4200" s="115">
        <v>0</v>
      </c>
    </row>
    <row r="4201" spans="2:11" x14ac:dyDescent="0.25">
      <c r="B4201" s="115" t="s">
        <v>1241</v>
      </c>
      <c r="D4201" s="115" t="s">
        <v>8710</v>
      </c>
      <c r="E4201" s="115" t="s">
        <v>1242</v>
      </c>
      <c r="F4201" s="115">
        <v>0</v>
      </c>
      <c r="G4201" s="115">
        <v>0</v>
      </c>
      <c r="H4201" s="115">
        <v>0</v>
      </c>
      <c r="I4201" s="115">
        <v>0</v>
      </c>
      <c r="J4201" s="115">
        <v>0</v>
      </c>
      <c r="K4201" s="115">
        <v>0</v>
      </c>
    </row>
    <row r="4202" spans="2:11" x14ac:dyDescent="0.25">
      <c r="B4202" s="115" t="s">
        <v>1241</v>
      </c>
      <c r="D4202" s="115" t="s">
        <v>8710</v>
      </c>
      <c r="E4202" s="115" t="s">
        <v>1242</v>
      </c>
      <c r="F4202" s="115">
        <v>0</v>
      </c>
      <c r="G4202" s="115">
        <v>0</v>
      </c>
      <c r="H4202" s="115">
        <v>0</v>
      </c>
      <c r="I4202" s="115">
        <v>0</v>
      </c>
      <c r="J4202" s="115">
        <v>0</v>
      </c>
      <c r="K4202" s="115">
        <v>0</v>
      </c>
    </row>
    <row r="4203" spans="2:11" x14ac:dyDescent="0.25">
      <c r="B4203" s="115" t="s">
        <v>1241</v>
      </c>
      <c r="D4203" s="115" t="s">
        <v>8710</v>
      </c>
      <c r="E4203" s="115" t="s">
        <v>1242</v>
      </c>
      <c r="F4203" s="115">
        <v>0</v>
      </c>
      <c r="G4203" s="115">
        <v>0</v>
      </c>
      <c r="H4203" s="115">
        <v>0</v>
      </c>
      <c r="I4203" s="115">
        <v>0</v>
      </c>
      <c r="J4203" s="115">
        <v>0</v>
      </c>
      <c r="K4203" s="115">
        <v>0</v>
      </c>
    </row>
    <row r="4204" spans="2:11" x14ac:dyDescent="0.25">
      <c r="B4204" s="115" t="s">
        <v>1241</v>
      </c>
      <c r="D4204" s="115" t="s">
        <v>8710</v>
      </c>
      <c r="E4204" s="115" t="s">
        <v>1242</v>
      </c>
      <c r="F4204" s="115">
        <v>0</v>
      </c>
      <c r="G4204" s="115">
        <v>0</v>
      </c>
      <c r="H4204" s="115">
        <v>0</v>
      </c>
      <c r="I4204" s="115">
        <v>0</v>
      </c>
      <c r="J4204" s="115">
        <v>0</v>
      </c>
      <c r="K4204" s="115">
        <v>0</v>
      </c>
    </row>
    <row r="4205" spans="2:11" x14ac:dyDescent="0.25">
      <c r="B4205" s="115" t="s">
        <v>1241</v>
      </c>
      <c r="D4205" s="115" t="s">
        <v>8710</v>
      </c>
      <c r="E4205" s="115" t="s">
        <v>1242</v>
      </c>
      <c r="F4205" s="115">
        <v>0</v>
      </c>
      <c r="G4205" s="115">
        <v>0</v>
      </c>
      <c r="H4205" s="115">
        <v>0</v>
      </c>
      <c r="I4205" s="115">
        <v>0</v>
      </c>
      <c r="J4205" s="115">
        <v>0</v>
      </c>
      <c r="K4205" s="115">
        <v>0</v>
      </c>
    </row>
    <row r="4206" spans="2:11" x14ac:dyDescent="0.25">
      <c r="B4206" s="115" t="s">
        <v>1241</v>
      </c>
      <c r="D4206" s="115" t="s">
        <v>8710</v>
      </c>
      <c r="E4206" s="115" t="s">
        <v>1242</v>
      </c>
      <c r="F4206" s="115">
        <v>0</v>
      </c>
      <c r="G4206" s="115">
        <v>0</v>
      </c>
      <c r="H4206" s="115">
        <v>0</v>
      </c>
      <c r="I4206" s="115">
        <v>0</v>
      </c>
      <c r="J4206" s="115">
        <v>0</v>
      </c>
      <c r="K4206" s="115">
        <v>0</v>
      </c>
    </row>
    <row r="4207" spans="2:11" x14ac:dyDescent="0.25">
      <c r="B4207" s="115" t="s">
        <v>1241</v>
      </c>
      <c r="D4207" s="115" t="s">
        <v>8710</v>
      </c>
      <c r="E4207" s="115" t="s">
        <v>1242</v>
      </c>
      <c r="F4207" s="115">
        <v>0</v>
      </c>
      <c r="G4207" s="115">
        <v>0</v>
      </c>
      <c r="H4207" s="115">
        <v>0</v>
      </c>
      <c r="I4207" s="115">
        <v>0</v>
      </c>
      <c r="J4207" s="115">
        <v>0</v>
      </c>
      <c r="K4207" s="115">
        <v>0</v>
      </c>
    </row>
    <row r="4208" spans="2:11" x14ac:dyDescent="0.25">
      <c r="B4208" s="115" t="s">
        <v>1241</v>
      </c>
      <c r="D4208" s="115" t="s">
        <v>8710</v>
      </c>
      <c r="E4208" s="115" t="s">
        <v>1242</v>
      </c>
      <c r="F4208" s="115">
        <v>0</v>
      </c>
      <c r="G4208" s="115">
        <v>0</v>
      </c>
      <c r="H4208" s="115">
        <v>0</v>
      </c>
      <c r="I4208" s="115">
        <v>0</v>
      </c>
      <c r="J4208" s="115">
        <v>0</v>
      </c>
      <c r="K4208" s="115">
        <v>0</v>
      </c>
    </row>
    <row r="4209" spans="2:11" x14ac:dyDescent="0.25">
      <c r="B4209" s="115" t="s">
        <v>1241</v>
      </c>
      <c r="D4209" s="115" t="s">
        <v>8710</v>
      </c>
      <c r="E4209" s="115" t="s">
        <v>1242</v>
      </c>
      <c r="F4209" s="115">
        <v>0</v>
      </c>
      <c r="G4209" s="115">
        <v>0</v>
      </c>
      <c r="H4209" s="115">
        <v>0</v>
      </c>
      <c r="I4209" s="115">
        <v>0</v>
      </c>
      <c r="J4209" s="115">
        <v>0</v>
      </c>
      <c r="K4209" s="115">
        <v>0</v>
      </c>
    </row>
    <row r="4210" spans="2:11" x14ac:dyDescent="0.25">
      <c r="B4210" s="115" t="s">
        <v>1241</v>
      </c>
      <c r="D4210" s="115" t="s">
        <v>8710</v>
      </c>
      <c r="E4210" s="115" t="s">
        <v>1242</v>
      </c>
      <c r="F4210" s="115">
        <v>0</v>
      </c>
      <c r="G4210" s="115">
        <v>0</v>
      </c>
      <c r="H4210" s="115">
        <v>0</v>
      </c>
      <c r="I4210" s="115">
        <v>0</v>
      </c>
      <c r="J4210" s="115">
        <v>0</v>
      </c>
      <c r="K4210" s="115">
        <v>0</v>
      </c>
    </row>
    <row r="4211" spans="2:11" x14ac:dyDescent="0.25">
      <c r="B4211" s="115" t="s">
        <v>1241</v>
      </c>
      <c r="D4211" s="115" t="s">
        <v>8710</v>
      </c>
      <c r="E4211" s="115" t="s">
        <v>1242</v>
      </c>
      <c r="F4211" s="115">
        <v>0</v>
      </c>
      <c r="G4211" s="115">
        <v>0</v>
      </c>
      <c r="H4211" s="115">
        <v>0</v>
      </c>
      <c r="I4211" s="115">
        <v>0</v>
      </c>
      <c r="J4211" s="115">
        <v>0</v>
      </c>
      <c r="K4211" s="115">
        <v>0</v>
      </c>
    </row>
    <row r="4212" spans="2:11" x14ac:dyDescent="0.25">
      <c r="B4212" s="115" t="s">
        <v>1241</v>
      </c>
      <c r="D4212" s="115" t="s">
        <v>8710</v>
      </c>
      <c r="E4212" s="115" t="s">
        <v>1242</v>
      </c>
      <c r="F4212" s="115">
        <v>0</v>
      </c>
      <c r="G4212" s="115">
        <v>0</v>
      </c>
      <c r="H4212" s="115">
        <v>0</v>
      </c>
      <c r="I4212" s="115">
        <v>0</v>
      </c>
      <c r="J4212" s="115">
        <v>0</v>
      </c>
      <c r="K4212" s="115">
        <v>0</v>
      </c>
    </row>
    <row r="4213" spans="2:11" x14ac:dyDescent="0.25">
      <c r="B4213" s="115" t="s">
        <v>1241</v>
      </c>
      <c r="D4213" s="115" t="s">
        <v>8710</v>
      </c>
      <c r="E4213" s="115" t="s">
        <v>1242</v>
      </c>
      <c r="F4213" s="115">
        <v>0</v>
      </c>
      <c r="G4213" s="115">
        <v>0</v>
      </c>
      <c r="H4213" s="115">
        <v>0</v>
      </c>
      <c r="I4213" s="115">
        <v>0</v>
      </c>
      <c r="J4213" s="115">
        <v>0</v>
      </c>
      <c r="K4213" s="115">
        <v>0</v>
      </c>
    </row>
    <row r="4214" spans="2:11" x14ac:dyDescent="0.25">
      <c r="B4214" s="115" t="s">
        <v>1241</v>
      </c>
      <c r="D4214" s="115" t="s">
        <v>8710</v>
      </c>
      <c r="E4214" s="115" t="s">
        <v>1242</v>
      </c>
      <c r="F4214" s="115">
        <v>0</v>
      </c>
      <c r="G4214" s="115">
        <v>0</v>
      </c>
      <c r="H4214" s="115">
        <v>0</v>
      </c>
      <c r="I4214" s="115">
        <v>0</v>
      </c>
      <c r="J4214" s="115">
        <v>0</v>
      </c>
      <c r="K4214" s="115">
        <v>0</v>
      </c>
    </row>
    <row r="4215" spans="2:11" x14ac:dyDescent="0.25">
      <c r="B4215" s="115" t="s">
        <v>1241</v>
      </c>
      <c r="D4215" s="115" t="s">
        <v>8710</v>
      </c>
      <c r="E4215" s="115" t="s">
        <v>1242</v>
      </c>
      <c r="F4215" s="115">
        <v>0</v>
      </c>
      <c r="G4215" s="115">
        <v>0</v>
      </c>
      <c r="H4215" s="115">
        <v>0</v>
      </c>
      <c r="I4215" s="115">
        <v>0</v>
      </c>
      <c r="J4215" s="115">
        <v>0</v>
      </c>
      <c r="K4215" s="115">
        <v>0</v>
      </c>
    </row>
    <row r="4216" spans="2:11" x14ac:dyDescent="0.25">
      <c r="B4216" s="115" t="s">
        <v>1241</v>
      </c>
      <c r="D4216" s="115" t="s">
        <v>8710</v>
      </c>
      <c r="E4216" s="115" t="s">
        <v>1242</v>
      </c>
      <c r="F4216" s="115">
        <v>0</v>
      </c>
      <c r="G4216" s="115">
        <v>0</v>
      </c>
      <c r="H4216" s="115">
        <v>0</v>
      </c>
      <c r="I4216" s="115">
        <v>0</v>
      </c>
      <c r="J4216" s="115">
        <v>0</v>
      </c>
      <c r="K4216" s="115">
        <v>0</v>
      </c>
    </row>
    <row r="4217" spans="2:11" x14ac:dyDescent="0.25">
      <c r="B4217" s="115" t="s">
        <v>1241</v>
      </c>
      <c r="D4217" s="115" t="s">
        <v>8710</v>
      </c>
      <c r="E4217" s="115" t="s">
        <v>1242</v>
      </c>
      <c r="F4217" s="115">
        <v>0</v>
      </c>
      <c r="G4217" s="115">
        <v>0</v>
      </c>
      <c r="H4217" s="115">
        <v>0</v>
      </c>
      <c r="I4217" s="115">
        <v>0</v>
      </c>
      <c r="J4217" s="115">
        <v>0</v>
      </c>
      <c r="K4217" s="115">
        <v>0</v>
      </c>
    </row>
    <row r="4218" spans="2:11" x14ac:dyDescent="0.25">
      <c r="B4218" s="115" t="s">
        <v>1241</v>
      </c>
      <c r="D4218" s="115" t="s">
        <v>8710</v>
      </c>
      <c r="E4218" s="115" t="s">
        <v>1242</v>
      </c>
      <c r="F4218" s="115">
        <v>0</v>
      </c>
      <c r="G4218" s="115">
        <v>0</v>
      </c>
      <c r="H4218" s="115">
        <v>0</v>
      </c>
      <c r="I4218" s="115">
        <v>0</v>
      </c>
      <c r="J4218" s="115">
        <v>0</v>
      </c>
      <c r="K4218" s="115">
        <v>0</v>
      </c>
    </row>
    <row r="4219" spans="2:11" x14ac:dyDescent="0.25">
      <c r="B4219" s="115" t="s">
        <v>1241</v>
      </c>
      <c r="D4219" s="115" t="s">
        <v>8710</v>
      </c>
      <c r="E4219" s="115" t="s">
        <v>1242</v>
      </c>
      <c r="F4219" s="115">
        <v>0</v>
      </c>
      <c r="G4219" s="115">
        <v>0</v>
      </c>
      <c r="H4219" s="115">
        <v>0</v>
      </c>
      <c r="I4219" s="115">
        <v>0</v>
      </c>
      <c r="J4219" s="115">
        <v>0</v>
      </c>
      <c r="K4219" s="115">
        <v>0</v>
      </c>
    </row>
    <row r="4220" spans="2:11" x14ac:dyDescent="0.25">
      <c r="B4220" s="115" t="s">
        <v>1241</v>
      </c>
      <c r="D4220" s="115" t="s">
        <v>8710</v>
      </c>
      <c r="E4220" s="115" t="s">
        <v>1242</v>
      </c>
      <c r="F4220" s="115">
        <v>0</v>
      </c>
      <c r="G4220" s="115">
        <v>0</v>
      </c>
      <c r="H4220" s="115">
        <v>0</v>
      </c>
      <c r="I4220" s="115">
        <v>0</v>
      </c>
      <c r="J4220" s="115">
        <v>0</v>
      </c>
      <c r="K4220" s="115">
        <v>0</v>
      </c>
    </row>
    <row r="4221" spans="2:11" x14ac:dyDescent="0.25">
      <c r="B4221" s="115" t="s">
        <v>1241</v>
      </c>
      <c r="D4221" s="115" t="s">
        <v>8710</v>
      </c>
      <c r="E4221" s="115" t="s">
        <v>1242</v>
      </c>
      <c r="F4221" s="115">
        <v>0</v>
      </c>
      <c r="G4221" s="115">
        <v>0</v>
      </c>
      <c r="H4221" s="115">
        <v>0</v>
      </c>
      <c r="I4221" s="115">
        <v>0</v>
      </c>
      <c r="J4221" s="115">
        <v>0</v>
      </c>
      <c r="K4221" s="115">
        <v>0</v>
      </c>
    </row>
    <row r="4222" spans="2:11" x14ac:dyDescent="0.25">
      <c r="B4222" s="115" t="s">
        <v>1241</v>
      </c>
      <c r="D4222" s="115" t="s">
        <v>8710</v>
      </c>
      <c r="E4222" s="115" t="s">
        <v>1242</v>
      </c>
      <c r="F4222" s="115">
        <v>0</v>
      </c>
      <c r="G4222" s="115">
        <v>0</v>
      </c>
      <c r="H4222" s="115">
        <v>0</v>
      </c>
      <c r="I4222" s="115">
        <v>0</v>
      </c>
      <c r="J4222" s="115">
        <v>0</v>
      </c>
      <c r="K4222" s="115">
        <v>0</v>
      </c>
    </row>
    <row r="4223" spans="2:11" x14ac:dyDescent="0.25">
      <c r="B4223" s="115" t="s">
        <v>1241</v>
      </c>
      <c r="D4223" s="115" t="s">
        <v>8710</v>
      </c>
      <c r="E4223" s="115" t="s">
        <v>1242</v>
      </c>
      <c r="F4223" s="115">
        <v>0</v>
      </c>
      <c r="G4223" s="115">
        <v>0</v>
      </c>
      <c r="H4223" s="115">
        <v>0</v>
      </c>
      <c r="I4223" s="115">
        <v>0</v>
      </c>
      <c r="J4223" s="115">
        <v>0</v>
      </c>
      <c r="K4223" s="115">
        <v>0</v>
      </c>
    </row>
    <row r="4224" spans="2:11" x14ac:dyDescent="0.25">
      <c r="B4224" s="115" t="s">
        <v>1241</v>
      </c>
      <c r="D4224" s="115" t="s">
        <v>8710</v>
      </c>
      <c r="E4224" s="115" t="s">
        <v>1242</v>
      </c>
      <c r="F4224" s="115">
        <v>0</v>
      </c>
      <c r="G4224" s="115">
        <v>0</v>
      </c>
      <c r="H4224" s="115">
        <v>0</v>
      </c>
      <c r="I4224" s="115">
        <v>0</v>
      </c>
      <c r="J4224" s="115">
        <v>0</v>
      </c>
      <c r="K4224" s="115">
        <v>0</v>
      </c>
    </row>
    <row r="4225" spans="2:11" x14ac:dyDescent="0.25">
      <c r="B4225" s="115" t="s">
        <v>1241</v>
      </c>
      <c r="D4225" s="115" t="s">
        <v>8710</v>
      </c>
      <c r="E4225" s="115" t="s">
        <v>1242</v>
      </c>
      <c r="F4225" s="115">
        <v>0</v>
      </c>
      <c r="G4225" s="115">
        <v>0</v>
      </c>
      <c r="H4225" s="115">
        <v>0</v>
      </c>
      <c r="I4225" s="115">
        <v>0</v>
      </c>
      <c r="J4225" s="115">
        <v>0</v>
      </c>
      <c r="K4225" s="115">
        <v>0</v>
      </c>
    </row>
    <row r="4226" spans="2:11" x14ac:dyDescent="0.25">
      <c r="B4226" s="115" t="s">
        <v>1241</v>
      </c>
      <c r="D4226" s="115" t="s">
        <v>8710</v>
      </c>
      <c r="E4226" s="115" t="s">
        <v>1242</v>
      </c>
      <c r="F4226" s="115">
        <v>0</v>
      </c>
      <c r="G4226" s="115">
        <v>0</v>
      </c>
      <c r="H4226" s="115">
        <v>0</v>
      </c>
      <c r="I4226" s="115">
        <v>0</v>
      </c>
      <c r="J4226" s="115">
        <v>0</v>
      </c>
      <c r="K4226" s="115">
        <v>0</v>
      </c>
    </row>
    <row r="4227" spans="2:11" x14ac:dyDescent="0.25">
      <c r="B4227" s="115" t="s">
        <v>1241</v>
      </c>
      <c r="D4227" s="115" t="s">
        <v>8710</v>
      </c>
      <c r="E4227" s="115" t="s">
        <v>1242</v>
      </c>
      <c r="F4227" s="115">
        <v>0</v>
      </c>
      <c r="G4227" s="115">
        <v>0</v>
      </c>
      <c r="H4227" s="115">
        <v>0</v>
      </c>
      <c r="I4227" s="115">
        <v>0</v>
      </c>
      <c r="J4227" s="115">
        <v>0</v>
      </c>
      <c r="K4227" s="115">
        <v>0</v>
      </c>
    </row>
    <row r="4228" spans="2:11" x14ac:dyDescent="0.25">
      <c r="B4228" s="115" t="s">
        <v>1241</v>
      </c>
      <c r="D4228" s="115" t="s">
        <v>8710</v>
      </c>
      <c r="E4228" s="115" t="s">
        <v>1242</v>
      </c>
      <c r="F4228" s="115">
        <v>0</v>
      </c>
      <c r="G4228" s="115">
        <v>0</v>
      </c>
      <c r="H4228" s="115">
        <v>0</v>
      </c>
      <c r="I4228" s="115">
        <v>0</v>
      </c>
      <c r="J4228" s="115">
        <v>0</v>
      </c>
      <c r="K4228" s="115">
        <v>0</v>
      </c>
    </row>
    <row r="4229" spans="2:11" x14ac:dyDescent="0.25">
      <c r="B4229" s="115" t="s">
        <v>1241</v>
      </c>
      <c r="D4229" s="115" t="s">
        <v>8710</v>
      </c>
      <c r="E4229" s="115" t="s">
        <v>1242</v>
      </c>
      <c r="F4229" s="115">
        <v>0</v>
      </c>
      <c r="G4229" s="115">
        <v>0</v>
      </c>
      <c r="H4229" s="115">
        <v>0</v>
      </c>
      <c r="I4229" s="115">
        <v>0</v>
      </c>
      <c r="J4229" s="115">
        <v>0</v>
      </c>
      <c r="K4229" s="115">
        <v>0</v>
      </c>
    </row>
    <row r="4230" spans="2:11" x14ac:dyDescent="0.25">
      <c r="B4230" s="115" t="s">
        <v>1241</v>
      </c>
      <c r="D4230" s="115" t="s">
        <v>8710</v>
      </c>
      <c r="E4230" s="115" t="s">
        <v>1242</v>
      </c>
      <c r="F4230" s="115">
        <v>0</v>
      </c>
      <c r="G4230" s="115">
        <v>0</v>
      </c>
      <c r="H4230" s="115">
        <v>0</v>
      </c>
      <c r="I4230" s="115">
        <v>0</v>
      </c>
      <c r="J4230" s="115">
        <v>0</v>
      </c>
      <c r="K4230" s="115">
        <v>0</v>
      </c>
    </row>
    <row r="4231" spans="2:11" x14ac:dyDescent="0.25">
      <c r="B4231" s="115" t="s">
        <v>1241</v>
      </c>
      <c r="D4231" s="115" t="s">
        <v>8710</v>
      </c>
      <c r="E4231" s="115" t="s">
        <v>1242</v>
      </c>
      <c r="F4231" s="115">
        <v>0</v>
      </c>
      <c r="G4231" s="115">
        <v>0</v>
      </c>
      <c r="H4231" s="115">
        <v>0</v>
      </c>
      <c r="I4231" s="115">
        <v>0</v>
      </c>
      <c r="J4231" s="115">
        <v>0</v>
      </c>
      <c r="K4231" s="115">
        <v>0</v>
      </c>
    </row>
    <row r="4232" spans="2:11" x14ac:dyDescent="0.25">
      <c r="B4232" s="115" t="s">
        <v>1241</v>
      </c>
      <c r="D4232" s="115" t="s">
        <v>8710</v>
      </c>
      <c r="E4232" s="115" t="s">
        <v>1242</v>
      </c>
      <c r="F4232" s="115">
        <v>0</v>
      </c>
      <c r="G4232" s="115">
        <v>0</v>
      </c>
      <c r="H4232" s="115">
        <v>0</v>
      </c>
      <c r="I4232" s="115">
        <v>0</v>
      </c>
      <c r="J4232" s="115">
        <v>0</v>
      </c>
      <c r="K4232" s="115">
        <v>0</v>
      </c>
    </row>
    <row r="4233" spans="2:11" x14ac:dyDescent="0.25">
      <c r="B4233" s="115" t="s">
        <v>1241</v>
      </c>
      <c r="D4233" s="115" t="s">
        <v>8710</v>
      </c>
      <c r="E4233" s="115" t="s">
        <v>1242</v>
      </c>
      <c r="F4233" s="115">
        <v>0</v>
      </c>
      <c r="G4233" s="115">
        <v>0</v>
      </c>
      <c r="H4233" s="115">
        <v>0</v>
      </c>
      <c r="I4233" s="115">
        <v>0</v>
      </c>
      <c r="J4233" s="115">
        <v>0</v>
      </c>
      <c r="K4233" s="115">
        <v>0</v>
      </c>
    </row>
    <row r="4234" spans="2:11" x14ac:dyDescent="0.25">
      <c r="B4234" s="115" t="s">
        <v>1241</v>
      </c>
      <c r="D4234" s="115" t="s">
        <v>8710</v>
      </c>
      <c r="E4234" s="115" t="s">
        <v>1242</v>
      </c>
      <c r="F4234" s="115">
        <v>0</v>
      </c>
      <c r="G4234" s="115">
        <v>0</v>
      </c>
      <c r="H4234" s="115">
        <v>0</v>
      </c>
      <c r="I4234" s="115">
        <v>0</v>
      </c>
      <c r="J4234" s="115">
        <v>0</v>
      </c>
      <c r="K4234" s="115">
        <v>0</v>
      </c>
    </row>
    <row r="4235" spans="2:11" x14ac:dyDescent="0.25">
      <c r="B4235" s="115" t="s">
        <v>1241</v>
      </c>
      <c r="D4235" s="115" t="s">
        <v>8710</v>
      </c>
      <c r="E4235" s="115" t="s">
        <v>1242</v>
      </c>
      <c r="F4235" s="115">
        <v>0</v>
      </c>
      <c r="G4235" s="115">
        <v>0</v>
      </c>
      <c r="H4235" s="115">
        <v>0</v>
      </c>
      <c r="I4235" s="115">
        <v>0</v>
      </c>
      <c r="J4235" s="115">
        <v>0</v>
      </c>
      <c r="K4235" s="115">
        <v>0</v>
      </c>
    </row>
    <row r="4236" spans="2:11" x14ac:dyDescent="0.25">
      <c r="B4236" s="115" t="s">
        <v>1241</v>
      </c>
      <c r="D4236" s="115" t="s">
        <v>8710</v>
      </c>
      <c r="E4236" s="115" t="s">
        <v>1242</v>
      </c>
      <c r="F4236" s="115">
        <v>0</v>
      </c>
      <c r="G4236" s="115">
        <v>0</v>
      </c>
      <c r="H4236" s="115">
        <v>0</v>
      </c>
      <c r="I4236" s="115">
        <v>0</v>
      </c>
      <c r="J4236" s="115">
        <v>0</v>
      </c>
      <c r="K4236" s="115">
        <v>0</v>
      </c>
    </row>
    <row r="4237" spans="2:11" x14ac:dyDescent="0.25">
      <c r="B4237" s="115" t="s">
        <v>1241</v>
      </c>
      <c r="D4237" s="115" t="s">
        <v>8710</v>
      </c>
      <c r="E4237" s="115" t="s">
        <v>1242</v>
      </c>
      <c r="F4237" s="115">
        <v>0</v>
      </c>
      <c r="G4237" s="115">
        <v>0</v>
      </c>
      <c r="H4237" s="115">
        <v>0</v>
      </c>
      <c r="I4237" s="115">
        <v>0</v>
      </c>
      <c r="J4237" s="115">
        <v>0</v>
      </c>
      <c r="K4237" s="115">
        <v>0</v>
      </c>
    </row>
    <row r="4238" spans="2:11" x14ac:dyDescent="0.25">
      <c r="B4238" s="115" t="s">
        <v>1241</v>
      </c>
      <c r="D4238" s="115" t="s">
        <v>8710</v>
      </c>
      <c r="E4238" s="115" t="s">
        <v>1242</v>
      </c>
      <c r="F4238" s="115">
        <v>0</v>
      </c>
      <c r="G4238" s="115">
        <v>0</v>
      </c>
      <c r="H4238" s="115">
        <v>0</v>
      </c>
      <c r="I4238" s="115">
        <v>0</v>
      </c>
      <c r="J4238" s="115">
        <v>0</v>
      </c>
      <c r="K4238" s="115">
        <v>0</v>
      </c>
    </row>
    <row r="4239" spans="2:11" x14ac:dyDescent="0.25">
      <c r="B4239" s="115" t="s">
        <v>1241</v>
      </c>
      <c r="D4239" s="115" t="s">
        <v>8710</v>
      </c>
      <c r="E4239" s="115" t="s">
        <v>1242</v>
      </c>
      <c r="F4239" s="115">
        <v>0</v>
      </c>
      <c r="G4239" s="115">
        <v>0</v>
      </c>
      <c r="H4239" s="115">
        <v>0</v>
      </c>
      <c r="I4239" s="115">
        <v>0</v>
      </c>
      <c r="J4239" s="115">
        <v>0</v>
      </c>
      <c r="K4239" s="115">
        <v>0</v>
      </c>
    </row>
    <row r="4240" spans="2:11" x14ac:dyDescent="0.25">
      <c r="B4240" s="115" t="s">
        <v>1241</v>
      </c>
      <c r="D4240" s="115" t="s">
        <v>8710</v>
      </c>
      <c r="E4240" s="115" t="s">
        <v>1242</v>
      </c>
      <c r="F4240" s="115">
        <v>0</v>
      </c>
      <c r="G4240" s="115">
        <v>0</v>
      </c>
      <c r="H4240" s="115">
        <v>0</v>
      </c>
      <c r="I4240" s="115">
        <v>0</v>
      </c>
      <c r="J4240" s="115">
        <v>0</v>
      </c>
      <c r="K4240" s="115">
        <v>0</v>
      </c>
    </row>
    <row r="4241" spans="2:11" x14ac:dyDescent="0.25">
      <c r="B4241" s="115" t="s">
        <v>1241</v>
      </c>
      <c r="D4241" s="115" t="s">
        <v>8710</v>
      </c>
      <c r="E4241" s="115" t="s">
        <v>1242</v>
      </c>
      <c r="F4241" s="115">
        <v>0</v>
      </c>
      <c r="G4241" s="115">
        <v>0</v>
      </c>
      <c r="H4241" s="115">
        <v>0</v>
      </c>
      <c r="I4241" s="115">
        <v>0</v>
      </c>
      <c r="J4241" s="115">
        <v>0</v>
      </c>
      <c r="K4241" s="115">
        <v>0</v>
      </c>
    </row>
    <row r="4242" spans="2:11" x14ac:dyDescent="0.25">
      <c r="B4242" s="115" t="s">
        <v>1241</v>
      </c>
      <c r="D4242" s="115" t="s">
        <v>8710</v>
      </c>
      <c r="E4242" s="115" t="s">
        <v>1242</v>
      </c>
      <c r="F4242" s="115">
        <v>0</v>
      </c>
      <c r="G4242" s="115">
        <v>0</v>
      </c>
      <c r="H4242" s="115">
        <v>0</v>
      </c>
      <c r="I4242" s="115">
        <v>0</v>
      </c>
      <c r="J4242" s="115">
        <v>0</v>
      </c>
      <c r="K4242" s="115">
        <v>0</v>
      </c>
    </row>
    <row r="4243" spans="2:11" x14ac:dyDescent="0.25">
      <c r="B4243" s="115" t="s">
        <v>1241</v>
      </c>
      <c r="D4243" s="115" t="s">
        <v>8710</v>
      </c>
      <c r="E4243" s="115" t="s">
        <v>1242</v>
      </c>
      <c r="F4243" s="115">
        <v>0</v>
      </c>
      <c r="G4243" s="115">
        <v>0</v>
      </c>
      <c r="H4243" s="115">
        <v>0</v>
      </c>
      <c r="I4243" s="115">
        <v>0</v>
      </c>
      <c r="J4243" s="115">
        <v>0</v>
      </c>
      <c r="K4243" s="115">
        <v>0</v>
      </c>
    </row>
    <row r="4244" spans="2:11" x14ac:dyDescent="0.25">
      <c r="B4244" s="115" t="s">
        <v>1241</v>
      </c>
      <c r="D4244" s="115" t="s">
        <v>8710</v>
      </c>
      <c r="E4244" s="115" t="s">
        <v>1242</v>
      </c>
      <c r="F4244" s="115">
        <v>0</v>
      </c>
      <c r="G4244" s="115">
        <v>0</v>
      </c>
      <c r="H4244" s="115">
        <v>0</v>
      </c>
      <c r="I4244" s="115">
        <v>0</v>
      </c>
      <c r="J4244" s="115">
        <v>0</v>
      </c>
      <c r="K4244" s="115">
        <v>0</v>
      </c>
    </row>
    <row r="4245" spans="2:11" x14ac:dyDescent="0.25">
      <c r="B4245" s="115" t="s">
        <v>1241</v>
      </c>
      <c r="D4245" s="115" t="s">
        <v>8710</v>
      </c>
      <c r="E4245" s="115" t="s">
        <v>1242</v>
      </c>
      <c r="F4245" s="115">
        <v>0</v>
      </c>
      <c r="G4245" s="115">
        <v>0</v>
      </c>
      <c r="H4245" s="115">
        <v>0</v>
      </c>
      <c r="I4245" s="115">
        <v>0</v>
      </c>
      <c r="J4245" s="115">
        <v>0</v>
      </c>
      <c r="K4245" s="115">
        <v>0</v>
      </c>
    </row>
    <row r="4246" spans="2:11" x14ac:dyDescent="0.25">
      <c r="B4246" s="115" t="s">
        <v>1241</v>
      </c>
      <c r="D4246" s="115" t="s">
        <v>8710</v>
      </c>
      <c r="E4246" s="115" t="s">
        <v>1242</v>
      </c>
      <c r="F4246" s="115">
        <v>0</v>
      </c>
      <c r="G4246" s="115">
        <v>0</v>
      </c>
      <c r="H4246" s="115">
        <v>0</v>
      </c>
      <c r="I4246" s="115">
        <v>0</v>
      </c>
      <c r="J4246" s="115">
        <v>0</v>
      </c>
      <c r="K4246" s="115">
        <v>0</v>
      </c>
    </row>
    <row r="4247" spans="2:11" x14ac:dyDescent="0.25">
      <c r="B4247" s="115" t="s">
        <v>1241</v>
      </c>
      <c r="D4247" s="115" t="s">
        <v>8710</v>
      </c>
      <c r="E4247" s="115" t="s">
        <v>1242</v>
      </c>
      <c r="F4247" s="115">
        <v>0</v>
      </c>
      <c r="G4247" s="115">
        <v>0</v>
      </c>
      <c r="H4247" s="115">
        <v>0</v>
      </c>
      <c r="I4247" s="115">
        <v>0</v>
      </c>
      <c r="J4247" s="115">
        <v>0</v>
      </c>
      <c r="K4247" s="115">
        <v>0</v>
      </c>
    </row>
    <row r="4248" spans="2:11" x14ac:dyDescent="0.25">
      <c r="B4248" s="115" t="s">
        <v>1241</v>
      </c>
      <c r="D4248" s="115" t="s">
        <v>8710</v>
      </c>
      <c r="E4248" s="115" t="s">
        <v>1242</v>
      </c>
      <c r="F4248" s="115">
        <v>0</v>
      </c>
      <c r="G4248" s="115">
        <v>0</v>
      </c>
      <c r="H4248" s="115">
        <v>0</v>
      </c>
      <c r="I4248" s="115">
        <v>0</v>
      </c>
      <c r="J4248" s="115">
        <v>0</v>
      </c>
      <c r="K4248" s="115">
        <v>0</v>
      </c>
    </row>
    <row r="4249" spans="2:11" x14ac:dyDescent="0.25">
      <c r="B4249" s="115" t="s">
        <v>1241</v>
      </c>
      <c r="D4249" s="115" t="s">
        <v>8710</v>
      </c>
      <c r="E4249" s="115" t="s">
        <v>1242</v>
      </c>
      <c r="F4249" s="115">
        <v>0</v>
      </c>
      <c r="G4249" s="115">
        <v>0</v>
      </c>
      <c r="H4249" s="115">
        <v>0</v>
      </c>
      <c r="I4249" s="115">
        <v>0</v>
      </c>
      <c r="J4249" s="115">
        <v>0</v>
      </c>
      <c r="K4249" s="115">
        <v>0</v>
      </c>
    </row>
    <row r="4250" spans="2:11" x14ac:dyDescent="0.25">
      <c r="B4250" s="115" t="s">
        <v>1241</v>
      </c>
      <c r="D4250" s="115" t="s">
        <v>8710</v>
      </c>
      <c r="E4250" s="115" t="s">
        <v>1242</v>
      </c>
      <c r="F4250" s="115">
        <v>0</v>
      </c>
      <c r="G4250" s="115">
        <v>0</v>
      </c>
      <c r="H4250" s="115">
        <v>0</v>
      </c>
      <c r="I4250" s="115">
        <v>0</v>
      </c>
      <c r="J4250" s="115">
        <v>0</v>
      </c>
      <c r="K4250" s="115">
        <v>0</v>
      </c>
    </row>
    <row r="4251" spans="2:11" x14ac:dyDescent="0.25">
      <c r="B4251" s="115" t="s">
        <v>1241</v>
      </c>
      <c r="D4251" s="115" t="s">
        <v>8710</v>
      </c>
      <c r="E4251" s="115" t="s">
        <v>1242</v>
      </c>
      <c r="F4251" s="115">
        <v>0</v>
      </c>
      <c r="G4251" s="115">
        <v>0</v>
      </c>
      <c r="H4251" s="115">
        <v>0</v>
      </c>
      <c r="I4251" s="115">
        <v>0</v>
      </c>
      <c r="J4251" s="115">
        <v>0</v>
      </c>
      <c r="K4251" s="115">
        <v>0</v>
      </c>
    </row>
    <row r="4252" spans="2:11" x14ac:dyDescent="0.25">
      <c r="B4252" s="115" t="s">
        <v>1241</v>
      </c>
      <c r="D4252" s="115" t="s">
        <v>8710</v>
      </c>
      <c r="E4252" s="115" t="s">
        <v>1242</v>
      </c>
      <c r="F4252" s="115">
        <v>0</v>
      </c>
      <c r="G4252" s="115">
        <v>0</v>
      </c>
      <c r="H4252" s="115">
        <v>0</v>
      </c>
      <c r="I4252" s="115">
        <v>0</v>
      </c>
      <c r="J4252" s="115">
        <v>0</v>
      </c>
      <c r="K4252" s="115">
        <v>0</v>
      </c>
    </row>
    <row r="4253" spans="2:11" x14ac:dyDescent="0.25">
      <c r="B4253" s="115" t="s">
        <v>1241</v>
      </c>
      <c r="D4253" s="115" t="s">
        <v>8710</v>
      </c>
      <c r="E4253" s="115" t="s">
        <v>1242</v>
      </c>
      <c r="F4253" s="115">
        <v>0</v>
      </c>
      <c r="G4253" s="115">
        <v>0</v>
      </c>
      <c r="H4253" s="115">
        <v>0</v>
      </c>
      <c r="I4253" s="115">
        <v>0</v>
      </c>
      <c r="J4253" s="115">
        <v>0</v>
      </c>
      <c r="K4253" s="115">
        <v>0</v>
      </c>
    </row>
    <row r="4254" spans="2:11" x14ac:dyDescent="0.25">
      <c r="B4254" s="115" t="s">
        <v>1241</v>
      </c>
      <c r="D4254" s="115" t="s">
        <v>8710</v>
      </c>
      <c r="E4254" s="115" t="s">
        <v>1242</v>
      </c>
      <c r="F4254" s="115">
        <v>0</v>
      </c>
      <c r="G4254" s="115">
        <v>0</v>
      </c>
      <c r="H4254" s="115">
        <v>0</v>
      </c>
      <c r="I4254" s="115">
        <v>0</v>
      </c>
      <c r="J4254" s="115">
        <v>0</v>
      </c>
      <c r="K4254" s="115">
        <v>0</v>
      </c>
    </row>
    <row r="4255" spans="2:11" x14ac:dyDescent="0.25">
      <c r="B4255" s="115" t="s">
        <v>1241</v>
      </c>
      <c r="D4255" s="115" t="s">
        <v>8710</v>
      </c>
      <c r="E4255" s="115" t="s">
        <v>1242</v>
      </c>
      <c r="F4255" s="115">
        <v>0</v>
      </c>
      <c r="G4255" s="115">
        <v>0</v>
      </c>
      <c r="H4255" s="115">
        <v>0</v>
      </c>
      <c r="I4255" s="115">
        <v>0</v>
      </c>
      <c r="J4255" s="115">
        <v>0</v>
      </c>
      <c r="K4255" s="115">
        <v>0</v>
      </c>
    </row>
    <row r="4256" spans="2:11" x14ac:dyDescent="0.25">
      <c r="B4256" s="115" t="s">
        <v>1241</v>
      </c>
      <c r="D4256" s="115" t="s">
        <v>8710</v>
      </c>
      <c r="E4256" s="115" t="s">
        <v>1242</v>
      </c>
      <c r="F4256" s="115">
        <v>0</v>
      </c>
      <c r="G4256" s="115">
        <v>0</v>
      </c>
      <c r="H4256" s="115">
        <v>0</v>
      </c>
      <c r="I4256" s="115">
        <v>0</v>
      </c>
      <c r="J4256" s="115">
        <v>0</v>
      </c>
      <c r="K4256" s="115">
        <v>0</v>
      </c>
    </row>
    <row r="4257" spans="2:11" x14ac:dyDescent="0.25">
      <c r="B4257" s="115" t="s">
        <v>1241</v>
      </c>
      <c r="D4257" s="115" t="s">
        <v>8710</v>
      </c>
      <c r="E4257" s="115" t="s">
        <v>1242</v>
      </c>
      <c r="F4257" s="115">
        <v>0</v>
      </c>
      <c r="G4257" s="115">
        <v>0</v>
      </c>
      <c r="H4257" s="115">
        <v>0</v>
      </c>
      <c r="I4257" s="115">
        <v>0</v>
      </c>
      <c r="J4257" s="115">
        <v>0</v>
      </c>
      <c r="K4257" s="115">
        <v>0</v>
      </c>
    </row>
    <row r="4258" spans="2:11" x14ac:dyDescent="0.25">
      <c r="B4258" s="115" t="s">
        <v>1241</v>
      </c>
      <c r="D4258" s="115" t="s">
        <v>8710</v>
      </c>
      <c r="E4258" s="115" t="s">
        <v>1242</v>
      </c>
      <c r="F4258" s="115">
        <v>0</v>
      </c>
      <c r="G4258" s="115">
        <v>0</v>
      </c>
      <c r="H4258" s="115">
        <v>0</v>
      </c>
      <c r="I4258" s="115">
        <v>0</v>
      </c>
      <c r="J4258" s="115">
        <v>0</v>
      </c>
      <c r="K4258" s="115">
        <v>0</v>
      </c>
    </row>
    <row r="4259" spans="2:11" x14ac:dyDescent="0.25">
      <c r="B4259" s="115" t="s">
        <v>1241</v>
      </c>
      <c r="D4259" s="115" t="s">
        <v>8710</v>
      </c>
      <c r="E4259" s="115" t="s">
        <v>1242</v>
      </c>
      <c r="F4259" s="115">
        <v>0</v>
      </c>
      <c r="G4259" s="115">
        <v>0</v>
      </c>
      <c r="H4259" s="115">
        <v>0</v>
      </c>
      <c r="I4259" s="115">
        <v>0</v>
      </c>
      <c r="J4259" s="115">
        <v>0</v>
      </c>
      <c r="K4259" s="115">
        <v>0</v>
      </c>
    </row>
    <row r="4260" spans="2:11" x14ac:dyDescent="0.25">
      <c r="B4260" s="115" t="s">
        <v>1241</v>
      </c>
      <c r="D4260" s="115" t="s">
        <v>8710</v>
      </c>
      <c r="E4260" s="115" t="s">
        <v>1242</v>
      </c>
      <c r="F4260" s="115">
        <v>0</v>
      </c>
      <c r="G4260" s="115">
        <v>0</v>
      </c>
      <c r="H4260" s="115">
        <v>0</v>
      </c>
      <c r="I4260" s="115">
        <v>0</v>
      </c>
      <c r="J4260" s="115">
        <v>0</v>
      </c>
      <c r="K4260" s="115">
        <v>0</v>
      </c>
    </row>
    <row r="4261" spans="2:11" x14ac:dyDescent="0.25">
      <c r="B4261" s="115" t="s">
        <v>1241</v>
      </c>
      <c r="D4261" s="115" t="s">
        <v>8710</v>
      </c>
      <c r="E4261" s="115" t="s">
        <v>1242</v>
      </c>
      <c r="F4261" s="115">
        <v>0</v>
      </c>
      <c r="G4261" s="115">
        <v>0</v>
      </c>
      <c r="H4261" s="115">
        <v>0</v>
      </c>
      <c r="I4261" s="115">
        <v>0</v>
      </c>
      <c r="J4261" s="115">
        <v>0</v>
      </c>
      <c r="K4261" s="115">
        <v>0</v>
      </c>
    </row>
    <row r="4262" spans="2:11" x14ac:dyDescent="0.25">
      <c r="B4262" s="115" t="s">
        <v>1241</v>
      </c>
      <c r="D4262" s="115" t="s">
        <v>8710</v>
      </c>
      <c r="E4262" s="115" t="s">
        <v>1242</v>
      </c>
      <c r="F4262" s="115">
        <v>0</v>
      </c>
      <c r="G4262" s="115">
        <v>0</v>
      </c>
      <c r="H4262" s="115">
        <v>0</v>
      </c>
      <c r="I4262" s="115">
        <v>0</v>
      </c>
      <c r="J4262" s="115">
        <v>0</v>
      </c>
      <c r="K4262" s="115">
        <v>0</v>
      </c>
    </row>
    <row r="4263" spans="2:11" x14ac:dyDescent="0.25">
      <c r="B4263" s="115" t="s">
        <v>1241</v>
      </c>
      <c r="D4263" s="115" t="s">
        <v>8710</v>
      </c>
      <c r="E4263" s="115" t="s">
        <v>1242</v>
      </c>
      <c r="F4263" s="115">
        <v>0</v>
      </c>
      <c r="G4263" s="115">
        <v>0</v>
      </c>
      <c r="H4263" s="115">
        <v>0</v>
      </c>
      <c r="I4263" s="115">
        <v>0</v>
      </c>
      <c r="J4263" s="115">
        <v>0</v>
      </c>
      <c r="K4263" s="115">
        <v>0</v>
      </c>
    </row>
    <row r="4264" spans="2:11" x14ac:dyDescent="0.25">
      <c r="B4264" s="115" t="s">
        <v>1241</v>
      </c>
      <c r="D4264" s="115" t="s">
        <v>8710</v>
      </c>
      <c r="E4264" s="115" t="s">
        <v>1242</v>
      </c>
      <c r="F4264" s="115">
        <v>0</v>
      </c>
      <c r="G4264" s="115">
        <v>0</v>
      </c>
      <c r="H4264" s="115">
        <v>0</v>
      </c>
      <c r="I4264" s="115">
        <v>0</v>
      </c>
      <c r="J4264" s="115">
        <v>0</v>
      </c>
      <c r="K4264" s="115">
        <v>0</v>
      </c>
    </row>
    <row r="4265" spans="2:11" x14ac:dyDescent="0.25">
      <c r="B4265" s="115" t="s">
        <v>1241</v>
      </c>
      <c r="D4265" s="115" t="s">
        <v>8710</v>
      </c>
      <c r="E4265" s="115" t="s">
        <v>1242</v>
      </c>
      <c r="F4265" s="115">
        <v>0</v>
      </c>
      <c r="G4265" s="115">
        <v>0</v>
      </c>
      <c r="H4265" s="115">
        <v>0</v>
      </c>
      <c r="I4265" s="115">
        <v>0</v>
      </c>
      <c r="J4265" s="115">
        <v>0</v>
      </c>
      <c r="K4265" s="115">
        <v>0</v>
      </c>
    </row>
    <row r="4266" spans="2:11" x14ac:dyDescent="0.25">
      <c r="B4266" s="115" t="s">
        <v>1241</v>
      </c>
      <c r="D4266" s="115" t="s">
        <v>8710</v>
      </c>
      <c r="E4266" s="115" t="s">
        <v>1242</v>
      </c>
      <c r="F4266" s="115">
        <v>0</v>
      </c>
      <c r="G4266" s="115">
        <v>0</v>
      </c>
      <c r="H4266" s="115">
        <v>0</v>
      </c>
      <c r="I4266" s="115">
        <v>0</v>
      </c>
      <c r="J4266" s="115">
        <v>0</v>
      </c>
      <c r="K4266" s="115">
        <v>0</v>
      </c>
    </row>
    <row r="4267" spans="2:11" x14ac:dyDescent="0.25">
      <c r="B4267" s="115" t="s">
        <v>1241</v>
      </c>
      <c r="D4267" s="115" t="s">
        <v>8710</v>
      </c>
      <c r="E4267" s="115" t="s">
        <v>1242</v>
      </c>
      <c r="F4267" s="115">
        <v>0</v>
      </c>
      <c r="G4267" s="115">
        <v>0</v>
      </c>
      <c r="H4267" s="115">
        <v>0</v>
      </c>
      <c r="I4267" s="115">
        <v>0</v>
      </c>
      <c r="J4267" s="115">
        <v>0</v>
      </c>
      <c r="K4267" s="115">
        <v>0</v>
      </c>
    </row>
    <row r="4268" spans="2:11" x14ac:dyDescent="0.25">
      <c r="B4268" s="115" t="s">
        <v>1241</v>
      </c>
      <c r="D4268" s="115" t="s">
        <v>8710</v>
      </c>
      <c r="E4268" s="115" t="s">
        <v>1242</v>
      </c>
      <c r="F4268" s="115">
        <v>0</v>
      </c>
      <c r="G4268" s="115">
        <v>0</v>
      </c>
      <c r="H4268" s="115">
        <v>0</v>
      </c>
      <c r="I4268" s="115">
        <v>0</v>
      </c>
      <c r="J4268" s="115">
        <v>0</v>
      </c>
      <c r="K4268" s="115">
        <v>0</v>
      </c>
    </row>
    <row r="4269" spans="2:11" x14ac:dyDescent="0.25">
      <c r="B4269" s="115" t="s">
        <v>1241</v>
      </c>
      <c r="D4269" s="115" t="s">
        <v>8710</v>
      </c>
      <c r="E4269" s="115" t="s">
        <v>1242</v>
      </c>
      <c r="F4269" s="115">
        <v>0</v>
      </c>
      <c r="G4269" s="115">
        <v>0</v>
      </c>
      <c r="H4269" s="115">
        <v>0</v>
      </c>
      <c r="I4269" s="115">
        <v>0</v>
      </c>
      <c r="J4269" s="115">
        <v>0</v>
      </c>
      <c r="K4269" s="115">
        <v>0</v>
      </c>
    </row>
    <row r="4270" spans="2:11" x14ac:dyDescent="0.25">
      <c r="B4270" s="115" t="s">
        <v>1241</v>
      </c>
      <c r="D4270" s="115" t="s">
        <v>8710</v>
      </c>
      <c r="E4270" s="115" t="s">
        <v>1242</v>
      </c>
      <c r="F4270" s="115">
        <v>0</v>
      </c>
      <c r="G4270" s="115">
        <v>0</v>
      </c>
      <c r="H4270" s="115">
        <v>0</v>
      </c>
      <c r="I4270" s="115">
        <v>0</v>
      </c>
      <c r="J4270" s="115">
        <v>0</v>
      </c>
      <c r="K4270" s="115">
        <v>0</v>
      </c>
    </row>
    <row r="4271" spans="2:11" x14ac:dyDescent="0.25">
      <c r="B4271" s="115" t="s">
        <v>1241</v>
      </c>
      <c r="D4271" s="115" t="s">
        <v>8710</v>
      </c>
      <c r="E4271" s="115" t="s">
        <v>1242</v>
      </c>
      <c r="F4271" s="115">
        <v>0</v>
      </c>
      <c r="G4271" s="115">
        <v>0</v>
      </c>
      <c r="H4271" s="115">
        <v>0</v>
      </c>
      <c r="I4271" s="115">
        <v>0</v>
      </c>
      <c r="J4271" s="115">
        <v>0</v>
      </c>
      <c r="K4271" s="115">
        <v>0</v>
      </c>
    </row>
    <row r="4272" spans="2:11" x14ac:dyDescent="0.25">
      <c r="B4272" s="115" t="s">
        <v>1241</v>
      </c>
      <c r="D4272" s="115" t="s">
        <v>8710</v>
      </c>
      <c r="E4272" s="115" t="s">
        <v>1242</v>
      </c>
      <c r="F4272" s="115">
        <v>0</v>
      </c>
      <c r="G4272" s="115">
        <v>0</v>
      </c>
      <c r="H4272" s="115">
        <v>0</v>
      </c>
      <c r="I4272" s="115">
        <v>0</v>
      </c>
      <c r="J4272" s="115">
        <v>0</v>
      </c>
      <c r="K4272" s="115">
        <v>0</v>
      </c>
    </row>
    <row r="4273" spans="1:11" x14ac:dyDescent="0.25">
      <c r="B4273" s="115" t="s">
        <v>1241</v>
      </c>
      <c r="D4273" s="115" t="s">
        <v>8710</v>
      </c>
      <c r="E4273" s="115" t="s">
        <v>1242</v>
      </c>
      <c r="F4273" s="115">
        <v>0</v>
      </c>
      <c r="G4273" s="115">
        <v>0</v>
      </c>
      <c r="H4273" s="115">
        <v>0</v>
      </c>
      <c r="I4273" s="115">
        <v>0</v>
      </c>
      <c r="J4273" s="115">
        <v>0</v>
      </c>
      <c r="K4273" s="115">
        <v>0</v>
      </c>
    </row>
    <row r="4274" spans="1:11" x14ac:dyDescent="0.25">
      <c r="B4274" s="115" t="s">
        <v>4099</v>
      </c>
      <c r="D4274" s="115" t="s">
        <v>10558</v>
      </c>
      <c r="E4274" s="115" t="s">
        <v>4100</v>
      </c>
      <c r="F4274" s="115">
        <v>137</v>
      </c>
      <c r="G4274" s="115">
        <v>-636</v>
      </c>
      <c r="H4274" s="115">
        <v>0</v>
      </c>
      <c r="I4274" s="115">
        <v>0</v>
      </c>
      <c r="J4274" s="115">
        <v>-248</v>
      </c>
      <c r="K4274" s="115">
        <v>0</v>
      </c>
    </row>
    <row r="4275" spans="1:11" x14ac:dyDescent="0.25">
      <c r="B4275" s="115" t="s">
        <v>1241</v>
      </c>
      <c r="D4275" s="115" t="s">
        <v>10559</v>
      </c>
      <c r="E4275" s="115" t="s">
        <v>1242</v>
      </c>
      <c r="F4275" s="115">
        <v>0</v>
      </c>
      <c r="G4275" s="115">
        <v>0</v>
      </c>
      <c r="H4275" s="115">
        <v>0</v>
      </c>
      <c r="I4275" s="115">
        <v>0</v>
      </c>
      <c r="J4275" s="115">
        <v>0</v>
      </c>
      <c r="K4275" s="115">
        <v>0</v>
      </c>
    </row>
    <row r="4276" spans="1:11" x14ac:dyDescent="0.25">
      <c r="A4276" s="115">
        <v>-4</v>
      </c>
      <c r="B4276" s="115" t="s">
        <v>4101</v>
      </c>
      <c r="D4276" s="115" t="s">
        <v>10560</v>
      </c>
      <c r="E4276" s="115" t="s">
        <v>4102</v>
      </c>
      <c r="F4276" s="115">
        <v>0</v>
      </c>
      <c r="G4276" s="115">
        <v>1055</v>
      </c>
      <c r="H4276" s="115">
        <v>0</v>
      </c>
      <c r="I4276" s="115">
        <v>6409</v>
      </c>
      <c r="J4276" s="115">
        <v>1591</v>
      </c>
      <c r="K4276" s="115">
        <v>635</v>
      </c>
    </row>
    <row r="4277" spans="1:11" x14ac:dyDescent="0.25">
      <c r="B4277" s="115" t="s">
        <v>2705</v>
      </c>
      <c r="D4277" s="115" t="s">
        <v>10561</v>
      </c>
      <c r="E4277" s="115" t="s">
        <v>4103</v>
      </c>
      <c r="F4277" s="115">
        <v>-516</v>
      </c>
      <c r="G4277" s="115">
        <v>-327</v>
      </c>
      <c r="H4277" s="115">
        <v>-352</v>
      </c>
      <c r="I4277" s="115">
        <v>0</v>
      </c>
      <c r="J4277" s="115">
        <v>95</v>
      </c>
      <c r="K4277" s="115">
        <v>0</v>
      </c>
    </row>
    <row r="4278" spans="1:11" x14ac:dyDescent="0.25">
      <c r="B4278" s="115" t="s">
        <v>1241</v>
      </c>
      <c r="D4278" s="115" t="s">
        <v>10562</v>
      </c>
      <c r="E4278" s="115" t="s">
        <v>4104</v>
      </c>
      <c r="F4278" s="115">
        <v>26</v>
      </c>
      <c r="G4278" s="115">
        <v>0</v>
      </c>
      <c r="H4278" s="115">
        <v>0</v>
      </c>
      <c r="I4278" s="115">
        <v>0</v>
      </c>
      <c r="J4278" s="115">
        <v>39</v>
      </c>
      <c r="K4278" s="115">
        <v>0</v>
      </c>
    </row>
    <row r="4279" spans="1:11" x14ac:dyDescent="0.25">
      <c r="B4279" s="115" t="s">
        <v>3070</v>
      </c>
      <c r="D4279" s="115" t="s">
        <v>10563</v>
      </c>
      <c r="E4279" s="115" t="s">
        <v>4105</v>
      </c>
      <c r="F4279" s="115">
        <v>0</v>
      </c>
      <c r="G4279" s="115">
        <v>0</v>
      </c>
      <c r="H4279" s="115">
        <v>95</v>
      </c>
      <c r="I4279" s="115">
        <v>0</v>
      </c>
      <c r="J4279" s="115">
        <v>610</v>
      </c>
      <c r="K4279" s="115">
        <v>117</v>
      </c>
    </row>
    <row r="4280" spans="1:11" x14ac:dyDescent="0.25">
      <c r="B4280" s="115" t="s">
        <v>1241</v>
      </c>
      <c r="D4280" s="115" t="s">
        <v>10564</v>
      </c>
      <c r="E4280" s="115" t="s">
        <v>4106</v>
      </c>
      <c r="F4280" s="115">
        <v>0</v>
      </c>
      <c r="G4280" s="115">
        <v>5316</v>
      </c>
      <c r="H4280" s="115">
        <v>0</v>
      </c>
      <c r="I4280" s="115">
        <v>0</v>
      </c>
      <c r="J4280" s="115">
        <v>0</v>
      </c>
      <c r="K4280" s="115">
        <v>0</v>
      </c>
    </row>
    <row r="4281" spans="1:11" x14ac:dyDescent="0.25">
      <c r="A4281" s="115">
        <v>2</v>
      </c>
      <c r="B4281" s="115" t="s">
        <v>4107</v>
      </c>
      <c r="D4281" s="115" t="s">
        <v>10565</v>
      </c>
      <c r="E4281" s="115" t="s">
        <v>4108</v>
      </c>
      <c r="F4281" s="115">
        <v>0</v>
      </c>
      <c r="G4281" s="115">
        <v>380</v>
      </c>
      <c r="H4281" s="115">
        <v>-210</v>
      </c>
      <c r="I4281" s="115">
        <v>0</v>
      </c>
      <c r="J4281" s="115">
        <v>-50</v>
      </c>
      <c r="K4281" s="115">
        <v>751</v>
      </c>
    </row>
    <row r="4282" spans="1:11" x14ac:dyDescent="0.25">
      <c r="B4282" s="115" t="s">
        <v>4109</v>
      </c>
      <c r="D4282" s="115" t="s">
        <v>10566</v>
      </c>
      <c r="E4282" s="115" t="s">
        <v>1242</v>
      </c>
      <c r="F4282" s="115">
        <v>24</v>
      </c>
      <c r="G4282" s="115">
        <v>0</v>
      </c>
      <c r="H4282" s="115">
        <v>0</v>
      </c>
      <c r="I4282" s="115">
        <v>0</v>
      </c>
      <c r="J4282" s="115">
        <v>0</v>
      </c>
      <c r="K4282" s="115">
        <v>0</v>
      </c>
    </row>
    <row r="4283" spans="1:11" x14ac:dyDescent="0.25">
      <c r="A4283" s="115" t="s">
        <v>1239</v>
      </c>
      <c r="B4283" s="115" t="s">
        <v>4110</v>
      </c>
      <c r="D4283" s="115" t="s">
        <v>10567</v>
      </c>
      <c r="E4283" s="115" t="s">
        <v>4111</v>
      </c>
      <c r="F4283" s="115">
        <v>478</v>
      </c>
      <c r="G4283" s="115">
        <v>0</v>
      </c>
      <c r="H4283" s="115">
        <v>35</v>
      </c>
      <c r="I4283" s="115">
        <v>-919</v>
      </c>
      <c r="J4283" s="115">
        <v>-1973</v>
      </c>
      <c r="K4283" s="115">
        <v>3474</v>
      </c>
    </row>
    <row r="4284" spans="1:11" x14ac:dyDescent="0.25">
      <c r="B4284" s="115" t="s">
        <v>1376</v>
      </c>
      <c r="D4284" s="115" t="s">
        <v>10568</v>
      </c>
      <c r="E4284" s="115" t="s">
        <v>4112</v>
      </c>
      <c r="F4284" s="115">
        <v>2279</v>
      </c>
      <c r="G4284" s="115">
        <v>-119</v>
      </c>
      <c r="H4284" s="115">
        <v>0</v>
      </c>
      <c r="I4284" s="115">
        <v>44</v>
      </c>
      <c r="J4284" s="115">
        <v>-25</v>
      </c>
      <c r="K4284" s="115">
        <v>0</v>
      </c>
    </row>
    <row r="4285" spans="1:11" x14ac:dyDescent="0.25">
      <c r="B4285" s="115" t="s">
        <v>1241</v>
      </c>
      <c r="D4285" s="115" t="s">
        <v>10569</v>
      </c>
      <c r="E4285" s="115" t="s">
        <v>4113</v>
      </c>
      <c r="F4285" s="115">
        <v>0</v>
      </c>
      <c r="G4285" s="115">
        <v>-543</v>
      </c>
      <c r="H4285" s="115">
        <v>964</v>
      </c>
      <c r="I4285" s="115">
        <v>565</v>
      </c>
      <c r="J4285" s="115">
        <v>0</v>
      </c>
      <c r="K4285" s="115">
        <v>0</v>
      </c>
    </row>
    <row r="4286" spans="1:11" x14ac:dyDescent="0.25">
      <c r="B4286" s="115" t="s">
        <v>1241</v>
      </c>
      <c r="D4286" s="115" t="s">
        <v>10570</v>
      </c>
      <c r="E4286" s="115" t="s">
        <v>4114</v>
      </c>
      <c r="F4286" s="115">
        <v>-397</v>
      </c>
      <c r="G4286" s="115">
        <v>0</v>
      </c>
      <c r="H4286" s="115">
        <v>347</v>
      </c>
      <c r="I4286" s="115">
        <v>-228</v>
      </c>
      <c r="J4286" s="115">
        <v>335</v>
      </c>
      <c r="K4286" s="115">
        <v>0</v>
      </c>
    </row>
    <row r="4287" spans="1:11" x14ac:dyDescent="0.25">
      <c r="B4287" s="115" t="s">
        <v>4115</v>
      </c>
      <c r="C4287" s="115" t="s">
        <v>1239</v>
      </c>
      <c r="D4287" s="115" t="s">
        <v>10571</v>
      </c>
      <c r="E4287" s="115" t="s">
        <v>4116</v>
      </c>
      <c r="F4287" s="115">
        <v>-256</v>
      </c>
      <c r="G4287" s="115">
        <v>697</v>
      </c>
      <c r="H4287" s="115">
        <v>-125</v>
      </c>
      <c r="I4287" s="115">
        <v>-431</v>
      </c>
      <c r="J4287" s="115">
        <v>0</v>
      </c>
      <c r="K4287" s="115">
        <v>-202</v>
      </c>
    </row>
    <row r="4288" spans="1:11" x14ac:dyDescent="0.25">
      <c r="B4288" s="115" t="s">
        <v>1241</v>
      </c>
      <c r="D4288" s="115" t="s">
        <v>10572</v>
      </c>
      <c r="E4288" s="115" t="s">
        <v>4117</v>
      </c>
      <c r="F4288" s="115">
        <v>0</v>
      </c>
      <c r="G4288" s="115">
        <v>314</v>
      </c>
      <c r="H4288" s="115">
        <v>0</v>
      </c>
      <c r="I4288" s="115">
        <v>0</v>
      </c>
      <c r="J4288" s="115">
        <v>-148</v>
      </c>
      <c r="K4288" s="115">
        <v>0</v>
      </c>
    </row>
    <row r="4289" spans="1:11" x14ac:dyDescent="0.25">
      <c r="B4289" s="115" t="s">
        <v>4118</v>
      </c>
      <c r="D4289" s="115" t="s">
        <v>10573</v>
      </c>
      <c r="E4289" s="115" t="s">
        <v>4119</v>
      </c>
      <c r="F4289" s="115">
        <v>0</v>
      </c>
      <c r="G4289" s="115">
        <v>0</v>
      </c>
      <c r="H4289" s="115">
        <v>0</v>
      </c>
      <c r="I4289" s="115">
        <v>0</v>
      </c>
      <c r="J4289" s="115">
        <v>-325</v>
      </c>
      <c r="K4289" s="115">
        <v>0</v>
      </c>
    </row>
    <row r="4290" spans="1:11" x14ac:dyDescent="0.25">
      <c r="A4290" s="115">
        <v>-1</v>
      </c>
      <c r="B4290" s="115" t="s">
        <v>4120</v>
      </c>
      <c r="D4290" s="115" t="s">
        <v>10574</v>
      </c>
      <c r="E4290" s="115" t="s">
        <v>4121</v>
      </c>
      <c r="F4290" s="115">
        <v>127</v>
      </c>
      <c r="G4290" s="115">
        <v>-1090</v>
      </c>
      <c r="H4290" s="115">
        <v>-4454</v>
      </c>
      <c r="I4290" s="115">
        <v>0</v>
      </c>
      <c r="J4290" s="115">
        <v>0</v>
      </c>
      <c r="K4290" s="115">
        <v>0</v>
      </c>
    </row>
    <row r="4291" spans="1:11" x14ac:dyDescent="0.25">
      <c r="A4291" s="115" t="s">
        <v>1239</v>
      </c>
      <c r="B4291" s="115" t="s">
        <v>4122</v>
      </c>
      <c r="D4291" s="115" t="s">
        <v>10575</v>
      </c>
      <c r="E4291" s="115" t="s">
        <v>4123</v>
      </c>
      <c r="F4291" s="115">
        <v>426</v>
      </c>
      <c r="G4291" s="115">
        <v>0</v>
      </c>
      <c r="H4291" s="115">
        <v>-216</v>
      </c>
      <c r="I4291" s="115">
        <v>0</v>
      </c>
      <c r="J4291" s="115">
        <v>0</v>
      </c>
      <c r="K4291" s="115">
        <v>1280</v>
      </c>
    </row>
    <row r="4292" spans="1:11" x14ac:dyDescent="0.25">
      <c r="B4292" s="115" t="s">
        <v>1600</v>
      </c>
      <c r="D4292" s="115" t="s">
        <v>10576</v>
      </c>
      <c r="E4292" s="115" t="s">
        <v>1242</v>
      </c>
      <c r="F4292" s="115">
        <v>0</v>
      </c>
      <c r="G4292" s="115">
        <v>0</v>
      </c>
      <c r="H4292" s="115">
        <v>0</v>
      </c>
      <c r="I4292" s="115">
        <v>0</v>
      </c>
      <c r="J4292" s="115">
        <v>0</v>
      </c>
      <c r="K4292" s="115">
        <v>0</v>
      </c>
    </row>
    <row r="4293" spans="1:11" x14ac:dyDescent="0.25">
      <c r="B4293" s="115" t="s">
        <v>1241</v>
      </c>
      <c r="D4293" s="115" t="s">
        <v>10577</v>
      </c>
      <c r="E4293" s="115" t="s">
        <v>4124</v>
      </c>
      <c r="F4293" s="115">
        <v>646</v>
      </c>
      <c r="G4293" s="115">
        <v>-211</v>
      </c>
      <c r="H4293" s="115">
        <v>724</v>
      </c>
      <c r="I4293" s="115">
        <v>0</v>
      </c>
      <c r="J4293" s="115">
        <v>20</v>
      </c>
      <c r="K4293" s="115">
        <v>48</v>
      </c>
    </row>
    <row r="4294" spans="1:11" x14ac:dyDescent="0.25">
      <c r="B4294" s="115" t="s">
        <v>1241</v>
      </c>
      <c r="D4294" s="115" t="s">
        <v>10578</v>
      </c>
      <c r="E4294" s="115" t="s">
        <v>4125</v>
      </c>
      <c r="F4294" s="115">
        <v>0</v>
      </c>
      <c r="G4294" s="115">
        <v>-754</v>
      </c>
      <c r="H4294" s="115">
        <v>120</v>
      </c>
      <c r="I4294" s="115">
        <v>280</v>
      </c>
      <c r="J4294" s="115">
        <v>296</v>
      </c>
      <c r="K4294" s="115">
        <v>229</v>
      </c>
    </row>
    <row r="4295" spans="1:11" x14ac:dyDescent="0.25">
      <c r="B4295" s="115" t="s">
        <v>4126</v>
      </c>
      <c r="D4295" s="115" t="s">
        <v>10579</v>
      </c>
      <c r="E4295" s="115" t="s">
        <v>4127</v>
      </c>
      <c r="F4295" s="115">
        <v>0</v>
      </c>
      <c r="G4295" s="115">
        <v>-290</v>
      </c>
      <c r="H4295" s="115">
        <v>0</v>
      </c>
      <c r="I4295" s="115">
        <v>-118</v>
      </c>
      <c r="J4295" s="115">
        <v>0</v>
      </c>
      <c r="K4295" s="115">
        <v>0</v>
      </c>
    </row>
    <row r="4296" spans="1:11" x14ac:dyDescent="0.25">
      <c r="A4296" s="115" t="s">
        <v>1239</v>
      </c>
      <c r="B4296" s="115" t="s">
        <v>4128</v>
      </c>
      <c r="D4296" s="115" t="s">
        <v>10580</v>
      </c>
      <c r="E4296" s="115" t="s">
        <v>4129</v>
      </c>
      <c r="F4296" s="115">
        <v>0</v>
      </c>
      <c r="G4296" s="115">
        <v>0</v>
      </c>
      <c r="H4296" s="115">
        <v>-128</v>
      </c>
      <c r="I4296" s="115">
        <v>0</v>
      </c>
      <c r="J4296" s="115">
        <v>84</v>
      </c>
      <c r="K4296" s="115">
        <v>175</v>
      </c>
    </row>
    <row r="4297" spans="1:11" x14ac:dyDescent="0.25">
      <c r="B4297" s="115" t="s">
        <v>4130</v>
      </c>
      <c r="D4297" s="115" t="s">
        <v>10581</v>
      </c>
      <c r="E4297" s="115" t="s">
        <v>4131</v>
      </c>
      <c r="F4297" s="115">
        <v>-697</v>
      </c>
      <c r="G4297" s="115">
        <v>300</v>
      </c>
      <c r="H4297" s="115">
        <v>579</v>
      </c>
      <c r="I4297" s="115">
        <v>166</v>
      </c>
      <c r="J4297" s="115">
        <v>0</v>
      </c>
      <c r="K4297" s="115">
        <v>0</v>
      </c>
    </row>
    <row r="4298" spans="1:11" x14ac:dyDescent="0.25">
      <c r="B4298" s="115" t="s">
        <v>1241</v>
      </c>
      <c r="D4298" s="115" t="s">
        <v>10582</v>
      </c>
      <c r="E4298" s="115" t="s">
        <v>4132</v>
      </c>
      <c r="F4298" s="115">
        <v>0</v>
      </c>
      <c r="G4298" s="115">
        <v>-124</v>
      </c>
      <c r="H4298" s="115">
        <v>28</v>
      </c>
      <c r="I4298" s="115">
        <v>-110</v>
      </c>
      <c r="J4298" s="115">
        <v>-56</v>
      </c>
      <c r="K4298" s="115">
        <v>557</v>
      </c>
    </row>
    <row r="4299" spans="1:11" x14ac:dyDescent="0.25">
      <c r="A4299" s="115" t="s">
        <v>1239</v>
      </c>
      <c r="B4299" s="115" t="s">
        <v>4133</v>
      </c>
      <c r="D4299" s="115" t="s">
        <v>10583</v>
      </c>
      <c r="E4299" s="115" t="s">
        <v>4134</v>
      </c>
      <c r="F4299" s="115">
        <v>0</v>
      </c>
      <c r="G4299" s="115">
        <v>-10</v>
      </c>
      <c r="H4299" s="115">
        <v>961</v>
      </c>
      <c r="I4299" s="115">
        <v>0</v>
      </c>
      <c r="J4299" s="115">
        <v>0</v>
      </c>
      <c r="K4299" s="115">
        <v>0</v>
      </c>
    </row>
    <row r="4300" spans="1:11" x14ac:dyDescent="0.25">
      <c r="B4300" s="115" t="s">
        <v>4135</v>
      </c>
      <c r="D4300" s="115" t="s">
        <v>10584</v>
      </c>
      <c r="E4300" s="115" t="s">
        <v>1242</v>
      </c>
      <c r="F4300" s="115">
        <v>5639</v>
      </c>
      <c r="G4300" s="115">
        <v>0</v>
      </c>
      <c r="H4300" s="115">
        <v>0</v>
      </c>
      <c r="I4300" s="115">
        <v>0</v>
      </c>
      <c r="J4300" s="115">
        <v>0</v>
      </c>
      <c r="K4300" s="115">
        <v>0</v>
      </c>
    </row>
    <row r="4301" spans="1:11" x14ac:dyDescent="0.25">
      <c r="B4301" s="115" t="s">
        <v>1241</v>
      </c>
      <c r="D4301" s="115" t="s">
        <v>8710</v>
      </c>
      <c r="E4301" s="115" t="s">
        <v>1242</v>
      </c>
      <c r="F4301" s="115">
        <v>0</v>
      </c>
      <c r="G4301" s="115">
        <v>0</v>
      </c>
      <c r="H4301" s="115">
        <v>0</v>
      </c>
      <c r="I4301" s="115">
        <v>0</v>
      </c>
      <c r="J4301" s="115">
        <v>0</v>
      </c>
      <c r="K4301" s="115">
        <v>0</v>
      </c>
    </row>
    <row r="4302" spans="1:11" x14ac:dyDescent="0.25">
      <c r="B4302" s="115" t="s">
        <v>1241</v>
      </c>
      <c r="D4302" s="115" t="s">
        <v>8710</v>
      </c>
      <c r="E4302" s="115" t="s">
        <v>1242</v>
      </c>
      <c r="F4302" s="115">
        <v>0</v>
      </c>
      <c r="G4302" s="115">
        <v>0</v>
      </c>
      <c r="H4302" s="115">
        <v>0</v>
      </c>
      <c r="I4302" s="115">
        <v>0</v>
      </c>
      <c r="J4302" s="115">
        <v>0</v>
      </c>
      <c r="K4302" s="115">
        <v>0</v>
      </c>
    </row>
    <row r="4303" spans="1:11" x14ac:dyDescent="0.25">
      <c r="B4303" s="115" t="s">
        <v>1241</v>
      </c>
      <c r="D4303" s="115" t="s">
        <v>8710</v>
      </c>
      <c r="E4303" s="115" t="s">
        <v>1242</v>
      </c>
      <c r="F4303" s="115">
        <v>0</v>
      </c>
      <c r="G4303" s="115">
        <v>0</v>
      </c>
      <c r="H4303" s="115">
        <v>0</v>
      </c>
      <c r="I4303" s="115">
        <v>0</v>
      </c>
      <c r="J4303" s="115">
        <v>0</v>
      </c>
      <c r="K4303" s="115">
        <v>0</v>
      </c>
    </row>
    <row r="4304" spans="1:11" x14ac:dyDescent="0.25">
      <c r="B4304" s="115" t="s">
        <v>1241</v>
      </c>
      <c r="D4304" s="115" t="s">
        <v>8710</v>
      </c>
      <c r="E4304" s="115" t="s">
        <v>1242</v>
      </c>
      <c r="F4304" s="115">
        <v>0</v>
      </c>
      <c r="G4304" s="115">
        <v>0</v>
      </c>
      <c r="H4304" s="115">
        <v>0</v>
      </c>
      <c r="I4304" s="115">
        <v>0</v>
      </c>
      <c r="J4304" s="115">
        <v>0</v>
      </c>
      <c r="K4304" s="115">
        <v>0</v>
      </c>
    </row>
    <row r="4305" spans="2:11" x14ac:dyDescent="0.25">
      <c r="B4305" s="115" t="s">
        <v>1241</v>
      </c>
      <c r="D4305" s="115" t="s">
        <v>8710</v>
      </c>
      <c r="E4305" s="115" t="s">
        <v>1242</v>
      </c>
      <c r="F4305" s="115">
        <v>0</v>
      </c>
      <c r="G4305" s="115">
        <v>0</v>
      </c>
      <c r="H4305" s="115">
        <v>0</v>
      </c>
      <c r="I4305" s="115">
        <v>0</v>
      </c>
      <c r="J4305" s="115">
        <v>0</v>
      </c>
      <c r="K4305" s="115">
        <v>0</v>
      </c>
    </row>
    <row r="4306" spans="2:11" x14ac:dyDescent="0.25">
      <c r="B4306" s="115" t="s">
        <v>1241</v>
      </c>
      <c r="D4306" s="115" t="s">
        <v>8710</v>
      </c>
      <c r="E4306" s="115" t="s">
        <v>1242</v>
      </c>
      <c r="F4306" s="115">
        <v>0</v>
      </c>
      <c r="G4306" s="115">
        <v>0</v>
      </c>
      <c r="H4306" s="115">
        <v>0</v>
      </c>
      <c r="I4306" s="115">
        <v>0</v>
      </c>
      <c r="J4306" s="115">
        <v>0</v>
      </c>
      <c r="K4306" s="115">
        <v>0</v>
      </c>
    </row>
    <row r="4307" spans="2:11" x14ac:dyDescent="0.25">
      <c r="B4307" s="115" t="s">
        <v>1241</v>
      </c>
      <c r="D4307" s="115" t="s">
        <v>8710</v>
      </c>
      <c r="E4307" s="115" t="s">
        <v>1242</v>
      </c>
      <c r="F4307" s="115">
        <v>0</v>
      </c>
      <c r="G4307" s="115">
        <v>0</v>
      </c>
      <c r="H4307" s="115">
        <v>0</v>
      </c>
      <c r="I4307" s="115">
        <v>0</v>
      </c>
      <c r="J4307" s="115">
        <v>0</v>
      </c>
      <c r="K4307" s="115">
        <v>0</v>
      </c>
    </row>
    <row r="4308" spans="2:11" x14ac:dyDescent="0.25">
      <c r="B4308" s="115" t="s">
        <v>1241</v>
      </c>
      <c r="D4308" s="115" t="s">
        <v>8710</v>
      </c>
      <c r="E4308" s="115" t="s">
        <v>1242</v>
      </c>
      <c r="F4308" s="115">
        <v>0</v>
      </c>
      <c r="G4308" s="115">
        <v>0</v>
      </c>
      <c r="H4308" s="115">
        <v>0</v>
      </c>
      <c r="I4308" s="115">
        <v>0</v>
      </c>
      <c r="J4308" s="115">
        <v>0</v>
      </c>
      <c r="K4308" s="115">
        <v>0</v>
      </c>
    </row>
    <row r="4309" spans="2:11" x14ac:dyDescent="0.25">
      <c r="B4309" s="115" t="s">
        <v>1241</v>
      </c>
      <c r="D4309" s="115" t="s">
        <v>8710</v>
      </c>
      <c r="E4309" s="115" t="s">
        <v>1242</v>
      </c>
      <c r="F4309" s="115">
        <v>0</v>
      </c>
      <c r="G4309" s="115">
        <v>0</v>
      </c>
      <c r="H4309" s="115">
        <v>0</v>
      </c>
      <c r="I4309" s="115">
        <v>0</v>
      </c>
      <c r="J4309" s="115">
        <v>0</v>
      </c>
      <c r="K4309" s="115">
        <v>0</v>
      </c>
    </row>
    <row r="4310" spans="2:11" x14ac:dyDescent="0.25">
      <c r="B4310" s="115" t="s">
        <v>1241</v>
      </c>
      <c r="D4310" s="115" t="s">
        <v>8710</v>
      </c>
      <c r="E4310" s="115" t="s">
        <v>1242</v>
      </c>
      <c r="F4310" s="115">
        <v>0</v>
      </c>
      <c r="G4310" s="115">
        <v>0</v>
      </c>
      <c r="H4310" s="115">
        <v>0</v>
      </c>
      <c r="I4310" s="115">
        <v>0</v>
      </c>
      <c r="J4310" s="115">
        <v>0</v>
      </c>
      <c r="K4310" s="115">
        <v>0</v>
      </c>
    </row>
    <row r="4311" spans="2:11" x14ac:dyDescent="0.25">
      <c r="B4311" s="115" t="s">
        <v>1241</v>
      </c>
      <c r="D4311" s="115" t="s">
        <v>8710</v>
      </c>
      <c r="E4311" s="115" t="s">
        <v>1242</v>
      </c>
      <c r="F4311" s="115">
        <v>0</v>
      </c>
      <c r="G4311" s="115">
        <v>0</v>
      </c>
      <c r="H4311" s="115">
        <v>0</v>
      </c>
      <c r="I4311" s="115">
        <v>0</v>
      </c>
      <c r="J4311" s="115">
        <v>0</v>
      </c>
      <c r="K4311" s="115">
        <v>0</v>
      </c>
    </row>
    <row r="4312" spans="2:11" x14ac:dyDescent="0.25">
      <c r="B4312" s="115" t="s">
        <v>1241</v>
      </c>
      <c r="D4312" s="115" t="s">
        <v>8710</v>
      </c>
      <c r="E4312" s="115" t="s">
        <v>1242</v>
      </c>
      <c r="F4312" s="115">
        <v>0</v>
      </c>
      <c r="G4312" s="115">
        <v>0</v>
      </c>
      <c r="H4312" s="115">
        <v>0</v>
      </c>
      <c r="I4312" s="115">
        <v>0</v>
      </c>
      <c r="J4312" s="115">
        <v>0</v>
      </c>
      <c r="K4312" s="115">
        <v>0</v>
      </c>
    </row>
    <row r="4313" spans="2:11" x14ac:dyDescent="0.25">
      <c r="B4313" s="115" t="s">
        <v>1241</v>
      </c>
      <c r="D4313" s="115" t="s">
        <v>8710</v>
      </c>
      <c r="E4313" s="115" t="s">
        <v>1242</v>
      </c>
      <c r="F4313" s="115">
        <v>0</v>
      </c>
      <c r="G4313" s="115">
        <v>0</v>
      </c>
      <c r="H4313" s="115">
        <v>0</v>
      </c>
      <c r="I4313" s="115">
        <v>0</v>
      </c>
      <c r="J4313" s="115">
        <v>0</v>
      </c>
      <c r="K4313" s="115">
        <v>0</v>
      </c>
    </row>
    <row r="4314" spans="2:11" x14ac:dyDescent="0.25">
      <c r="B4314" s="115" t="s">
        <v>1241</v>
      </c>
      <c r="D4314" s="115" t="s">
        <v>8710</v>
      </c>
      <c r="E4314" s="115" t="s">
        <v>1242</v>
      </c>
      <c r="F4314" s="115">
        <v>0</v>
      </c>
      <c r="G4314" s="115">
        <v>0</v>
      </c>
      <c r="H4314" s="115">
        <v>0</v>
      </c>
      <c r="I4314" s="115">
        <v>0</v>
      </c>
      <c r="J4314" s="115">
        <v>0</v>
      </c>
      <c r="K4314" s="115">
        <v>0</v>
      </c>
    </row>
    <row r="4315" spans="2:11" x14ac:dyDescent="0.25">
      <c r="B4315" s="115" t="s">
        <v>1241</v>
      </c>
      <c r="D4315" s="115" t="s">
        <v>8710</v>
      </c>
      <c r="E4315" s="115" t="s">
        <v>1242</v>
      </c>
      <c r="F4315" s="115">
        <v>0</v>
      </c>
      <c r="G4315" s="115">
        <v>0</v>
      </c>
      <c r="H4315" s="115">
        <v>0</v>
      </c>
      <c r="I4315" s="115">
        <v>0</v>
      </c>
      <c r="J4315" s="115">
        <v>0</v>
      </c>
      <c r="K4315" s="115">
        <v>0</v>
      </c>
    </row>
    <row r="4316" spans="2:11" x14ac:dyDescent="0.25">
      <c r="B4316" s="115" t="s">
        <v>1241</v>
      </c>
      <c r="D4316" s="115" t="s">
        <v>8710</v>
      </c>
      <c r="E4316" s="115" t="s">
        <v>1242</v>
      </c>
      <c r="F4316" s="115">
        <v>0</v>
      </c>
      <c r="G4316" s="115">
        <v>0</v>
      </c>
      <c r="H4316" s="115">
        <v>0</v>
      </c>
      <c r="I4316" s="115">
        <v>0</v>
      </c>
      <c r="J4316" s="115">
        <v>0</v>
      </c>
      <c r="K4316" s="115">
        <v>0</v>
      </c>
    </row>
    <row r="4317" spans="2:11" x14ac:dyDescent="0.25">
      <c r="B4317" s="115" t="s">
        <v>1241</v>
      </c>
      <c r="D4317" s="115" t="s">
        <v>8710</v>
      </c>
      <c r="E4317" s="115" t="s">
        <v>1242</v>
      </c>
      <c r="F4317" s="115">
        <v>0</v>
      </c>
      <c r="G4317" s="115">
        <v>0</v>
      </c>
      <c r="H4317" s="115">
        <v>0</v>
      </c>
      <c r="I4317" s="115">
        <v>0</v>
      </c>
      <c r="J4317" s="115">
        <v>0</v>
      </c>
      <c r="K4317" s="115">
        <v>0</v>
      </c>
    </row>
    <row r="4318" spans="2:11" x14ac:dyDescent="0.25">
      <c r="B4318" s="115" t="s">
        <v>1241</v>
      </c>
      <c r="D4318" s="115" t="s">
        <v>8710</v>
      </c>
      <c r="E4318" s="115" t="s">
        <v>1242</v>
      </c>
      <c r="F4318" s="115">
        <v>0</v>
      </c>
      <c r="G4318" s="115">
        <v>0</v>
      </c>
      <c r="H4318" s="115">
        <v>0</v>
      </c>
      <c r="I4318" s="115">
        <v>0</v>
      </c>
      <c r="J4318" s="115">
        <v>0</v>
      </c>
      <c r="K4318" s="115">
        <v>0</v>
      </c>
    </row>
    <row r="4319" spans="2:11" x14ac:dyDescent="0.25">
      <c r="B4319" s="115" t="s">
        <v>1241</v>
      </c>
      <c r="D4319" s="115" t="s">
        <v>8710</v>
      </c>
      <c r="E4319" s="115" t="s">
        <v>1242</v>
      </c>
      <c r="F4319" s="115">
        <v>0</v>
      </c>
      <c r="G4319" s="115">
        <v>0</v>
      </c>
      <c r="H4319" s="115">
        <v>0</v>
      </c>
      <c r="I4319" s="115">
        <v>0</v>
      </c>
      <c r="J4319" s="115">
        <v>0</v>
      </c>
      <c r="K4319" s="115">
        <v>0</v>
      </c>
    </row>
    <row r="4320" spans="2:11" x14ac:dyDescent="0.25">
      <c r="B4320" s="115" t="s">
        <v>1241</v>
      </c>
      <c r="D4320" s="115" t="s">
        <v>8710</v>
      </c>
      <c r="E4320" s="115" t="s">
        <v>1242</v>
      </c>
      <c r="F4320" s="115">
        <v>0</v>
      </c>
      <c r="G4320" s="115">
        <v>0</v>
      </c>
      <c r="H4320" s="115">
        <v>0</v>
      </c>
      <c r="I4320" s="115">
        <v>0</v>
      </c>
      <c r="J4320" s="115">
        <v>0</v>
      </c>
      <c r="K4320" s="115">
        <v>0</v>
      </c>
    </row>
    <row r="4321" spans="2:11" x14ac:dyDescent="0.25">
      <c r="B4321" s="115" t="s">
        <v>1241</v>
      </c>
      <c r="D4321" s="115" t="s">
        <v>8710</v>
      </c>
      <c r="E4321" s="115" t="s">
        <v>1242</v>
      </c>
      <c r="F4321" s="115">
        <v>0</v>
      </c>
      <c r="G4321" s="115">
        <v>0</v>
      </c>
      <c r="H4321" s="115">
        <v>0</v>
      </c>
      <c r="I4321" s="115">
        <v>0</v>
      </c>
      <c r="J4321" s="115">
        <v>0</v>
      </c>
      <c r="K4321" s="115">
        <v>0</v>
      </c>
    </row>
    <row r="4322" spans="2:11" x14ac:dyDescent="0.25">
      <c r="B4322" s="115" t="s">
        <v>1241</v>
      </c>
      <c r="D4322" s="115" t="s">
        <v>8710</v>
      </c>
      <c r="E4322" s="115" t="s">
        <v>1242</v>
      </c>
      <c r="F4322" s="115">
        <v>0</v>
      </c>
      <c r="G4322" s="115">
        <v>0</v>
      </c>
      <c r="H4322" s="115">
        <v>0</v>
      </c>
      <c r="I4322" s="115">
        <v>0</v>
      </c>
      <c r="J4322" s="115">
        <v>0</v>
      </c>
      <c r="K4322" s="115">
        <v>0</v>
      </c>
    </row>
    <row r="4323" spans="2:11" x14ac:dyDescent="0.25">
      <c r="B4323" s="115" t="s">
        <v>1241</v>
      </c>
      <c r="D4323" s="115" t="s">
        <v>8710</v>
      </c>
      <c r="E4323" s="115" t="s">
        <v>1242</v>
      </c>
      <c r="F4323" s="115">
        <v>0</v>
      </c>
      <c r="G4323" s="115">
        <v>0</v>
      </c>
      <c r="H4323" s="115">
        <v>0</v>
      </c>
      <c r="I4323" s="115">
        <v>0</v>
      </c>
      <c r="J4323" s="115">
        <v>0</v>
      </c>
      <c r="K4323" s="115">
        <v>0</v>
      </c>
    </row>
    <row r="4324" spans="2:11" x14ac:dyDescent="0.25">
      <c r="B4324" s="115" t="s">
        <v>1241</v>
      </c>
      <c r="D4324" s="115" t="s">
        <v>8710</v>
      </c>
      <c r="E4324" s="115" t="s">
        <v>1242</v>
      </c>
      <c r="F4324" s="115">
        <v>0</v>
      </c>
      <c r="G4324" s="115">
        <v>0</v>
      </c>
      <c r="H4324" s="115">
        <v>0</v>
      </c>
      <c r="I4324" s="115">
        <v>0</v>
      </c>
      <c r="J4324" s="115">
        <v>0</v>
      </c>
      <c r="K4324" s="115">
        <v>0</v>
      </c>
    </row>
    <row r="4325" spans="2:11" x14ac:dyDescent="0.25">
      <c r="B4325" s="115" t="s">
        <v>1241</v>
      </c>
      <c r="D4325" s="115" t="s">
        <v>8710</v>
      </c>
      <c r="E4325" s="115" t="s">
        <v>1242</v>
      </c>
      <c r="F4325" s="115">
        <v>0</v>
      </c>
      <c r="G4325" s="115">
        <v>0</v>
      </c>
      <c r="H4325" s="115">
        <v>0</v>
      </c>
      <c r="I4325" s="115">
        <v>0</v>
      </c>
      <c r="J4325" s="115">
        <v>0</v>
      </c>
      <c r="K4325" s="115">
        <v>0</v>
      </c>
    </row>
    <row r="4326" spans="2:11" x14ac:dyDescent="0.25">
      <c r="B4326" s="115" t="s">
        <v>1241</v>
      </c>
      <c r="D4326" s="115" t="s">
        <v>8710</v>
      </c>
      <c r="E4326" s="115" t="s">
        <v>1242</v>
      </c>
      <c r="F4326" s="115">
        <v>0</v>
      </c>
      <c r="G4326" s="115">
        <v>0</v>
      </c>
      <c r="H4326" s="115">
        <v>0</v>
      </c>
      <c r="I4326" s="115">
        <v>0</v>
      </c>
      <c r="J4326" s="115">
        <v>0</v>
      </c>
      <c r="K4326" s="115">
        <v>0</v>
      </c>
    </row>
    <row r="4327" spans="2:11" x14ac:dyDescent="0.25">
      <c r="B4327" s="115" t="s">
        <v>1241</v>
      </c>
      <c r="D4327" s="115" t="s">
        <v>8710</v>
      </c>
      <c r="E4327" s="115" t="s">
        <v>1242</v>
      </c>
      <c r="F4327" s="115">
        <v>0</v>
      </c>
      <c r="G4327" s="115">
        <v>0</v>
      </c>
      <c r="H4327" s="115">
        <v>0</v>
      </c>
      <c r="I4327" s="115">
        <v>0</v>
      </c>
      <c r="J4327" s="115">
        <v>0</v>
      </c>
      <c r="K4327" s="115">
        <v>0</v>
      </c>
    </row>
    <row r="4328" spans="2:11" x14ac:dyDescent="0.25">
      <c r="B4328" s="115" t="s">
        <v>1241</v>
      </c>
      <c r="D4328" s="115" t="s">
        <v>8710</v>
      </c>
      <c r="E4328" s="115" t="s">
        <v>1242</v>
      </c>
      <c r="F4328" s="115">
        <v>0</v>
      </c>
      <c r="G4328" s="115">
        <v>0</v>
      </c>
      <c r="H4328" s="115">
        <v>0</v>
      </c>
      <c r="I4328" s="115">
        <v>0</v>
      </c>
      <c r="J4328" s="115">
        <v>0</v>
      </c>
      <c r="K4328" s="115">
        <v>0</v>
      </c>
    </row>
    <row r="4329" spans="2:11" x14ac:dyDescent="0.25">
      <c r="B4329" s="115" t="s">
        <v>1241</v>
      </c>
      <c r="D4329" s="115" t="s">
        <v>8710</v>
      </c>
      <c r="E4329" s="115" t="s">
        <v>1242</v>
      </c>
      <c r="F4329" s="115">
        <v>0</v>
      </c>
      <c r="G4329" s="115">
        <v>0</v>
      </c>
      <c r="H4329" s="115">
        <v>0</v>
      </c>
      <c r="I4329" s="115">
        <v>0</v>
      </c>
      <c r="J4329" s="115">
        <v>0</v>
      </c>
      <c r="K4329" s="115">
        <v>0</v>
      </c>
    </row>
    <row r="4330" spans="2:11" x14ac:dyDescent="0.25">
      <c r="B4330" s="115" t="s">
        <v>1241</v>
      </c>
      <c r="D4330" s="115" t="s">
        <v>8710</v>
      </c>
      <c r="E4330" s="115" t="s">
        <v>1242</v>
      </c>
      <c r="F4330" s="115">
        <v>0</v>
      </c>
      <c r="G4330" s="115">
        <v>0</v>
      </c>
      <c r="H4330" s="115">
        <v>0</v>
      </c>
      <c r="I4330" s="115">
        <v>0</v>
      </c>
      <c r="J4330" s="115">
        <v>0</v>
      </c>
      <c r="K4330" s="115">
        <v>0</v>
      </c>
    </row>
    <row r="4331" spans="2:11" x14ac:dyDescent="0.25">
      <c r="B4331" s="115" t="s">
        <v>1241</v>
      </c>
      <c r="D4331" s="115" t="s">
        <v>8710</v>
      </c>
      <c r="E4331" s="115" t="s">
        <v>1242</v>
      </c>
      <c r="F4331" s="115">
        <v>0</v>
      </c>
      <c r="G4331" s="115">
        <v>0</v>
      </c>
      <c r="H4331" s="115">
        <v>0</v>
      </c>
      <c r="I4331" s="115">
        <v>0</v>
      </c>
      <c r="J4331" s="115">
        <v>0</v>
      </c>
      <c r="K4331" s="115">
        <v>0</v>
      </c>
    </row>
    <row r="4332" spans="2:11" x14ac:dyDescent="0.25">
      <c r="B4332" s="115" t="s">
        <v>1241</v>
      </c>
      <c r="D4332" s="115" t="s">
        <v>8710</v>
      </c>
      <c r="E4332" s="115" t="s">
        <v>1242</v>
      </c>
      <c r="F4332" s="115">
        <v>0</v>
      </c>
      <c r="G4332" s="115">
        <v>0</v>
      </c>
      <c r="H4332" s="115">
        <v>0</v>
      </c>
      <c r="I4332" s="115">
        <v>0</v>
      </c>
      <c r="J4332" s="115">
        <v>0</v>
      </c>
      <c r="K4332" s="115">
        <v>0</v>
      </c>
    </row>
    <row r="4333" spans="2:11" x14ac:dyDescent="0.25">
      <c r="B4333" s="115" t="s">
        <v>1241</v>
      </c>
      <c r="D4333" s="115" t="s">
        <v>8710</v>
      </c>
      <c r="E4333" s="115" t="s">
        <v>1242</v>
      </c>
      <c r="F4333" s="115">
        <v>0</v>
      </c>
      <c r="G4333" s="115">
        <v>0</v>
      </c>
      <c r="H4333" s="115">
        <v>0</v>
      </c>
      <c r="I4333" s="115">
        <v>0</v>
      </c>
      <c r="J4333" s="115">
        <v>0</v>
      </c>
      <c r="K4333" s="115">
        <v>0</v>
      </c>
    </row>
    <row r="4334" spans="2:11" x14ac:dyDescent="0.25">
      <c r="B4334" s="115" t="s">
        <v>1241</v>
      </c>
      <c r="D4334" s="115" t="s">
        <v>8710</v>
      </c>
      <c r="E4334" s="115" t="s">
        <v>1242</v>
      </c>
      <c r="F4334" s="115">
        <v>0</v>
      </c>
      <c r="G4334" s="115">
        <v>0</v>
      </c>
      <c r="H4334" s="115">
        <v>0</v>
      </c>
      <c r="I4334" s="115">
        <v>0</v>
      </c>
      <c r="J4334" s="115">
        <v>0</v>
      </c>
      <c r="K4334" s="115">
        <v>0</v>
      </c>
    </row>
    <row r="4335" spans="2:11" x14ac:dyDescent="0.25">
      <c r="B4335" s="115" t="s">
        <v>1241</v>
      </c>
      <c r="D4335" s="115" t="s">
        <v>8710</v>
      </c>
      <c r="E4335" s="115" t="s">
        <v>1242</v>
      </c>
      <c r="F4335" s="115">
        <v>0</v>
      </c>
      <c r="G4335" s="115">
        <v>0</v>
      </c>
      <c r="H4335" s="115">
        <v>0</v>
      </c>
      <c r="I4335" s="115">
        <v>0</v>
      </c>
      <c r="J4335" s="115">
        <v>0</v>
      </c>
      <c r="K4335" s="115">
        <v>0</v>
      </c>
    </row>
    <row r="4336" spans="2:11" x14ac:dyDescent="0.25">
      <c r="B4336" s="115" t="s">
        <v>1241</v>
      </c>
      <c r="D4336" s="115" t="s">
        <v>8710</v>
      </c>
      <c r="E4336" s="115" t="s">
        <v>1242</v>
      </c>
      <c r="F4336" s="115">
        <v>0</v>
      </c>
      <c r="G4336" s="115">
        <v>0</v>
      </c>
      <c r="H4336" s="115">
        <v>0</v>
      </c>
      <c r="I4336" s="115">
        <v>0</v>
      </c>
      <c r="J4336" s="115">
        <v>0</v>
      </c>
      <c r="K4336" s="115">
        <v>0</v>
      </c>
    </row>
    <row r="4337" spans="2:11" x14ac:dyDescent="0.25">
      <c r="B4337" s="115" t="s">
        <v>1241</v>
      </c>
      <c r="D4337" s="115" t="s">
        <v>8710</v>
      </c>
      <c r="E4337" s="115" t="s">
        <v>1242</v>
      </c>
      <c r="F4337" s="115">
        <v>0</v>
      </c>
      <c r="G4337" s="115">
        <v>0</v>
      </c>
      <c r="H4337" s="115">
        <v>0</v>
      </c>
      <c r="I4337" s="115">
        <v>0</v>
      </c>
      <c r="J4337" s="115">
        <v>0</v>
      </c>
      <c r="K4337" s="115">
        <v>0</v>
      </c>
    </row>
    <row r="4338" spans="2:11" x14ac:dyDescent="0.25">
      <c r="B4338" s="115" t="s">
        <v>1241</v>
      </c>
      <c r="D4338" s="115" t="s">
        <v>8710</v>
      </c>
      <c r="E4338" s="115" t="s">
        <v>1242</v>
      </c>
      <c r="F4338" s="115">
        <v>0</v>
      </c>
      <c r="G4338" s="115">
        <v>0</v>
      </c>
      <c r="H4338" s="115">
        <v>0</v>
      </c>
      <c r="I4338" s="115">
        <v>0</v>
      </c>
      <c r="J4338" s="115">
        <v>0</v>
      </c>
      <c r="K4338" s="115">
        <v>0</v>
      </c>
    </row>
    <row r="4339" spans="2:11" x14ac:dyDescent="0.25">
      <c r="B4339" s="115" t="s">
        <v>1241</v>
      </c>
      <c r="D4339" s="115" t="s">
        <v>8710</v>
      </c>
      <c r="E4339" s="115" t="s">
        <v>1242</v>
      </c>
      <c r="F4339" s="115">
        <v>0</v>
      </c>
      <c r="G4339" s="115">
        <v>0</v>
      </c>
      <c r="H4339" s="115">
        <v>0</v>
      </c>
      <c r="I4339" s="115">
        <v>0</v>
      </c>
      <c r="J4339" s="115">
        <v>0</v>
      </c>
      <c r="K4339" s="115">
        <v>0</v>
      </c>
    </row>
    <row r="4340" spans="2:11" x14ac:dyDescent="0.25">
      <c r="B4340" s="115" t="s">
        <v>1241</v>
      </c>
      <c r="D4340" s="115" t="s">
        <v>8710</v>
      </c>
      <c r="E4340" s="115" t="s">
        <v>1242</v>
      </c>
      <c r="F4340" s="115">
        <v>0</v>
      </c>
      <c r="G4340" s="115">
        <v>0</v>
      </c>
      <c r="H4340" s="115">
        <v>0</v>
      </c>
      <c r="I4340" s="115">
        <v>0</v>
      </c>
      <c r="J4340" s="115">
        <v>0</v>
      </c>
      <c r="K4340" s="115">
        <v>0</v>
      </c>
    </row>
    <row r="4341" spans="2:11" x14ac:dyDescent="0.25">
      <c r="B4341" s="115" t="s">
        <v>1241</v>
      </c>
      <c r="D4341" s="115" t="s">
        <v>8710</v>
      </c>
      <c r="E4341" s="115" t="s">
        <v>1242</v>
      </c>
      <c r="F4341" s="115">
        <v>0</v>
      </c>
      <c r="G4341" s="115">
        <v>0</v>
      </c>
      <c r="H4341" s="115">
        <v>0</v>
      </c>
      <c r="I4341" s="115">
        <v>0</v>
      </c>
      <c r="J4341" s="115">
        <v>0</v>
      </c>
      <c r="K4341" s="115">
        <v>0</v>
      </c>
    </row>
    <row r="4342" spans="2:11" x14ac:dyDescent="0.25">
      <c r="B4342" s="115" t="s">
        <v>1241</v>
      </c>
      <c r="D4342" s="115" t="s">
        <v>8710</v>
      </c>
      <c r="E4342" s="115" t="s">
        <v>1242</v>
      </c>
      <c r="F4342" s="115">
        <v>0</v>
      </c>
      <c r="G4342" s="115">
        <v>0</v>
      </c>
      <c r="H4342" s="115">
        <v>0</v>
      </c>
      <c r="I4342" s="115">
        <v>0</v>
      </c>
      <c r="J4342" s="115">
        <v>0</v>
      </c>
      <c r="K4342" s="115">
        <v>0</v>
      </c>
    </row>
    <row r="4343" spans="2:11" x14ac:dyDescent="0.25">
      <c r="B4343" s="115" t="s">
        <v>1241</v>
      </c>
      <c r="D4343" s="115" t="s">
        <v>8710</v>
      </c>
      <c r="E4343" s="115" t="s">
        <v>1242</v>
      </c>
      <c r="F4343" s="115">
        <v>0</v>
      </c>
      <c r="G4343" s="115">
        <v>0</v>
      </c>
      <c r="H4343" s="115">
        <v>0</v>
      </c>
      <c r="I4343" s="115">
        <v>0</v>
      </c>
      <c r="J4343" s="115">
        <v>0</v>
      </c>
      <c r="K4343" s="115">
        <v>0</v>
      </c>
    </row>
    <row r="4344" spans="2:11" x14ac:dyDescent="0.25">
      <c r="B4344" s="115" t="s">
        <v>1241</v>
      </c>
      <c r="D4344" s="115" t="s">
        <v>8710</v>
      </c>
      <c r="E4344" s="115" t="s">
        <v>1242</v>
      </c>
      <c r="F4344" s="115">
        <v>0</v>
      </c>
      <c r="G4344" s="115">
        <v>0</v>
      </c>
      <c r="H4344" s="115">
        <v>0</v>
      </c>
      <c r="I4344" s="115">
        <v>0</v>
      </c>
      <c r="J4344" s="115">
        <v>0</v>
      </c>
      <c r="K4344" s="115">
        <v>0</v>
      </c>
    </row>
    <row r="4345" spans="2:11" x14ac:dyDescent="0.25">
      <c r="B4345" s="115" t="s">
        <v>1241</v>
      </c>
      <c r="D4345" s="115" t="s">
        <v>8710</v>
      </c>
      <c r="E4345" s="115" t="s">
        <v>1242</v>
      </c>
      <c r="F4345" s="115">
        <v>0</v>
      </c>
      <c r="G4345" s="115">
        <v>0</v>
      </c>
      <c r="H4345" s="115">
        <v>0</v>
      </c>
      <c r="I4345" s="115">
        <v>0</v>
      </c>
      <c r="J4345" s="115">
        <v>0</v>
      </c>
      <c r="K4345" s="115">
        <v>0</v>
      </c>
    </row>
    <row r="4346" spans="2:11" x14ac:dyDescent="0.25">
      <c r="B4346" s="115" t="s">
        <v>1241</v>
      </c>
      <c r="D4346" s="115" t="s">
        <v>8710</v>
      </c>
      <c r="E4346" s="115" t="s">
        <v>1242</v>
      </c>
      <c r="F4346" s="115">
        <v>0</v>
      </c>
      <c r="G4346" s="115">
        <v>0</v>
      </c>
      <c r="H4346" s="115">
        <v>0</v>
      </c>
      <c r="I4346" s="115">
        <v>0</v>
      </c>
      <c r="J4346" s="115">
        <v>0</v>
      </c>
      <c r="K4346" s="115">
        <v>0</v>
      </c>
    </row>
    <row r="4347" spans="2:11" x14ac:dyDescent="0.25">
      <c r="B4347" s="115" t="s">
        <v>1241</v>
      </c>
      <c r="D4347" s="115" t="s">
        <v>8710</v>
      </c>
      <c r="E4347" s="115" t="s">
        <v>1242</v>
      </c>
      <c r="F4347" s="115">
        <v>0</v>
      </c>
      <c r="G4347" s="115">
        <v>0</v>
      </c>
      <c r="H4347" s="115">
        <v>0</v>
      </c>
      <c r="I4347" s="115">
        <v>0</v>
      </c>
      <c r="J4347" s="115">
        <v>0</v>
      </c>
      <c r="K4347" s="115">
        <v>0</v>
      </c>
    </row>
    <row r="4348" spans="2:11" x14ac:dyDescent="0.25">
      <c r="B4348" s="115" t="s">
        <v>1241</v>
      </c>
      <c r="D4348" s="115" t="s">
        <v>8710</v>
      </c>
      <c r="E4348" s="115" t="s">
        <v>1242</v>
      </c>
      <c r="F4348" s="115">
        <v>0</v>
      </c>
      <c r="G4348" s="115">
        <v>0</v>
      </c>
      <c r="H4348" s="115">
        <v>0</v>
      </c>
      <c r="I4348" s="115">
        <v>0</v>
      </c>
      <c r="J4348" s="115">
        <v>0</v>
      </c>
      <c r="K4348" s="115">
        <v>0</v>
      </c>
    </row>
    <row r="4349" spans="2:11" x14ac:dyDescent="0.25">
      <c r="B4349" s="115" t="s">
        <v>1241</v>
      </c>
      <c r="D4349" s="115" t="s">
        <v>8710</v>
      </c>
      <c r="E4349" s="115" t="s">
        <v>1242</v>
      </c>
      <c r="F4349" s="115">
        <v>0</v>
      </c>
      <c r="G4349" s="115">
        <v>0</v>
      </c>
      <c r="H4349" s="115">
        <v>0</v>
      </c>
      <c r="I4349" s="115">
        <v>0</v>
      </c>
      <c r="J4349" s="115">
        <v>0</v>
      </c>
      <c r="K4349" s="115">
        <v>0</v>
      </c>
    </row>
    <row r="4350" spans="2:11" x14ac:dyDescent="0.25">
      <c r="B4350" s="115" t="s">
        <v>1241</v>
      </c>
      <c r="D4350" s="115" t="s">
        <v>8710</v>
      </c>
      <c r="E4350" s="115" t="s">
        <v>1242</v>
      </c>
      <c r="F4350" s="115">
        <v>0</v>
      </c>
      <c r="G4350" s="115">
        <v>0</v>
      </c>
      <c r="H4350" s="115">
        <v>0</v>
      </c>
      <c r="I4350" s="115">
        <v>0</v>
      </c>
      <c r="J4350" s="115">
        <v>0</v>
      </c>
      <c r="K4350" s="115">
        <v>0</v>
      </c>
    </row>
    <row r="4351" spans="2:11" x14ac:dyDescent="0.25">
      <c r="B4351" s="115" t="s">
        <v>1241</v>
      </c>
      <c r="D4351" s="115" t="s">
        <v>8710</v>
      </c>
      <c r="E4351" s="115" t="s">
        <v>1242</v>
      </c>
      <c r="F4351" s="115">
        <v>0</v>
      </c>
      <c r="G4351" s="115">
        <v>0</v>
      </c>
      <c r="H4351" s="115">
        <v>0</v>
      </c>
      <c r="I4351" s="115">
        <v>0</v>
      </c>
      <c r="J4351" s="115">
        <v>0</v>
      </c>
      <c r="K4351" s="115">
        <v>0</v>
      </c>
    </row>
    <row r="4352" spans="2:11" x14ac:dyDescent="0.25">
      <c r="B4352" s="115" t="s">
        <v>1241</v>
      </c>
      <c r="D4352" s="115" t="s">
        <v>8710</v>
      </c>
      <c r="E4352" s="115" t="s">
        <v>1242</v>
      </c>
      <c r="F4352" s="115">
        <v>0</v>
      </c>
      <c r="G4352" s="115">
        <v>0</v>
      </c>
      <c r="H4352" s="115">
        <v>0</v>
      </c>
      <c r="I4352" s="115">
        <v>0</v>
      </c>
      <c r="J4352" s="115">
        <v>0</v>
      </c>
      <c r="K4352" s="115">
        <v>0</v>
      </c>
    </row>
    <row r="4353" spans="2:11" x14ac:dyDescent="0.25">
      <c r="B4353" s="115" t="s">
        <v>1241</v>
      </c>
      <c r="D4353" s="115" t="s">
        <v>8710</v>
      </c>
      <c r="E4353" s="115" t="s">
        <v>1242</v>
      </c>
      <c r="F4353" s="115">
        <v>0</v>
      </c>
      <c r="G4353" s="115">
        <v>0</v>
      </c>
      <c r="H4353" s="115">
        <v>0</v>
      </c>
      <c r="I4353" s="115">
        <v>0</v>
      </c>
      <c r="J4353" s="115">
        <v>0</v>
      </c>
      <c r="K4353" s="115">
        <v>0</v>
      </c>
    </row>
    <row r="4354" spans="2:11" x14ac:dyDescent="0.25">
      <c r="B4354" s="115" t="s">
        <v>1241</v>
      </c>
      <c r="D4354" s="115" t="s">
        <v>8710</v>
      </c>
      <c r="E4354" s="115" t="s">
        <v>1242</v>
      </c>
      <c r="F4354" s="115">
        <v>0</v>
      </c>
      <c r="G4354" s="115">
        <v>0</v>
      </c>
      <c r="H4354" s="115">
        <v>0</v>
      </c>
      <c r="I4354" s="115">
        <v>0</v>
      </c>
      <c r="J4354" s="115">
        <v>0</v>
      </c>
      <c r="K4354" s="115">
        <v>0</v>
      </c>
    </row>
    <row r="4355" spans="2:11" x14ac:dyDescent="0.25">
      <c r="B4355" s="115" t="s">
        <v>1241</v>
      </c>
      <c r="D4355" s="115" t="s">
        <v>8710</v>
      </c>
      <c r="E4355" s="115" t="s">
        <v>1242</v>
      </c>
      <c r="F4355" s="115">
        <v>0</v>
      </c>
      <c r="G4355" s="115">
        <v>0</v>
      </c>
      <c r="H4355" s="115">
        <v>0</v>
      </c>
      <c r="I4355" s="115">
        <v>0</v>
      </c>
      <c r="J4355" s="115">
        <v>0</v>
      </c>
      <c r="K4355" s="115">
        <v>0</v>
      </c>
    </row>
    <row r="4356" spans="2:11" x14ac:dyDescent="0.25">
      <c r="B4356" s="115" t="s">
        <v>1241</v>
      </c>
      <c r="D4356" s="115" t="s">
        <v>8710</v>
      </c>
      <c r="E4356" s="115" t="s">
        <v>1242</v>
      </c>
      <c r="F4356" s="115">
        <v>0</v>
      </c>
      <c r="G4356" s="115">
        <v>0</v>
      </c>
      <c r="H4356" s="115">
        <v>0</v>
      </c>
      <c r="I4356" s="115">
        <v>0</v>
      </c>
      <c r="J4356" s="115">
        <v>0</v>
      </c>
      <c r="K4356" s="115">
        <v>0</v>
      </c>
    </row>
    <row r="4357" spans="2:11" x14ac:dyDescent="0.25">
      <c r="B4357" s="115" t="s">
        <v>1241</v>
      </c>
      <c r="D4357" s="115" t="s">
        <v>8710</v>
      </c>
      <c r="E4357" s="115" t="s">
        <v>1242</v>
      </c>
      <c r="F4357" s="115">
        <v>0</v>
      </c>
      <c r="G4357" s="115">
        <v>0</v>
      </c>
      <c r="H4357" s="115">
        <v>0</v>
      </c>
      <c r="I4357" s="115">
        <v>0</v>
      </c>
      <c r="J4357" s="115">
        <v>0</v>
      </c>
      <c r="K4357" s="115">
        <v>0</v>
      </c>
    </row>
    <row r="4358" spans="2:11" x14ac:dyDescent="0.25">
      <c r="B4358" s="115" t="s">
        <v>1241</v>
      </c>
      <c r="D4358" s="115" t="s">
        <v>8710</v>
      </c>
      <c r="E4358" s="115" t="s">
        <v>1242</v>
      </c>
      <c r="F4358" s="115">
        <v>0</v>
      </c>
      <c r="G4358" s="115">
        <v>0</v>
      </c>
      <c r="H4358" s="115">
        <v>0</v>
      </c>
      <c r="I4358" s="115">
        <v>0</v>
      </c>
      <c r="J4358" s="115">
        <v>0</v>
      </c>
      <c r="K4358" s="115">
        <v>0</v>
      </c>
    </row>
    <row r="4359" spans="2:11" x14ac:dyDescent="0.25">
      <c r="B4359" s="115" t="s">
        <v>1241</v>
      </c>
      <c r="D4359" s="115" t="s">
        <v>8710</v>
      </c>
      <c r="E4359" s="115" t="s">
        <v>1242</v>
      </c>
      <c r="F4359" s="115">
        <v>0</v>
      </c>
      <c r="G4359" s="115">
        <v>0</v>
      </c>
      <c r="H4359" s="115">
        <v>0</v>
      </c>
      <c r="I4359" s="115">
        <v>0</v>
      </c>
      <c r="J4359" s="115">
        <v>0</v>
      </c>
      <c r="K4359" s="115">
        <v>0</v>
      </c>
    </row>
    <row r="4360" spans="2:11" x14ac:dyDescent="0.25">
      <c r="B4360" s="115" t="s">
        <v>1241</v>
      </c>
      <c r="D4360" s="115" t="s">
        <v>8710</v>
      </c>
      <c r="E4360" s="115" t="s">
        <v>1242</v>
      </c>
      <c r="F4360" s="115">
        <v>0</v>
      </c>
      <c r="G4360" s="115">
        <v>0</v>
      </c>
      <c r="H4360" s="115">
        <v>0</v>
      </c>
      <c r="I4360" s="115">
        <v>0</v>
      </c>
      <c r="J4360" s="115">
        <v>0</v>
      </c>
      <c r="K4360" s="115">
        <v>0</v>
      </c>
    </row>
    <row r="4361" spans="2:11" x14ac:dyDescent="0.25">
      <c r="B4361" s="115" t="s">
        <v>1241</v>
      </c>
      <c r="D4361" s="115" t="s">
        <v>8710</v>
      </c>
      <c r="E4361" s="115" t="s">
        <v>1242</v>
      </c>
      <c r="F4361" s="115">
        <v>0</v>
      </c>
      <c r="G4361" s="115">
        <v>0</v>
      </c>
      <c r="H4361" s="115">
        <v>0</v>
      </c>
      <c r="I4361" s="115">
        <v>0</v>
      </c>
      <c r="J4361" s="115">
        <v>0</v>
      </c>
      <c r="K4361" s="115">
        <v>0</v>
      </c>
    </row>
    <row r="4362" spans="2:11" x14ac:dyDescent="0.25">
      <c r="B4362" s="115" t="s">
        <v>1241</v>
      </c>
      <c r="D4362" s="115" t="s">
        <v>8710</v>
      </c>
      <c r="E4362" s="115" t="s">
        <v>1242</v>
      </c>
      <c r="F4362" s="115">
        <v>0</v>
      </c>
      <c r="G4362" s="115">
        <v>0</v>
      </c>
      <c r="H4362" s="115">
        <v>0</v>
      </c>
      <c r="I4362" s="115">
        <v>0</v>
      </c>
      <c r="J4362" s="115">
        <v>0</v>
      </c>
      <c r="K4362" s="115">
        <v>0</v>
      </c>
    </row>
    <row r="4363" spans="2:11" x14ac:dyDescent="0.25">
      <c r="B4363" s="115" t="s">
        <v>1241</v>
      </c>
      <c r="D4363" s="115" t="s">
        <v>8710</v>
      </c>
      <c r="E4363" s="115" t="s">
        <v>1242</v>
      </c>
      <c r="F4363" s="115">
        <v>0</v>
      </c>
      <c r="G4363" s="115">
        <v>0</v>
      </c>
      <c r="H4363" s="115">
        <v>0</v>
      </c>
      <c r="I4363" s="115">
        <v>0</v>
      </c>
      <c r="J4363" s="115">
        <v>0</v>
      </c>
      <c r="K4363" s="115">
        <v>0</v>
      </c>
    </row>
    <row r="4364" spans="2:11" x14ac:dyDescent="0.25">
      <c r="B4364" s="115" t="s">
        <v>1241</v>
      </c>
      <c r="D4364" s="115" t="s">
        <v>8710</v>
      </c>
      <c r="E4364" s="115" t="s">
        <v>1242</v>
      </c>
      <c r="F4364" s="115">
        <v>0</v>
      </c>
      <c r="G4364" s="115">
        <v>0</v>
      </c>
      <c r="H4364" s="115">
        <v>0</v>
      </c>
      <c r="I4364" s="115">
        <v>0</v>
      </c>
      <c r="J4364" s="115">
        <v>0</v>
      </c>
      <c r="K4364" s="115">
        <v>0</v>
      </c>
    </row>
    <row r="4365" spans="2:11" x14ac:dyDescent="0.25">
      <c r="B4365" s="115" t="s">
        <v>1241</v>
      </c>
      <c r="D4365" s="115" t="s">
        <v>8710</v>
      </c>
      <c r="E4365" s="115" t="s">
        <v>1242</v>
      </c>
      <c r="F4365" s="115">
        <v>0</v>
      </c>
      <c r="G4365" s="115">
        <v>0</v>
      </c>
      <c r="H4365" s="115">
        <v>0</v>
      </c>
      <c r="I4365" s="115">
        <v>0</v>
      </c>
      <c r="J4365" s="115">
        <v>0</v>
      </c>
      <c r="K4365" s="115">
        <v>0</v>
      </c>
    </row>
    <row r="4366" spans="2:11" x14ac:dyDescent="0.25">
      <c r="B4366" s="115" t="s">
        <v>1241</v>
      </c>
      <c r="D4366" s="115" t="s">
        <v>8710</v>
      </c>
      <c r="E4366" s="115" t="s">
        <v>1242</v>
      </c>
      <c r="F4366" s="115">
        <v>0</v>
      </c>
      <c r="G4366" s="115">
        <v>0</v>
      </c>
      <c r="H4366" s="115">
        <v>0</v>
      </c>
      <c r="I4366" s="115">
        <v>0</v>
      </c>
      <c r="J4366" s="115">
        <v>0</v>
      </c>
      <c r="K4366" s="115">
        <v>0</v>
      </c>
    </row>
    <row r="4367" spans="2:11" x14ac:dyDescent="0.25">
      <c r="B4367" s="115" t="s">
        <v>1241</v>
      </c>
      <c r="D4367" s="115" t="s">
        <v>8710</v>
      </c>
      <c r="E4367" s="115" t="s">
        <v>1242</v>
      </c>
      <c r="F4367" s="115">
        <v>0</v>
      </c>
      <c r="G4367" s="115">
        <v>0</v>
      </c>
      <c r="H4367" s="115">
        <v>0</v>
      </c>
      <c r="I4367" s="115">
        <v>0</v>
      </c>
      <c r="J4367" s="115">
        <v>0</v>
      </c>
      <c r="K4367" s="115">
        <v>0</v>
      </c>
    </row>
    <row r="4368" spans="2:11" x14ac:dyDescent="0.25">
      <c r="B4368" s="115" t="s">
        <v>1241</v>
      </c>
      <c r="D4368" s="115" t="s">
        <v>8710</v>
      </c>
      <c r="E4368" s="115" t="s">
        <v>1242</v>
      </c>
      <c r="F4368" s="115">
        <v>0</v>
      </c>
      <c r="G4368" s="115">
        <v>0</v>
      </c>
      <c r="H4368" s="115">
        <v>0</v>
      </c>
      <c r="I4368" s="115">
        <v>0</v>
      </c>
      <c r="J4368" s="115">
        <v>0</v>
      </c>
      <c r="K4368" s="115">
        <v>0</v>
      </c>
    </row>
    <row r="4369" spans="2:11" x14ac:dyDescent="0.25">
      <c r="B4369" s="115" t="s">
        <v>1241</v>
      </c>
      <c r="D4369" s="115" t="s">
        <v>8710</v>
      </c>
      <c r="E4369" s="115" t="s">
        <v>1242</v>
      </c>
      <c r="F4369" s="115">
        <v>0</v>
      </c>
      <c r="G4369" s="115">
        <v>0</v>
      </c>
      <c r="H4369" s="115">
        <v>0</v>
      </c>
      <c r="I4369" s="115">
        <v>0</v>
      </c>
      <c r="J4369" s="115">
        <v>0</v>
      </c>
      <c r="K4369" s="115">
        <v>0</v>
      </c>
    </row>
    <row r="4370" spans="2:11" x14ac:dyDescent="0.25">
      <c r="B4370" s="115" t="s">
        <v>1241</v>
      </c>
      <c r="D4370" s="115" t="s">
        <v>8710</v>
      </c>
      <c r="E4370" s="115" t="s">
        <v>1242</v>
      </c>
      <c r="F4370" s="115">
        <v>0</v>
      </c>
      <c r="G4370" s="115">
        <v>0</v>
      </c>
      <c r="H4370" s="115">
        <v>0</v>
      </c>
      <c r="I4370" s="115">
        <v>0</v>
      </c>
      <c r="J4370" s="115">
        <v>0</v>
      </c>
      <c r="K4370" s="115">
        <v>0</v>
      </c>
    </row>
    <row r="4371" spans="2:11" x14ac:dyDescent="0.25">
      <c r="B4371" s="115" t="s">
        <v>1241</v>
      </c>
      <c r="D4371" s="115" t="s">
        <v>8710</v>
      </c>
      <c r="E4371" s="115" t="s">
        <v>1242</v>
      </c>
      <c r="F4371" s="115">
        <v>0</v>
      </c>
      <c r="G4371" s="115">
        <v>0</v>
      </c>
      <c r="H4371" s="115">
        <v>0</v>
      </c>
      <c r="I4371" s="115">
        <v>0</v>
      </c>
      <c r="J4371" s="115">
        <v>0</v>
      </c>
      <c r="K4371" s="115">
        <v>0</v>
      </c>
    </row>
    <row r="4372" spans="2:11" x14ac:dyDescent="0.25">
      <c r="B4372" s="115" t="s">
        <v>1241</v>
      </c>
      <c r="D4372" s="115" t="s">
        <v>8710</v>
      </c>
      <c r="E4372" s="115" t="s">
        <v>1242</v>
      </c>
      <c r="F4372" s="115">
        <v>0</v>
      </c>
      <c r="G4372" s="115">
        <v>0</v>
      </c>
      <c r="H4372" s="115">
        <v>0</v>
      </c>
      <c r="I4372" s="115">
        <v>0</v>
      </c>
      <c r="J4372" s="115">
        <v>0</v>
      </c>
      <c r="K4372" s="115">
        <v>0</v>
      </c>
    </row>
    <row r="4373" spans="2:11" x14ac:dyDescent="0.25">
      <c r="B4373" s="115" t="s">
        <v>1241</v>
      </c>
      <c r="D4373" s="115" t="s">
        <v>8710</v>
      </c>
      <c r="E4373" s="115" t="s">
        <v>1242</v>
      </c>
      <c r="F4373" s="115">
        <v>0</v>
      </c>
      <c r="G4373" s="115">
        <v>0</v>
      </c>
      <c r="H4373" s="115">
        <v>0</v>
      </c>
      <c r="I4373" s="115">
        <v>0</v>
      </c>
      <c r="J4373" s="115">
        <v>0</v>
      </c>
      <c r="K4373" s="115">
        <v>0</v>
      </c>
    </row>
    <row r="4374" spans="2:11" x14ac:dyDescent="0.25">
      <c r="B4374" s="115" t="s">
        <v>1241</v>
      </c>
      <c r="D4374" s="115" t="s">
        <v>8710</v>
      </c>
      <c r="E4374" s="115" t="s">
        <v>1242</v>
      </c>
      <c r="F4374" s="115">
        <v>0</v>
      </c>
      <c r="G4374" s="115">
        <v>0</v>
      </c>
      <c r="H4374" s="115">
        <v>0</v>
      </c>
      <c r="I4374" s="115">
        <v>0</v>
      </c>
      <c r="J4374" s="115">
        <v>0</v>
      </c>
      <c r="K4374" s="115">
        <v>0</v>
      </c>
    </row>
    <row r="4375" spans="2:11" x14ac:dyDescent="0.25">
      <c r="B4375" s="115" t="s">
        <v>1241</v>
      </c>
      <c r="D4375" s="115" t="s">
        <v>8710</v>
      </c>
      <c r="E4375" s="115" t="s">
        <v>1242</v>
      </c>
      <c r="F4375" s="115">
        <v>0</v>
      </c>
      <c r="G4375" s="115">
        <v>0</v>
      </c>
      <c r="H4375" s="115">
        <v>0</v>
      </c>
      <c r="I4375" s="115">
        <v>0</v>
      </c>
      <c r="J4375" s="115">
        <v>0</v>
      </c>
      <c r="K4375" s="115">
        <v>0</v>
      </c>
    </row>
    <row r="4376" spans="2:11" x14ac:dyDescent="0.25">
      <c r="B4376" s="115" t="s">
        <v>1241</v>
      </c>
      <c r="D4376" s="115" t="s">
        <v>8710</v>
      </c>
      <c r="E4376" s="115" t="s">
        <v>1242</v>
      </c>
      <c r="F4376" s="115">
        <v>0</v>
      </c>
      <c r="G4376" s="115">
        <v>0</v>
      </c>
      <c r="H4376" s="115">
        <v>0</v>
      </c>
      <c r="I4376" s="115">
        <v>0</v>
      </c>
      <c r="J4376" s="115">
        <v>0</v>
      </c>
      <c r="K4376" s="115">
        <v>0</v>
      </c>
    </row>
    <row r="4377" spans="2:11" x14ac:dyDescent="0.25">
      <c r="B4377" s="115" t="s">
        <v>1241</v>
      </c>
      <c r="D4377" s="115" t="s">
        <v>8710</v>
      </c>
      <c r="E4377" s="115" t="s">
        <v>1242</v>
      </c>
      <c r="F4377" s="115">
        <v>0</v>
      </c>
      <c r="G4377" s="115">
        <v>0</v>
      </c>
      <c r="H4377" s="115">
        <v>0</v>
      </c>
      <c r="I4377" s="115">
        <v>0</v>
      </c>
      <c r="J4377" s="115">
        <v>0</v>
      </c>
      <c r="K4377" s="115">
        <v>0</v>
      </c>
    </row>
    <row r="4378" spans="2:11" x14ac:dyDescent="0.25">
      <c r="B4378" s="115" t="s">
        <v>1241</v>
      </c>
      <c r="D4378" s="115" t="s">
        <v>8710</v>
      </c>
      <c r="E4378" s="115" t="s">
        <v>1242</v>
      </c>
      <c r="F4378" s="115">
        <v>0</v>
      </c>
      <c r="G4378" s="115">
        <v>0</v>
      </c>
      <c r="H4378" s="115">
        <v>0</v>
      </c>
      <c r="I4378" s="115">
        <v>0</v>
      </c>
      <c r="J4378" s="115">
        <v>0</v>
      </c>
      <c r="K4378" s="115">
        <v>0</v>
      </c>
    </row>
    <row r="4379" spans="2:11" x14ac:dyDescent="0.25">
      <c r="B4379" s="115" t="s">
        <v>1241</v>
      </c>
      <c r="D4379" s="115" t="s">
        <v>8710</v>
      </c>
      <c r="E4379" s="115" t="s">
        <v>1242</v>
      </c>
      <c r="F4379" s="115">
        <v>0</v>
      </c>
      <c r="G4379" s="115">
        <v>0</v>
      </c>
      <c r="H4379" s="115">
        <v>0</v>
      </c>
      <c r="I4379" s="115">
        <v>0</v>
      </c>
      <c r="J4379" s="115">
        <v>0</v>
      </c>
      <c r="K4379" s="115">
        <v>0</v>
      </c>
    </row>
    <row r="4380" spans="2:11" x14ac:dyDescent="0.25">
      <c r="B4380" s="115" t="s">
        <v>1241</v>
      </c>
      <c r="D4380" s="115" t="s">
        <v>8710</v>
      </c>
      <c r="E4380" s="115" t="s">
        <v>1242</v>
      </c>
      <c r="F4380" s="115">
        <v>0</v>
      </c>
      <c r="G4380" s="115">
        <v>0</v>
      </c>
      <c r="H4380" s="115">
        <v>0</v>
      </c>
      <c r="I4380" s="115">
        <v>0</v>
      </c>
      <c r="J4380" s="115">
        <v>0</v>
      </c>
      <c r="K4380" s="115">
        <v>0</v>
      </c>
    </row>
    <row r="4381" spans="2:11" x14ac:dyDescent="0.25">
      <c r="B4381" s="115" t="s">
        <v>1241</v>
      </c>
      <c r="D4381" s="115" t="s">
        <v>8710</v>
      </c>
      <c r="E4381" s="115" t="s">
        <v>1242</v>
      </c>
      <c r="F4381" s="115">
        <v>0</v>
      </c>
      <c r="G4381" s="115">
        <v>0</v>
      </c>
      <c r="H4381" s="115">
        <v>0</v>
      </c>
      <c r="I4381" s="115">
        <v>0</v>
      </c>
      <c r="J4381" s="115">
        <v>0</v>
      </c>
      <c r="K4381" s="115">
        <v>0</v>
      </c>
    </row>
    <row r="4382" spans="2:11" x14ac:dyDescent="0.25">
      <c r="B4382" s="115" t="s">
        <v>1241</v>
      </c>
      <c r="D4382" s="115" t="s">
        <v>8710</v>
      </c>
      <c r="E4382" s="115" t="s">
        <v>1242</v>
      </c>
      <c r="F4382" s="115">
        <v>0</v>
      </c>
      <c r="G4382" s="115">
        <v>0</v>
      </c>
      <c r="H4382" s="115">
        <v>0</v>
      </c>
      <c r="I4382" s="115">
        <v>0</v>
      </c>
      <c r="J4382" s="115">
        <v>0</v>
      </c>
      <c r="K4382" s="115">
        <v>0</v>
      </c>
    </row>
    <row r="4383" spans="2:11" x14ac:dyDescent="0.25">
      <c r="B4383" s="115" t="s">
        <v>1241</v>
      </c>
      <c r="D4383" s="115" t="s">
        <v>8710</v>
      </c>
      <c r="E4383" s="115" t="s">
        <v>1242</v>
      </c>
      <c r="F4383" s="115">
        <v>0</v>
      </c>
      <c r="G4383" s="115">
        <v>0</v>
      </c>
      <c r="H4383" s="115">
        <v>0</v>
      </c>
      <c r="I4383" s="115">
        <v>0</v>
      </c>
      <c r="J4383" s="115">
        <v>0</v>
      </c>
      <c r="K4383" s="115">
        <v>0</v>
      </c>
    </row>
    <row r="4384" spans="2:11" x14ac:dyDescent="0.25">
      <c r="B4384" s="115" t="s">
        <v>1241</v>
      </c>
      <c r="D4384" s="115" t="s">
        <v>8710</v>
      </c>
      <c r="E4384" s="115" t="s">
        <v>1242</v>
      </c>
      <c r="F4384" s="115">
        <v>0</v>
      </c>
      <c r="G4384" s="115">
        <v>0</v>
      </c>
      <c r="H4384" s="115">
        <v>0</v>
      </c>
      <c r="I4384" s="115">
        <v>0</v>
      </c>
      <c r="J4384" s="115">
        <v>0</v>
      </c>
      <c r="K4384" s="115">
        <v>0</v>
      </c>
    </row>
    <row r="4385" spans="2:11" x14ac:dyDescent="0.25">
      <c r="B4385" s="115" t="s">
        <v>1241</v>
      </c>
      <c r="D4385" s="115" t="s">
        <v>8710</v>
      </c>
      <c r="E4385" s="115" t="s">
        <v>1242</v>
      </c>
      <c r="F4385" s="115">
        <v>0</v>
      </c>
      <c r="G4385" s="115">
        <v>0</v>
      </c>
      <c r="H4385" s="115">
        <v>0</v>
      </c>
      <c r="I4385" s="115">
        <v>0</v>
      </c>
      <c r="J4385" s="115">
        <v>0</v>
      </c>
      <c r="K4385" s="115">
        <v>0</v>
      </c>
    </row>
    <row r="4386" spans="2:11" x14ac:dyDescent="0.25">
      <c r="B4386" s="115" t="s">
        <v>1241</v>
      </c>
      <c r="D4386" s="115" t="s">
        <v>8710</v>
      </c>
      <c r="E4386" s="115" t="s">
        <v>1242</v>
      </c>
      <c r="F4386" s="115">
        <v>0</v>
      </c>
      <c r="G4386" s="115">
        <v>0</v>
      </c>
      <c r="H4386" s="115">
        <v>0</v>
      </c>
      <c r="I4386" s="115">
        <v>0</v>
      </c>
      <c r="J4386" s="115">
        <v>0</v>
      </c>
      <c r="K4386" s="115">
        <v>0</v>
      </c>
    </row>
    <row r="4387" spans="2:11" x14ac:dyDescent="0.25">
      <c r="B4387" s="115" t="s">
        <v>1241</v>
      </c>
      <c r="D4387" s="115" t="s">
        <v>8710</v>
      </c>
      <c r="E4387" s="115" t="s">
        <v>1242</v>
      </c>
      <c r="F4387" s="115">
        <v>0</v>
      </c>
      <c r="G4387" s="115">
        <v>0</v>
      </c>
      <c r="H4387" s="115">
        <v>0</v>
      </c>
      <c r="I4387" s="115">
        <v>0</v>
      </c>
      <c r="J4387" s="115">
        <v>0</v>
      </c>
      <c r="K4387" s="115">
        <v>0</v>
      </c>
    </row>
    <row r="4388" spans="2:11" x14ac:dyDescent="0.25">
      <c r="B4388" s="115" t="s">
        <v>1241</v>
      </c>
      <c r="D4388" s="115" t="s">
        <v>8710</v>
      </c>
      <c r="E4388" s="115" t="s">
        <v>1242</v>
      </c>
      <c r="F4388" s="115">
        <v>0</v>
      </c>
      <c r="G4388" s="115">
        <v>0</v>
      </c>
      <c r="H4388" s="115">
        <v>0</v>
      </c>
      <c r="I4388" s="115">
        <v>0</v>
      </c>
      <c r="J4388" s="115">
        <v>0</v>
      </c>
      <c r="K4388" s="115">
        <v>0</v>
      </c>
    </row>
    <row r="4389" spans="2:11" x14ac:dyDescent="0.25">
      <c r="B4389" s="115" t="s">
        <v>1241</v>
      </c>
      <c r="D4389" s="115" t="s">
        <v>8710</v>
      </c>
      <c r="E4389" s="115" t="s">
        <v>1242</v>
      </c>
      <c r="F4389" s="115">
        <v>0</v>
      </c>
      <c r="G4389" s="115">
        <v>0</v>
      </c>
      <c r="H4389" s="115">
        <v>0</v>
      </c>
      <c r="I4389" s="115">
        <v>0</v>
      </c>
      <c r="J4389" s="115">
        <v>0</v>
      </c>
      <c r="K4389" s="115">
        <v>0</v>
      </c>
    </row>
    <row r="4390" spans="2:11" x14ac:dyDescent="0.25">
      <c r="B4390" s="115" t="s">
        <v>1241</v>
      </c>
      <c r="D4390" s="115" t="s">
        <v>8710</v>
      </c>
      <c r="E4390" s="115" t="s">
        <v>1242</v>
      </c>
      <c r="F4390" s="115">
        <v>0</v>
      </c>
      <c r="G4390" s="115">
        <v>0</v>
      </c>
      <c r="H4390" s="115">
        <v>0</v>
      </c>
      <c r="I4390" s="115">
        <v>0</v>
      </c>
      <c r="J4390" s="115">
        <v>0</v>
      </c>
      <c r="K4390" s="115">
        <v>0</v>
      </c>
    </row>
    <row r="4391" spans="2:11" x14ac:dyDescent="0.25">
      <c r="B4391" s="115" t="s">
        <v>1241</v>
      </c>
      <c r="D4391" s="115" t="s">
        <v>8710</v>
      </c>
      <c r="E4391" s="115" t="s">
        <v>1242</v>
      </c>
      <c r="F4391" s="115">
        <v>0</v>
      </c>
      <c r="G4391" s="115">
        <v>0</v>
      </c>
      <c r="H4391" s="115">
        <v>0</v>
      </c>
      <c r="I4391" s="115">
        <v>0</v>
      </c>
      <c r="J4391" s="115">
        <v>0</v>
      </c>
      <c r="K4391" s="115">
        <v>0</v>
      </c>
    </row>
    <row r="4392" spans="2:11" x14ac:dyDescent="0.25">
      <c r="B4392" s="115" t="s">
        <v>1241</v>
      </c>
      <c r="D4392" s="115" t="s">
        <v>8710</v>
      </c>
      <c r="E4392" s="115" t="s">
        <v>1242</v>
      </c>
      <c r="F4392" s="115">
        <v>0</v>
      </c>
      <c r="G4392" s="115">
        <v>0</v>
      </c>
      <c r="H4392" s="115">
        <v>0</v>
      </c>
      <c r="I4392" s="115">
        <v>0</v>
      </c>
      <c r="J4392" s="115">
        <v>0</v>
      </c>
      <c r="K4392" s="115">
        <v>0</v>
      </c>
    </row>
    <row r="4393" spans="2:11" x14ac:dyDescent="0.25">
      <c r="B4393" s="115" t="s">
        <v>1241</v>
      </c>
      <c r="D4393" s="115" t="s">
        <v>8710</v>
      </c>
      <c r="E4393" s="115" t="s">
        <v>1242</v>
      </c>
      <c r="F4393" s="115">
        <v>0</v>
      </c>
      <c r="G4393" s="115">
        <v>0</v>
      </c>
      <c r="H4393" s="115">
        <v>0</v>
      </c>
      <c r="I4393" s="115">
        <v>0</v>
      </c>
      <c r="J4393" s="115">
        <v>0</v>
      </c>
      <c r="K4393" s="115">
        <v>0</v>
      </c>
    </row>
    <row r="4394" spans="2:11" x14ac:dyDescent="0.25">
      <c r="B4394" s="115" t="s">
        <v>1241</v>
      </c>
      <c r="D4394" s="115" t="s">
        <v>8710</v>
      </c>
      <c r="E4394" s="115" t="s">
        <v>1242</v>
      </c>
      <c r="F4394" s="115">
        <v>0</v>
      </c>
      <c r="G4394" s="115">
        <v>0</v>
      </c>
      <c r="H4394" s="115">
        <v>0</v>
      </c>
      <c r="I4394" s="115">
        <v>0</v>
      </c>
      <c r="J4394" s="115">
        <v>0</v>
      </c>
      <c r="K4394" s="115">
        <v>0</v>
      </c>
    </row>
    <row r="4395" spans="2:11" x14ac:dyDescent="0.25">
      <c r="B4395" s="115" t="s">
        <v>1241</v>
      </c>
      <c r="D4395" s="115" t="s">
        <v>8710</v>
      </c>
      <c r="E4395" s="115" t="s">
        <v>1242</v>
      </c>
      <c r="F4395" s="115">
        <v>0</v>
      </c>
      <c r="G4395" s="115">
        <v>0</v>
      </c>
      <c r="H4395" s="115">
        <v>0</v>
      </c>
      <c r="I4395" s="115">
        <v>0</v>
      </c>
      <c r="J4395" s="115">
        <v>0</v>
      </c>
      <c r="K4395" s="115">
        <v>0</v>
      </c>
    </row>
    <row r="4396" spans="2:11" x14ac:dyDescent="0.25">
      <c r="B4396" s="115" t="s">
        <v>1241</v>
      </c>
      <c r="D4396" s="115" t="s">
        <v>8710</v>
      </c>
      <c r="E4396" s="115" t="s">
        <v>1242</v>
      </c>
      <c r="F4396" s="115">
        <v>0</v>
      </c>
      <c r="G4396" s="115">
        <v>0</v>
      </c>
      <c r="H4396" s="115">
        <v>0</v>
      </c>
      <c r="I4396" s="115">
        <v>0</v>
      </c>
      <c r="J4396" s="115">
        <v>0</v>
      </c>
      <c r="K4396" s="115">
        <v>0</v>
      </c>
    </row>
    <row r="4397" spans="2:11" x14ac:dyDescent="0.25">
      <c r="B4397" s="115" t="s">
        <v>1241</v>
      </c>
      <c r="D4397" s="115" t="s">
        <v>8710</v>
      </c>
      <c r="E4397" s="115" t="s">
        <v>1242</v>
      </c>
      <c r="F4397" s="115">
        <v>0</v>
      </c>
      <c r="G4397" s="115">
        <v>0</v>
      </c>
      <c r="H4397" s="115">
        <v>0</v>
      </c>
      <c r="I4397" s="115">
        <v>0</v>
      </c>
      <c r="J4397" s="115">
        <v>0</v>
      </c>
      <c r="K4397" s="115">
        <v>0</v>
      </c>
    </row>
    <row r="4398" spans="2:11" x14ac:dyDescent="0.25">
      <c r="B4398" s="115" t="s">
        <v>1241</v>
      </c>
      <c r="D4398" s="115" t="s">
        <v>8710</v>
      </c>
      <c r="E4398" s="115" t="s">
        <v>1242</v>
      </c>
      <c r="F4398" s="115">
        <v>0</v>
      </c>
      <c r="G4398" s="115">
        <v>0</v>
      </c>
      <c r="H4398" s="115">
        <v>0</v>
      </c>
      <c r="I4398" s="115">
        <v>0</v>
      </c>
      <c r="J4398" s="115">
        <v>0</v>
      </c>
      <c r="K4398" s="115">
        <v>0</v>
      </c>
    </row>
    <row r="4399" spans="2:11" x14ac:dyDescent="0.25">
      <c r="B4399" s="115" t="s">
        <v>1241</v>
      </c>
      <c r="D4399" s="115" t="s">
        <v>8710</v>
      </c>
      <c r="E4399" s="115" t="s">
        <v>1242</v>
      </c>
      <c r="F4399" s="115">
        <v>0</v>
      </c>
      <c r="G4399" s="115">
        <v>0</v>
      </c>
      <c r="H4399" s="115">
        <v>0</v>
      </c>
      <c r="I4399" s="115">
        <v>0</v>
      </c>
      <c r="J4399" s="115">
        <v>0</v>
      </c>
      <c r="K4399" s="115">
        <v>0</v>
      </c>
    </row>
    <row r="4400" spans="2:11" x14ac:dyDescent="0.25">
      <c r="B4400" s="115" t="s">
        <v>1241</v>
      </c>
      <c r="D4400" s="115" t="s">
        <v>8710</v>
      </c>
      <c r="E4400" s="115" t="s">
        <v>1242</v>
      </c>
      <c r="F4400" s="115">
        <v>0</v>
      </c>
      <c r="G4400" s="115">
        <v>0</v>
      </c>
      <c r="H4400" s="115">
        <v>0</v>
      </c>
      <c r="I4400" s="115">
        <v>0</v>
      </c>
      <c r="J4400" s="115">
        <v>0</v>
      </c>
      <c r="K4400" s="115">
        <v>0</v>
      </c>
    </row>
    <row r="4401" spans="2:11" x14ac:dyDescent="0.25">
      <c r="B4401" s="115" t="s">
        <v>1241</v>
      </c>
      <c r="D4401" s="115" t="s">
        <v>8710</v>
      </c>
      <c r="E4401" s="115" t="s">
        <v>1242</v>
      </c>
      <c r="F4401" s="115">
        <v>0</v>
      </c>
      <c r="G4401" s="115">
        <v>0</v>
      </c>
      <c r="H4401" s="115">
        <v>0</v>
      </c>
      <c r="I4401" s="115">
        <v>0</v>
      </c>
      <c r="J4401" s="115">
        <v>0</v>
      </c>
      <c r="K4401" s="115">
        <v>0</v>
      </c>
    </row>
    <row r="4402" spans="2:11" x14ac:dyDescent="0.25">
      <c r="B4402" s="115" t="s">
        <v>1241</v>
      </c>
      <c r="D4402" s="115" t="s">
        <v>8710</v>
      </c>
      <c r="E4402" s="115" t="s">
        <v>1242</v>
      </c>
      <c r="F4402" s="115">
        <v>0</v>
      </c>
      <c r="G4402" s="115">
        <v>0</v>
      </c>
      <c r="H4402" s="115">
        <v>0</v>
      </c>
      <c r="I4402" s="115">
        <v>0</v>
      </c>
      <c r="J4402" s="115">
        <v>0</v>
      </c>
      <c r="K4402" s="115">
        <v>0</v>
      </c>
    </row>
    <row r="4403" spans="2:11" x14ac:dyDescent="0.25">
      <c r="B4403" s="115" t="s">
        <v>1241</v>
      </c>
      <c r="D4403" s="115" t="s">
        <v>8710</v>
      </c>
      <c r="E4403" s="115" t="s">
        <v>1242</v>
      </c>
      <c r="F4403" s="115">
        <v>0</v>
      </c>
      <c r="G4403" s="115">
        <v>0</v>
      </c>
      <c r="H4403" s="115">
        <v>0</v>
      </c>
      <c r="I4403" s="115">
        <v>0</v>
      </c>
      <c r="J4403" s="115">
        <v>0</v>
      </c>
      <c r="K4403" s="115">
        <v>0</v>
      </c>
    </row>
    <row r="4404" spans="2:11" x14ac:dyDescent="0.25">
      <c r="B4404" s="115" t="s">
        <v>1241</v>
      </c>
      <c r="D4404" s="115" t="s">
        <v>8710</v>
      </c>
      <c r="E4404" s="115" t="s">
        <v>1242</v>
      </c>
      <c r="F4404" s="115">
        <v>0</v>
      </c>
      <c r="G4404" s="115">
        <v>0</v>
      </c>
      <c r="H4404" s="115">
        <v>0</v>
      </c>
      <c r="I4404" s="115">
        <v>0</v>
      </c>
      <c r="J4404" s="115">
        <v>0</v>
      </c>
      <c r="K4404" s="115">
        <v>0</v>
      </c>
    </row>
    <row r="4405" spans="2:11" x14ac:dyDescent="0.25">
      <c r="B4405" s="115" t="s">
        <v>1241</v>
      </c>
      <c r="D4405" s="115" t="s">
        <v>8710</v>
      </c>
      <c r="E4405" s="115" t="s">
        <v>1242</v>
      </c>
      <c r="F4405" s="115">
        <v>0</v>
      </c>
      <c r="G4405" s="115">
        <v>0</v>
      </c>
      <c r="H4405" s="115">
        <v>0</v>
      </c>
      <c r="I4405" s="115">
        <v>0</v>
      </c>
      <c r="J4405" s="115">
        <v>0</v>
      </c>
      <c r="K4405" s="115">
        <v>0</v>
      </c>
    </row>
    <row r="4406" spans="2:11" x14ac:dyDescent="0.25">
      <c r="B4406" s="115" t="s">
        <v>1241</v>
      </c>
      <c r="D4406" s="115" t="s">
        <v>8710</v>
      </c>
      <c r="E4406" s="115" t="s">
        <v>1242</v>
      </c>
      <c r="F4406" s="115">
        <v>0</v>
      </c>
      <c r="G4406" s="115">
        <v>0</v>
      </c>
      <c r="H4406" s="115">
        <v>0</v>
      </c>
      <c r="I4406" s="115">
        <v>0</v>
      </c>
      <c r="J4406" s="115">
        <v>0</v>
      </c>
      <c r="K4406" s="115">
        <v>0</v>
      </c>
    </row>
    <row r="4407" spans="2:11" x14ac:dyDescent="0.25">
      <c r="B4407" s="115" t="s">
        <v>1241</v>
      </c>
      <c r="D4407" s="115" t="s">
        <v>8710</v>
      </c>
      <c r="E4407" s="115" t="s">
        <v>1242</v>
      </c>
      <c r="F4407" s="115">
        <v>0</v>
      </c>
      <c r="G4407" s="115">
        <v>0</v>
      </c>
      <c r="H4407" s="115">
        <v>0</v>
      </c>
      <c r="I4407" s="115">
        <v>0</v>
      </c>
      <c r="J4407" s="115">
        <v>0</v>
      </c>
      <c r="K4407" s="115">
        <v>0</v>
      </c>
    </row>
    <row r="4408" spans="2:11" x14ac:dyDescent="0.25">
      <c r="B4408" s="115" t="s">
        <v>1241</v>
      </c>
      <c r="D4408" s="115" t="s">
        <v>8710</v>
      </c>
      <c r="E4408" s="115" t="s">
        <v>1242</v>
      </c>
      <c r="F4408" s="115">
        <v>0</v>
      </c>
      <c r="G4408" s="115">
        <v>0</v>
      </c>
      <c r="H4408" s="115">
        <v>0</v>
      </c>
      <c r="I4408" s="115">
        <v>0</v>
      </c>
      <c r="J4408" s="115">
        <v>0</v>
      </c>
      <c r="K4408" s="115">
        <v>0</v>
      </c>
    </row>
    <row r="4409" spans="2:11" x14ac:dyDescent="0.25">
      <c r="B4409" s="115" t="s">
        <v>1241</v>
      </c>
      <c r="D4409" s="115" t="s">
        <v>8710</v>
      </c>
      <c r="E4409" s="115" t="s">
        <v>1242</v>
      </c>
      <c r="F4409" s="115">
        <v>0</v>
      </c>
      <c r="G4409" s="115">
        <v>0</v>
      </c>
      <c r="H4409" s="115">
        <v>0</v>
      </c>
      <c r="I4409" s="115">
        <v>0</v>
      </c>
      <c r="J4409" s="115">
        <v>0</v>
      </c>
      <c r="K4409" s="115">
        <v>0</v>
      </c>
    </row>
    <row r="4410" spans="2:11" x14ac:dyDescent="0.25">
      <c r="B4410" s="115" t="s">
        <v>1241</v>
      </c>
      <c r="D4410" s="115" t="s">
        <v>8710</v>
      </c>
      <c r="E4410" s="115" t="s">
        <v>1242</v>
      </c>
      <c r="F4410" s="115">
        <v>0</v>
      </c>
      <c r="G4410" s="115">
        <v>0</v>
      </c>
      <c r="H4410" s="115">
        <v>0</v>
      </c>
      <c r="I4410" s="115">
        <v>0</v>
      </c>
      <c r="J4410" s="115">
        <v>0</v>
      </c>
      <c r="K4410" s="115">
        <v>0</v>
      </c>
    </row>
    <row r="4411" spans="2:11" x14ac:dyDescent="0.25">
      <c r="B4411" s="115" t="s">
        <v>1241</v>
      </c>
      <c r="D4411" s="115" t="s">
        <v>8710</v>
      </c>
      <c r="E4411" s="115" t="s">
        <v>1242</v>
      </c>
      <c r="F4411" s="115">
        <v>0</v>
      </c>
      <c r="G4411" s="115">
        <v>0</v>
      </c>
      <c r="H4411" s="115">
        <v>0</v>
      </c>
      <c r="I4411" s="115">
        <v>0</v>
      </c>
      <c r="J4411" s="115">
        <v>0</v>
      </c>
      <c r="K4411" s="115">
        <v>0</v>
      </c>
    </row>
    <row r="4412" spans="2:11" x14ac:dyDescent="0.25">
      <c r="B4412" s="115" t="s">
        <v>1241</v>
      </c>
      <c r="D4412" s="115" t="s">
        <v>8710</v>
      </c>
      <c r="E4412" s="115" t="s">
        <v>1242</v>
      </c>
      <c r="F4412" s="115">
        <v>0</v>
      </c>
      <c r="G4412" s="115">
        <v>0</v>
      </c>
      <c r="H4412" s="115">
        <v>0</v>
      </c>
      <c r="I4412" s="115">
        <v>0</v>
      </c>
      <c r="J4412" s="115">
        <v>0</v>
      </c>
      <c r="K4412" s="115">
        <v>0</v>
      </c>
    </row>
    <row r="4413" spans="2:11" x14ac:dyDescent="0.25">
      <c r="B4413" s="115" t="s">
        <v>1241</v>
      </c>
      <c r="D4413" s="115" t="s">
        <v>8710</v>
      </c>
      <c r="E4413" s="115" t="s">
        <v>1242</v>
      </c>
      <c r="F4413" s="115">
        <v>0</v>
      </c>
      <c r="G4413" s="115">
        <v>0</v>
      </c>
      <c r="H4413" s="115">
        <v>0</v>
      </c>
      <c r="I4413" s="115">
        <v>0</v>
      </c>
      <c r="J4413" s="115">
        <v>0</v>
      </c>
      <c r="K4413" s="115">
        <v>0</v>
      </c>
    </row>
    <row r="4414" spans="2:11" x14ac:dyDescent="0.25">
      <c r="B4414" s="115" t="s">
        <v>1241</v>
      </c>
      <c r="D4414" s="115" t="s">
        <v>8710</v>
      </c>
      <c r="E4414" s="115" t="s">
        <v>1242</v>
      </c>
      <c r="F4414" s="115">
        <v>0</v>
      </c>
      <c r="G4414" s="115">
        <v>0</v>
      </c>
      <c r="H4414" s="115">
        <v>0</v>
      </c>
      <c r="I4414" s="115">
        <v>0</v>
      </c>
      <c r="J4414" s="115">
        <v>0</v>
      </c>
      <c r="K4414" s="115">
        <v>0</v>
      </c>
    </row>
    <row r="4415" spans="2:11" x14ac:dyDescent="0.25">
      <c r="B4415" s="115" t="s">
        <v>1241</v>
      </c>
      <c r="D4415" s="115" t="s">
        <v>8710</v>
      </c>
      <c r="E4415" s="115" t="s">
        <v>1242</v>
      </c>
      <c r="F4415" s="115">
        <v>0</v>
      </c>
      <c r="G4415" s="115">
        <v>0</v>
      </c>
      <c r="H4415" s="115">
        <v>0</v>
      </c>
      <c r="I4415" s="115">
        <v>0</v>
      </c>
      <c r="J4415" s="115">
        <v>0</v>
      </c>
      <c r="K4415" s="115">
        <v>0</v>
      </c>
    </row>
    <row r="4416" spans="2:11" x14ac:dyDescent="0.25">
      <c r="B4416" s="115" t="s">
        <v>1241</v>
      </c>
      <c r="D4416" s="115" t="s">
        <v>8710</v>
      </c>
      <c r="E4416" s="115" t="s">
        <v>1242</v>
      </c>
      <c r="F4416" s="115">
        <v>0</v>
      </c>
      <c r="G4416" s="115">
        <v>0</v>
      </c>
      <c r="H4416" s="115">
        <v>0</v>
      </c>
      <c r="I4416" s="115">
        <v>0</v>
      </c>
      <c r="J4416" s="115">
        <v>0</v>
      </c>
      <c r="K4416" s="115">
        <v>0</v>
      </c>
    </row>
    <row r="4417" spans="2:11" x14ac:dyDescent="0.25">
      <c r="B4417" s="115" t="s">
        <v>1241</v>
      </c>
      <c r="D4417" s="115" t="s">
        <v>8710</v>
      </c>
      <c r="E4417" s="115" t="s">
        <v>1242</v>
      </c>
      <c r="F4417" s="115">
        <v>0</v>
      </c>
      <c r="G4417" s="115">
        <v>0</v>
      </c>
      <c r="H4417" s="115">
        <v>0</v>
      </c>
      <c r="I4417" s="115">
        <v>0</v>
      </c>
      <c r="J4417" s="115">
        <v>0</v>
      </c>
      <c r="K4417" s="115">
        <v>0</v>
      </c>
    </row>
    <row r="4418" spans="2:11" x14ac:dyDescent="0.25">
      <c r="B4418" s="115" t="s">
        <v>1241</v>
      </c>
      <c r="D4418" s="115" t="s">
        <v>8710</v>
      </c>
      <c r="E4418" s="115" t="s">
        <v>1242</v>
      </c>
      <c r="F4418" s="115">
        <v>0</v>
      </c>
      <c r="G4418" s="115">
        <v>0</v>
      </c>
      <c r="H4418" s="115">
        <v>0</v>
      </c>
      <c r="I4418" s="115">
        <v>0</v>
      </c>
      <c r="J4418" s="115">
        <v>0</v>
      </c>
      <c r="K4418" s="115">
        <v>0</v>
      </c>
    </row>
    <row r="4419" spans="2:11" x14ac:dyDescent="0.25">
      <c r="B4419" s="115" t="s">
        <v>1241</v>
      </c>
      <c r="D4419" s="115" t="s">
        <v>8710</v>
      </c>
      <c r="E4419" s="115" t="s">
        <v>1242</v>
      </c>
      <c r="F4419" s="115">
        <v>0</v>
      </c>
      <c r="G4419" s="115">
        <v>0</v>
      </c>
      <c r="H4419" s="115">
        <v>0</v>
      </c>
      <c r="I4419" s="115">
        <v>0</v>
      </c>
      <c r="J4419" s="115">
        <v>0</v>
      </c>
      <c r="K4419" s="115">
        <v>0</v>
      </c>
    </row>
    <row r="4420" spans="2:11" x14ac:dyDescent="0.25">
      <c r="B4420" s="115" t="s">
        <v>1241</v>
      </c>
      <c r="D4420" s="115" t="s">
        <v>8710</v>
      </c>
      <c r="E4420" s="115" t="s">
        <v>1242</v>
      </c>
      <c r="F4420" s="115">
        <v>0</v>
      </c>
      <c r="G4420" s="115">
        <v>0</v>
      </c>
      <c r="H4420" s="115">
        <v>0</v>
      </c>
      <c r="I4420" s="115">
        <v>0</v>
      </c>
      <c r="J4420" s="115">
        <v>0</v>
      </c>
      <c r="K4420" s="115">
        <v>0</v>
      </c>
    </row>
    <row r="4421" spans="2:11" x14ac:dyDescent="0.25">
      <c r="B4421" s="115" t="s">
        <v>1241</v>
      </c>
      <c r="D4421" s="115" t="s">
        <v>8710</v>
      </c>
      <c r="E4421" s="115" t="s">
        <v>1242</v>
      </c>
      <c r="F4421" s="115">
        <v>0</v>
      </c>
      <c r="G4421" s="115">
        <v>0</v>
      </c>
      <c r="H4421" s="115">
        <v>0</v>
      </c>
      <c r="I4421" s="115">
        <v>0</v>
      </c>
      <c r="J4421" s="115">
        <v>0</v>
      </c>
      <c r="K4421" s="115">
        <v>0</v>
      </c>
    </row>
    <row r="4422" spans="2:11" x14ac:dyDescent="0.25">
      <c r="B4422" s="115" t="s">
        <v>1241</v>
      </c>
      <c r="D4422" s="115" t="s">
        <v>8710</v>
      </c>
      <c r="E4422" s="115" t="s">
        <v>1242</v>
      </c>
      <c r="F4422" s="115">
        <v>0</v>
      </c>
      <c r="G4422" s="115">
        <v>0</v>
      </c>
      <c r="H4422" s="115">
        <v>0</v>
      </c>
      <c r="I4422" s="115">
        <v>0</v>
      </c>
      <c r="J4422" s="115">
        <v>0</v>
      </c>
      <c r="K4422" s="115">
        <v>0</v>
      </c>
    </row>
    <row r="4423" spans="2:11" x14ac:dyDescent="0.25">
      <c r="B4423" s="115" t="s">
        <v>1241</v>
      </c>
      <c r="D4423" s="115" t="s">
        <v>8710</v>
      </c>
      <c r="E4423" s="115" t="s">
        <v>1242</v>
      </c>
      <c r="F4423" s="115">
        <v>0</v>
      </c>
      <c r="G4423" s="115">
        <v>0</v>
      </c>
      <c r="H4423" s="115">
        <v>0</v>
      </c>
      <c r="I4423" s="115">
        <v>0</v>
      </c>
      <c r="J4423" s="115">
        <v>0</v>
      </c>
      <c r="K4423" s="115">
        <v>0</v>
      </c>
    </row>
    <row r="4424" spans="2:11" x14ac:dyDescent="0.25">
      <c r="B4424" s="115" t="s">
        <v>1241</v>
      </c>
      <c r="D4424" s="115" t="s">
        <v>8710</v>
      </c>
      <c r="E4424" s="115" t="s">
        <v>1242</v>
      </c>
      <c r="F4424" s="115">
        <v>0</v>
      </c>
      <c r="G4424" s="115">
        <v>0</v>
      </c>
      <c r="H4424" s="115">
        <v>0</v>
      </c>
      <c r="I4424" s="115">
        <v>0</v>
      </c>
      <c r="J4424" s="115">
        <v>0</v>
      </c>
      <c r="K4424" s="115">
        <v>0</v>
      </c>
    </row>
    <row r="4425" spans="2:11" x14ac:dyDescent="0.25">
      <c r="B4425" s="115" t="s">
        <v>1241</v>
      </c>
      <c r="D4425" s="115" t="s">
        <v>8710</v>
      </c>
      <c r="E4425" s="115" t="s">
        <v>1242</v>
      </c>
      <c r="F4425" s="115">
        <v>0</v>
      </c>
      <c r="G4425" s="115">
        <v>0</v>
      </c>
      <c r="H4425" s="115">
        <v>0</v>
      </c>
      <c r="I4425" s="115">
        <v>0</v>
      </c>
      <c r="J4425" s="115">
        <v>0</v>
      </c>
      <c r="K4425" s="115">
        <v>0</v>
      </c>
    </row>
    <row r="4426" spans="2:11" x14ac:dyDescent="0.25">
      <c r="B4426" s="115" t="s">
        <v>1241</v>
      </c>
      <c r="D4426" s="115" t="s">
        <v>8710</v>
      </c>
      <c r="E4426" s="115" t="s">
        <v>1242</v>
      </c>
      <c r="F4426" s="115">
        <v>0</v>
      </c>
      <c r="G4426" s="115">
        <v>0</v>
      </c>
      <c r="H4426" s="115">
        <v>0</v>
      </c>
      <c r="I4426" s="115">
        <v>0</v>
      </c>
      <c r="J4426" s="115">
        <v>0</v>
      </c>
      <c r="K4426" s="115">
        <v>0</v>
      </c>
    </row>
    <row r="4427" spans="2:11" x14ac:dyDescent="0.25">
      <c r="B4427" s="115" t="s">
        <v>1241</v>
      </c>
      <c r="D4427" s="115" t="s">
        <v>8710</v>
      </c>
      <c r="E4427" s="115" t="s">
        <v>1242</v>
      </c>
      <c r="F4427" s="115">
        <v>0</v>
      </c>
      <c r="G4427" s="115">
        <v>0</v>
      </c>
      <c r="H4427" s="115">
        <v>0</v>
      </c>
      <c r="I4427" s="115">
        <v>0</v>
      </c>
      <c r="J4427" s="115">
        <v>0</v>
      </c>
      <c r="K4427" s="115">
        <v>0</v>
      </c>
    </row>
    <row r="4428" spans="2:11" x14ac:dyDescent="0.25">
      <c r="B4428" s="115" t="s">
        <v>1241</v>
      </c>
      <c r="D4428" s="115" t="s">
        <v>8710</v>
      </c>
      <c r="E4428" s="115" t="s">
        <v>1242</v>
      </c>
      <c r="F4428" s="115">
        <v>0</v>
      </c>
      <c r="G4428" s="115">
        <v>0</v>
      </c>
      <c r="H4428" s="115">
        <v>0</v>
      </c>
      <c r="I4428" s="115">
        <v>0</v>
      </c>
      <c r="J4428" s="115">
        <v>0</v>
      </c>
      <c r="K4428" s="115">
        <v>0</v>
      </c>
    </row>
    <row r="4429" spans="2:11" x14ac:dyDescent="0.25">
      <c r="B4429" s="115" t="s">
        <v>1241</v>
      </c>
      <c r="D4429" s="115" t="s">
        <v>8710</v>
      </c>
      <c r="E4429" s="115" t="s">
        <v>1242</v>
      </c>
      <c r="F4429" s="115">
        <v>0</v>
      </c>
      <c r="G4429" s="115">
        <v>0</v>
      </c>
      <c r="H4429" s="115">
        <v>0</v>
      </c>
      <c r="I4429" s="115">
        <v>0</v>
      </c>
      <c r="J4429" s="115">
        <v>0</v>
      </c>
      <c r="K4429" s="115">
        <v>0</v>
      </c>
    </row>
    <row r="4430" spans="2:11" x14ac:dyDescent="0.25">
      <c r="B4430" s="115" t="s">
        <v>1241</v>
      </c>
      <c r="D4430" s="115" t="s">
        <v>8710</v>
      </c>
      <c r="E4430" s="115" t="s">
        <v>1242</v>
      </c>
      <c r="F4430" s="115">
        <v>0</v>
      </c>
      <c r="G4430" s="115">
        <v>0</v>
      </c>
      <c r="H4430" s="115">
        <v>0</v>
      </c>
      <c r="I4430" s="115">
        <v>0</v>
      </c>
      <c r="J4430" s="115">
        <v>0</v>
      </c>
      <c r="K4430" s="115">
        <v>0</v>
      </c>
    </row>
    <row r="4431" spans="2:11" x14ac:dyDescent="0.25">
      <c r="B4431" s="115" t="s">
        <v>1241</v>
      </c>
      <c r="D4431" s="115" t="s">
        <v>8710</v>
      </c>
      <c r="E4431" s="115" t="s">
        <v>1242</v>
      </c>
      <c r="F4431" s="115">
        <v>0</v>
      </c>
      <c r="G4431" s="115">
        <v>0</v>
      </c>
      <c r="H4431" s="115">
        <v>0</v>
      </c>
      <c r="I4431" s="115">
        <v>0</v>
      </c>
      <c r="J4431" s="115">
        <v>0</v>
      </c>
      <c r="K4431" s="115">
        <v>0</v>
      </c>
    </row>
    <row r="4432" spans="2:11" x14ac:dyDescent="0.25">
      <c r="B4432" s="115" t="s">
        <v>1241</v>
      </c>
      <c r="D4432" s="115" t="s">
        <v>8710</v>
      </c>
      <c r="E4432" s="115" t="s">
        <v>1242</v>
      </c>
      <c r="F4432" s="115">
        <v>0</v>
      </c>
      <c r="G4432" s="115">
        <v>0</v>
      </c>
      <c r="H4432" s="115">
        <v>0</v>
      </c>
      <c r="I4432" s="115">
        <v>0</v>
      </c>
      <c r="J4432" s="115">
        <v>0</v>
      </c>
      <c r="K4432" s="115">
        <v>0</v>
      </c>
    </row>
    <row r="4433" spans="1:11" x14ac:dyDescent="0.25">
      <c r="B4433" s="115" t="s">
        <v>1241</v>
      </c>
      <c r="D4433" s="115" t="s">
        <v>8710</v>
      </c>
      <c r="E4433" s="115" t="s">
        <v>1242</v>
      </c>
      <c r="F4433" s="115">
        <v>0</v>
      </c>
      <c r="G4433" s="115">
        <v>0</v>
      </c>
      <c r="H4433" s="115">
        <v>0</v>
      </c>
      <c r="I4433" s="115">
        <v>0</v>
      </c>
      <c r="J4433" s="115">
        <v>0</v>
      </c>
      <c r="K4433" s="115">
        <v>0</v>
      </c>
    </row>
    <row r="4434" spans="1:11" x14ac:dyDescent="0.25">
      <c r="B4434" s="115" t="s">
        <v>1241</v>
      </c>
      <c r="D4434" s="115" t="s">
        <v>8710</v>
      </c>
      <c r="E4434" s="115" t="s">
        <v>1242</v>
      </c>
      <c r="F4434" s="115">
        <v>0</v>
      </c>
      <c r="G4434" s="115">
        <v>0</v>
      </c>
      <c r="H4434" s="115">
        <v>0</v>
      </c>
      <c r="I4434" s="115">
        <v>0</v>
      </c>
      <c r="J4434" s="115">
        <v>0</v>
      </c>
      <c r="K4434" s="115">
        <v>0</v>
      </c>
    </row>
    <row r="4435" spans="1:11" x14ac:dyDescent="0.25">
      <c r="B4435" s="115" t="s">
        <v>1241</v>
      </c>
      <c r="D4435" s="115" t="s">
        <v>8710</v>
      </c>
      <c r="E4435" s="115" t="s">
        <v>1242</v>
      </c>
      <c r="F4435" s="115">
        <v>0</v>
      </c>
      <c r="G4435" s="115">
        <v>0</v>
      </c>
      <c r="H4435" s="115">
        <v>0</v>
      </c>
      <c r="I4435" s="115">
        <v>0</v>
      </c>
      <c r="J4435" s="115">
        <v>0</v>
      </c>
      <c r="K4435" s="115">
        <v>0</v>
      </c>
    </row>
    <row r="4436" spans="1:11" x14ac:dyDescent="0.25">
      <c r="B4436" s="115" t="s">
        <v>1241</v>
      </c>
      <c r="D4436" s="115" t="s">
        <v>8710</v>
      </c>
      <c r="E4436" s="115" t="s">
        <v>1242</v>
      </c>
      <c r="F4436" s="115">
        <v>0</v>
      </c>
      <c r="G4436" s="115">
        <v>0</v>
      </c>
      <c r="H4436" s="115">
        <v>0</v>
      </c>
      <c r="I4436" s="115">
        <v>0</v>
      </c>
      <c r="J4436" s="115">
        <v>0</v>
      </c>
      <c r="K4436" s="115">
        <v>0</v>
      </c>
    </row>
    <row r="4437" spans="1:11" x14ac:dyDescent="0.25">
      <c r="B4437" s="115" t="s">
        <v>1241</v>
      </c>
      <c r="D4437" s="115" t="s">
        <v>8710</v>
      </c>
      <c r="E4437" s="115" t="s">
        <v>1242</v>
      </c>
      <c r="F4437" s="115">
        <v>0</v>
      </c>
      <c r="G4437" s="115">
        <v>0</v>
      </c>
      <c r="H4437" s="115">
        <v>0</v>
      </c>
      <c r="I4437" s="115">
        <v>0</v>
      </c>
      <c r="J4437" s="115">
        <v>0</v>
      </c>
      <c r="K4437" s="115">
        <v>0</v>
      </c>
    </row>
    <row r="4438" spans="1:11" x14ac:dyDescent="0.25">
      <c r="B4438" s="115" t="s">
        <v>1241</v>
      </c>
      <c r="D4438" s="115" t="s">
        <v>8710</v>
      </c>
      <c r="E4438" s="115" t="s">
        <v>1242</v>
      </c>
      <c r="F4438" s="115">
        <v>0</v>
      </c>
      <c r="G4438" s="115">
        <v>0</v>
      </c>
      <c r="H4438" s="115">
        <v>0</v>
      </c>
      <c r="I4438" s="115">
        <v>0</v>
      </c>
      <c r="J4438" s="115">
        <v>0</v>
      </c>
      <c r="K4438" s="115">
        <v>0</v>
      </c>
    </row>
    <row r="4439" spans="1:11" x14ac:dyDescent="0.25">
      <c r="B4439" s="115" t="s">
        <v>1241</v>
      </c>
      <c r="D4439" s="115" t="s">
        <v>8710</v>
      </c>
      <c r="E4439" s="115" t="s">
        <v>1242</v>
      </c>
      <c r="F4439" s="115">
        <v>0</v>
      </c>
      <c r="G4439" s="115">
        <v>0</v>
      </c>
      <c r="H4439" s="115">
        <v>0</v>
      </c>
      <c r="I4439" s="115">
        <v>0</v>
      </c>
      <c r="J4439" s="115">
        <v>0</v>
      </c>
      <c r="K4439" s="115">
        <v>0</v>
      </c>
    </row>
    <row r="4440" spans="1:11" x14ac:dyDescent="0.25">
      <c r="B4440" s="115" t="s">
        <v>1241</v>
      </c>
      <c r="D4440" s="115" t="s">
        <v>8710</v>
      </c>
      <c r="E4440" s="115" t="s">
        <v>1242</v>
      </c>
      <c r="F4440" s="115">
        <v>0</v>
      </c>
      <c r="G4440" s="115">
        <v>0</v>
      </c>
      <c r="H4440" s="115">
        <v>0</v>
      </c>
      <c r="I4440" s="115">
        <v>0</v>
      </c>
      <c r="J4440" s="115">
        <v>0</v>
      </c>
      <c r="K4440" s="115">
        <v>0</v>
      </c>
    </row>
    <row r="4441" spans="1:11" x14ac:dyDescent="0.25">
      <c r="B4441" s="115" t="s">
        <v>1241</v>
      </c>
      <c r="D4441" s="115" t="s">
        <v>8710</v>
      </c>
      <c r="E4441" s="115" t="s">
        <v>1242</v>
      </c>
      <c r="F4441" s="115">
        <v>0</v>
      </c>
      <c r="G4441" s="115">
        <v>0</v>
      </c>
      <c r="H4441" s="115">
        <v>0</v>
      </c>
      <c r="I4441" s="115">
        <v>0</v>
      </c>
      <c r="J4441" s="115">
        <v>0</v>
      </c>
      <c r="K4441" s="115">
        <v>0</v>
      </c>
    </row>
    <row r="4442" spans="1:11" x14ac:dyDescent="0.25">
      <c r="B4442" s="115" t="s">
        <v>1241</v>
      </c>
      <c r="D4442" s="115" t="s">
        <v>8710</v>
      </c>
      <c r="E4442" s="115" t="s">
        <v>1242</v>
      </c>
      <c r="F4442" s="115">
        <v>0</v>
      </c>
      <c r="G4442" s="115">
        <v>0</v>
      </c>
      <c r="H4442" s="115">
        <v>0</v>
      </c>
      <c r="I4442" s="115">
        <v>0</v>
      </c>
      <c r="J4442" s="115">
        <v>0</v>
      </c>
      <c r="K4442" s="115">
        <v>0</v>
      </c>
    </row>
    <row r="4443" spans="1:11" x14ac:dyDescent="0.25">
      <c r="A4443" s="115">
        <v>25</v>
      </c>
      <c r="B4443" s="115" t="s">
        <v>4136</v>
      </c>
      <c r="C4443" s="115" t="s">
        <v>1239</v>
      </c>
      <c r="D4443" s="115" t="s">
        <v>10585</v>
      </c>
      <c r="E4443" s="115" t="s">
        <v>4137</v>
      </c>
      <c r="F4443" s="115">
        <v>-1952</v>
      </c>
      <c r="G4443" s="115">
        <v>0</v>
      </c>
      <c r="H4443" s="115">
        <v>0</v>
      </c>
      <c r="I4443" s="115">
        <v>1079</v>
      </c>
      <c r="J4443" s="115">
        <v>0</v>
      </c>
      <c r="K4443" s="115">
        <v>0</v>
      </c>
    </row>
    <row r="4444" spans="1:11" x14ac:dyDescent="0.25">
      <c r="B4444" s="115" t="s">
        <v>4138</v>
      </c>
      <c r="C4444" s="115" t="s">
        <v>1239</v>
      </c>
      <c r="D4444" s="115" t="s">
        <v>10586</v>
      </c>
      <c r="E4444" s="115" t="s">
        <v>4139</v>
      </c>
      <c r="F4444" s="115">
        <v>0</v>
      </c>
      <c r="G4444" s="115">
        <v>0</v>
      </c>
      <c r="H4444" s="115">
        <v>0</v>
      </c>
      <c r="I4444" s="115">
        <v>0</v>
      </c>
      <c r="J4444" s="115">
        <v>0</v>
      </c>
      <c r="K4444" s="115">
        <v>-8543</v>
      </c>
    </row>
    <row r="4445" spans="1:11" x14ac:dyDescent="0.25">
      <c r="B4445" s="115" t="s">
        <v>1241</v>
      </c>
      <c r="C4445" s="115">
        <v>1</v>
      </c>
      <c r="D4445" s="115" t="s">
        <v>10587</v>
      </c>
      <c r="E4445" s="115" t="s">
        <v>4140</v>
      </c>
      <c r="F4445" s="115">
        <v>-20380</v>
      </c>
      <c r="G4445" s="115">
        <v>0</v>
      </c>
      <c r="H4445" s="115">
        <v>-29142</v>
      </c>
      <c r="I4445" s="115">
        <v>-2500</v>
      </c>
      <c r="J4445" s="115">
        <v>-688</v>
      </c>
      <c r="K4445" s="115">
        <v>0</v>
      </c>
    </row>
    <row r="4446" spans="1:11" x14ac:dyDescent="0.25">
      <c r="B4446" s="115" t="s">
        <v>4141</v>
      </c>
      <c r="D4446" s="115" t="s">
        <v>10588</v>
      </c>
      <c r="E4446" s="115" t="s">
        <v>4142</v>
      </c>
      <c r="F4446" s="115">
        <v>-188</v>
      </c>
      <c r="G4446" s="115">
        <v>-36</v>
      </c>
      <c r="H4446" s="115">
        <v>0</v>
      </c>
      <c r="I4446" s="115">
        <v>30</v>
      </c>
      <c r="J4446" s="115">
        <v>0</v>
      </c>
      <c r="K4446" s="115">
        <v>0</v>
      </c>
    </row>
    <row r="4447" spans="1:11" x14ac:dyDescent="0.25">
      <c r="B4447" s="115" t="s">
        <v>1241</v>
      </c>
      <c r="D4447" s="115" t="s">
        <v>10589</v>
      </c>
      <c r="E4447" s="115" t="s">
        <v>4143</v>
      </c>
      <c r="F4447" s="115">
        <v>0</v>
      </c>
      <c r="G4447" s="115">
        <v>0</v>
      </c>
      <c r="H4447" s="115">
        <v>0</v>
      </c>
      <c r="I4447" s="115">
        <v>44</v>
      </c>
      <c r="J4447" s="115">
        <v>0</v>
      </c>
      <c r="K4447" s="115">
        <v>84</v>
      </c>
    </row>
    <row r="4448" spans="1:11" x14ac:dyDescent="0.25">
      <c r="B4448" s="115" t="s">
        <v>1241</v>
      </c>
      <c r="D4448" s="115" t="s">
        <v>10590</v>
      </c>
      <c r="E4448" s="115" t="s">
        <v>4144</v>
      </c>
      <c r="F4448" s="115">
        <v>0</v>
      </c>
      <c r="G4448" s="115">
        <v>-28</v>
      </c>
      <c r="H4448" s="115">
        <v>0</v>
      </c>
      <c r="I4448" s="115">
        <v>-1006</v>
      </c>
      <c r="J4448" s="115">
        <v>-77</v>
      </c>
      <c r="K4448" s="115">
        <v>0</v>
      </c>
    </row>
    <row r="4449" spans="1:11" x14ac:dyDescent="0.25">
      <c r="B4449" s="115" t="s">
        <v>4145</v>
      </c>
      <c r="D4449" s="115" t="s">
        <v>10591</v>
      </c>
      <c r="E4449" s="115" t="s">
        <v>4146</v>
      </c>
      <c r="F4449" s="115">
        <v>-995</v>
      </c>
      <c r="G4449" s="115">
        <v>0</v>
      </c>
      <c r="H4449" s="115">
        <v>0</v>
      </c>
      <c r="I4449" s="115">
        <v>0</v>
      </c>
      <c r="J4449" s="115">
        <v>0</v>
      </c>
      <c r="K4449" s="115">
        <v>-674</v>
      </c>
    </row>
    <row r="4450" spans="1:11" x14ac:dyDescent="0.25">
      <c r="B4450" s="115" t="s">
        <v>4147</v>
      </c>
      <c r="D4450" s="115" t="s">
        <v>10592</v>
      </c>
      <c r="E4450" s="115" t="s">
        <v>4148</v>
      </c>
      <c r="F4450" s="115">
        <v>71</v>
      </c>
      <c r="G4450" s="115">
        <v>695</v>
      </c>
      <c r="H4450" s="115">
        <v>0</v>
      </c>
      <c r="I4450" s="115">
        <v>-2376</v>
      </c>
      <c r="J4450" s="115">
        <v>-2866</v>
      </c>
      <c r="K4450" s="115">
        <v>-1512</v>
      </c>
    </row>
    <row r="4451" spans="1:11" x14ac:dyDescent="0.25">
      <c r="A4451" s="115">
        <v>-1</v>
      </c>
      <c r="B4451" s="115" t="s">
        <v>4149</v>
      </c>
      <c r="D4451" s="115" t="s">
        <v>10593</v>
      </c>
      <c r="E4451" s="115" t="s">
        <v>4150</v>
      </c>
      <c r="F4451" s="115">
        <v>0</v>
      </c>
      <c r="G4451" s="115">
        <v>0</v>
      </c>
      <c r="H4451" s="115">
        <v>0</v>
      </c>
      <c r="I4451" s="115">
        <v>0</v>
      </c>
      <c r="J4451" s="115">
        <v>0</v>
      </c>
      <c r="K4451" s="115">
        <v>32</v>
      </c>
    </row>
    <row r="4452" spans="1:11" x14ac:dyDescent="0.25">
      <c r="B4452" s="115" t="s">
        <v>4151</v>
      </c>
      <c r="D4452" s="115" t="s">
        <v>10594</v>
      </c>
      <c r="E4452" s="115" t="s">
        <v>4152</v>
      </c>
      <c r="F4452" s="115">
        <v>0</v>
      </c>
      <c r="G4452" s="115">
        <v>54</v>
      </c>
      <c r="H4452" s="115">
        <v>1681</v>
      </c>
      <c r="I4452" s="115">
        <v>-1760</v>
      </c>
      <c r="J4452" s="115">
        <v>-1028</v>
      </c>
      <c r="K4452" s="115">
        <v>-397</v>
      </c>
    </row>
    <row r="4453" spans="1:11" x14ac:dyDescent="0.25">
      <c r="B4453" s="115" t="s">
        <v>4153</v>
      </c>
      <c r="D4453" s="115" t="s">
        <v>10595</v>
      </c>
      <c r="E4453" s="115" t="s">
        <v>4154</v>
      </c>
      <c r="F4453" s="115">
        <v>719</v>
      </c>
      <c r="G4453" s="115">
        <v>0</v>
      </c>
      <c r="H4453" s="115">
        <v>-452</v>
      </c>
      <c r="I4453" s="115">
        <v>-82</v>
      </c>
      <c r="J4453" s="115">
        <v>0</v>
      </c>
      <c r="K4453" s="115">
        <v>0</v>
      </c>
    </row>
    <row r="4454" spans="1:11" x14ac:dyDescent="0.25">
      <c r="B4454" s="115" t="s">
        <v>4155</v>
      </c>
      <c r="C4454" s="115" t="s">
        <v>1239</v>
      </c>
      <c r="D4454" s="115" t="s">
        <v>10596</v>
      </c>
      <c r="E4454" s="115" t="s">
        <v>4156</v>
      </c>
      <c r="F4454" s="115">
        <v>-2169</v>
      </c>
      <c r="G4454" s="115">
        <v>-400</v>
      </c>
      <c r="H4454" s="115">
        <v>104</v>
      </c>
      <c r="I4454" s="115">
        <v>-292</v>
      </c>
      <c r="J4454" s="115">
        <v>0</v>
      </c>
      <c r="K4454" s="115">
        <v>0</v>
      </c>
    </row>
    <row r="4455" spans="1:11" x14ac:dyDescent="0.25">
      <c r="B4455" s="115" t="s">
        <v>1241</v>
      </c>
      <c r="D4455" s="115" t="s">
        <v>10597</v>
      </c>
      <c r="E4455" s="115" t="s">
        <v>4157</v>
      </c>
      <c r="F4455" s="115">
        <v>0</v>
      </c>
      <c r="G4455" s="115">
        <v>-2709</v>
      </c>
      <c r="H4455" s="115">
        <v>-164</v>
      </c>
      <c r="I4455" s="115">
        <v>360</v>
      </c>
      <c r="J4455" s="115">
        <v>0</v>
      </c>
      <c r="K4455" s="115">
        <v>-171</v>
      </c>
    </row>
    <row r="4456" spans="1:11" x14ac:dyDescent="0.25">
      <c r="B4456" s="115" t="s">
        <v>4158</v>
      </c>
      <c r="D4456" s="115" t="s">
        <v>10598</v>
      </c>
      <c r="E4456" s="115" t="s">
        <v>4159</v>
      </c>
      <c r="F4456" s="115">
        <v>-1247</v>
      </c>
      <c r="G4456" s="115">
        <v>-316</v>
      </c>
      <c r="H4456" s="115">
        <v>-646</v>
      </c>
      <c r="I4456" s="115">
        <v>0</v>
      </c>
      <c r="J4456" s="115">
        <v>1003</v>
      </c>
      <c r="K4456" s="115">
        <v>0</v>
      </c>
    </row>
    <row r="4457" spans="1:11" x14ac:dyDescent="0.25">
      <c r="B4457" s="115" t="s">
        <v>4160</v>
      </c>
      <c r="D4457" s="115" t="s">
        <v>10599</v>
      </c>
      <c r="E4457" s="115" t="s">
        <v>4161</v>
      </c>
      <c r="F4457" s="115">
        <v>3</v>
      </c>
      <c r="G4457" s="115">
        <v>0</v>
      </c>
      <c r="H4457" s="115">
        <v>0</v>
      </c>
      <c r="I4457" s="115">
        <v>-1057</v>
      </c>
      <c r="J4457" s="115">
        <v>0</v>
      </c>
      <c r="K4457" s="115">
        <v>499</v>
      </c>
    </row>
    <row r="4458" spans="1:11" x14ac:dyDescent="0.25">
      <c r="B4458" s="115" t="s">
        <v>4162</v>
      </c>
      <c r="D4458" s="115" t="s">
        <v>10600</v>
      </c>
      <c r="E4458" s="115" t="s">
        <v>4163</v>
      </c>
      <c r="F4458" s="115">
        <v>0</v>
      </c>
      <c r="G4458" s="115">
        <v>0</v>
      </c>
      <c r="H4458" s="115">
        <v>0</v>
      </c>
      <c r="I4458" s="115">
        <v>52</v>
      </c>
      <c r="J4458" s="115">
        <v>0</v>
      </c>
      <c r="K4458" s="115">
        <v>-1839</v>
      </c>
    </row>
    <row r="4459" spans="1:11" x14ac:dyDescent="0.25">
      <c r="A4459" s="115" t="s">
        <v>1239</v>
      </c>
      <c r="B4459" s="115" t="s">
        <v>4164</v>
      </c>
      <c r="D4459" s="115" t="s">
        <v>10601</v>
      </c>
      <c r="E4459" s="115" t="s">
        <v>4165</v>
      </c>
      <c r="F4459" s="115">
        <v>1237</v>
      </c>
      <c r="G4459" s="115">
        <v>-1242</v>
      </c>
      <c r="H4459" s="115">
        <v>0</v>
      </c>
      <c r="I4459" s="115">
        <v>0</v>
      </c>
      <c r="J4459" s="115">
        <v>0</v>
      </c>
      <c r="K4459" s="115">
        <v>-887</v>
      </c>
    </row>
    <row r="4460" spans="1:11" x14ac:dyDescent="0.25">
      <c r="A4460" s="115" t="s">
        <v>1239</v>
      </c>
      <c r="B4460" s="115" t="s">
        <v>4166</v>
      </c>
      <c r="D4460" s="115" t="s">
        <v>10602</v>
      </c>
      <c r="E4460" s="115" t="s">
        <v>4167</v>
      </c>
      <c r="F4460" s="115">
        <v>0</v>
      </c>
      <c r="G4460" s="115">
        <v>153</v>
      </c>
      <c r="H4460" s="115">
        <v>0</v>
      </c>
      <c r="I4460" s="115">
        <v>0</v>
      </c>
      <c r="J4460" s="115">
        <v>-1016</v>
      </c>
      <c r="K4460" s="115">
        <v>0</v>
      </c>
    </row>
    <row r="4461" spans="1:11" x14ac:dyDescent="0.25">
      <c r="A4461" s="115">
        <v>-2</v>
      </c>
      <c r="B4461" s="115" t="s">
        <v>1505</v>
      </c>
      <c r="C4461" s="115" t="s">
        <v>1239</v>
      </c>
      <c r="D4461" s="115" t="s">
        <v>10603</v>
      </c>
      <c r="E4461" s="115" t="s">
        <v>1242</v>
      </c>
      <c r="F4461" s="115">
        <v>0</v>
      </c>
      <c r="G4461" s="115">
        <v>0</v>
      </c>
      <c r="H4461" s="115">
        <v>0</v>
      </c>
      <c r="I4461" s="115">
        <v>0</v>
      </c>
      <c r="J4461" s="115">
        <v>0</v>
      </c>
      <c r="K4461" s="115">
        <v>0</v>
      </c>
    </row>
    <row r="4462" spans="1:11" x14ac:dyDescent="0.25">
      <c r="B4462" s="115" t="s">
        <v>4168</v>
      </c>
      <c r="D4462" s="115" t="s">
        <v>10604</v>
      </c>
      <c r="E4462" s="115" t="s">
        <v>4169</v>
      </c>
      <c r="F4462" s="115">
        <v>-219</v>
      </c>
      <c r="G4462" s="115">
        <v>197</v>
      </c>
      <c r="H4462" s="115">
        <v>0</v>
      </c>
      <c r="I4462" s="115">
        <v>-290</v>
      </c>
      <c r="J4462" s="115">
        <v>21</v>
      </c>
      <c r="K4462" s="115">
        <v>0</v>
      </c>
    </row>
    <row r="4463" spans="1:11" x14ac:dyDescent="0.25">
      <c r="B4463" s="115" t="s">
        <v>1241</v>
      </c>
      <c r="D4463" s="115" t="s">
        <v>10605</v>
      </c>
      <c r="E4463" s="115" t="s">
        <v>4170</v>
      </c>
      <c r="F4463" s="115">
        <v>-28</v>
      </c>
      <c r="G4463" s="115">
        <v>-94</v>
      </c>
      <c r="H4463" s="115">
        <v>313</v>
      </c>
      <c r="I4463" s="115">
        <v>-86</v>
      </c>
      <c r="J4463" s="115">
        <v>-265</v>
      </c>
      <c r="K4463" s="115">
        <v>-82</v>
      </c>
    </row>
    <row r="4464" spans="1:11" x14ac:dyDescent="0.25">
      <c r="B4464" s="115" t="s">
        <v>1241</v>
      </c>
      <c r="D4464" s="115" t="s">
        <v>10606</v>
      </c>
      <c r="E4464" s="115" t="s">
        <v>4171</v>
      </c>
      <c r="F4464" s="115">
        <v>-1509</v>
      </c>
      <c r="G4464" s="115">
        <v>0</v>
      </c>
      <c r="H4464" s="115">
        <v>-1375</v>
      </c>
      <c r="I4464" s="115">
        <v>0</v>
      </c>
      <c r="J4464" s="115">
        <v>0</v>
      </c>
      <c r="K4464" s="115">
        <v>56</v>
      </c>
    </row>
    <row r="4465" spans="1:11" x14ac:dyDescent="0.25">
      <c r="B4465" s="115" t="s">
        <v>3046</v>
      </c>
      <c r="D4465" s="115" t="s">
        <v>10607</v>
      </c>
      <c r="E4465" s="115" t="s">
        <v>4172</v>
      </c>
      <c r="F4465" s="115">
        <v>0</v>
      </c>
      <c r="G4465" s="115">
        <v>71</v>
      </c>
      <c r="H4465" s="115">
        <v>0</v>
      </c>
      <c r="I4465" s="115">
        <v>-561</v>
      </c>
      <c r="J4465" s="115">
        <v>-145</v>
      </c>
      <c r="K4465" s="115">
        <v>191</v>
      </c>
    </row>
    <row r="4466" spans="1:11" x14ac:dyDescent="0.25">
      <c r="A4466" s="115">
        <v>1</v>
      </c>
      <c r="B4466" s="115" t="s">
        <v>4173</v>
      </c>
      <c r="D4466" s="115" t="s">
        <v>10608</v>
      </c>
      <c r="E4466" s="115" t="s">
        <v>4174</v>
      </c>
      <c r="F4466" s="115">
        <v>36</v>
      </c>
      <c r="G4466" s="115">
        <v>160</v>
      </c>
      <c r="H4466" s="115">
        <v>130</v>
      </c>
      <c r="I4466" s="115">
        <v>0</v>
      </c>
      <c r="J4466" s="115">
        <v>0</v>
      </c>
      <c r="K4466" s="115">
        <v>0</v>
      </c>
    </row>
    <row r="4467" spans="1:11" x14ac:dyDescent="0.25">
      <c r="B4467" s="115" t="s">
        <v>1241</v>
      </c>
      <c r="D4467" s="115" t="s">
        <v>10609</v>
      </c>
      <c r="E4467" s="115" t="s">
        <v>4175</v>
      </c>
      <c r="F4467" s="115">
        <v>-249</v>
      </c>
      <c r="G4467" s="115">
        <v>531</v>
      </c>
      <c r="H4467" s="115">
        <v>1242</v>
      </c>
      <c r="I4467" s="115">
        <v>59</v>
      </c>
      <c r="J4467" s="115">
        <v>998</v>
      </c>
      <c r="K4467" s="115">
        <v>-5</v>
      </c>
    </row>
    <row r="4468" spans="1:11" x14ac:dyDescent="0.25">
      <c r="B4468" s="115" t="s">
        <v>1241</v>
      </c>
      <c r="D4468" s="115" t="s">
        <v>10610</v>
      </c>
      <c r="E4468" s="115" t="s">
        <v>4176</v>
      </c>
      <c r="F4468" s="115">
        <v>-452</v>
      </c>
      <c r="G4468" s="115">
        <v>476</v>
      </c>
      <c r="H4468" s="115">
        <v>0</v>
      </c>
      <c r="I4468" s="115">
        <v>0</v>
      </c>
      <c r="J4468" s="115">
        <v>0</v>
      </c>
      <c r="K4468" s="115">
        <v>0</v>
      </c>
    </row>
    <row r="4469" spans="1:11" x14ac:dyDescent="0.25">
      <c r="B4469" s="115" t="s">
        <v>4177</v>
      </c>
      <c r="D4469" s="115" t="s">
        <v>10611</v>
      </c>
      <c r="E4469" s="115" t="s">
        <v>1242</v>
      </c>
      <c r="F4469" s="115">
        <v>0</v>
      </c>
      <c r="G4469" s="115">
        <v>0</v>
      </c>
      <c r="H4469" s="115">
        <v>0</v>
      </c>
      <c r="I4469" s="115">
        <v>0</v>
      </c>
      <c r="J4469" s="115">
        <v>0</v>
      </c>
      <c r="K4469" s="115">
        <v>0</v>
      </c>
    </row>
    <row r="4470" spans="1:11" x14ac:dyDescent="0.25">
      <c r="B4470" s="115" t="s">
        <v>1241</v>
      </c>
      <c r="D4470" s="115" t="s">
        <v>10612</v>
      </c>
      <c r="E4470" s="115" t="s">
        <v>4178</v>
      </c>
      <c r="F4470" s="115">
        <v>0</v>
      </c>
      <c r="G4470" s="115">
        <v>0</v>
      </c>
      <c r="H4470" s="115">
        <v>0</v>
      </c>
      <c r="I4470" s="115">
        <v>0</v>
      </c>
      <c r="J4470" s="115">
        <v>0</v>
      </c>
      <c r="K4470" s="115">
        <v>-1449</v>
      </c>
    </row>
    <row r="4471" spans="1:11" x14ac:dyDescent="0.25">
      <c r="B4471" s="115" t="s">
        <v>1241</v>
      </c>
      <c r="D4471" s="115" t="s">
        <v>10613</v>
      </c>
      <c r="E4471" s="115" t="s">
        <v>4179</v>
      </c>
      <c r="F4471" s="115">
        <v>0</v>
      </c>
      <c r="G4471" s="115">
        <v>-9793</v>
      </c>
      <c r="H4471" s="115">
        <v>-82968</v>
      </c>
      <c r="I4471" s="115">
        <v>1879</v>
      </c>
      <c r="J4471" s="115">
        <v>14845</v>
      </c>
      <c r="K4471" s="115">
        <v>8363</v>
      </c>
    </row>
    <row r="4472" spans="1:11" x14ac:dyDescent="0.25">
      <c r="B4472" s="115" t="s">
        <v>1241</v>
      </c>
      <c r="D4472" s="115" t="s">
        <v>10614</v>
      </c>
      <c r="E4472" s="115" t="s">
        <v>4180</v>
      </c>
      <c r="F4472" s="115">
        <v>0</v>
      </c>
      <c r="G4472" s="115">
        <v>0</v>
      </c>
      <c r="H4472" s="115">
        <v>4773</v>
      </c>
      <c r="I4472" s="115">
        <v>471</v>
      </c>
      <c r="J4472" s="115">
        <v>0</v>
      </c>
      <c r="K4472" s="115">
        <v>0</v>
      </c>
    </row>
    <row r="4473" spans="1:11" x14ac:dyDescent="0.25">
      <c r="B4473" s="115" t="s">
        <v>1241</v>
      </c>
      <c r="D4473" s="115" t="s">
        <v>10615</v>
      </c>
      <c r="E4473" s="115" t="s">
        <v>4181</v>
      </c>
      <c r="F4473" s="115">
        <v>4496</v>
      </c>
      <c r="G4473" s="115">
        <v>0</v>
      </c>
      <c r="H4473" s="115">
        <v>0</v>
      </c>
      <c r="I4473" s="115">
        <v>60311</v>
      </c>
      <c r="J4473" s="115">
        <v>0</v>
      </c>
      <c r="K4473" s="115">
        <v>-59217</v>
      </c>
    </row>
    <row r="4474" spans="1:11" x14ac:dyDescent="0.25">
      <c r="B4474" s="115" t="s">
        <v>4182</v>
      </c>
      <c r="D4474" s="115" t="s">
        <v>10616</v>
      </c>
      <c r="E4474" s="115" t="s">
        <v>4183</v>
      </c>
      <c r="F4474" s="115">
        <v>0</v>
      </c>
      <c r="G4474" s="115">
        <v>17157</v>
      </c>
      <c r="H4474" s="115">
        <v>-3574</v>
      </c>
      <c r="I4474" s="115">
        <v>-13712</v>
      </c>
      <c r="J4474" s="115">
        <v>-14269</v>
      </c>
      <c r="K4474" s="115">
        <v>-16968</v>
      </c>
    </row>
    <row r="4475" spans="1:11" x14ac:dyDescent="0.25">
      <c r="A4475" s="115">
        <v>-13</v>
      </c>
      <c r="B4475" s="115" t="s">
        <v>4184</v>
      </c>
      <c r="D4475" s="115" t="s">
        <v>10617</v>
      </c>
      <c r="E4475" s="115" t="s">
        <v>4185</v>
      </c>
      <c r="F4475" s="115">
        <v>0</v>
      </c>
      <c r="G4475" s="115">
        <v>0</v>
      </c>
      <c r="H4475" s="115">
        <v>0</v>
      </c>
      <c r="I4475" s="115">
        <v>0</v>
      </c>
      <c r="J4475" s="115">
        <v>-2009</v>
      </c>
      <c r="K4475" s="115">
        <v>0</v>
      </c>
    </row>
    <row r="4476" spans="1:11" x14ac:dyDescent="0.25">
      <c r="B4476" s="115" t="s">
        <v>1241</v>
      </c>
      <c r="D4476" s="115" t="s">
        <v>10618</v>
      </c>
      <c r="E4476" s="115" t="s">
        <v>1242</v>
      </c>
      <c r="F4476" s="115">
        <v>-213</v>
      </c>
      <c r="G4476" s="115">
        <v>0</v>
      </c>
      <c r="H4476" s="115">
        <v>0</v>
      </c>
      <c r="I4476" s="115">
        <v>0</v>
      </c>
      <c r="J4476" s="115">
        <v>0</v>
      </c>
      <c r="K4476" s="115">
        <v>0</v>
      </c>
    </row>
    <row r="4477" spans="1:11" x14ac:dyDescent="0.25">
      <c r="A4477" s="115" t="s">
        <v>1239</v>
      </c>
      <c r="B4477" s="115" t="s">
        <v>4186</v>
      </c>
      <c r="D4477" s="115" t="s">
        <v>10619</v>
      </c>
      <c r="E4477" s="115" t="s">
        <v>4187</v>
      </c>
      <c r="F4477" s="115">
        <v>0</v>
      </c>
      <c r="G4477" s="115">
        <v>0</v>
      </c>
      <c r="H4477" s="115">
        <v>-470</v>
      </c>
      <c r="I4477" s="115">
        <v>-1396</v>
      </c>
      <c r="J4477" s="115">
        <v>0</v>
      </c>
      <c r="K4477" s="115">
        <v>425</v>
      </c>
    </row>
    <row r="4478" spans="1:11" x14ac:dyDescent="0.25">
      <c r="B4478" s="115" t="s">
        <v>1241</v>
      </c>
      <c r="D4478" s="115" t="s">
        <v>10620</v>
      </c>
      <c r="E4478" s="115" t="s">
        <v>4188</v>
      </c>
      <c r="F4478" s="115">
        <v>40</v>
      </c>
      <c r="G4478" s="115">
        <v>322</v>
      </c>
      <c r="H4478" s="115">
        <v>113</v>
      </c>
      <c r="I4478" s="115">
        <v>0</v>
      </c>
      <c r="J4478" s="115">
        <v>0</v>
      </c>
      <c r="K4478" s="115">
        <v>1</v>
      </c>
    </row>
    <row r="4479" spans="1:11" x14ac:dyDescent="0.25">
      <c r="A4479" s="115" t="s">
        <v>1239</v>
      </c>
      <c r="B4479" s="115" t="s">
        <v>4189</v>
      </c>
      <c r="D4479" s="115" t="s">
        <v>10621</v>
      </c>
      <c r="E4479" s="115" t="s">
        <v>4190</v>
      </c>
      <c r="F4479" s="115">
        <v>-192</v>
      </c>
      <c r="G4479" s="115">
        <v>-227</v>
      </c>
      <c r="H4479" s="115">
        <v>818</v>
      </c>
      <c r="I4479" s="115">
        <v>124</v>
      </c>
      <c r="J4479" s="115">
        <v>11</v>
      </c>
      <c r="K4479" s="115">
        <v>0</v>
      </c>
    </row>
    <row r="4480" spans="1:11" x14ac:dyDescent="0.25">
      <c r="B4480" s="115" t="s">
        <v>1241</v>
      </c>
      <c r="D4480" s="115" t="s">
        <v>10622</v>
      </c>
      <c r="E4480" s="115" t="s">
        <v>4191</v>
      </c>
      <c r="F4480" s="115">
        <v>362</v>
      </c>
      <c r="G4480" s="115">
        <v>0</v>
      </c>
      <c r="H4480" s="115">
        <v>-256</v>
      </c>
      <c r="I4480" s="115">
        <v>-81</v>
      </c>
      <c r="J4480" s="115">
        <v>224</v>
      </c>
      <c r="K4480" s="115">
        <v>0</v>
      </c>
    </row>
    <row r="4481" spans="1:11" x14ac:dyDescent="0.25">
      <c r="B4481" s="115" t="s">
        <v>4192</v>
      </c>
      <c r="D4481" s="115" t="s">
        <v>10623</v>
      </c>
      <c r="E4481" s="115" t="s">
        <v>4193</v>
      </c>
      <c r="F4481" s="115">
        <v>-138</v>
      </c>
      <c r="G4481" s="115">
        <v>0</v>
      </c>
      <c r="H4481" s="115">
        <v>209</v>
      </c>
      <c r="I4481" s="115">
        <v>-323</v>
      </c>
      <c r="J4481" s="115">
        <v>45</v>
      </c>
      <c r="K4481" s="115">
        <v>31</v>
      </c>
    </row>
    <row r="4482" spans="1:11" x14ac:dyDescent="0.25">
      <c r="B4482" s="115" t="s">
        <v>4194</v>
      </c>
      <c r="D4482" s="115" t="s">
        <v>10624</v>
      </c>
      <c r="E4482" s="115" t="s">
        <v>4195</v>
      </c>
      <c r="F4482" s="115">
        <v>0</v>
      </c>
      <c r="G4482" s="115">
        <v>0</v>
      </c>
      <c r="H4482" s="115">
        <v>-183</v>
      </c>
      <c r="I4482" s="115">
        <v>-373</v>
      </c>
      <c r="J4482" s="115">
        <v>0</v>
      </c>
      <c r="K4482" s="115">
        <v>-335</v>
      </c>
    </row>
    <row r="4483" spans="1:11" x14ac:dyDescent="0.25">
      <c r="B4483" s="115" t="s">
        <v>4196</v>
      </c>
      <c r="D4483" s="115" t="s">
        <v>10625</v>
      </c>
      <c r="E4483" s="115" t="s">
        <v>4119</v>
      </c>
      <c r="F4483" s="115">
        <v>0</v>
      </c>
      <c r="G4483" s="115">
        <v>0</v>
      </c>
      <c r="H4483" s="115">
        <v>0</v>
      </c>
      <c r="I4483" s="115">
        <v>0</v>
      </c>
      <c r="J4483" s="115">
        <v>-325</v>
      </c>
      <c r="K4483" s="115">
        <v>0</v>
      </c>
    </row>
    <row r="4484" spans="1:11" x14ac:dyDescent="0.25">
      <c r="B4484" s="115" t="s">
        <v>4197</v>
      </c>
      <c r="D4484" s="115" t="s">
        <v>10626</v>
      </c>
      <c r="E4484" s="115" t="s">
        <v>4198</v>
      </c>
      <c r="F4484" s="115">
        <v>274</v>
      </c>
      <c r="G4484" s="115">
        <v>-1609</v>
      </c>
      <c r="H4484" s="115">
        <v>-241</v>
      </c>
      <c r="I4484" s="115">
        <v>48</v>
      </c>
      <c r="J4484" s="115">
        <v>-259</v>
      </c>
      <c r="K4484" s="115">
        <v>16</v>
      </c>
    </row>
    <row r="4485" spans="1:11" x14ac:dyDescent="0.25">
      <c r="B4485" s="115" t="s">
        <v>4199</v>
      </c>
      <c r="D4485" s="115" t="s">
        <v>10627</v>
      </c>
      <c r="E4485" s="115" t="s">
        <v>4200</v>
      </c>
      <c r="F4485" s="115">
        <v>0</v>
      </c>
      <c r="G4485" s="115">
        <v>0</v>
      </c>
      <c r="H4485" s="115">
        <v>-294</v>
      </c>
      <c r="I4485" s="115">
        <v>104</v>
      </c>
      <c r="J4485" s="115">
        <v>0</v>
      </c>
      <c r="K4485" s="115">
        <v>331</v>
      </c>
    </row>
    <row r="4486" spans="1:11" x14ac:dyDescent="0.25">
      <c r="B4486" s="115" t="s">
        <v>1241</v>
      </c>
      <c r="D4486" s="115" t="s">
        <v>10628</v>
      </c>
      <c r="E4486" s="115" t="s">
        <v>4201</v>
      </c>
      <c r="F4486" s="115">
        <v>365</v>
      </c>
      <c r="G4486" s="115">
        <v>79</v>
      </c>
      <c r="H4486" s="115">
        <v>-3</v>
      </c>
      <c r="I4486" s="115">
        <v>0</v>
      </c>
      <c r="J4486" s="115">
        <v>0</v>
      </c>
      <c r="K4486" s="115">
        <v>0</v>
      </c>
    </row>
    <row r="4487" spans="1:11" x14ac:dyDescent="0.25">
      <c r="B4487" s="115" t="s">
        <v>1241</v>
      </c>
      <c r="D4487" s="115" t="s">
        <v>10629</v>
      </c>
      <c r="E4487" s="115" t="s">
        <v>4202</v>
      </c>
      <c r="F4487" s="115">
        <v>299</v>
      </c>
      <c r="G4487" s="115">
        <v>52</v>
      </c>
      <c r="H4487" s="115">
        <v>164</v>
      </c>
      <c r="I4487" s="115">
        <v>0</v>
      </c>
      <c r="J4487" s="115">
        <v>62</v>
      </c>
      <c r="K4487" s="115">
        <v>-1733</v>
      </c>
    </row>
    <row r="4488" spans="1:11" x14ac:dyDescent="0.25">
      <c r="B4488" s="115" t="s">
        <v>4203</v>
      </c>
      <c r="D4488" s="115" t="s">
        <v>10630</v>
      </c>
      <c r="E4488" s="115" t="s">
        <v>4204</v>
      </c>
      <c r="F4488" s="115">
        <v>482</v>
      </c>
      <c r="G4488" s="115">
        <v>-307</v>
      </c>
      <c r="H4488" s="115">
        <v>5</v>
      </c>
      <c r="I4488" s="115">
        <v>48</v>
      </c>
      <c r="J4488" s="115">
        <v>37</v>
      </c>
      <c r="K4488" s="115">
        <v>0</v>
      </c>
    </row>
    <row r="4489" spans="1:11" x14ac:dyDescent="0.25">
      <c r="A4489" s="115" t="s">
        <v>1239</v>
      </c>
      <c r="B4489" s="115" t="s">
        <v>2116</v>
      </c>
      <c r="D4489" s="115" t="s">
        <v>10631</v>
      </c>
      <c r="E4489" s="115" t="s">
        <v>4205</v>
      </c>
      <c r="F4489" s="115">
        <v>0</v>
      </c>
      <c r="G4489" s="115">
        <v>-271</v>
      </c>
      <c r="H4489" s="115">
        <v>0</v>
      </c>
      <c r="I4489" s="115">
        <v>-87</v>
      </c>
      <c r="J4489" s="115">
        <v>0</v>
      </c>
      <c r="K4489" s="115">
        <v>0</v>
      </c>
    </row>
    <row r="4490" spans="1:11" x14ac:dyDescent="0.25">
      <c r="B4490" s="115" t="s">
        <v>1241</v>
      </c>
      <c r="D4490" s="115" t="s">
        <v>10632</v>
      </c>
      <c r="E4490" s="115" t="s">
        <v>4206</v>
      </c>
      <c r="F4490" s="115">
        <v>0</v>
      </c>
      <c r="G4490" s="115">
        <v>0</v>
      </c>
      <c r="H4490" s="115">
        <v>-175</v>
      </c>
      <c r="I4490" s="115">
        <v>0</v>
      </c>
      <c r="J4490" s="115">
        <v>384</v>
      </c>
      <c r="K4490" s="115">
        <v>-107</v>
      </c>
    </row>
    <row r="4491" spans="1:11" x14ac:dyDescent="0.25">
      <c r="A4491" s="115" t="s">
        <v>1239</v>
      </c>
      <c r="B4491" s="115" t="s">
        <v>4207</v>
      </c>
      <c r="D4491" s="115" t="s">
        <v>10633</v>
      </c>
      <c r="E4491" s="115" t="s">
        <v>4208</v>
      </c>
      <c r="F4491" s="115">
        <v>0</v>
      </c>
      <c r="G4491" s="115">
        <v>0</v>
      </c>
      <c r="H4491" s="115">
        <v>0</v>
      </c>
      <c r="I4491" s="115">
        <v>0</v>
      </c>
      <c r="J4491" s="115">
        <v>0</v>
      </c>
      <c r="K4491" s="115">
        <v>-920</v>
      </c>
    </row>
    <row r="4492" spans="1:11" x14ac:dyDescent="0.25">
      <c r="A4492" s="115" t="s">
        <v>1239</v>
      </c>
      <c r="B4492" s="115" t="s">
        <v>4209</v>
      </c>
      <c r="D4492" s="115" t="s">
        <v>10634</v>
      </c>
      <c r="E4492" s="115" t="s">
        <v>4210</v>
      </c>
      <c r="F4492" s="115">
        <v>-748</v>
      </c>
      <c r="G4492" s="115">
        <v>0</v>
      </c>
      <c r="H4492" s="115">
        <v>0</v>
      </c>
      <c r="I4492" s="115">
        <v>0</v>
      </c>
      <c r="J4492" s="115">
        <v>0</v>
      </c>
      <c r="K4492" s="115">
        <v>-301</v>
      </c>
    </row>
    <row r="4493" spans="1:11" x14ac:dyDescent="0.25">
      <c r="B4493" s="115" t="s">
        <v>4211</v>
      </c>
      <c r="D4493" s="115" t="s">
        <v>10635</v>
      </c>
      <c r="E4493" s="115" t="s">
        <v>4212</v>
      </c>
      <c r="F4493" s="115">
        <v>-474</v>
      </c>
      <c r="G4493" s="115">
        <v>-11</v>
      </c>
      <c r="H4493" s="115">
        <v>0</v>
      </c>
      <c r="I4493" s="115">
        <v>0</v>
      </c>
      <c r="J4493" s="115">
        <v>0</v>
      </c>
      <c r="K4493" s="115">
        <v>0</v>
      </c>
    </row>
    <row r="4494" spans="1:11" x14ac:dyDescent="0.25">
      <c r="A4494" s="115" t="s">
        <v>1239</v>
      </c>
      <c r="B4494" s="115" t="s">
        <v>4213</v>
      </c>
      <c r="D4494" s="115" t="s">
        <v>10636</v>
      </c>
      <c r="E4494" s="115" t="s">
        <v>4214</v>
      </c>
      <c r="F4494" s="115">
        <v>-26</v>
      </c>
      <c r="G4494" s="115">
        <v>250</v>
      </c>
      <c r="H4494" s="115">
        <v>146</v>
      </c>
      <c r="I4494" s="115">
        <v>-158</v>
      </c>
      <c r="J4494" s="115">
        <v>37</v>
      </c>
      <c r="K4494" s="115">
        <v>209</v>
      </c>
    </row>
    <row r="4495" spans="1:11" x14ac:dyDescent="0.25">
      <c r="B4495" s="115" t="s">
        <v>4215</v>
      </c>
      <c r="D4495" s="115" t="s">
        <v>10637</v>
      </c>
      <c r="E4495" s="115" t="s">
        <v>4216</v>
      </c>
      <c r="F4495" s="115">
        <v>0</v>
      </c>
      <c r="G4495" s="115">
        <v>0</v>
      </c>
      <c r="H4495" s="115">
        <v>0</v>
      </c>
      <c r="I4495" s="115">
        <v>0</v>
      </c>
      <c r="J4495" s="115">
        <v>0</v>
      </c>
      <c r="K4495" s="115">
        <v>-417</v>
      </c>
    </row>
    <row r="4496" spans="1:11" x14ac:dyDescent="0.25">
      <c r="B4496" s="115" t="s">
        <v>4217</v>
      </c>
      <c r="D4496" s="115" t="s">
        <v>10638</v>
      </c>
      <c r="E4496" s="115" t="s">
        <v>4218</v>
      </c>
      <c r="F4496" s="115">
        <v>-834</v>
      </c>
      <c r="G4496" s="115">
        <v>0</v>
      </c>
      <c r="H4496" s="115">
        <v>0</v>
      </c>
      <c r="I4496" s="115">
        <v>-607</v>
      </c>
      <c r="J4496" s="115">
        <v>0</v>
      </c>
      <c r="K4496" s="115">
        <v>-165</v>
      </c>
    </row>
    <row r="4497" spans="1:11" x14ac:dyDescent="0.25">
      <c r="A4497" s="115">
        <v>1</v>
      </c>
      <c r="B4497" s="115" t="s">
        <v>4219</v>
      </c>
      <c r="D4497" s="115" t="s">
        <v>10639</v>
      </c>
      <c r="E4497" s="115" t="s">
        <v>4220</v>
      </c>
      <c r="F4497" s="115">
        <v>0</v>
      </c>
      <c r="G4497" s="115">
        <v>1146</v>
      </c>
      <c r="H4497" s="115">
        <v>0</v>
      </c>
      <c r="I4497" s="115">
        <v>-1969</v>
      </c>
      <c r="J4497" s="115">
        <v>575</v>
      </c>
      <c r="K4497" s="115">
        <v>0</v>
      </c>
    </row>
    <row r="4498" spans="1:11" x14ac:dyDescent="0.25">
      <c r="B4498" s="115" t="s">
        <v>1241</v>
      </c>
      <c r="D4498" s="115" t="s">
        <v>8710</v>
      </c>
      <c r="E4498" s="115" t="s">
        <v>1242</v>
      </c>
      <c r="F4498" s="115">
        <v>0</v>
      </c>
      <c r="G4498" s="115">
        <v>0</v>
      </c>
      <c r="H4498" s="115">
        <v>0</v>
      </c>
      <c r="I4498" s="115">
        <v>0</v>
      </c>
      <c r="J4498" s="115">
        <v>0</v>
      </c>
      <c r="K4498" s="115">
        <v>0</v>
      </c>
    </row>
    <row r="4499" spans="1:11" x14ac:dyDescent="0.25">
      <c r="B4499" s="115" t="s">
        <v>1241</v>
      </c>
      <c r="D4499" s="115" t="s">
        <v>10640</v>
      </c>
      <c r="E4499" s="115" t="s">
        <v>1242</v>
      </c>
      <c r="F4499" s="115">
        <v>70</v>
      </c>
      <c r="G4499" s="115">
        <v>0</v>
      </c>
      <c r="H4499" s="115">
        <v>0</v>
      </c>
      <c r="I4499" s="115">
        <v>0</v>
      </c>
      <c r="J4499" s="115">
        <v>0</v>
      </c>
      <c r="K4499" s="115">
        <v>0</v>
      </c>
    </row>
    <row r="4500" spans="1:11" x14ac:dyDescent="0.25">
      <c r="A4500" s="115">
        <v>6</v>
      </c>
      <c r="B4500" s="115" t="s">
        <v>4221</v>
      </c>
      <c r="C4500" s="115" t="s">
        <v>1239</v>
      </c>
      <c r="D4500" s="115" t="s">
        <v>10641</v>
      </c>
      <c r="E4500" s="115" t="s">
        <v>4222</v>
      </c>
      <c r="F4500" s="115">
        <v>305</v>
      </c>
      <c r="G4500" s="115">
        <v>-1083</v>
      </c>
      <c r="H4500" s="115">
        <v>0</v>
      </c>
      <c r="I4500" s="115">
        <v>0</v>
      </c>
      <c r="J4500" s="115">
        <v>-79</v>
      </c>
      <c r="K4500" s="115">
        <v>0</v>
      </c>
    </row>
    <row r="4501" spans="1:11" x14ac:dyDescent="0.25">
      <c r="B4501" s="115" t="s">
        <v>1241</v>
      </c>
      <c r="D4501" s="115" t="s">
        <v>10642</v>
      </c>
      <c r="E4501" s="115" t="s">
        <v>1242</v>
      </c>
      <c r="F4501" s="115">
        <v>0</v>
      </c>
      <c r="G4501" s="115">
        <v>0</v>
      </c>
      <c r="H4501" s="115">
        <v>0</v>
      </c>
      <c r="I4501" s="115">
        <v>0</v>
      </c>
      <c r="J4501" s="115">
        <v>0</v>
      </c>
      <c r="K4501" s="115">
        <v>0</v>
      </c>
    </row>
    <row r="4502" spans="1:11" x14ac:dyDescent="0.25">
      <c r="A4502" s="115" t="s">
        <v>1239</v>
      </c>
      <c r="B4502" s="115" t="s">
        <v>4223</v>
      </c>
      <c r="D4502" s="115" t="s">
        <v>10643</v>
      </c>
      <c r="E4502" s="115" t="s">
        <v>4224</v>
      </c>
      <c r="F4502" s="115">
        <v>0</v>
      </c>
      <c r="G4502" s="115">
        <v>-620</v>
      </c>
      <c r="H4502" s="115">
        <v>0</v>
      </c>
      <c r="I4502" s="115">
        <v>729</v>
      </c>
      <c r="J4502" s="115">
        <v>2</v>
      </c>
      <c r="K4502" s="115">
        <v>-5</v>
      </c>
    </row>
    <row r="4503" spans="1:11" x14ac:dyDescent="0.25">
      <c r="B4503" s="115" t="s">
        <v>4225</v>
      </c>
      <c r="C4503" s="115">
        <v>-7</v>
      </c>
      <c r="D4503" s="115" t="s">
        <v>10644</v>
      </c>
      <c r="E4503" s="115" t="s">
        <v>4226</v>
      </c>
      <c r="F4503" s="115">
        <v>-567</v>
      </c>
      <c r="G4503" s="115">
        <v>-977</v>
      </c>
      <c r="H4503" s="115">
        <v>351</v>
      </c>
      <c r="I4503" s="115">
        <v>0</v>
      </c>
      <c r="J4503" s="115">
        <v>-128</v>
      </c>
      <c r="K4503" s="115">
        <v>0</v>
      </c>
    </row>
    <row r="4504" spans="1:11" x14ac:dyDescent="0.25">
      <c r="B4504" s="115" t="s">
        <v>1241</v>
      </c>
      <c r="D4504" s="115" t="s">
        <v>10645</v>
      </c>
      <c r="E4504" s="115" t="s">
        <v>4227</v>
      </c>
      <c r="F4504" s="115">
        <v>33</v>
      </c>
      <c r="G4504" s="115">
        <v>0</v>
      </c>
      <c r="H4504" s="115">
        <v>0</v>
      </c>
      <c r="I4504" s="115">
        <v>0</v>
      </c>
      <c r="J4504" s="115">
        <v>-28</v>
      </c>
      <c r="K4504" s="115">
        <v>0</v>
      </c>
    </row>
    <row r="4505" spans="1:11" x14ac:dyDescent="0.25">
      <c r="B4505" s="115" t="s">
        <v>4228</v>
      </c>
      <c r="D4505" s="115" t="s">
        <v>10646</v>
      </c>
      <c r="E4505" s="115" t="s">
        <v>4229</v>
      </c>
      <c r="F4505" s="115">
        <v>0</v>
      </c>
      <c r="G4505" s="115">
        <v>0</v>
      </c>
      <c r="H4505" s="115">
        <v>-1360</v>
      </c>
      <c r="I4505" s="115">
        <v>0</v>
      </c>
      <c r="J4505" s="115">
        <v>-4723</v>
      </c>
      <c r="K4505" s="115">
        <v>182</v>
      </c>
    </row>
    <row r="4506" spans="1:11" x14ac:dyDescent="0.25">
      <c r="B4506" s="115" t="s">
        <v>1241</v>
      </c>
      <c r="D4506" s="115" t="s">
        <v>10647</v>
      </c>
      <c r="E4506" s="115" t="s">
        <v>4230</v>
      </c>
      <c r="F4506" s="115">
        <v>0</v>
      </c>
      <c r="G4506" s="115">
        <v>745</v>
      </c>
      <c r="H4506" s="115">
        <v>0</v>
      </c>
      <c r="I4506" s="115">
        <v>0</v>
      </c>
      <c r="J4506" s="115">
        <v>0</v>
      </c>
      <c r="K4506" s="115">
        <v>0</v>
      </c>
    </row>
    <row r="4507" spans="1:11" x14ac:dyDescent="0.25">
      <c r="A4507" s="115">
        <v>1</v>
      </c>
      <c r="B4507" s="115" t="s">
        <v>4231</v>
      </c>
      <c r="D4507" s="115" t="s">
        <v>10648</v>
      </c>
      <c r="E4507" s="115" t="s">
        <v>4232</v>
      </c>
      <c r="F4507" s="115">
        <v>0</v>
      </c>
      <c r="G4507" s="115">
        <v>53</v>
      </c>
      <c r="H4507" s="115">
        <v>38</v>
      </c>
      <c r="I4507" s="115">
        <v>0</v>
      </c>
      <c r="J4507" s="115">
        <v>-60</v>
      </c>
      <c r="K4507" s="115">
        <v>321</v>
      </c>
    </row>
    <row r="4508" spans="1:11" x14ac:dyDescent="0.25">
      <c r="B4508" s="115" t="s">
        <v>4233</v>
      </c>
      <c r="D4508" s="115" t="s">
        <v>10649</v>
      </c>
      <c r="E4508" s="115" t="s">
        <v>1242</v>
      </c>
      <c r="F4508" s="115">
        <v>299</v>
      </c>
      <c r="G4508" s="115">
        <v>0</v>
      </c>
      <c r="H4508" s="115">
        <v>0</v>
      </c>
      <c r="I4508" s="115">
        <v>0</v>
      </c>
      <c r="J4508" s="115">
        <v>0</v>
      </c>
      <c r="K4508" s="115">
        <v>0</v>
      </c>
    </row>
    <row r="4509" spans="1:11" x14ac:dyDescent="0.25">
      <c r="A4509" s="115" t="s">
        <v>1239</v>
      </c>
      <c r="B4509" s="115" t="s">
        <v>4234</v>
      </c>
      <c r="C4509" s="115" t="s">
        <v>1239</v>
      </c>
      <c r="D4509" s="115" t="s">
        <v>10650</v>
      </c>
      <c r="E4509" s="115" t="s">
        <v>4235</v>
      </c>
      <c r="F4509" s="115">
        <v>-179</v>
      </c>
      <c r="G4509" s="115">
        <v>0</v>
      </c>
      <c r="H4509" s="115">
        <v>341</v>
      </c>
      <c r="I4509" s="115">
        <v>-1521</v>
      </c>
      <c r="J4509" s="115">
        <v>-1</v>
      </c>
      <c r="K4509" s="115">
        <v>-303</v>
      </c>
    </row>
    <row r="4510" spans="1:11" x14ac:dyDescent="0.25">
      <c r="A4510" s="115" t="s">
        <v>1239</v>
      </c>
      <c r="B4510" s="115" t="s">
        <v>4236</v>
      </c>
      <c r="D4510" s="115" t="s">
        <v>10651</v>
      </c>
      <c r="E4510" s="115" t="s">
        <v>4237</v>
      </c>
      <c r="F4510" s="115">
        <v>4</v>
      </c>
      <c r="G4510" s="115">
        <v>-17</v>
      </c>
      <c r="H4510" s="115">
        <v>0</v>
      </c>
      <c r="I4510" s="115">
        <v>57</v>
      </c>
      <c r="J4510" s="115">
        <v>-57</v>
      </c>
      <c r="K4510" s="115">
        <v>0</v>
      </c>
    </row>
    <row r="4511" spans="1:11" x14ac:dyDescent="0.25">
      <c r="B4511" s="115" t="s">
        <v>1241</v>
      </c>
      <c r="D4511" s="115" t="s">
        <v>10652</v>
      </c>
      <c r="E4511" s="115" t="s">
        <v>4238</v>
      </c>
      <c r="F4511" s="115">
        <v>0</v>
      </c>
      <c r="G4511" s="115">
        <v>-64</v>
      </c>
      <c r="H4511" s="115">
        <v>-368</v>
      </c>
      <c r="I4511" s="115">
        <v>-11</v>
      </c>
      <c r="J4511" s="115">
        <v>-42</v>
      </c>
      <c r="K4511" s="115">
        <v>0</v>
      </c>
    </row>
    <row r="4512" spans="1:11" x14ac:dyDescent="0.25">
      <c r="B4512" s="115" t="s">
        <v>1241</v>
      </c>
      <c r="D4512" s="115" t="s">
        <v>10653</v>
      </c>
      <c r="E4512" s="115" t="s">
        <v>4239</v>
      </c>
      <c r="F4512" s="115">
        <v>-434</v>
      </c>
      <c r="G4512" s="115">
        <v>0</v>
      </c>
      <c r="H4512" s="115">
        <v>233</v>
      </c>
      <c r="I4512" s="115">
        <v>66</v>
      </c>
      <c r="J4512" s="115">
        <v>64</v>
      </c>
      <c r="K4512" s="115">
        <v>0</v>
      </c>
    </row>
    <row r="4513" spans="1:11" x14ac:dyDescent="0.25">
      <c r="B4513" s="115" t="s">
        <v>4240</v>
      </c>
      <c r="D4513" s="115" t="s">
        <v>10654</v>
      </c>
      <c r="E4513" s="115" t="s">
        <v>4241</v>
      </c>
      <c r="F4513" s="115">
        <v>-213</v>
      </c>
      <c r="G4513" s="115">
        <v>95</v>
      </c>
      <c r="H4513" s="115">
        <v>417</v>
      </c>
      <c r="I4513" s="115">
        <v>-2112</v>
      </c>
      <c r="J4513" s="115">
        <v>0</v>
      </c>
      <c r="K4513" s="115">
        <v>32</v>
      </c>
    </row>
    <row r="4514" spans="1:11" x14ac:dyDescent="0.25">
      <c r="B4514" s="115" t="s">
        <v>1241</v>
      </c>
      <c r="D4514" s="115" t="s">
        <v>10655</v>
      </c>
      <c r="E4514" s="115" t="s">
        <v>4242</v>
      </c>
      <c r="F4514" s="115">
        <v>0</v>
      </c>
      <c r="G4514" s="115">
        <v>111</v>
      </c>
      <c r="H4514" s="115">
        <v>0</v>
      </c>
      <c r="I4514" s="115">
        <v>0</v>
      </c>
      <c r="J4514" s="115">
        <v>-32</v>
      </c>
      <c r="K4514" s="115">
        <v>0</v>
      </c>
    </row>
    <row r="4515" spans="1:11" x14ac:dyDescent="0.25">
      <c r="B4515" s="115" t="s">
        <v>4243</v>
      </c>
      <c r="D4515" s="115" t="s">
        <v>10656</v>
      </c>
      <c r="E4515" s="115" t="s">
        <v>4244</v>
      </c>
      <c r="F4515" s="115">
        <v>0</v>
      </c>
      <c r="G4515" s="115">
        <v>0</v>
      </c>
      <c r="H4515" s="115">
        <v>0</v>
      </c>
      <c r="I4515" s="115">
        <v>0</v>
      </c>
      <c r="J4515" s="115">
        <v>-665</v>
      </c>
      <c r="K4515" s="115">
        <v>0</v>
      </c>
    </row>
    <row r="4516" spans="1:11" x14ac:dyDescent="0.25">
      <c r="B4516" s="115" t="s">
        <v>4245</v>
      </c>
      <c r="D4516" s="115" t="s">
        <v>10657</v>
      </c>
      <c r="E4516" s="115" t="s">
        <v>4246</v>
      </c>
      <c r="F4516" s="115">
        <v>-115</v>
      </c>
      <c r="G4516" s="115">
        <v>-1350</v>
      </c>
      <c r="H4516" s="115">
        <v>320</v>
      </c>
      <c r="I4516" s="115">
        <v>0</v>
      </c>
      <c r="J4516" s="115">
        <v>0</v>
      </c>
      <c r="K4516" s="115">
        <v>0</v>
      </c>
    </row>
    <row r="4517" spans="1:11" x14ac:dyDescent="0.25">
      <c r="B4517" s="115" t="s">
        <v>4247</v>
      </c>
      <c r="D4517" s="115" t="s">
        <v>10658</v>
      </c>
      <c r="E4517" s="115" t="s">
        <v>4248</v>
      </c>
      <c r="F4517" s="115">
        <v>-135</v>
      </c>
      <c r="G4517" s="115">
        <v>0</v>
      </c>
      <c r="H4517" s="115">
        <v>-43</v>
      </c>
      <c r="I4517" s="115">
        <v>0</v>
      </c>
      <c r="J4517" s="115">
        <v>0</v>
      </c>
      <c r="K4517" s="115">
        <v>-100</v>
      </c>
    </row>
    <row r="4518" spans="1:11" x14ac:dyDescent="0.25">
      <c r="B4518" s="115" t="s">
        <v>2677</v>
      </c>
      <c r="D4518" s="115" t="s">
        <v>10659</v>
      </c>
      <c r="E4518" s="115" t="s">
        <v>1242</v>
      </c>
      <c r="F4518" s="115">
        <v>0</v>
      </c>
      <c r="G4518" s="115">
        <v>0</v>
      </c>
      <c r="H4518" s="115">
        <v>0</v>
      </c>
      <c r="I4518" s="115">
        <v>0</v>
      </c>
      <c r="J4518" s="115">
        <v>0</v>
      </c>
      <c r="K4518" s="115">
        <v>0</v>
      </c>
    </row>
    <row r="4519" spans="1:11" x14ac:dyDescent="0.25">
      <c r="B4519" s="115" t="s">
        <v>1241</v>
      </c>
      <c r="D4519" s="115" t="s">
        <v>10660</v>
      </c>
      <c r="E4519" s="115" t="s">
        <v>4249</v>
      </c>
      <c r="F4519" s="115">
        <v>366</v>
      </c>
      <c r="G4519" s="115">
        <v>-1</v>
      </c>
      <c r="H4519" s="115">
        <v>-44</v>
      </c>
      <c r="I4519" s="115">
        <v>0</v>
      </c>
      <c r="J4519" s="115">
        <v>566</v>
      </c>
      <c r="K4519" s="115">
        <v>-544</v>
      </c>
    </row>
    <row r="4520" spans="1:11" x14ac:dyDescent="0.25">
      <c r="B4520" s="115" t="s">
        <v>1241</v>
      </c>
      <c r="D4520" s="115" t="s">
        <v>10661</v>
      </c>
      <c r="E4520" s="115" t="s">
        <v>4250</v>
      </c>
      <c r="F4520" s="115">
        <v>0</v>
      </c>
      <c r="G4520" s="115">
        <v>-2492</v>
      </c>
      <c r="H4520" s="115">
        <v>17</v>
      </c>
      <c r="I4520" s="115">
        <v>-517</v>
      </c>
      <c r="J4520" s="115">
        <v>-354</v>
      </c>
      <c r="K4520" s="115">
        <v>-164</v>
      </c>
    </row>
    <row r="4521" spans="1:11" x14ac:dyDescent="0.25">
      <c r="A4521" s="115" t="s">
        <v>1239</v>
      </c>
      <c r="B4521" s="115" t="s">
        <v>4251</v>
      </c>
      <c r="D4521" s="115" t="s">
        <v>10662</v>
      </c>
      <c r="E4521" s="115" t="s">
        <v>4252</v>
      </c>
      <c r="F4521" s="115">
        <v>0</v>
      </c>
      <c r="G4521" s="115">
        <v>187</v>
      </c>
      <c r="H4521" s="115">
        <v>0</v>
      </c>
      <c r="I4521" s="115">
        <v>167</v>
      </c>
      <c r="J4521" s="115">
        <v>0</v>
      </c>
      <c r="K4521" s="115">
        <v>0</v>
      </c>
    </row>
    <row r="4522" spans="1:11" x14ac:dyDescent="0.25">
      <c r="A4522" s="115" t="s">
        <v>1239</v>
      </c>
      <c r="B4522" s="115" t="s">
        <v>4253</v>
      </c>
      <c r="D4522" s="115" t="s">
        <v>10663</v>
      </c>
      <c r="E4522" s="115" t="s">
        <v>4254</v>
      </c>
      <c r="F4522" s="115">
        <v>0</v>
      </c>
      <c r="G4522" s="115">
        <v>0</v>
      </c>
      <c r="H4522" s="115">
        <v>-598</v>
      </c>
      <c r="I4522" s="115">
        <v>0</v>
      </c>
      <c r="J4522" s="115">
        <v>1078</v>
      </c>
      <c r="K4522" s="115">
        <v>-192</v>
      </c>
    </row>
    <row r="4523" spans="1:11" x14ac:dyDescent="0.25">
      <c r="A4523" s="115" t="s">
        <v>1239</v>
      </c>
      <c r="B4523" s="115" t="s">
        <v>4255</v>
      </c>
      <c r="D4523" s="115" t="s">
        <v>10664</v>
      </c>
      <c r="E4523" s="115" t="s">
        <v>4256</v>
      </c>
      <c r="F4523" s="115">
        <v>372</v>
      </c>
      <c r="G4523" s="115">
        <v>448</v>
      </c>
      <c r="H4523" s="115">
        <v>-303</v>
      </c>
      <c r="I4523" s="115">
        <v>1020</v>
      </c>
      <c r="J4523" s="115">
        <v>0</v>
      </c>
      <c r="K4523" s="115">
        <v>0</v>
      </c>
    </row>
    <row r="4524" spans="1:11" x14ac:dyDescent="0.25">
      <c r="B4524" s="115" t="s">
        <v>1241</v>
      </c>
      <c r="D4524" s="115" t="s">
        <v>10665</v>
      </c>
      <c r="E4524" s="115" t="s">
        <v>4257</v>
      </c>
      <c r="F4524" s="115">
        <v>0</v>
      </c>
      <c r="G4524" s="115">
        <v>-39</v>
      </c>
      <c r="H4524" s="115">
        <v>-85</v>
      </c>
      <c r="I4524" s="115">
        <v>-92</v>
      </c>
      <c r="J4524" s="115">
        <v>58</v>
      </c>
      <c r="K4524" s="115">
        <v>-120</v>
      </c>
    </row>
    <row r="4525" spans="1:11" x14ac:dyDescent="0.25">
      <c r="B4525" s="115" t="s">
        <v>3118</v>
      </c>
      <c r="D4525" s="115" t="s">
        <v>10666</v>
      </c>
      <c r="E4525" s="115" t="s">
        <v>4258</v>
      </c>
      <c r="F4525" s="115">
        <v>0</v>
      </c>
      <c r="G4525" s="115">
        <v>-113</v>
      </c>
      <c r="H4525" s="115">
        <v>762</v>
      </c>
      <c r="I4525" s="115">
        <v>0</v>
      </c>
      <c r="J4525" s="115">
        <v>0</v>
      </c>
      <c r="K4525" s="115">
        <v>0</v>
      </c>
    </row>
    <row r="4526" spans="1:11" x14ac:dyDescent="0.25">
      <c r="B4526" s="115" t="s">
        <v>4259</v>
      </c>
      <c r="D4526" s="115" t="s">
        <v>10667</v>
      </c>
      <c r="E4526" s="115" t="s">
        <v>1242</v>
      </c>
      <c r="F4526" s="115">
        <v>5995</v>
      </c>
      <c r="G4526" s="115">
        <v>0</v>
      </c>
      <c r="H4526" s="115">
        <v>0</v>
      </c>
      <c r="I4526" s="115">
        <v>0</v>
      </c>
      <c r="J4526" s="115">
        <v>0</v>
      </c>
      <c r="K4526" s="115">
        <v>0</v>
      </c>
    </row>
    <row r="4527" spans="1:11" x14ac:dyDescent="0.25">
      <c r="B4527" s="115" t="s">
        <v>1241</v>
      </c>
      <c r="D4527" s="115" t="s">
        <v>8710</v>
      </c>
      <c r="E4527" s="115" t="s">
        <v>1242</v>
      </c>
      <c r="F4527" s="115">
        <v>0</v>
      </c>
      <c r="G4527" s="115">
        <v>0</v>
      </c>
      <c r="H4527" s="115">
        <v>0</v>
      </c>
      <c r="I4527" s="115">
        <v>0</v>
      </c>
      <c r="J4527" s="115">
        <v>0</v>
      </c>
      <c r="K4527" s="115">
        <v>0</v>
      </c>
    </row>
    <row r="4528" spans="1:11" x14ac:dyDescent="0.25">
      <c r="B4528" s="115" t="s">
        <v>4260</v>
      </c>
      <c r="D4528" s="115" t="s">
        <v>10668</v>
      </c>
      <c r="E4528" s="115" t="s">
        <v>4261</v>
      </c>
      <c r="F4528" s="115">
        <v>0</v>
      </c>
      <c r="G4528" s="115">
        <v>0</v>
      </c>
      <c r="H4528" s="115">
        <v>-1110</v>
      </c>
      <c r="I4528" s="115">
        <v>6712</v>
      </c>
      <c r="J4528" s="115">
        <v>-1350</v>
      </c>
      <c r="K4528" s="115">
        <v>-2450</v>
      </c>
    </row>
    <row r="4529" spans="1:11" x14ac:dyDescent="0.25">
      <c r="A4529" s="115" t="s">
        <v>1239</v>
      </c>
      <c r="B4529" s="115" t="s">
        <v>4262</v>
      </c>
      <c r="D4529" s="115" t="s">
        <v>10669</v>
      </c>
      <c r="E4529" s="115" t="s">
        <v>4263</v>
      </c>
      <c r="F4529" s="115">
        <v>0</v>
      </c>
      <c r="G4529" s="115">
        <v>-380</v>
      </c>
      <c r="H4529" s="115">
        <v>0</v>
      </c>
      <c r="I4529" s="115">
        <v>0</v>
      </c>
      <c r="J4529" s="115">
        <v>0</v>
      </c>
      <c r="K4529" s="115">
        <v>1854</v>
      </c>
    </row>
    <row r="4530" spans="1:11" x14ac:dyDescent="0.25">
      <c r="A4530" s="115">
        <v>-1</v>
      </c>
      <c r="B4530" s="115" t="s">
        <v>4264</v>
      </c>
      <c r="D4530" s="115" t="s">
        <v>10670</v>
      </c>
      <c r="E4530" s="115" t="s">
        <v>4265</v>
      </c>
      <c r="F4530" s="115">
        <v>0</v>
      </c>
      <c r="G4530" s="115">
        <v>0</v>
      </c>
      <c r="H4530" s="115">
        <v>0</v>
      </c>
      <c r="I4530" s="115">
        <v>-598</v>
      </c>
      <c r="J4530" s="115">
        <v>0</v>
      </c>
      <c r="K4530" s="115">
        <v>0</v>
      </c>
    </row>
    <row r="4531" spans="1:11" x14ac:dyDescent="0.25">
      <c r="A4531" s="115" t="s">
        <v>1239</v>
      </c>
      <c r="B4531" s="115" t="s">
        <v>1648</v>
      </c>
      <c r="D4531" s="115" t="s">
        <v>10671</v>
      </c>
      <c r="E4531" s="115" t="s">
        <v>4266</v>
      </c>
      <c r="F4531" s="115">
        <v>2237</v>
      </c>
      <c r="G4531" s="115">
        <v>817</v>
      </c>
      <c r="H4531" s="115">
        <v>464</v>
      </c>
      <c r="I4531" s="115">
        <v>0</v>
      </c>
      <c r="J4531" s="115">
        <v>337</v>
      </c>
      <c r="K4531" s="115">
        <v>-2468</v>
      </c>
    </row>
    <row r="4532" spans="1:11" x14ac:dyDescent="0.25">
      <c r="B4532" s="115" t="s">
        <v>4267</v>
      </c>
      <c r="D4532" s="115" t="s">
        <v>10672</v>
      </c>
      <c r="E4532" s="115" t="s">
        <v>4268</v>
      </c>
      <c r="F4532" s="115">
        <v>0</v>
      </c>
      <c r="G4532" s="115">
        <v>97</v>
      </c>
      <c r="H4532" s="115">
        <v>0</v>
      </c>
      <c r="I4532" s="115">
        <v>0</v>
      </c>
      <c r="J4532" s="115">
        <v>0</v>
      </c>
      <c r="K4532" s="115">
        <v>0</v>
      </c>
    </row>
    <row r="4533" spans="1:11" x14ac:dyDescent="0.25">
      <c r="B4533" s="115" t="s">
        <v>2989</v>
      </c>
      <c r="D4533" s="115" t="s">
        <v>10673</v>
      </c>
      <c r="E4533" s="115" t="s">
        <v>4269</v>
      </c>
      <c r="F4533" s="115">
        <v>0</v>
      </c>
      <c r="G4533" s="115">
        <v>-215</v>
      </c>
      <c r="H4533" s="115">
        <v>0</v>
      </c>
      <c r="I4533" s="115">
        <v>-11</v>
      </c>
      <c r="J4533" s="115">
        <v>0</v>
      </c>
      <c r="K4533" s="115">
        <v>0</v>
      </c>
    </row>
    <row r="4534" spans="1:11" x14ac:dyDescent="0.25">
      <c r="B4534" s="115" t="s">
        <v>1241</v>
      </c>
      <c r="D4534" s="115" t="s">
        <v>10674</v>
      </c>
      <c r="E4534" s="115" t="s">
        <v>4270</v>
      </c>
      <c r="F4534" s="115">
        <v>0</v>
      </c>
      <c r="G4534" s="115">
        <v>1142</v>
      </c>
      <c r="H4534" s="115">
        <v>265</v>
      </c>
      <c r="I4534" s="115">
        <v>0</v>
      </c>
      <c r="J4534" s="115">
        <v>0</v>
      </c>
      <c r="K4534" s="115">
        <v>7971</v>
      </c>
    </row>
    <row r="4535" spans="1:11" x14ac:dyDescent="0.25">
      <c r="A4535" s="115">
        <v>-33</v>
      </c>
      <c r="B4535" s="115" t="s">
        <v>4271</v>
      </c>
      <c r="D4535" s="115" t="s">
        <v>10675</v>
      </c>
      <c r="E4535" s="115" t="s">
        <v>4272</v>
      </c>
      <c r="F4535" s="115">
        <v>0</v>
      </c>
      <c r="G4535" s="115">
        <v>0</v>
      </c>
      <c r="H4535" s="115">
        <v>0</v>
      </c>
      <c r="I4535" s="115">
        <v>6417</v>
      </c>
      <c r="J4535" s="115">
        <v>1752</v>
      </c>
      <c r="K4535" s="115">
        <v>1620</v>
      </c>
    </row>
    <row r="4536" spans="1:11" x14ac:dyDescent="0.25">
      <c r="B4536" s="115" t="s">
        <v>1241</v>
      </c>
      <c r="D4536" s="115" t="s">
        <v>10676</v>
      </c>
      <c r="E4536" s="115" t="s">
        <v>4273</v>
      </c>
      <c r="F4536" s="115">
        <v>0</v>
      </c>
      <c r="G4536" s="115">
        <v>1767</v>
      </c>
      <c r="H4536" s="115">
        <v>-1875</v>
      </c>
      <c r="I4536" s="115">
        <v>-384</v>
      </c>
      <c r="J4536" s="115">
        <v>-3284</v>
      </c>
      <c r="K4536" s="115">
        <v>-3167</v>
      </c>
    </row>
    <row r="4537" spans="1:11" x14ac:dyDescent="0.25">
      <c r="A4537" s="115">
        <v>-1</v>
      </c>
      <c r="B4537" s="115" t="s">
        <v>4274</v>
      </c>
      <c r="D4537" s="115" t="s">
        <v>10677</v>
      </c>
      <c r="E4537" s="115" t="s">
        <v>4275</v>
      </c>
      <c r="F4537" s="115">
        <v>0</v>
      </c>
      <c r="G4537" s="115">
        <v>0</v>
      </c>
      <c r="H4537" s="115">
        <v>0</v>
      </c>
      <c r="I4537" s="115">
        <v>-6116</v>
      </c>
      <c r="J4537" s="115">
        <v>0</v>
      </c>
      <c r="K4537" s="115">
        <v>12113</v>
      </c>
    </row>
    <row r="4538" spans="1:11" x14ac:dyDescent="0.25">
      <c r="A4538" s="115">
        <v>2</v>
      </c>
      <c r="B4538" s="115" t="s">
        <v>4276</v>
      </c>
      <c r="D4538" s="115" t="s">
        <v>10678</v>
      </c>
      <c r="E4538" s="115" t="s">
        <v>4277</v>
      </c>
      <c r="F4538" s="115">
        <v>-6756</v>
      </c>
      <c r="G4538" s="115">
        <v>-379</v>
      </c>
      <c r="H4538" s="115">
        <v>-351</v>
      </c>
      <c r="I4538" s="115">
        <v>-3981</v>
      </c>
      <c r="J4538" s="115">
        <v>0</v>
      </c>
      <c r="K4538" s="115">
        <v>-985</v>
      </c>
    </row>
    <row r="4539" spans="1:11" x14ac:dyDescent="0.25">
      <c r="A4539" s="115">
        <v>-3</v>
      </c>
      <c r="B4539" s="115" t="s">
        <v>4278</v>
      </c>
      <c r="D4539" s="115" t="s">
        <v>10679</v>
      </c>
      <c r="E4539" s="115" t="s">
        <v>4279</v>
      </c>
      <c r="F4539" s="115">
        <v>120</v>
      </c>
      <c r="G4539" s="115">
        <v>-1612</v>
      </c>
      <c r="H4539" s="115">
        <v>0</v>
      </c>
      <c r="I4539" s="115">
        <v>0</v>
      </c>
      <c r="J4539" s="115">
        <v>0</v>
      </c>
      <c r="K4539" s="115">
        <v>152</v>
      </c>
    </row>
    <row r="4540" spans="1:11" x14ac:dyDescent="0.25">
      <c r="B4540" s="115" t="s">
        <v>1766</v>
      </c>
      <c r="D4540" s="115" t="s">
        <v>10680</v>
      </c>
      <c r="E4540" s="115" t="s">
        <v>4280</v>
      </c>
      <c r="F4540" s="115">
        <v>599</v>
      </c>
      <c r="G4540" s="115">
        <v>139</v>
      </c>
      <c r="H4540" s="115">
        <v>0</v>
      </c>
      <c r="I4540" s="115">
        <v>0</v>
      </c>
      <c r="J4540" s="115">
        <v>0</v>
      </c>
      <c r="K4540" s="115">
        <v>0</v>
      </c>
    </row>
    <row r="4541" spans="1:11" x14ac:dyDescent="0.25">
      <c r="B4541" s="115" t="s">
        <v>4281</v>
      </c>
      <c r="D4541" s="115" t="s">
        <v>10681</v>
      </c>
      <c r="E4541" s="115" t="s">
        <v>4282</v>
      </c>
      <c r="F4541" s="115">
        <v>13</v>
      </c>
      <c r="G4541" s="115">
        <v>27</v>
      </c>
      <c r="H4541" s="115">
        <v>0</v>
      </c>
      <c r="I4541" s="115">
        <v>1064</v>
      </c>
      <c r="J4541" s="115">
        <v>-7001</v>
      </c>
      <c r="K4541" s="115">
        <v>-321</v>
      </c>
    </row>
    <row r="4542" spans="1:11" x14ac:dyDescent="0.25">
      <c r="B4542" s="115" t="s">
        <v>4283</v>
      </c>
      <c r="D4542" s="115" t="s">
        <v>10682</v>
      </c>
      <c r="E4542" s="115" t="s">
        <v>4284</v>
      </c>
      <c r="F4542" s="115">
        <v>-3488</v>
      </c>
      <c r="G4542" s="115">
        <v>0</v>
      </c>
      <c r="H4542" s="115">
        <v>-23</v>
      </c>
      <c r="I4542" s="115">
        <v>0</v>
      </c>
      <c r="J4542" s="115">
        <v>0</v>
      </c>
      <c r="K4542" s="115">
        <v>-1538</v>
      </c>
    </row>
    <row r="4543" spans="1:11" x14ac:dyDescent="0.25">
      <c r="B4543" s="115" t="s">
        <v>4285</v>
      </c>
      <c r="D4543" s="115" t="s">
        <v>10683</v>
      </c>
      <c r="E4543" s="115" t="s">
        <v>4286</v>
      </c>
      <c r="F4543" s="115">
        <v>0</v>
      </c>
      <c r="G4543" s="115">
        <v>-120</v>
      </c>
      <c r="H4543" s="115">
        <v>0</v>
      </c>
      <c r="I4543" s="115">
        <v>97</v>
      </c>
      <c r="J4543" s="115">
        <v>567</v>
      </c>
      <c r="K4543" s="115">
        <v>12</v>
      </c>
    </row>
    <row r="4544" spans="1:11" x14ac:dyDescent="0.25">
      <c r="B4544" s="115" t="s">
        <v>1241</v>
      </c>
      <c r="D4544" s="115" t="s">
        <v>10684</v>
      </c>
      <c r="E4544" s="115" t="s">
        <v>4287</v>
      </c>
      <c r="F4544" s="115">
        <v>0</v>
      </c>
      <c r="G4544" s="115">
        <v>-352</v>
      </c>
      <c r="H4544" s="115">
        <v>0</v>
      </c>
      <c r="I4544" s="115">
        <v>339</v>
      </c>
      <c r="J4544" s="115">
        <v>106</v>
      </c>
      <c r="K4544" s="115">
        <v>200</v>
      </c>
    </row>
    <row r="4545" spans="1:11" x14ac:dyDescent="0.25">
      <c r="B4545" s="115" t="s">
        <v>4288</v>
      </c>
      <c r="C4545" s="115" t="s">
        <v>1239</v>
      </c>
      <c r="D4545" s="115" t="s">
        <v>10685</v>
      </c>
      <c r="E4545" s="115" t="s">
        <v>4289</v>
      </c>
      <c r="F4545" s="115">
        <v>0</v>
      </c>
      <c r="G4545" s="115">
        <v>0</v>
      </c>
      <c r="H4545" s="115">
        <v>0</v>
      </c>
      <c r="I4545" s="115">
        <v>-816</v>
      </c>
      <c r="J4545" s="115">
        <v>-2954</v>
      </c>
      <c r="K4545" s="115">
        <v>805</v>
      </c>
    </row>
    <row r="4546" spans="1:11" x14ac:dyDescent="0.25">
      <c r="B4546" s="115" t="s">
        <v>4290</v>
      </c>
      <c r="D4546" s="115" t="s">
        <v>10686</v>
      </c>
      <c r="E4546" s="115" t="s">
        <v>4291</v>
      </c>
      <c r="F4546" s="115">
        <v>0</v>
      </c>
      <c r="G4546" s="115">
        <v>0</v>
      </c>
      <c r="H4546" s="115">
        <v>-379</v>
      </c>
      <c r="I4546" s="115">
        <v>0</v>
      </c>
      <c r="J4546" s="115">
        <v>-296</v>
      </c>
      <c r="K4546" s="115">
        <v>0</v>
      </c>
    </row>
    <row r="4547" spans="1:11" x14ac:dyDescent="0.25">
      <c r="B4547" s="115" t="s">
        <v>4292</v>
      </c>
      <c r="D4547" s="115" t="s">
        <v>10687</v>
      </c>
      <c r="E4547" s="115" t="s">
        <v>4293</v>
      </c>
      <c r="F4547" s="115">
        <v>0</v>
      </c>
      <c r="G4547" s="115">
        <v>0</v>
      </c>
      <c r="H4547" s="115">
        <v>0</v>
      </c>
      <c r="I4547" s="115">
        <v>0</v>
      </c>
      <c r="J4547" s="115">
        <v>0</v>
      </c>
      <c r="K4547" s="115">
        <v>-289</v>
      </c>
    </row>
    <row r="4548" spans="1:11" x14ac:dyDescent="0.25">
      <c r="B4548" s="115" t="s">
        <v>4294</v>
      </c>
      <c r="D4548" s="115" t="s">
        <v>10688</v>
      </c>
      <c r="E4548" s="115" t="s">
        <v>4295</v>
      </c>
      <c r="F4548" s="115">
        <v>0</v>
      </c>
      <c r="G4548" s="115">
        <v>2167</v>
      </c>
      <c r="H4548" s="115">
        <v>644</v>
      </c>
      <c r="I4548" s="115">
        <v>0</v>
      </c>
      <c r="J4548" s="115">
        <v>0</v>
      </c>
      <c r="K4548" s="115">
        <v>0</v>
      </c>
    </row>
    <row r="4549" spans="1:11" x14ac:dyDescent="0.25">
      <c r="B4549" s="115" t="s">
        <v>1241</v>
      </c>
      <c r="C4549" s="115" t="s">
        <v>1239</v>
      </c>
      <c r="D4549" s="115" t="s">
        <v>10689</v>
      </c>
      <c r="E4549" s="115" t="s">
        <v>4296</v>
      </c>
      <c r="F4549" s="115">
        <v>-2382</v>
      </c>
      <c r="G4549" s="115">
        <v>-1870</v>
      </c>
      <c r="H4549" s="115">
        <v>-1098</v>
      </c>
      <c r="I4549" s="115">
        <v>-4206</v>
      </c>
      <c r="J4549" s="115">
        <v>0</v>
      </c>
      <c r="K4549" s="115">
        <v>0</v>
      </c>
    </row>
    <row r="4550" spans="1:11" x14ac:dyDescent="0.25">
      <c r="B4550" s="115" t="s">
        <v>1241</v>
      </c>
      <c r="D4550" s="115" t="s">
        <v>10690</v>
      </c>
      <c r="E4550" s="115" t="s">
        <v>4297</v>
      </c>
      <c r="F4550" s="115">
        <v>383</v>
      </c>
      <c r="G4550" s="115">
        <v>0</v>
      </c>
      <c r="H4550" s="115">
        <v>0</v>
      </c>
      <c r="I4550" s="115">
        <v>-2460</v>
      </c>
      <c r="J4550" s="115">
        <v>-732</v>
      </c>
      <c r="K4550" s="115">
        <v>0</v>
      </c>
    </row>
    <row r="4551" spans="1:11" x14ac:dyDescent="0.25">
      <c r="B4551" s="115" t="s">
        <v>1241</v>
      </c>
      <c r="D4551" s="115" t="s">
        <v>10691</v>
      </c>
      <c r="E4551" s="115" t="s">
        <v>4298</v>
      </c>
      <c r="F4551" s="115">
        <v>0</v>
      </c>
      <c r="G4551" s="115">
        <v>2261</v>
      </c>
      <c r="H4551" s="115">
        <v>-1472</v>
      </c>
      <c r="I4551" s="115">
        <v>-2078</v>
      </c>
      <c r="J4551" s="115">
        <v>711</v>
      </c>
      <c r="K4551" s="115">
        <v>26</v>
      </c>
    </row>
    <row r="4552" spans="1:11" x14ac:dyDescent="0.25">
      <c r="A4552" s="115">
        <v>-2</v>
      </c>
      <c r="B4552" s="115" t="s">
        <v>4299</v>
      </c>
      <c r="D4552" s="115" t="s">
        <v>10692</v>
      </c>
      <c r="E4552" s="115" t="s">
        <v>1242</v>
      </c>
      <c r="F4552" s="115">
        <v>2237</v>
      </c>
      <c r="G4552" s="115">
        <v>0</v>
      </c>
      <c r="H4552" s="115">
        <v>0</v>
      </c>
      <c r="I4552" s="115">
        <v>0</v>
      </c>
      <c r="J4552" s="115">
        <v>0</v>
      </c>
      <c r="K4552" s="115">
        <v>0</v>
      </c>
    </row>
    <row r="4553" spans="1:11" x14ac:dyDescent="0.25">
      <c r="B4553" s="115" t="s">
        <v>1241</v>
      </c>
      <c r="D4553" s="115" t="s">
        <v>10693</v>
      </c>
      <c r="E4553" s="115" t="s">
        <v>4300</v>
      </c>
      <c r="F4553" s="115">
        <v>-2982</v>
      </c>
      <c r="G4553" s="115">
        <v>-486</v>
      </c>
      <c r="H4553" s="115">
        <v>-1455</v>
      </c>
      <c r="I4553" s="115">
        <v>2226</v>
      </c>
      <c r="J4553" s="115">
        <v>0</v>
      </c>
      <c r="K4553" s="115">
        <v>0</v>
      </c>
    </row>
    <row r="4554" spans="1:11" x14ac:dyDescent="0.25">
      <c r="A4554" s="115" t="s">
        <v>1239</v>
      </c>
      <c r="B4554" s="115" t="s">
        <v>2438</v>
      </c>
      <c r="D4554" s="115" t="s">
        <v>10694</v>
      </c>
      <c r="E4554" s="115" t="s">
        <v>4301</v>
      </c>
      <c r="F4554" s="115">
        <v>0</v>
      </c>
      <c r="G4554" s="115">
        <v>0</v>
      </c>
      <c r="H4554" s="115">
        <v>0</v>
      </c>
      <c r="I4554" s="115">
        <v>0</v>
      </c>
      <c r="J4554" s="115">
        <v>15708</v>
      </c>
      <c r="K4554" s="115">
        <v>0</v>
      </c>
    </row>
    <row r="4555" spans="1:11" x14ac:dyDescent="0.25">
      <c r="A4555" s="115">
        <v>3</v>
      </c>
      <c r="B4555" s="115" t="s">
        <v>4302</v>
      </c>
      <c r="D4555" s="115" t="s">
        <v>8710</v>
      </c>
      <c r="E4555" s="115" t="s">
        <v>1242</v>
      </c>
      <c r="F4555" s="115">
        <v>0</v>
      </c>
      <c r="G4555" s="115">
        <v>0</v>
      </c>
      <c r="H4555" s="115">
        <v>0</v>
      </c>
      <c r="I4555" s="115">
        <v>0</v>
      </c>
      <c r="J4555" s="115">
        <v>0</v>
      </c>
      <c r="K4555" s="115">
        <v>0</v>
      </c>
    </row>
    <row r="4556" spans="1:11" x14ac:dyDescent="0.25">
      <c r="B4556" s="115" t="s">
        <v>1241</v>
      </c>
      <c r="D4556" s="115" t="s">
        <v>10695</v>
      </c>
      <c r="E4556" s="115" t="s">
        <v>4303</v>
      </c>
      <c r="F4556" s="115">
        <v>0</v>
      </c>
      <c r="G4556" s="115">
        <v>0</v>
      </c>
      <c r="H4556" s="115">
        <v>0</v>
      </c>
      <c r="I4556" s="115">
        <v>6307</v>
      </c>
      <c r="J4556" s="115">
        <v>0</v>
      </c>
      <c r="K4556" s="115">
        <v>0</v>
      </c>
    </row>
    <row r="4557" spans="1:11" x14ac:dyDescent="0.25">
      <c r="B4557" s="115" t="s">
        <v>1241</v>
      </c>
      <c r="D4557" s="115" t="s">
        <v>10696</v>
      </c>
      <c r="E4557" s="115" t="s">
        <v>4304</v>
      </c>
      <c r="F4557" s="115">
        <v>6670</v>
      </c>
      <c r="G4557" s="115">
        <v>6378</v>
      </c>
      <c r="H4557" s="115">
        <v>-6611</v>
      </c>
      <c r="I4557" s="115">
        <v>-969</v>
      </c>
      <c r="J4557" s="115">
        <v>-1476</v>
      </c>
      <c r="K4557" s="115">
        <v>274</v>
      </c>
    </row>
    <row r="4558" spans="1:11" x14ac:dyDescent="0.25">
      <c r="A4558" s="115" t="s">
        <v>1239</v>
      </c>
      <c r="B4558" s="115" t="s">
        <v>4305</v>
      </c>
      <c r="D4558" s="115" t="s">
        <v>10697</v>
      </c>
      <c r="E4558" s="115" t="s">
        <v>4306</v>
      </c>
      <c r="F4558" s="115">
        <v>0</v>
      </c>
      <c r="G4558" s="115">
        <v>0</v>
      </c>
      <c r="H4558" s="115">
        <v>0</v>
      </c>
      <c r="I4558" s="115">
        <v>-735</v>
      </c>
      <c r="J4558" s="115">
        <v>1603</v>
      </c>
      <c r="K4558" s="115">
        <v>0</v>
      </c>
    </row>
    <row r="4559" spans="1:11" x14ac:dyDescent="0.25">
      <c r="B4559" s="115" t="s">
        <v>1241</v>
      </c>
      <c r="D4559" s="115" t="s">
        <v>10698</v>
      </c>
      <c r="E4559" s="115" t="s">
        <v>4307</v>
      </c>
      <c r="F4559" s="115">
        <v>0</v>
      </c>
      <c r="G4559" s="115">
        <v>-123</v>
      </c>
      <c r="H4559" s="115">
        <v>0</v>
      </c>
      <c r="I4559" s="115">
        <v>0</v>
      </c>
      <c r="J4559" s="115">
        <v>-72</v>
      </c>
      <c r="K4559" s="115">
        <v>0</v>
      </c>
    </row>
    <row r="4560" spans="1:11" x14ac:dyDescent="0.25">
      <c r="B4560" s="115" t="s">
        <v>4308</v>
      </c>
      <c r="D4560" s="115" t="s">
        <v>10699</v>
      </c>
      <c r="E4560" s="115" t="s">
        <v>4309</v>
      </c>
      <c r="F4560" s="115">
        <v>2031</v>
      </c>
      <c r="G4560" s="115">
        <v>0</v>
      </c>
      <c r="H4560" s="115">
        <v>-1851</v>
      </c>
      <c r="I4560" s="115">
        <v>-1758</v>
      </c>
      <c r="J4560" s="115">
        <v>172</v>
      </c>
      <c r="K4560" s="115">
        <v>665</v>
      </c>
    </row>
    <row r="4561" spans="1:11" x14ac:dyDescent="0.25">
      <c r="A4561" s="115">
        <v>1</v>
      </c>
      <c r="B4561" s="115" t="s">
        <v>4310</v>
      </c>
      <c r="D4561" s="115" t="s">
        <v>10700</v>
      </c>
      <c r="E4561" s="115" t="s">
        <v>2009</v>
      </c>
      <c r="F4561" s="115">
        <v>0</v>
      </c>
      <c r="G4561" s="115">
        <v>0</v>
      </c>
      <c r="H4561" s="115">
        <v>0</v>
      </c>
      <c r="I4561" s="115">
        <v>0</v>
      </c>
      <c r="J4561" s="115">
        <v>0</v>
      </c>
      <c r="K4561" s="115">
        <v>134</v>
      </c>
    </row>
    <row r="4562" spans="1:11" x14ac:dyDescent="0.25">
      <c r="B4562" s="115" t="s">
        <v>1241</v>
      </c>
      <c r="D4562" s="115" t="s">
        <v>10701</v>
      </c>
      <c r="E4562" s="115" t="s">
        <v>4311</v>
      </c>
      <c r="F4562" s="115">
        <v>0</v>
      </c>
      <c r="G4562" s="115">
        <v>74</v>
      </c>
      <c r="H4562" s="115">
        <v>0</v>
      </c>
      <c r="I4562" s="115">
        <v>0</v>
      </c>
      <c r="J4562" s="115">
        <v>0</v>
      </c>
      <c r="K4562" s="115">
        <v>0</v>
      </c>
    </row>
    <row r="4563" spans="1:11" x14ac:dyDescent="0.25">
      <c r="B4563" s="115" t="s">
        <v>3664</v>
      </c>
      <c r="D4563" s="115" t="s">
        <v>10702</v>
      </c>
      <c r="E4563" s="115" t="s">
        <v>4312</v>
      </c>
      <c r="F4563" s="115">
        <v>630</v>
      </c>
      <c r="G4563" s="115">
        <v>0</v>
      </c>
      <c r="H4563" s="115">
        <v>0</v>
      </c>
      <c r="I4563" s="115">
        <v>621</v>
      </c>
      <c r="J4563" s="115">
        <v>-6925</v>
      </c>
      <c r="K4563" s="115">
        <v>0</v>
      </c>
    </row>
    <row r="4564" spans="1:11" x14ac:dyDescent="0.25">
      <c r="A4564" s="115">
        <v>2</v>
      </c>
      <c r="B4564" s="115" t="s">
        <v>1323</v>
      </c>
      <c r="D4564" s="115" t="s">
        <v>10703</v>
      </c>
      <c r="E4564" s="115" t="s">
        <v>4313</v>
      </c>
      <c r="F4564" s="115">
        <v>0</v>
      </c>
      <c r="G4564" s="115">
        <v>-574</v>
      </c>
      <c r="H4564" s="115">
        <v>-57</v>
      </c>
      <c r="I4564" s="115">
        <v>-95</v>
      </c>
      <c r="J4564" s="115">
        <v>0</v>
      </c>
      <c r="K4564" s="115">
        <v>0</v>
      </c>
    </row>
    <row r="4565" spans="1:11" x14ac:dyDescent="0.25">
      <c r="B4565" s="115" t="s">
        <v>4314</v>
      </c>
      <c r="D4565" s="115" t="s">
        <v>10704</v>
      </c>
      <c r="E4565" s="115" t="s">
        <v>4315</v>
      </c>
      <c r="F4565" s="115">
        <v>433</v>
      </c>
      <c r="G4565" s="115">
        <v>224</v>
      </c>
      <c r="H4565" s="115">
        <v>411</v>
      </c>
      <c r="I4565" s="115">
        <v>748</v>
      </c>
      <c r="J4565" s="115">
        <v>586</v>
      </c>
      <c r="K4565" s="115">
        <v>84</v>
      </c>
    </row>
    <row r="4566" spans="1:11" x14ac:dyDescent="0.25">
      <c r="B4566" s="115" t="s">
        <v>1241</v>
      </c>
      <c r="D4566" s="115" t="s">
        <v>10705</v>
      </c>
      <c r="E4566" s="115" t="s">
        <v>4316</v>
      </c>
      <c r="F4566" s="115">
        <v>0</v>
      </c>
      <c r="G4566" s="115">
        <v>148</v>
      </c>
      <c r="H4566" s="115">
        <v>0</v>
      </c>
      <c r="I4566" s="115">
        <v>51</v>
      </c>
      <c r="J4566" s="115">
        <v>-651</v>
      </c>
      <c r="K4566" s="115">
        <v>-17</v>
      </c>
    </row>
    <row r="4567" spans="1:11" x14ac:dyDescent="0.25">
      <c r="B4567" s="115" t="s">
        <v>4317</v>
      </c>
      <c r="C4567" s="115">
        <v>-1</v>
      </c>
      <c r="D4567" s="115" t="s">
        <v>10706</v>
      </c>
      <c r="E4567" s="115" t="s">
        <v>4318</v>
      </c>
      <c r="F4567" s="115">
        <v>28924</v>
      </c>
      <c r="G4567" s="115">
        <v>24496</v>
      </c>
      <c r="H4567" s="115">
        <v>0</v>
      </c>
      <c r="I4567" s="115">
        <v>7080</v>
      </c>
      <c r="J4567" s="115">
        <v>13563</v>
      </c>
      <c r="K4567" s="115">
        <v>16270</v>
      </c>
    </row>
    <row r="4568" spans="1:11" x14ac:dyDescent="0.25">
      <c r="A4568" s="115">
        <v>1</v>
      </c>
      <c r="B4568" s="115" t="s">
        <v>4319</v>
      </c>
      <c r="C4568" s="115" t="s">
        <v>1239</v>
      </c>
      <c r="D4568" s="115" t="s">
        <v>10707</v>
      </c>
      <c r="E4568" s="115" t="s">
        <v>4320</v>
      </c>
      <c r="F4568" s="115">
        <v>0</v>
      </c>
      <c r="G4568" s="115">
        <v>0</v>
      </c>
      <c r="H4568" s="115">
        <v>0</v>
      </c>
      <c r="I4568" s="115">
        <v>1419</v>
      </c>
      <c r="J4568" s="115">
        <v>-2864</v>
      </c>
      <c r="K4568" s="115">
        <v>0</v>
      </c>
    </row>
    <row r="4569" spans="1:11" x14ac:dyDescent="0.25">
      <c r="A4569" s="115">
        <v>-3</v>
      </c>
      <c r="B4569" s="115" t="s">
        <v>4321</v>
      </c>
      <c r="D4569" s="115" t="s">
        <v>10708</v>
      </c>
      <c r="E4569" s="115" t="s">
        <v>4322</v>
      </c>
      <c r="F4569" s="115">
        <v>0</v>
      </c>
      <c r="G4569" s="115">
        <v>0</v>
      </c>
      <c r="H4569" s="115">
        <v>0</v>
      </c>
      <c r="I4569" s="115">
        <v>0</v>
      </c>
      <c r="J4569" s="115">
        <v>0</v>
      </c>
      <c r="K4569" s="115">
        <v>-111</v>
      </c>
    </row>
    <row r="4570" spans="1:11" x14ac:dyDescent="0.25">
      <c r="B4570" s="115" t="s">
        <v>4323</v>
      </c>
      <c r="D4570" s="115" t="s">
        <v>10709</v>
      </c>
      <c r="E4570" s="115" t="s">
        <v>4324</v>
      </c>
      <c r="F4570" s="115">
        <v>0</v>
      </c>
      <c r="G4570" s="115">
        <v>1538</v>
      </c>
      <c r="H4570" s="115">
        <v>-8062</v>
      </c>
      <c r="I4570" s="115">
        <v>-620</v>
      </c>
      <c r="J4570" s="115">
        <v>-740</v>
      </c>
      <c r="K4570" s="115">
        <v>-4047</v>
      </c>
    </row>
    <row r="4571" spans="1:11" x14ac:dyDescent="0.25">
      <c r="A4571" s="115" t="s">
        <v>1239</v>
      </c>
      <c r="B4571" s="115" t="s">
        <v>4325</v>
      </c>
      <c r="C4571" s="115" t="s">
        <v>1239</v>
      </c>
      <c r="D4571" s="115" t="s">
        <v>10710</v>
      </c>
      <c r="E4571" s="115" t="s">
        <v>4326</v>
      </c>
      <c r="F4571" s="115">
        <v>-246</v>
      </c>
      <c r="G4571" s="115">
        <v>0</v>
      </c>
      <c r="H4571" s="115">
        <v>0</v>
      </c>
      <c r="I4571" s="115">
        <v>-1703</v>
      </c>
      <c r="J4571" s="115">
        <v>369</v>
      </c>
      <c r="K4571" s="115">
        <v>0</v>
      </c>
    </row>
    <row r="4572" spans="1:11" x14ac:dyDescent="0.25">
      <c r="B4572" s="115" t="s">
        <v>4327</v>
      </c>
      <c r="D4572" s="115" t="s">
        <v>10711</v>
      </c>
      <c r="E4572" s="115" t="s">
        <v>4328</v>
      </c>
      <c r="F4572" s="115">
        <v>0</v>
      </c>
      <c r="G4572" s="115">
        <v>190</v>
      </c>
      <c r="H4572" s="115">
        <v>536</v>
      </c>
      <c r="I4572" s="115">
        <v>503</v>
      </c>
      <c r="J4572" s="115">
        <v>0</v>
      </c>
      <c r="K4572" s="115">
        <v>0</v>
      </c>
    </row>
    <row r="4573" spans="1:11" x14ac:dyDescent="0.25">
      <c r="B4573" s="115" t="s">
        <v>1241</v>
      </c>
      <c r="D4573" s="115" t="s">
        <v>10712</v>
      </c>
      <c r="E4573" s="115" t="s">
        <v>4329</v>
      </c>
      <c r="F4573" s="115">
        <v>0</v>
      </c>
      <c r="G4573" s="115">
        <v>1318</v>
      </c>
      <c r="H4573" s="115">
        <v>-859</v>
      </c>
      <c r="I4573" s="115">
        <v>229</v>
      </c>
      <c r="J4573" s="115">
        <v>0</v>
      </c>
      <c r="K4573" s="115">
        <v>2330</v>
      </c>
    </row>
    <row r="4574" spans="1:11" x14ac:dyDescent="0.25">
      <c r="A4574" s="115">
        <v>-10</v>
      </c>
      <c r="B4574" s="115" t="s">
        <v>4330</v>
      </c>
      <c r="D4574" s="115" t="s">
        <v>10713</v>
      </c>
      <c r="E4574" s="115" t="s">
        <v>4331</v>
      </c>
      <c r="F4574" s="115">
        <v>0</v>
      </c>
      <c r="G4574" s="115">
        <v>-929</v>
      </c>
      <c r="H4574" s="115">
        <v>-1586</v>
      </c>
      <c r="I4574" s="115">
        <v>-770</v>
      </c>
      <c r="J4574" s="115">
        <v>-73</v>
      </c>
      <c r="K4574" s="115">
        <v>43</v>
      </c>
    </row>
    <row r="4575" spans="1:11" x14ac:dyDescent="0.25">
      <c r="B4575" s="115" t="s">
        <v>4332</v>
      </c>
      <c r="D4575" s="115" t="s">
        <v>10714</v>
      </c>
      <c r="E4575" s="115" t="s">
        <v>4333</v>
      </c>
      <c r="F4575" s="115">
        <v>-115</v>
      </c>
      <c r="G4575" s="115">
        <v>0</v>
      </c>
      <c r="H4575" s="115">
        <v>-987</v>
      </c>
      <c r="I4575" s="115">
        <v>0</v>
      </c>
      <c r="J4575" s="115">
        <v>-316</v>
      </c>
      <c r="K4575" s="115">
        <v>0</v>
      </c>
    </row>
    <row r="4576" spans="1:11" x14ac:dyDescent="0.25">
      <c r="B4576" s="115" t="s">
        <v>1241</v>
      </c>
      <c r="D4576" s="115" t="s">
        <v>10715</v>
      </c>
      <c r="E4576" s="115" t="s">
        <v>4334</v>
      </c>
      <c r="F4576" s="115">
        <v>0</v>
      </c>
      <c r="G4576" s="115">
        <v>0</v>
      </c>
      <c r="H4576" s="115">
        <v>0</v>
      </c>
      <c r="I4576" s="115">
        <v>-361</v>
      </c>
      <c r="J4576" s="115">
        <v>0</v>
      </c>
      <c r="K4576" s="115">
        <v>976</v>
      </c>
    </row>
    <row r="4577" spans="1:11" x14ac:dyDescent="0.25">
      <c r="A4577" s="115" t="s">
        <v>1239</v>
      </c>
      <c r="B4577" s="115" t="s">
        <v>4335</v>
      </c>
      <c r="D4577" s="115" t="s">
        <v>10716</v>
      </c>
      <c r="E4577" s="115" t="s">
        <v>1242</v>
      </c>
      <c r="F4577" s="115">
        <v>366</v>
      </c>
      <c r="G4577" s="115">
        <v>0</v>
      </c>
      <c r="H4577" s="115">
        <v>0</v>
      </c>
      <c r="I4577" s="115">
        <v>0</v>
      </c>
      <c r="J4577" s="115">
        <v>0</v>
      </c>
      <c r="K4577" s="115">
        <v>0</v>
      </c>
    </row>
    <row r="4578" spans="1:11" x14ac:dyDescent="0.25">
      <c r="A4578" s="115">
        <v>-3</v>
      </c>
      <c r="B4578" s="115" t="s">
        <v>4336</v>
      </c>
      <c r="C4578" s="115" t="s">
        <v>1239</v>
      </c>
      <c r="D4578" s="115" t="s">
        <v>10717</v>
      </c>
      <c r="E4578" s="115" t="s">
        <v>4337</v>
      </c>
      <c r="F4578" s="115">
        <v>-1136</v>
      </c>
      <c r="G4578" s="115">
        <v>-5297</v>
      </c>
      <c r="H4578" s="115">
        <v>0</v>
      </c>
      <c r="I4578" s="115">
        <v>0</v>
      </c>
      <c r="J4578" s="115">
        <v>0</v>
      </c>
      <c r="K4578" s="115">
        <v>0</v>
      </c>
    </row>
    <row r="4579" spans="1:11" x14ac:dyDescent="0.25">
      <c r="A4579" s="115" t="s">
        <v>1239</v>
      </c>
      <c r="B4579" s="115" t="s">
        <v>4338</v>
      </c>
      <c r="D4579" s="115" t="s">
        <v>10718</v>
      </c>
      <c r="E4579" s="115" t="s">
        <v>4339</v>
      </c>
      <c r="F4579" s="115">
        <v>0</v>
      </c>
      <c r="G4579" s="115">
        <v>-2136</v>
      </c>
      <c r="H4579" s="115">
        <v>-3050</v>
      </c>
      <c r="I4579" s="115">
        <v>0</v>
      </c>
      <c r="J4579" s="115">
        <v>0</v>
      </c>
      <c r="K4579" s="115">
        <v>0</v>
      </c>
    </row>
    <row r="4580" spans="1:11" x14ac:dyDescent="0.25">
      <c r="B4580" s="115" t="s">
        <v>4340</v>
      </c>
      <c r="D4580" s="115" t="s">
        <v>10719</v>
      </c>
      <c r="E4580" s="115" t="s">
        <v>4341</v>
      </c>
      <c r="F4580" s="115">
        <v>-2201</v>
      </c>
      <c r="G4580" s="115">
        <v>-2226</v>
      </c>
      <c r="H4580" s="115">
        <v>595</v>
      </c>
      <c r="I4580" s="115">
        <v>-386</v>
      </c>
      <c r="J4580" s="115">
        <v>-10467</v>
      </c>
      <c r="K4580" s="115">
        <v>-8652</v>
      </c>
    </row>
    <row r="4581" spans="1:11" x14ac:dyDescent="0.25">
      <c r="A4581" s="115">
        <v>1</v>
      </c>
      <c r="B4581" s="115" t="s">
        <v>4342</v>
      </c>
      <c r="C4581" s="115" t="s">
        <v>1239</v>
      </c>
      <c r="D4581" s="115" t="s">
        <v>10720</v>
      </c>
      <c r="E4581" s="115" t="s">
        <v>1242</v>
      </c>
      <c r="F4581" s="115">
        <v>0</v>
      </c>
      <c r="G4581" s="115">
        <v>0</v>
      </c>
      <c r="H4581" s="115">
        <v>0</v>
      </c>
      <c r="I4581" s="115">
        <v>0</v>
      </c>
      <c r="J4581" s="115">
        <v>0</v>
      </c>
      <c r="K4581" s="115">
        <v>0</v>
      </c>
    </row>
    <row r="4582" spans="1:11" x14ac:dyDescent="0.25">
      <c r="B4582" s="115" t="s">
        <v>4343</v>
      </c>
      <c r="D4582" s="115" t="s">
        <v>10721</v>
      </c>
      <c r="E4582" s="115" t="s">
        <v>4344</v>
      </c>
      <c r="F4582" s="115">
        <v>1558</v>
      </c>
      <c r="G4582" s="115">
        <v>716</v>
      </c>
      <c r="H4582" s="115">
        <v>0</v>
      </c>
      <c r="I4582" s="115">
        <v>0</v>
      </c>
      <c r="J4582" s="115">
        <v>-3032</v>
      </c>
      <c r="K4582" s="115">
        <v>0</v>
      </c>
    </row>
    <row r="4583" spans="1:11" x14ac:dyDescent="0.25">
      <c r="B4583" s="115" t="s">
        <v>4345</v>
      </c>
      <c r="D4583" s="115" t="s">
        <v>10722</v>
      </c>
      <c r="E4583" s="115" t="s">
        <v>4346</v>
      </c>
      <c r="F4583" s="115">
        <v>0</v>
      </c>
      <c r="G4583" s="115">
        <v>0</v>
      </c>
      <c r="H4583" s="115">
        <v>9597</v>
      </c>
      <c r="I4583" s="115">
        <v>0</v>
      </c>
      <c r="J4583" s="115">
        <v>1954</v>
      </c>
      <c r="K4583" s="115">
        <v>4770</v>
      </c>
    </row>
    <row r="4584" spans="1:11" x14ac:dyDescent="0.25">
      <c r="B4584" s="115" t="s">
        <v>1241</v>
      </c>
      <c r="D4584" s="115" t="s">
        <v>8710</v>
      </c>
      <c r="E4584" s="115" t="s">
        <v>1242</v>
      </c>
      <c r="F4584" s="115">
        <v>0</v>
      </c>
      <c r="G4584" s="115">
        <v>0</v>
      </c>
      <c r="H4584" s="115">
        <v>0</v>
      </c>
      <c r="I4584" s="115">
        <v>0</v>
      </c>
      <c r="J4584" s="115">
        <v>0</v>
      </c>
      <c r="K4584" s="115">
        <v>0</v>
      </c>
    </row>
    <row r="4585" spans="1:11" x14ac:dyDescent="0.25">
      <c r="B4585" s="115" t="s">
        <v>1241</v>
      </c>
      <c r="D4585" s="115" t="s">
        <v>10723</v>
      </c>
      <c r="E4585" s="115" t="s">
        <v>4347</v>
      </c>
      <c r="F4585" s="115">
        <v>0</v>
      </c>
      <c r="G4585" s="115">
        <v>6943</v>
      </c>
      <c r="H4585" s="115">
        <v>0</v>
      </c>
      <c r="I4585" s="115">
        <v>0</v>
      </c>
      <c r="J4585" s="115">
        <v>0</v>
      </c>
      <c r="K4585" s="115">
        <v>0</v>
      </c>
    </row>
    <row r="4586" spans="1:11" x14ac:dyDescent="0.25">
      <c r="B4586" s="115" t="s">
        <v>4348</v>
      </c>
      <c r="D4586" s="115" t="s">
        <v>10724</v>
      </c>
      <c r="E4586" s="115" t="s">
        <v>4349</v>
      </c>
      <c r="F4586" s="115">
        <v>28618</v>
      </c>
      <c r="G4586" s="115">
        <v>-5377</v>
      </c>
      <c r="H4586" s="115">
        <v>-744</v>
      </c>
      <c r="I4586" s="115">
        <v>-448</v>
      </c>
      <c r="J4586" s="115">
        <v>343</v>
      </c>
      <c r="K4586" s="115">
        <v>-164</v>
      </c>
    </row>
    <row r="4587" spans="1:11" x14ac:dyDescent="0.25">
      <c r="B4587" s="115" t="s">
        <v>1241</v>
      </c>
      <c r="D4587" s="115" t="s">
        <v>10725</v>
      </c>
      <c r="E4587" s="115" t="s">
        <v>4350</v>
      </c>
      <c r="F4587" s="115">
        <v>0</v>
      </c>
      <c r="G4587" s="115">
        <v>0</v>
      </c>
      <c r="H4587" s="115">
        <v>-1292</v>
      </c>
      <c r="I4587" s="115">
        <v>279</v>
      </c>
      <c r="J4587" s="115">
        <v>0</v>
      </c>
      <c r="K4587" s="115">
        <v>0</v>
      </c>
    </row>
    <row r="4588" spans="1:11" x14ac:dyDescent="0.25">
      <c r="B4588" s="115" t="s">
        <v>1241</v>
      </c>
      <c r="D4588" s="115" t="s">
        <v>10726</v>
      </c>
      <c r="E4588" s="115" t="s">
        <v>4351</v>
      </c>
      <c r="F4588" s="115">
        <v>-228</v>
      </c>
      <c r="G4588" s="115">
        <v>0</v>
      </c>
      <c r="H4588" s="115">
        <v>0</v>
      </c>
      <c r="I4588" s="115">
        <v>-325</v>
      </c>
      <c r="J4588" s="115">
        <v>0</v>
      </c>
      <c r="K4588" s="115">
        <v>359</v>
      </c>
    </row>
    <row r="4589" spans="1:11" x14ac:dyDescent="0.25">
      <c r="B4589" s="115" t="s">
        <v>4352</v>
      </c>
      <c r="D4589" s="115" t="s">
        <v>10727</v>
      </c>
      <c r="E4589" s="115" t="s">
        <v>4353</v>
      </c>
      <c r="F4589" s="115">
        <v>0</v>
      </c>
      <c r="G4589" s="115">
        <v>-1690</v>
      </c>
      <c r="H4589" s="115">
        <v>-2016</v>
      </c>
      <c r="I4589" s="115">
        <v>1165</v>
      </c>
      <c r="J4589" s="115">
        <v>721</v>
      </c>
      <c r="K4589" s="115">
        <v>1284</v>
      </c>
    </row>
    <row r="4590" spans="1:11" x14ac:dyDescent="0.25">
      <c r="B4590" s="115" t="s">
        <v>4354</v>
      </c>
      <c r="D4590" s="115" t="s">
        <v>10728</v>
      </c>
      <c r="E4590" s="115" t="s">
        <v>4355</v>
      </c>
      <c r="F4590" s="115">
        <v>0</v>
      </c>
      <c r="G4590" s="115">
        <v>0</v>
      </c>
      <c r="H4590" s="115">
        <v>0</v>
      </c>
      <c r="I4590" s="115">
        <v>0</v>
      </c>
      <c r="J4590" s="115">
        <v>32</v>
      </c>
      <c r="K4590" s="115">
        <v>0</v>
      </c>
    </row>
    <row r="4591" spans="1:11" x14ac:dyDescent="0.25">
      <c r="B4591" s="115" t="s">
        <v>1241</v>
      </c>
      <c r="D4591" s="115" t="s">
        <v>10729</v>
      </c>
      <c r="E4591" s="115" t="s">
        <v>1242</v>
      </c>
      <c r="F4591" s="115">
        <v>49</v>
      </c>
      <c r="G4591" s="115">
        <v>0</v>
      </c>
      <c r="H4591" s="115">
        <v>0</v>
      </c>
      <c r="I4591" s="115">
        <v>0</v>
      </c>
      <c r="J4591" s="115">
        <v>0</v>
      </c>
      <c r="K4591" s="115">
        <v>0</v>
      </c>
    </row>
    <row r="4592" spans="1:11" x14ac:dyDescent="0.25">
      <c r="B4592" s="115" t="s">
        <v>4356</v>
      </c>
      <c r="D4592" s="115" t="s">
        <v>10730</v>
      </c>
      <c r="E4592" s="115" t="s">
        <v>4357</v>
      </c>
      <c r="F4592" s="115">
        <v>0</v>
      </c>
      <c r="G4592" s="115">
        <v>0</v>
      </c>
      <c r="H4592" s="115">
        <v>224</v>
      </c>
      <c r="I4592" s="115">
        <v>-7679</v>
      </c>
      <c r="J4592" s="115">
        <v>0</v>
      </c>
      <c r="K4592" s="115">
        <v>2985</v>
      </c>
    </row>
    <row r="4593" spans="1:11" x14ac:dyDescent="0.25">
      <c r="B4593" s="115" t="s">
        <v>1241</v>
      </c>
      <c r="D4593" s="115" t="s">
        <v>10731</v>
      </c>
      <c r="E4593" s="115" t="s">
        <v>4358</v>
      </c>
      <c r="F4593" s="115">
        <v>631</v>
      </c>
      <c r="G4593" s="115">
        <v>65</v>
      </c>
      <c r="H4593" s="115">
        <v>26</v>
      </c>
      <c r="I4593" s="115">
        <v>0</v>
      </c>
      <c r="J4593" s="115">
        <v>0</v>
      </c>
      <c r="K4593" s="115">
        <v>15</v>
      </c>
    </row>
    <row r="4594" spans="1:11" x14ac:dyDescent="0.25">
      <c r="B4594" s="115" t="s">
        <v>4359</v>
      </c>
      <c r="D4594" s="115" t="s">
        <v>10732</v>
      </c>
      <c r="E4594" s="115" t="s">
        <v>4360</v>
      </c>
      <c r="F4594" s="115">
        <v>46</v>
      </c>
      <c r="G4594" s="115">
        <v>748</v>
      </c>
      <c r="H4594" s="115">
        <v>949</v>
      </c>
      <c r="I4594" s="115">
        <v>732</v>
      </c>
      <c r="J4594" s="115">
        <v>226</v>
      </c>
      <c r="K4594" s="115">
        <v>0</v>
      </c>
    </row>
    <row r="4595" spans="1:11" x14ac:dyDescent="0.25">
      <c r="B4595" s="115" t="s">
        <v>1241</v>
      </c>
      <c r="D4595" s="115" t="s">
        <v>10733</v>
      </c>
      <c r="E4595" s="115" t="s">
        <v>4361</v>
      </c>
      <c r="F4595" s="115">
        <v>309</v>
      </c>
      <c r="G4595" s="115">
        <v>0</v>
      </c>
      <c r="H4595" s="115">
        <v>344</v>
      </c>
      <c r="I4595" s="115">
        <v>-511</v>
      </c>
      <c r="J4595" s="115">
        <v>-133</v>
      </c>
      <c r="K4595" s="115">
        <v>0</v>
      </c>
    </row>
    <row r="4596" spans="1:11" x14ac:dyDescent="0.25">
      <c r="A4596" s="115">
        <v>2</v>
      </c>
      <c r="B4596" s="115" t="s">
        <v>4362</v>
      </c>
      <c r="D4596" s="115" t="s">
        <v>10734</v>
      </c>
      <c r="E4596" s="115" t="s">
        <v>4363</v>
      </c>
      <c r="F4596" s="115">
        <v>-3950</v>
      </c>
      <c r="G4596" s="115">
        <v>0</v>
      </c>
      <c r="H4596" s="115">
        <v>-1452</v>
      </c>
      <c r="I4596" s="115">
        <v>-2061</v>
      </c>
      <c r="J4596" s="115">
        <v>214</v>
      </c>
      <c r="K4596" s="115">
        <v>-281</v>
      </c>
    </row>
    <row r="4597" spans="1:11" x14ac:dyDescent="0.25">
      <c r="B4597" s="115" t="s">
        <v>4364</v>
      </c>
      <c r="C4597" s="115" t="s">
        <v>1239</v>
      </c>
      <c r="D4597" s="115" t="s">
        <v>10735</v>
      </c>
      <c r="E4597" s="115" t="s">
        <v>4365</v>
      </c>
      <c r="F4597" s="115">
        <v>0</v>
      </c>
      <c r="G4597" s="115">
        <v>0</v>
      </c>
      <c r="H4597" s="115">
        <v>-275</v>
      </c>
      <c r="I4597" s="115">
        <v>-472</v>
      </c>
      <c r="J4597" s="115">
        <v>0</v>
      </c>
      <c r="K4597" s="115">
        <v>-288</v>
      </c>
    </row>
    <row r="4598" spans="1:11" x14ac:dyDescent="0.25">
      <c r="B4598" s="115" t="s">
        <v>4366</v>
      </c>
      <c r="D4598" s="115" t="s">
        <v>10736</v>
      </c>
      <c r="E4598" s="115" t="s">
        <v>4367</v>
      </c>
      <c r="F4598" s="115">
        <v>0</v>
      </c>
      <c r="G4598" s="115">
        <v>0</v>
      </c>
      <c r="H4598" s="115">
        <v>0</v>
      </c>
      <c r="I4598" s="115">
        <v>0</v>
      </c>
      <c r="J4598" s="115">
        <v>-544</v>
      </c>
      <c r="K4598" s="115">
        <v>0</v>
      </c>
    </row>
    <row r="4599" spans="1:11" x14ac:dyDescent="0.25">
      <c r="A4599" s="115">
        <v>2</v>
      </c>
      <c r="B4599" s="115" t="s">
        <v>4368</v>
      </c>
      <c r="D4599" s="115" t="s">
        <v>10737</v>
      </c>
      <c r="E4599" s="115" t="s">
        <v>4369</v>
      </c>
      <c r="F4599" s="115">
        <v>-2523</v>
      </c>
      <c r="G4599" s="115">
        <v>-13898</v>
      </c>
      <c r="H4599" s="115">
        <v>1527</v>
      </c>
      <c r="I4599" s="115">
        <v>27929</v>
      </c>
      <c r="J4599" s="115">
        <v>22872</v>
      </c>
      <c r="K4599" s="115">
        <v>9652</v>
      </c>
    </row>
    <row r="4600" spans="1:11" x14ac:dyDescent="0.25">
      <c r="A4600" s="115">
        <v>5</v>
      </c>
      <c r="B4600" s="115" t="s">
        <v>4370</v>
      </c>
      <c r="D4600" s="115" t="s">
        <v>10738</v>
      </c>
      <c r="E4600" s="115" t="s">
        <v>4371</v>
      </c>
      <c r="F4600" s="115">
        <v>0</v>
      </c>
      <c r="G4600" s="115">
        <v>0</v>
      </c>
      <c r="H4600" s="115">
        <v>-541</v>
      </c>
      <c r="I4600" s="115">
        <v>-218</v>
      </c>
      <c r="J4600" s="115">
        <v>0</v>
      </c>
      <c r="K4600" s="115">
        <v>-1789</v>
      </c>
    </row>
    <row r="4601" spans="1:11" x14ac:dyDescent="0.25">
      <c r="B4601" s="115" t="s">
        <v>1241</v>
      </c>
      <c r="C4601" s="115" t="s">
        <v>1239</v>
      </c>
      <c r="D4601" s="115" t="s">
        <v>10739</v>
      </c>
      <c r="E4601" s="115" t="s">
        <v>4372</v>
      </c>
      <c r="F4601" s="115">
        <v>-2735</v>
      </c>
      <c r="G4601" s="115">
        <v>-1616</v>
      </c>
      <c r="H4601" s="115">
        <v>-2542</v>
      </c>
      <c r="I4601" s="115">
        <v>0</v>
      </c>
      <c r="J4601" s="115">
        <v>0</v>
      </c>
      <c r="K4601" s="115">
        <v>0</v>
      </c>
    </row>
    <row r="4602" spans="1:11" x14ac:dyDescent="0.25">
      <c r="B4602" s="115" t="s">
        <v>1241</v>
      </c>
      <c r="D4602" s="115" t="s">
        <v>10740</v>
      </c>
      <c r="E4602" s="115" t="s">
        <v>4373</v>
      </c>
      <c r="F4602" s="115">
        <v>-10260</v>
      </c>
      <c r="G4602" s="115">
        <v>3209</v>
      </c>
      <c r="H4602" s="115">
        <v>3476</v>
      </c>
      <c r="I4602" s="115">
        <v>0</v>
      </c>
      <c r="J4602" s="115">
        <v>2083</v>
      </c>
      <c r="K4602" s="115">
        <v>-10865</v>
      </c>
    </row>
    <row r="4603" spans="1:11" x14ac:dyDescent="0.25">
      <c r="A4603" s="115" t="s">
        <v>1239</v>
      </c>
      <c r="B4603" s="115" t="s">
        <v>4374</v>
      </c>
      <c r="D4603" s="115" t="s">
        <v>10741</v>
      </c>
      <c r="E4603" s="115" t="s">
        <v>4375</v>
      </c>
      <c r="F4603" s="115">
        <v>-1049</v>
      </c>
      <c r="G4603" s="115">
        <v>-1519</v>
      </c>
      <c r="H4603" s="115">
        <v>273</v>
      </c>
      <c r="I4603" s="115">
        <v>164</v>
      </c>
      <c r="J4603" s="115">
        <v>242</v>
      </c>
      <c r="K4603" s="115">
        <v>0</v>
      </c>
    </row>
    <row r="4604" spans="1:11" x14ac:dyDescent="0.25">
      <c r="A4604" s="115" t="s">
        <v>1239</v>
      </c>
      <c r="B4604" s="115" t="s">
        <v>4376</v>
      </c>
      <c r="D4604" s="115" t="s">
        <v>10742</v>
      </c>
      <c r="E4604" s="115" t="s">
        <v>4377</v>
      </c>
      <c r="F4604" s="115">
        <v>0</v>
      </c>
      <c r="G4604" s="115">
        <v>-716</v>
      </c>
      <c r="H4604" s="115">
        <v>0</v>
      </c>
      <c r="I4604" s="115">
        <v>-257</v>
      </c>
      <c r="J4604" s="115">
        <v>0</v>
      </c>
      <c r="K4604" s="115">
        <v>0</v>
      </c>
    </row>
    <row r="4605" spans="1:11" x14ac:dyDescent="0.25">
      <c r="B4605" s="115" t="s">
        <v>1241</v>
      </c>
      <c r="D4605" s="115" t="s">
        <v>10743</v>
      </c>
      <c r="E4605" s="115" t="s">
        <v>4378</v>
      </c>
      <c r="F4605" s="115">
        <v>0</v>
      </c>
      <c r="G4605" s="115">
        <v>0</v>
      </c>
      <c r="H4605" s="115">
        <v>-257</v>
      </c>
      <c r="I4605" s="115">
        <v>0</v>
      </c>
      <c r="J4605" s="115">
        <v>1260</v>
      </c>
      <c r="K4605" s="115">
        <v>-602</v>
      </c>
    </row>
    <row r="4606" spans="1:11" x14ac:dyDescent="0.25">
      <c r="B4606" s="115" t="s">
        <v>4379</v>
      </c>
      <c r="D4606" s="115" t="s">
        <v>10744</v>
      </c>
      <c r="E4606" s="115" t="s">
        <v>4380</v>
      </c>
      <c r="F4606" s="115">
        <v>0</v>
      </c>
      <c r="G4606" s="115">
        <v>0</v>
      </c>
      <c r="H4606" s="115">
        <v>0</v>
      </c>
      <c r="I4606" s="115">
        <v>0</v>
      </c>
      <c r="J4606" s="115">
        <v>0</v>
      </c>
      <c r="K4606" s="115">
        <v>-3710</v>
      </c>
    </row>
    <row r="4607" spans="1:11" x14ac:dyDescent="0.25">
      <c r="A4607" s="115">
        <v>-1</v>
      </c>
      <c r="B4607" s="115" t="s">
        <v>4381</v>
      </c>
      <c r="C4607" s="115" t="s">
        <v>1239</v>
      </c>
      <c r="D4607" s="115" t="s">
        <v>10745</v>
      </c>
      <c r="E4607" s="115" t="s">
        <v>4382</v>
      </c>
      <c r="F4607" s="115">
        <v>-5457</v>
      </c>
      <c r="G4607" s="115">
        <v>0</v>
      </c>
      <c r="H4607" s="115">
        <v>0</v>
      </c>
      <c r="I4607" s="115">
        <v>0</v>
      </c>
      <c r="J4607" s="115">
        <v>0</v>
      </c>
      <c r="K4607" s="115">
        <v>371</v>
      </c>
    </row>
    <row r="4608" spans="1:11" x14ac:dyDescent="0.25">
      <c r="B4608" s="115" t="s">
        <v>4383</v>
      </c>
      <c r="D4608" s="115" t="s">
        <v>10746</v>
      </c>
      <c r="E4608" s="115" t="s">
        <v>4384</v>
      </c>
      <c r="F4608" s="115">
        <v>-2006</v>
      </c>
      <c r="G4608" s="115">
        <v>-2245</v>
      </c>
      <c r="H4608" s="115">
        <v>0</v>
      </c>
      <c r="I4608" s="115">
        <v>0</v>
      </c>
      <c r="J4608" s="115">
        <v>0</v>
      </c>
      <c r="K4608" s="115">
        <v>0</v>
      </c>
    </row>
    <row r="4609" spans="1:11" x14ac:dyDescent="0.25">
      <c r="A4609" s="115" t="s">
        <v>1239</v>
      </c>
      <c r="B4609" s="115" t="s">
        <v>4385</v>
      </c>
      <c r="D4609" s="115" t="s">
        <v>10747</v>
      </c>
      <c r="E4609" s="115" t="s">
        <v>4386</v>
      </c>
      <c r="F4609" s="115">
        <v>-2358</v>
      </c>
      <c r="G4609" s="115">
        <v>1049</v>
      </c>
      <c r="H4609" s="115">
        <v>-35</v>
      </c>
      <c r="I4609" s="115">
        <v>-8961</v>
      </c>
      <c r="J4609" s="115">
        <v>-7563</v>
      </c>
      <c r="K4609" s="115">
        <v>-1934</v>
      </c>
    </row>
    <row r="4610" spans="1:11" x14ac:dyDescent="0.25">
      <c r="A4610" s="115" t="s">
        <v>1239</v>
      </c>
      <c r="B4610" s="115" t="s">
        <v>4387</v>
      </c>
      <c r="D4610" s="115" t="s">
        <v>10748</v>
      </c>
      <c r="E4610" s="115" t="s">
        <v>4388</v>
      </c>
      <c r="F4610" s="115">
        <v>0</v>
      </c>
      <c r="G4610" s="115">
        <v>0</v>
      </c>
      <c r="H4610" s="115">
        <v>0</v>
      </c>
      <c r="I4610" s="115">
        <v>0</v>
      </c>
      <c r="J4610" s="115">
        <v>0</v>
      </c>
      <c r="K4610" s="115">
        <v>-129</v>
      </c>
    </row>
    <row r="4611" spans="1:11" x14ac:dyDescent="0.25">
      <c r="B4611" s="115" t="s">
        <v>4389</v>
      </c>
      <c r="D4611" s="115" t="s">
        <v>10749</v>
      </c>
      <c r="E4611" s="115" t="s">
        <v>4390</v>
      </c>
      <c r="F4611" s="115">
        <v>1632</v>
      </c>
      <c r="G4611" s="115">
        <v>0</v>
      </c>
      <c r="H4611" s="115">
        <v>0</v>
      </c>
      <c r="I4611" s="115">
        <v>-3054</v>
      </c>
      <c r="J4611" s="115">
        <v>0</v>
      </c>
      <c r="K4611" s="115">
        <v>15</v>
      </c>
    </row>
    <row r="4612" spans="1:11" x14ac:dyDescent="0.25">
      <c r="A4612" s="115">
        <v>1</v>
      </c>
      <c r="B4612" s="115" t="s">
        <v>4391</v>
      </c>
      <c r="D4612" s="115" t="s">
        <v>10750</v>
      </c>
      <c r="E4612" s="115" t="s">
        <v>4392</v>
      </c>
      <c r="F4612" s="115">
        <v>0</v>
      </c>
      <c r="G4612" s="115">
        <v>10506</v>
      </c>
      <c r="H4612" s="115">
        <v>0</v>
      </c>
      <c r="I4612" s="115">
        <v>2529</v>
      </c>
      <c r="J4612" s="115">
        <v>4860</v>
      </c>
      <c r="K4612" s="115">
        <v>0</v>
      </c>
    </row>
    <row r="4613" spans="1:11" x14ac:dyDescent="0.25">
      <c r="B4613" s="115" t="s">
        <v>1241</v>
      </c>
      <c r="D4613" s="115" t="s">
        <v>8710</v>
      </c>
      <c r="E4613" s="115" t="s">
        <v>1242</v>
      </c>
      <c r="F4613" s="115">
        <v>0</v>
      </c>
      <c r="G4613" s="115">
        <v>0</v>
      </c>
      <c r="H4613" s="115">
        <v>0</v>
      </c>
      <c r="I4613" s="115">
        <v>0</v>
      </c>
      <c r="J4613" s="115">
        <v>0</v>
      </c>
      <c r="K4613" s="115">
        <v>0</v>
      </c>
    </row>
    <row r="4614" spans="1:11" x14ac:dyDescent="0.25">
      <c r="B4614" s="115" t="s">
        <v>1241</v>
      </c>
      <c r="D4614" s="115" t="s">
        <v>10751</v>
      </c>
      <c r="E4614" s="115" t="s">
        <v>1242</v>
      </c>
      <c r="F4614" s="115">
        <v>6740</v>
      </c>
      <c r="G4614" s="115">
        <v>0</v>
      </c>
      <c r="H4614" s="115">
        <v>0</v>
      </c>
      <c r="I4614" s="115">
        <v>0</v>
      </c>
      <c r="J4614" s="115">
        <v>0</v>
      </c>
      <c r="K4614" s="115">
        <v>0</v>
      </c>
    </row>
    <row r="4615" spans="1:11" x14ac:dyDescent="0.25">
      <c r="A4615" s="115">
        <v>1</v>
      </c>
      <c r="B4615" s="115" t="s">
        <v>4393</v>
      </c>
      <c r="D4615" s="115" t="s">
        <v>10752</v>
      </c>
      <c r="E4615" s="115" t="s">
        <v>4394</v>
      </c>
      <c r="F4615" s="115">
        <v>30619</v>
      </c>
      <c r="G4615" s="115">
        <v>-1828</v>
      </c>
      <c r="H4615" s="115">
        <v>1631</v>
      </c>
      <c r="I4615" s="115">
        <v>1213</v>
      </c>
      <c r="J4615" s="115">
        <v>-207</v>
      </c>
      <c r="K4615" s="115">
        <v>-1150</v>
      </c>
    </row>
    <row r="4616" spans="1:11" x14ac:dyDescent="0.25">
      <c r="B4616" s="115" t="s">
        <v>1241</v>
      </c>
      <c r="D4616" s="115" t="s">
        <v>10753</v>
      </c>
      <c r="E4616" s="115" t="s">
        <v>4395</v>
      </c>
      <c r="F4616" s="115">
        <v>0</v>
      </c>
      <c r="G4616" s="115">
        <v>0</v>
      </c>
      <c r="H4616" s="115">
        <v>-288</v>
      </c>
      <c r="I4616" s="115">
        <v>51</v>
      </c>
      <c r="J4616" s="115">
        <v>0</v>
      </c>
      <c r="K4616" s="115">
        <v>0</v>
      </c>
    </row>
    <row r="4617" spans="1:11" x14ac:dyDescent="0.25">
      <c r="B4617" s="115" t="s">
        <v>1241</v>
      </c>
      <c r="D4617" s="115" t="s">
        <v>10754</v>
      </c>
      <c r="E4617" s="115" t="s">
        <v>4396</v>
      </c>
      <c r="F4617" s="115">
        <v>-389</v>
      </c>
      <c r="G4617" s="115">
        <v>0</v>
      </c>
      <c r="H4617" s="115">
        <v>0</v>
      </c>
      <c r="I4617" s="115">
        <v>212</v>
      </c>
      <c r="J4617" s="115">
        <v>0</v>
      </c>
      <c r="K4617" s="115">
        <v>-103</v>
      </c>
    </row>
    <row r="4618" spans="1:11" x14ac:dyDescent="0.25">
      <c r="B4618" s="115" t="s">
        <v>4397</v>
      </c>
      <c r="D4618" s="115" t="s">
        <v>10755</v>
      </c>
      <c r="E4618" s="115" t="s">
        <v>4398</v>
      </c>
      <c r="F4618" s="115">
        <v>0</v>
      </c>
      <c r="G4618" s="115">
        <v>-606</v>
      </c>
      <c r="H4618" s="115">
        <v>1413</v>
      </c>
      <c r="I4618" s="115">
        <v>255</v>
      </c>
      <c r="J4618" s="115">
        <v>32</v>
      </c>
      <c r="K4618" s="115">
        <v>266</v>
      </c>
    </row>
    <row r="4619" spans="1:11" x14ac:dyDescent="0.25">
      <c r="B4619" s="115" t="s">
        <v>4399</v>
      </c>
      <c r="D4619" s="115" t="s">
        <v>10756</v>
      </c>
      <c r="E4619" s="115" t="s">
        <v>4400</v>
      </c>
      <c r="F4619" s="115">
        <v>0</v>
      </c>
      <c r="G4619" s="115">
        <v>0</v>
      </c>
      <c r="H4619" s="115">
        <v>0</v>
      </c>
      <c r="I4619" s="115">
        <v>0</v>
      </c>
      <c r="J4619" s="115">
        <v>26</v>
      </c>
      <c r="K4619" s="115">
        <v>0</v>
      </c>
    </row>
    <row r="4620" spans="1:11" x14ac:dyDescent="0.25">
      <c r="B4620" s="115" t="s">
        <v>1241</v>
      </c>
      <c r="D4620" s="115" t="s">
        <v>10757</v>
      </c>
      <c r="E4620" s="115" t="s">
        <v>1242</v>
      </c>
      <c r="F4620" s="115">
        <v>35</v>
      </c>
      <c r="G4620" s="115">
        <v>0</v>
      </c>
      <c r="H4620" s="115">
        <v>0</v>
      </c>
      <c r="I4620" s="115">
        <v>0</v>
      </c>
      <c r="J4620" s="115">
        <v>0</v>
      </c>
      <c r="K4620" s="115">
        <v>0</v>
      </c>
    </row>
    <row r="4621" spans="1:11" x14ac:dyDescent="0.25">
      <c r="B4621" s="115" t="s">
        <v>3366</v>
      </c>
      <c r="D4621" s="115" t="s">
        <v>10758</v>
      </c>
      <c r="E4621" s="115" t="s">
        <v>4401</v>
      </c>
      <c r="F4621" s="115">
        <v>0</v>
      </c>
      <c r="G4621" s="115">
        <v>0</v>
      </c>
      <c r="H4621" s="115">
        <v>-141</v>
      </c>
      <c r="I4621" s="115">
        <v>-3702</v>
      </c>
      <c r="J4621" s="115">
        <v>0</v>
      </c>
      <c r="K4621" s="115">
        <v>3166</v>
      </c>
    </row>
    <row r="4622" spans="1:11" x14ac:dyDescent="0.25">
      <c r="B4622" s="115" t="s">
        <v>1241</v>
      </c>
      <c r="D4622" s="115" t="s">
        <v>10759</v>
      </c>
      <c r="E4622" s="115" t="s">
        <v>4402</v>
      </c>
      <c r="F4622" s="115">
        <v>866</v>
      </c>
      <c r="G4622" s="115">
        <v>-366</v>
      </c>
      <c r="H4622" s="115">
        <v>-342</v>
      </c>
      <c r="I4622" s="115">
        <v>0</v>
      </c>
      <c r="J4622" s="115">
        <v>0</v>
      </c>
      <c r="K4622" s="115">
        <v>0</v>
      </c>
    </row>
    <row r="4623" spans="1:11" x14ac:dyDescent="0.25">
      <c r="B4623" s="115" t="s">
        <v>4403</v>
      </c>
      <c r="D4623" s="115" t="s">
        <v>10760</v>
      </c>
      <c r="E4623" s="115" t="s">
        <v>4404</v>
      </c>
      <c r="F4623" s="115">
        <v>161</v>
      </c>
      <c r="G4623" s="115">
        <v>616</v>
      </c>
      <c r="H4623" s="115">
        <v>922</v>
      </c>
      <c r="I4623" s="115">
        <v>415</v>
      </c>
      <c r="J4623" s="115">
        <v>-292</v>
      </c>
      <c r="K4623" s="115">
        <v>0</v>
      </c>
    </row>
    <row r="4624" spans="1:11" x14ac:dyDescent="0.25">
      <c r="B4624" s="115" t="s">
        <v>1241</v>
      </c>
      <c r="D4624" s="115" t="s">
        <v>10761</v>
      </c>
      <c r="E4624" s="115" t="s">
        <v>4405</v>
      </c>
      <c r="F4624" s="115">
        <v>433</v>
      </c>
      <c r="G4624" s="115">
        <v>0</v>
      </c>
      <c r="H4624" s="115">
        <v>-206</v>
      </c>
      <c r="I4624" s="115">
        <v>-382</v>
      </c>
      <c r="J4624" s="115">
        <v>27</v>
      </c>
      <c r="K4624" s="115">
        <v>0</v>
      </c>
    </row>
    <row r="4625" spans="1:11" x14ac:dyDescent="0.25">
      <c r="A4625" s="115">
        <v>1</v>
      </c>
      <c r="B4625" s="115" t="s">
        <v>4406</v>
      </c>
      <c r="D4625" s="115" t="s">
        <v>10762</v>
      </c>
      <c r="E4625" s="115" t="s">
        <v>4407</v>
      </c>
      <c r="F4625" s="115">
        <v>-3511</v>
      </c>
      <c r="G4625" s="115">
        <v>0</v>
      </c>
      <c r="H4625" s="115">
        <v>-1026</v>
      </c>
      <c r="I4625" s="115">
        <v>-1552</v>
      </c>
      <c r="J4625" s="115">
        <v>-163</v>
      </c>
      <c r="K4625" s="115">
        <v>-433</v>
      </c>
    </row>
    <row r="4626" spans="1:11" x14ac:dyDescent="0.25">
      <c r="B4626" s="115" t="s">
        <v>4408</v>
      </c>
      <c r="C4626" s="115" t="s">
        <v>1239</v>
      </c>
      <c r="D4626" s="115" t="s">
        <v>10763</v>
      </c>
      <c r="E4626" s="115" t="s">
        <v>4409</v>
      </c>
      <c r="F4626" s="115">
        <v>0</v>
      </c>
      <c r="G4626" s="115">
        <v>0</v>
      </c>
      <c r="H4626" s="115">
        <v>-241</v>
      </c>
      <c r="I4626" s="115">
        <v>-430</v>
      </c>
      <c r="J4626" s="115">
        <v>0</v>
      </c>
      <c r="K4626" s="115">
        <v>96</v>
      </c>
    </row>
    <row r="4627" spans="1:11" x14ac:dyDescent="0.25">
      <c r="B4627" s="115" t="s">
        <v>4410</v>
      </c>
      <c r="D4627" s="115" t="s">
        <v>10764</v>
      </c>
      <c r="E4627" s="115" t="s">
        <v>4411</v>
      </c>
      <c r="F4627" s="115">
        <v>0</v>
      </c>
      <c r="G4627" s="115">
        <v>0</v>
      </c>
      <c r="H4627" s="115">
        <v>0</v>
      </c>
      <c r="I4627" s="115">
        <v>0</v>
      </c>
      <c r="J4627" s="115">
        <v>-519</v>
      </c>
      <c r="K4627" s="115">
        <v>0</v>
      </c>
    </row>
    <row r="4628" spans="1:11" x14ac:dyDescent="0.25">
      <c r="B4628" s="115" t="s">
        <v>4412</v>
      </c>
      <c r="D4628" s="115" t="s">
        <v>10765</v>
      </c>
      <c r="E4628" s="115" t="s">
        <v>4413</v>
      </c>
      <c r="F4628" s="115">
        <v>1254</v>
      </c>
      <c r="G4628" s="115">
        <v>-4595</v>
      </c>
      <c r="H4628" s="115">
        <v>-149</v>
      </c>
      <c r="I4628" s="115">
        <v>1330</v>
      </c>
      <c r="J4628" s="115">
        <v>-3347</v>
      </c>
      <c r="K4628" s="115">
        <v>59</v>
      </c>
    </row>
    <row r="4629" spans="1:11" x14ac:dyDescent="0.25">
      <c r="A4629" s="115" t="s">
        <v>1239</v>
      </c>
      <c r="B4629" s="115" t="s">
        <v>4414</v>
      </c>
      <c r="D4629" s="115" t="s">
        <v>10766</v>
      </c>
      <c r="E4629" s="115" t="s">
        <v>4415</v>
      </c>
      <c r="F4629" s="115">
        <v>0</v>
      </c>
      <c r="G4629" s="115">
        <v>0</v>
      </c>
      <c r="H4629" s="115">
        <v>-1514</v>
      </c>
      <c r="I4629" s="115">
        <v>108</v>
      </c>
      <c r="J4629" s="115">
        <v>0</v>
      </c>
      <c r="K4629" s="115">
        <v>-34</v>
      </c>
    </row>
    <row r="4630" spans="1:11" x14ac:dyDescent="0.25">
      <c r="B4630" s="115" t="s">
        <v>1241</v>
      </c>
      <c r="D4630" s="115" t="s">
        <v>10767</v>
      </c>
      <c r="E4630" s="115" t="s">
        <v>4416</v>
      </c>
      <c r="F4630" s="115">
        <v>251</v>
      </c>
      <c r="G4630" s="115">
        <v>148</v>
      </c>
      <c r="H4630" s="115">
        <v>161</v>
      </c>
      <c r="I4630" s="115">
        <v>0</v>
      </c>
      <c r="J4630" s="115">
        <v>0</v>
      </c>
      <c r="K4630" s="115">
        <v>0</v>
      </c>
    </row>
    <row r="4631" spans="1:11" x14ac:dyDescent="0.25">
      <c r="B4631" s="115" t="s">
        <v>1241</v>
      </c>
      <c r="C4631" s="115" t="s">
        <v>1239</v>
      </c>
      <c r="D4631" s="115" t="s">
        <v>10768</v>
      </c>
      <c r="E4631" s="115" t="s">
        <v>4417</v>
      </c>
      <c r="F4631" s="115">
        <v>226</v>
      </c>
      <c r="G4631" s="115">
        <v>106</v>
      </c>
      <c r="H4631" s="115">
        <v>423</v>
      </c>
      <c r="I4631" s="115">
        <v>0</v>
      </c>
      <c r="J4631" s="115">
        <v>-294</v>
      </c>
      <c r="K4631" s="115">
        <v>-26801</v>
      </c>
    </row>
    <row r="4632" spans="1:11" x14ac:dyDescent="0.25">
      <c r="A4632" s="115">
        <v>-9</v>
      </c>
      <c r="B4632" s="115" t="s">
        <v>4418</v>
      </c>
      <c r="D4632" s="115" t="s">
        <v>10769</v>
      </c>
      <c r="E4632" s="115" t="s">
        <v>4419</v>
      </c>
      <c r="F4632" s="115">
        <v>790</v>
      </c>
      <c r="G4632" s="115">
        <v>6884</v>
      </c>
      <c r="H4632" s="115">
        <v>9733</v>
      </c>
      <c r="I4632" s="115">
        <v>6446</v>
      </c>
      <c r="J4632" s="115">
        <v>4957</v>
      </c>
      <c r="K4632" s="115">
        <v>0</v>
      </c>
    </row>
    <row r="4633" spans="1:11" x14ac:dyDescent="0.25">
      <c r="A4633" s="115">
        <v>-3</v>
      </c>
      <c r="B4633" s="115" t="s">
        <v>4420</v>
      </c>
      <c r="D4633" s="115" t="s">
        <v>10770</v>
      </c>
      <c r="E4633" s="115" t="s">
        <v>4421</v>
      </c>
      <c r="F4633" s="115">
        <v>0</v>
      </c>
      <c r="G4633" s="115">
        <v>-4536</v>
      </c>
      <c r="H4633" s="115">
        <v>0</v>
      </c>
      <c r="I4633" s="115">
        <v>-8113</v>
      </c>
      <c r="J4633" s="115">
        <v>0</v>
      </c>
      <c r="K4633" s="115">
        <v>0</v>
      </c>
    </row>
    <row r="4634" spans="1:11" x14ac:dyDescent="0.25">
      <c r="B4634" s="115" t="s">
        <v>1241</v>
      </c>
      <c r="D4634" s="115" t="s">
        <v>10771</v>
      </c>
      <c r="E4634" s="115" t="s">
        <v>4422</v>
      </c>
      <c r="F4634" s="115">
        <v>0</v>
      </c>
      <c r="G4634" s="115">
        <v>0</v>
      </c>
      <c r="H4634" s="115">
        <v>-204</v>
      </c>
      <c r="I4634" s="115">
        <v>0</v>
      </c>
      <c r="J4634" s="115">
        <v>-5927</v>
      </c>
      <c r="K4634" s="115">
        <v>3870</v>
      </c>
    </row>
    <row r="4635" spans="1:11" x14ac:dyDescent="0.25">
      <c r="A4635" s="115" t="s">
        <v>1239</v>
      </c>
      <c r="B4635" s="115" t="s">
        <v>4423</v>
      </c>
      <c r="D4635" s="115" t="s">
        <v>10772</v>
      </c>
      <c r="E4635" s="115" t="s">
        <v>4424</v>
      </c>
      <c r="F4635" s="115">
        <v>0</v>
      </c>
      <c r="G4635" s="115">
        <v>0</v>
      </c>
      <c r="H4635" s="115">
        <v>0</v>
      </c>
      <c r="I4635" s="115">
        <v>0</v>
      </c>
      <c r="J4635" s="115">
        <v>0</v>
      </c>
      <c r="K4635" s="115">
        <v>-3853</v>
      </c>
    </row>
    <row r="4636" spans="1:11" x14ac:dyDescent="0.25">
      <c r="A4636" s="115">
        <v>-1</v>
      </c>
      <c r="B4636" s="115" t="s">
        <v>4425</v>
      </c>
      <c r="C4636" s="115" t="s">
        <v>1239</v>
      </c>
      <c r="D4636" s="115" t="s">
        <v>10773</v>
      </c>
      <c r="E4636" s="115" t="s">
        <v>4426</v>
      </c>
      <c r="F4636" s="115">
        <v>-5222</v>
      </c>
      <c r="G4636" s="115">
        <v>0</v>
      </c>
      <c r="H4636" s="115">
        <v>0</v>
      </c>
      <c r="I4636" s="115">
        <v>0</v>
      </c>
      <c r="J4636" s="115">
        <v>0</v>
      </c>
      <c r="K4636" s="115">
        <v>-604</v>
      </c>
    </row>
    <row r="4637" spans="1:11" x14ac:dyDescent="0.25">
      <c r="B4637" s="115" t="s">
        <v>4427</v>
      </c>
      <c r="D4637" s="115" t="s">
        <v>10774</v>
      </c>
      <c r="E4637" s="115" t="s">
        <v>4428</v>
      </c>
      <c r="F4637" s="115">
        <v>-2783</v>
      </c>
      <c r="G4637" s="115">
        <v>-276</v>
      </c>
      <c r="H4637" s="115">
        <v>0</v>
      </c>
      <c r="I4637" s="115">
        <v>0</v>
      </c>
      <c r="J4637" s="115">
        <v>0</v>
      </c>
      <c r="K4637" s="115">
        <v>0</v>
      </c>
    </row>
    <row r="4638" spans="1:11" x14ac:dyDescent="0.25">
      <c r="A4638" s="115" t="s">
        <v>1239</v>
      </c>
      <c r="B4638" s="115" t="s">
        <v>4429</v>
      </c>
      <c r="D4638" s="115" t="s">
        <v>10775</v>
      </c>
      <c r="E4638" s="115" t="s">
        <v>4430</v>
      </c>
      <c r="F4638" s="115">
        <v>-2192</v>
      </c>
      <c r="G4638" s="115">
        <v>-1550</v>
      </c>
      <c r="H4638" s="115">
        <v>2153</v>
      </c>
      <c r="I4638" s="115">
        <v>-1698</v>
      </c>
      <c r="J4638" s="115">
        <v>416</v>
      </c>
      <c r="K4638" s="115">
        <v>444</v>
      </c>
    </row>
    <row r="4639" spans="1:11" x14ac:dyDescent="0.25">
      <c r="B4639" s="115" t="s">
        <v>4431</v>
      </c>
      <c r="D4639" s="115" t="s">
        <v>10776</v>
      </c>
      <c r="E4639" s="115" t="s">
        <v>4432</v>
      </c>
      <c r="F4639" s="115">
        <v>0</v>
      </c>
      <c r="G4639" s="115">
        <v>0</v>
      </c>
      <c r="H4639" s="115">
        <v>0</v>
      </c>
      <c r="I4639" s="115">
        <v>0</v>
      </c>
      <c r="J4639" s="115">
        <v>0</v>
      </c>
      <c r="K4639" s="115">
        <v>425</v>
      </c>
    </row>
    <row r="4640" spans="1:11" x14ac:dyDescent="0.25">
      <c r="A4640" s="115" t="s">
        <v>1239</v>
      </c>
      <c r="B4640" s="115" t="s">
        <v>4433</v>
      </c>
      <c r="D4640" s="115" t="s">
        <v>10777</v>
      </c>
      <c r="E4640" s="115" t="s">
        <v>4434</v>
      </c>
      <c r="F4640" s="115">
        <v>303</v>
      </c>
      <c r="G4640" s="115">
        <v>0</v>
      </c>
      <c r="H4640" s="115">
        <v>0</v>
      </c>
      <c r="I4640" s="115">
        <v>-1100</v>
      </c>
      <c r="J4640" s="115">
        <v>0</v>
      </c>
      <c r="K4640" s="115">
        <v>757</v>
      </c>
    </row>
    <row r="4641" spans="1:11" x14ac:dyDescent="0.25">
      <c r="A4641" s="115">
        <v>-1</v>
      </c>
      <c r="B4641" s="115" t="s">
        <v>1761</v>
      </c>
      <c r="D4641" s="115" t="s">
        <v>10778</v>
      </c>
      <c r="E4641" s="115" t="s">
        <v>4435</v>
      </c>
      <c r="F4641" s="115">
        <v>0</v>
      </c>
      <c r="G4641" s="115">
        <v>14131</v>
      </c>
      <c r="H4641" s="115">
        <v>0</v>
      </c>
      <c r="I4641" s="115">
        <v>2617</v>
      </c>
      <c r="J4641" s="115">
        <v>5112</v>
      </c>
      <c r="K4641" s="115">
        <v>0</v>
      </c>
    </row>
    <row r="4642" spans="1:11" x14ac:dyDescent="0.25">
      <c r="B4642" s="115" t="s">
        <v>1241</v>
      </c>
      <c r="D4642" s="115" t="s">
        <v>8710</v>
      </c>
      <c r="E4642" s="115" t="s">
        <v>1242</v>
      </c>
      <c r="F4642" s="115">
        <v>0</v>
      </c>
      <c r="G4642" s="115">
        <v>0</v>
      </c>
      <c r="H4642" s="115">
        <v>0</v>
      </c>
      <c r="I4642" s="115">
        <v>0</v>
      </c>
      <c r="J4642" s="115">
        <v>0</v>
      </c>
      <c r="K4642" s="115">
        <v>0</v>
      </c>
    </row>
    <row r="4643" spans="1:11" x14ac:dyDescent="0.25">
      <c r="B4643" s="115" t="s">
        <v>1241</v>
      </c>
      <c r="D4643" s="115" t="s">
        <v>10779</v>
      </c>
      <c r="E4643" s="115" t="s">
        <v>1242</v>
      </c>
      <c r="F4643" s="115">
        <v>6006</v>
      </c>
      <c r="G4643" s="115">
        <v>0</v>
      </c>
      <c r="H4643" s="115">
        <v>0</v>
      </c>
      <c r="I4643" s="115">
        <v>0</v>
      </c>
      <c r="J4643" s="115">
        <v>0</v>
      </c>
      <c r="K4643" s="115">
        <v>0</v>
      </c>
    </row>
    <row r="4644" spans="1:11" x14ac:dyDescent="0.25">
      <c r="A4644" s="115">
        <v>1</v>
      </c>
      <c r="B4644" s="115" t="s">
        <v>4436</v>
      </c>
      <c r="D4644" s="115" t="s">
        <v>10780</v>
      </c>
      <c r="E4644" s="115" t="s">
        <v>4437</v>
      </c>
      <c r="F4644" s="115">
        <v>30292</v>
      </c>
      <c r="G4644" s="115">
        <v>31266</v>
      </c>
      <c r="H4644" s="115">
        <v>-11417</v>
      </c>
      <c r="I4644" s="115">
        <v>-347</v>
      </c>
      <c r="J4644" s="115">
        <v>192</v>
      </c>
      <c r="K4644" s="115">
        <v>406</v>
      </c>
    </row>
    <row r="4645" spans="1:11" x14ac:dyDescent="0.25">
      <c r="B4645" s="115" t="s">
        <v>4438</v>
      </c>
      <c r="D4645" s="115" t="s">
        <v>10781</v>
      </c>
      <c r="E4645" s="115" t="s">
        <v>4439</v>
      </c>
      <c r="F4645" s="115">
        <v>0</v>
      </c>
      <c r="G4645" s="115">
        <v>0</v>
      </c>
      <c r="H4645" s="115">
        <v>0</v>
      </c>
      <c r="I4645" s="115">
        <v>-241</v>
      </c>
      <c r="J4645" s="115">
        <v>-716</v>
      </c>
      <c r="K4645" s="115">
        <v>0</v>
      </c>
    </row>
    <row r="4646" spans="1:11" x14ac:dyDescent="0.25">
      <c r="B4646" s="115" t="s">
        <v>1241</v>
      </c>
      <c r="D4646" s="115" t="s">
        <v>10782</v>
      </c>
      <c r="E4646" s="115" t="s">
        <v>4440</v>
      </c>
      <c r="F4646" s="115">
        <v>0</v>
      </c>
      <c r="G4646" s="115">
        <v>-22103</v>
      </c>
      <c r="H4646" s="115">
        <v>0</v>
      </c>
      <c r="I4646" s="115">
        <v>0</v>
      </c>
      <c r="J4646" s="115">
        <v>-5772</v>
      </c>
      <c r="K4646" s="115">
        <v>0</v>
      </c>
    </row>
    <row r="4647" spans="1:11" x14ac:dyDescent="0.25">
      <c r="A4647" s="115">
        <v>8</v>
      </c>
      <c r="B4647" s="115" t="s">
        <v>3829</v>
      </c>
      <c r="C4647" s="115">
        <v>1</v>
      </c>
      <c r="D4647" s="115" t="s">
        <v>10783</v>
      </c>
      <c r="E4647" s="115" t="s">
        <v>4441</v>
      </c>
      <c r="F4647" s="115">
        <v>-312</v>
      </c>
      <c r="G4647" s="115">
        <v>0</v>
      </c>
      <c r="H4647" s="115">
        <v>111</v>
      </c>
      <c r="I4647" s="115">
        <v>83</v>
      </c>
      <c r="J4647" s="115">
        <v>436</v>
      </c>
      <c r="K4647" s="115">
        <v>579</v>
      </c>
    </row>
    <row r="4648" spans="1:11" x14ac:dyDescent="0.25">
      <c r="B4648" s="115" t="s">
        <v>4442</v>
      </c>
      <c r="D4648" s="115" t="s">
        <v>10784</v>
      </c>
      <c r="E4648" s="115" t="s">
        <v>4443</v>
      </c>
      <c r="F4648" s="115">
        <v>0</v>
      </c>
      <c r="G4648" s="115">
        <v>0</v>
      </c>
      <c r="H4648" s="115">
        <v>0</v>
      </c>
      <c r="I4648" s="115">
        <v>0</v>
      </c>
      <c r="J4648" s="115">
        <v>0</v>
      </c>
      <c r="K4648" s="115">
        <v>-32</v>
      </c>
    </row>
    <row r="4649" spans="1:11" x14ac:dyDescent="0.25">
      <c r="B4649" s="126" t="s">
        <v>1241</v>
      </c>
      <c r="D4649" s="115" t="s">
        <v>10785</v>
      </c>
      <c r="E4649" s="115" t="s">
        <v>4444</v>
      </c>
      <c r="F4649" s="115">
        <v>0</v>
      </c>
      <c r="G4649" s="115">
        <v>101</v>
      </c>
      <c r="H4649" s="115">
        <v>0</v>
      </c>
      <c r="I4649" s="115">
        <v>0</v>
      </c>
      <c r="J4649" s="115">
        <v>0</v>
      </c>
      <c r="K4649" s="115">
        <v>0</v>
      </c>
    </row>
    <row r="4650" spans="1:11" x14ac:dyDescent="0.25">
      <c r="B4650" s="115" t="s">
        <v>2085</v>
      </c>
      <c r="D4650" s="115" t="s">
        <v>10786</v>
      </c>
      <c r="E4650" s="115" t="s">
        <v>4445</v>
      </c>
      <c r="F4650" s="115">
        <v>-150</v>
      </c>
      <c r="G4650" s="115">
        <v>0</v>
      </c>
      <c r="H4650" s="115">
        <v>0</v>
      </c>
      <c r="I4650" s="115">
        <v>759</v>
      </c>
      <c r="J4650" s="115">
        <v>2937</v>
      </c>
      <c r="K4650" s="115">
        <v>0</v>
      </c>
    </row>
    <row r="4651" spans="1:11" x14ac:dyDescent="0.25">
      <c r="A4651" s="115">
        <v>-2</v>
      </c>
      <c r="B4651" s="115" t="s">
        <v>4446</v>
      </c>
      <c r="D4651" s="115" t="s">
        <v>10787</v>
      </c>
      <c r="E4651" s="115" t="s">
        <v>4447</v>
      </c>
      <c r="F4651" s="115">
        <v>0</v>
      </c>
      <c r="G4651" s="115">
        <v>-973</v>
      </c>
      <c r="H4651" s="115">
        <v>-396</v>
      </c>
      <c r="I4651" s="115">
        <v>-529</v>
      </c>
      <c r="J4651" s="115">
        <v>0</v>
      </c>
      <c r="K4651" s="115">
        <v>0</v>
      </c>
    </row>
    <row r="4652" spans="1:11" x14ac:dyDescent="0.25">
      <c r="B4652" s="115">
        <f>-32    -19</f>
        <v>-51</v>
      </c>
      <c r="D4652" s="115" t="s">
        <v>10788</v>
      </c>
      <c r="E4652" s="115" t="s">
        <v>4448</v>
      </c>
      <c r="F4652" s="115">
        <v>509</v>
      </c>
      <c r="G4652" s="115">
        <v>-91</v>
      </c>
      <c r="H4652" s="115">
        <v>-509</v>
      </c>
      <c r="I4652" s="115">
        <v>-1058</v>
      </c>
      <c r="J4652" s="115">
        <v>-826</v>
      </c>
      <c r="K4652" s="115">
        <v>304</v>
      </c>
    </row>
    <row r="4653" spans="1:11" x14ac:dyDescent="0.25">
      <c r="B4653" s="115" t="s">
        <v>1241</v>
      </c>
      <c r="D4653" s="115" t="s">
        <v>10789</v>
      </c>
      <c r="E4653" s="115" t="s">
        <v>4449</v>
      </c>
      <c r="F4653" s="115">
        <v>0</v>
      </c>
      <c r="G4653" s="115">
        <v>761</v>
      </c>
      <c r="H4653" s="115">
        <v>0</v>
      </c>
      <c r="I4653" s="115">
        <v>-1762</v>
      </c>
      <c r="J4653" s="115">
        <v>-1378</v>
      </c>
      <c r="K4653" s="115">
        <v>-407</v>
      </c>
    </row>
    <row r="4654" spans="1:11" x14ac:dyDescent="0.25">
      <c r="B4654" s="115" t="s">
        <v>4450</v>
      </c>
      <c r="D4654" s="115" t="s">
        <v>10790</v>
      </c>
      <c r="E4654" s="115" t="s">
        <v>4451</v>
      </c>
      <c r="F4654" s="115">
        <v>-763</v>
      </c>
      <c r="G4654" s="115">
        <v>1640</v>
      </c>
      <c r="H4654" s="115">
        <v>0</v>
      </c>
      <c r="I4654" s="115">
        <v>758</v>
      </c>
      <c r="J4654" s="115">
        <v>97</v>
      </c>
      <c r="K4654" s="115">
        <v>-1134</v>
      </c>
    </row>
    <row r="4655" spans="1:11" x14ac:dyDescent="0.25">
      <c r="B4655" s="115" t="s">
        <v>4452</v>
      </c>
      <c r="D4655" s="115" t="s">
        <v>10791</v>
      </c>
      <c r="E4655" s="115" t="s">
        <v>4453</v>
      </c>
      <c r="F4655" s="115">
        <v>0</v>
      </c>
      <c r="G4655" s="115">
        <v>0</v>
      </c>
      <c r="H4655" s="115">
        <v>0</v>
      </c>
      <c r="I4655" s="115">
        <v>876</v>
      </c>
      <c r="J4655" s="115">
        <v>1821</v>
      </c>
      <c r="K4655" s="115">
        <v>0</v>
      </c>
    </row>
    <row r="4656" spans="1:11" x14ac:dyDescent="0.25">
      <c r="A4656" s="115">
        <v>1</v>
      </c>
      <c r="B4656" s="115" t="s">
        <v>4454</v>
      </c>
      <c r="C4656" s="115" t="s">
        <v>1239</v>
      </c>
      <c r="D4656" s="115" t="s">
        <v>10792</v>
      </c>
      <c r="E4656" s="115" t="s">
        <v>4455</v>
      </c>
      <c r="F4656" s="115">
        <v>0</v>
      </c>
      <c r="G4656" s="115">
        <v>0</v>
      </c>
      <c r="H4656" s="115">
        <v>0</v>
      </c>
      <c r="I4656" s="115">
        <v>0</v>
      </c>
      <c r="J4656" s="115">
        <v>0</v>
      </c>
      <c r="K4656" s="115">
        <v>2253</v>
      </c>
    </row>
    <row r="4657" spans="1:11" x14ac:dyDescent="0.25">
      <c r="B4657" s="115" t="s">
        <v>4456</v>
      </c>
      <c r="C4657" s="115" t="s">
        <v>1239</v>
      </c>
      <c r="D4657" s="115" t="s">
        <v>10793</v>
      </c>
      <c r="E4657" s="115" t="s">
        <v>4457</v>
      </c>
      <c r="F4657" s="115">
        <v>0</v>
      </c>
      <c r="G4657" s="115">
        <v>-1007</v>
      </c>
      <c r="H4657" s="115">
        <v>3316</v>
      </c>
      <c r="I4657" s="115">
        <v>1153</v>
      </c>
      <c r="J4657" s="115">
        <v>-1744</v>
      </c>
      <c r="K4657" s="115">
        <v>1833</v>
      </c>
    </row>
    <row r="4658" spans="1:11" x14ac:dyDescent="0.25">
      <c r="B4658" s="115" t="s">
        <v>4458</v>
      </c>
      <c r="D4658" s="115" t="s">
        <v>10794</v>
      </c>
      <c r="E4658" s="115" t="s">
        <v>4459</v>
      </c>
      <c r="F4658" s="115">
        <v>-401</v>
      </c>
      <c r="G4658" s="115">
        <v>0</v>
      </c>
      <c r="H4658" s="115">
        <v>0</v>
      </c>
      <c r="I4658" s="115">
        <v>577</v>
      </c>
      <c r="J4658" s="115">
        <v>-297</v>
      </c>
      <c r="K4658" s="115">
        <v>0</v>
      </c>
    </row>
    <row r="4659" spans="1:11" x14ac:dyDescent="0.25">
      <c r="A4659" s="115" t="s">
        <v>1239</v>
      </c>
      <c r="B4659" s="115" t="s">
        <v>4460</v>
      </c>
      <c r="D4659" s="115" t="s">
        <v>10795</v>
      </c>
      <c r="E4659" s="115" t="s">
        <v>4461</v>
      </c>
      <c r="F4659" s="115">
        <v>0</v>
      </c>
      <c r="G4659" s="115">
        <v>-961</v>
      </c>
      <c r="H4659" s="115">
        <v>-922</v>
      </c>
      <c r="I4659" s="115">
        <v>-30</v>
      </c>
      <c r="J4659" s="115">
        <v>0</v>
      </c>
      <c r="K4659" s="115">
        <v>0</v>
      </c>
    </row>
    <row r="4660" spans="1:11" x14ac:dyDescent="0.25">
      <c r="B4660" s="115" t="s">
        <v>1241</v>
      </c>
      <c r="D4660" s="115" t="s">
        <v>10796</v>
      </c>
      <c r="E4660" s="115" t="s">
        <v>4462</v>
      </c>
      <c r="F4660" s="115">
        <v>0</v>
      </c>
      <c r="G4660" s="115">
        <v>-255</v>
      </c>
      <c r="H4660" s="115">
        <v>-1081</v>
      </c>
      <c r="I4660" s="115">
        <v>-940</v>
      </c>
      <c r="J4660" s="115">
        <v>0</v>
      </c>
      <c r="K4660" s="115">
        <v>147</v>
      </c>
    </row>
    <row r="4661" spans="1:11" x14ac:dyDescent="0.25">
      <c r="A4661" s="115">
        <v>2</v>
      </c>
      <c r="B4661" s="115" t="s">
        <v>4463</v>
      </c>
      <c r="D4661" s="115" t="s">
        <v>10797</v>
      </c>
      <c r="E4661" s="115" t="s">
        <v>4464</v>
      </c>
      <c r="F4661" s="115">
        <v>0</v>
      </c>
      <c r="G4661" s="115">
        <v>1097</v>
      </c>
      <c r="H4661" s="115">
        <v>981</v>
      </c>
      <c r="I4661" s="115">
        <v>-455</v>
      </c>
      <c r="J4661" s="115">
        <v>-514</v>
      </c>
      <c r="K4661" s="115">
        <v>-667</v>
      </c>
    </row>
    <row r="4662" spans="1:11" x14ac:dyDescent="0.25">
      <c r="B4662" s="115" t="s">
        <v>4465</v>
      </c>
      <c r="D4662" s="115" t="s">
        <v>10798</v>
      </c>
      <c r="E4662" s="115" t="s">
        <v>4466</v>
      </c>
      <c r="F4662" s="115">
        <v>614</v>
      </c>
      <c r="G4662" s="115">
        <v>0</v>
      </c>
      <c r="H4662" s="115">
        <v>2022</v>
      </c>
      <c r="I4662" s="115">
        <v>0</v>
      </c>
      <c r="J4662" s="115">
        <v>1151</v>
      </c>
      <c r="K4662" s="115">
        <v>0</v>
      </c>
    </row>
    <row r="4663" spans="1:11" x14ac:dyDescent="0.25">
      <c r="B4663" s="115" t="s">
        <v>1241</v>
      </c>
      <c r="D4663" s="115" t="s">
        <v>10799</v>
      </c>
      <c r="E4663" s="115" t="s">
        <v>4467</v>
      </c>
      <c r="F4663" s="115">
        <v>0</v>
      </c>
      <c r="G4663" s="115">
        <v>0</v>
      </c>
      <c r="H4663" s="115">
        <v>0</v>
      </c>
      <c r="I4663" s="115">
        <v>1074</v>
      </c>
      <c r="J4663" s="115">
        <v>0</v>
      </c>
      <c r="K4663" s="115">
        <v>-2120</v>
      </c>
    </row>
    <row r="4664" spans="1:11" x14ac:dyDescent="0.25">
      <c r="A4664" s="115" t="s">
        <v>1239</v>
      </c>
      <c r="B4664" s="115" t="s">
        <v>4468</v>
      </c>
      <c r="D4664" s="115" t="s">
        <v>10800</v>
      </c>
      <c r="E4664" s="115" t="s">
        <v>1242</v>
      </c>
      <c r="F4664" s="115">
        <v>2858</v>
      </c>
      <c r="G4664" s="115">
        <v>0</v>
      </c>
      <c r="H4664" s="115">
        <v>0</v>
      </c>
      <c r="I4664" s="115">
        <v>0</v>
      </c>
      <c r="J4664" s="115">
        <v>0</v>
      </c>
      <c r="K4664" s="115">
        <v>0</v>
      </c>
    </row>
    <row r="4665" spans="1:11" x14ac:dyDescent="0.25">
      <c r="B4665" s="115" t="s">
        <v>4469</v>
      </c>
      <c r="D4665" s="115" t="s">
        <v>10801</v>
      </c>
      <c r="E4665" s="115" t="s">
        <v>4470</v>
      </c>
      <c r="F4665" s="115">
        <v>-345</v>
      </c>
      <c r="G4665" s="115">
        <v>-1111</v>
      </c>
      <c r="H4665" s="115">
        <v>0</v>
      </c>
      <c r="I4665" s="115">
        <v>0</v>
      </c>
      <c r="J4665" s="115">
        <v>0</v>
      </c>
      <c r="K4665" s="115">
        <v>0</v>
      </c>
    </row>
    <row r="4666" spans="1:11" x14ac:dyDescent="0.25">
      <c r="B4666" s="115" t="s">
        <v>2740</v>
      </c>
      <c r="D4666" s="115" t="s">
        <v>10802</v>
      </c>
      <c r="E4666" s="115" t="s">
        <v>4471</v>
      </c>
      <c r="F4666" s="115">
        <v>0</v>
      </c>
      <c r="G4666" s="115">
        <v>828</v>
      </c>
      <c r="H4666" s="115">
        <v>2197</v>
      </c>
      <c r="I4666" s="115">
        <v>0</v>
      </c>
      <c r="J4666" s="115">
        <v>0</v>
      </c>
      <c r="K4666" s="115">
        <v>0</v>
      </c>
    </row>
    <row r="4667" spans="1:11" x14ac:dyDescent="0.25">
      <c r="B4667" s="115" t="s">
        <v>4472</v>
      </c>
      <c r="D4667" s="115" t="s">
        <v>10803</v>
      </c>
      <c r="E4667" s="115">
        <f>-1371  -8742  -1981   -661  -2053</f>
        <v>-14808</v>
      </c>
      <c r="F4667" s="115">
        <v>-718</v>
      </c>
      <c r="G4667" s="115">
        <v>-1371</v>
      </c>
      <c r="H4667" s="115">
        <v>-8742</v>
      </c>
      <c r="I4667" s="115">
        <v>-1981</v>
      </c>
      <c r="J4667" s="115">
        <v>-661</v>
      </c>
      <c r="K4667" s="115">
        <v>-2053</v>
      </c>
    </row>
    <row r="4668" spans="1:11" x14ac:dyDescent="0.25">
      <c r="A4668" s="115">
        <v>-1</v>
      </c>
      <c r="B4668" s="115" t="s">
        <v>4473</v>
      </c>
      <c r="D4668" s="115" t="s">
        <v>10804</v>
      </c>
      <c r="E4668" s="115" t="s">
        <v>1242</v>
      </c>
      <c r="F4668" s="115">
        <v>0</v>
      </c>
      <c r="G4668" s="115">
        <v>0</v>
      </c>
      <c r="H4668" s="115">
        <v>0</v>
      </c>
      <c r="I4668" s="115">
        <v>0</v>
      </c>
      <c r="J4668" s="115">
        <v>0</v>
      </c>
      <c r="K4668" s="115">
        <v>0</v>
      </c>
    </row>
    <row r="4669" spans="1:11" x14ac:dyDescent="0.25">
      <c r="B4669" s="115" t="s">
        <v>4474</v>
      </c>
      <c r="D4669" s="115" t="s">
        <v>10805</v>
      </c>
      <c r="E4669" s="115" t="s">
        <v>4475</v>
      </c>
      <c r="F4669" s="115">
        <v>-87</v>
      </c>
      <c r="G4669" s="115">
        <v>848</v>
      </c>
      <c r="H4669" s="115">
        <v>0</v>
      </c>
      <c r="I4669" s="115">
        <v>0</v>
      </c>
      <c r="J4669" s="115">
        <v>-1512</v>
      </c>
      <c r="K4669" s="115">
        <v>0</v>
      </c>
    </row>
    <row r="4670" spans="1:11" x14ac:dyDescent="0.25">
      <c r="A4670" s="115">
        <v>-1</v>
      </c>
      <c r="B4670" s="115" t="s">
        <v>4476</v>
      </c>
      <c r="D4670" s="115" t="s">
        <v>10806</v>
      </c>
      <c r="E4670" s="115" t="s">
        <v>4477</v>
      </c>
      <c r="F4670" s="115">
        <v>0</v>
      </c>
      <c r="G4670" s="115">
        <v>0</v>
      </c>
      <c r="H4670" s="115">
        <v>-10952</v>
      </c>
      <c r="I4670" s="115">
        <v>0</v>
      </c>
      <c r="J4670" s="115">
        <v>-2429</v>
      </c>
      <c r="K4670" s="115">
        <v>-4922</v>
      </c>
    </row>
    <row r="4671" spans="1:11" x14ac:dyDescent="0.25">
      <c r="B4671" s="115" t="s">
        <v>1241</v>
      </c>
      <c r="D4671" s="115" t="s">
        <v>8710</v>
      </c>
      <c r="E4671" s="115" t="s">
        <v>1242</v>
      </c>
      <c r="F4671" s="115">
        <v>0</v>
      </c>
      <c r="G4671" s="115">
        <v>0</v>
      </c>
      <c r="H4671" s="115">
        <v>0</v>
      </c>
      <c r="I4671" s="115">
        <v>0</v>
      </c>
      <c r="J4671" s="115">
        <v>0</v>
      </c>
      <c r="K4671" s="115">
        <v>0</v>
      </c>
    </row>
    <row r="4672" spans="1:11" x14ac:dyDescent="0.25">
      <c r="B4672" s="115" t="s">
        <v>1241</v>
      </c>
      <c r="D4672" s="115" t="s">
        <v>10807</v>
      </c>
      <c r="E4672" s="115" t="s">
        <v>4478</v>
      </c>
      <c r="F4672" s="115">
        <v>0</v>
      </c>
      <c r="G4672" s="115">
        <v>-6929</v>
      </c>
      <c r="H4672" s="115">
        <v>0</v>
      </c>
      <c r="I4672" s="115">
        <v>0</v>
      </c>
      <c r="J4672" s="115">
        <v>0</v>
      </c>
      <c r="K4672" s="115">
        <v>0</v>
      </c>
    </row>
    <row r="4673" spans="1:11" x14ac:dyDescent="0.25">
      <c r="B4673" s="115" t="s">
        <v>4479</v>
      </c>
      <c r="C4673" s="115" t="s">
        <v>1239</v>
      </c>
      <c r="D4673" s="115" t="s">
        <v>10808</v>
      </c>
      <c r="E4673" s="115" t="s">
        <v>4480</v>
      </c>
      <c r="F4673" s="115">
        <v>-17100</v>
      </c>
      <c r="G4673" s="115">
        <v>-22338</v>
      </c>
      <c r="H4673" s="115">
        <v>-23531</v>
      </c>
      <c r="I4673" s="115">
        <v>-16233</v>
      </c>
      <c r="J4673" s="115">
        <v>-5390</v>
      </c>
      <c r="K4673" s="115">
        <v>725</v>
      </c>
    </row>
    <row r="4674" spans="1:11" x14ac:dyDescent="0.25">
      <c r="A4674" s="115">
        <v>1</v>
      </c>
      <c r="B4674" s="115" t="s">
        <v>4481</v>
      </c>
      <c r="D4674" s="115" t="s">
        <v>10809</v>
      </c>
      <c r="E4674" s="115" t="s">
        <v>4482</v>
      </c>
      <c r="F4674" s="115">
        <v>0</v>
      </c>
      <c r="G4674" s="115">
        <v>-2385</v>
      </c>
      <c r="H4674" s="115">
        <v>0</v>
      </c>
      <c r="I4674" s="115">
        <v>0</v>
      </c>
      <c r="J4674" s="115">
        <v>0</v>
      </c>
      <c r="K4674" s="115">
        <v>-441</v>
      </c>
    </row>
    <row r="4675" spans="1:11" x14ac:dyDescent="0.25">
      <c r="A4675" s="115">
        <v>1</v>
      </c>
      <c r="B4675" s="115" t="s">
        <v>4483</v>
      </c>
      <c r="D4675" s="115" t="s">
        <v>10810</v>
      </c>
      <c r="E4675" s="115" t="s">
        <v>4484</v>
      </c>
      <c r="F4675" s="115">
        <v>0</v>
      </c>
      <c r="G4675" s="115">
        <v>0</v>
      </c>
      <c r="H4675" s="115">
        <v>0</v>
      </c>
      <c r="I4675" s="115">
        <v>31516</v>
      </c>
      <c r="J4675" s="115">
        <v>0</v>
      </c>
      <c r="K4675" s="115">
        <v>0</v>
      </c>
    </row>
    <row r="4676" spans="1:11" x14ac:dyDescent="0.25">
      <c r="B4676" s="115" t="s">
        <v>4485</v>
      </c>
      <c r="D4676" s="115" t="s">
        <v>10811</v>
      </c>
      <c r="E4676" s="115" t="s">
        <v>4486</v>
      </c>
      <c r="F4676" s="115">
        <v>-2435</v>
      </c>
      <c r="G4676" s="115">
        <v>2995</v>
      </c>
      <c r="H4676" s="115">
        <v>1376</v>
      </c>
      <c r="I4676" s="115">
        <v>0</v>
      </c>
      <c r="J4676" s="115">
        <v>57</v>
      </c>
      <c r="K4676" s="115">
        <v>408</v>
      </c>
    </row>
    <row r="4677" spans="1:11" x14ac:dyDescent="0.25">
      <c r="B4677" s="115" t="s">
        <v>4487</v>
      </c>
      <c r="D4677" s="115" t="s">
        <v>10812</v>
      </c>
      <c r="E4677" s="115" t="s">
        <v>4488</v>
      </c>
      <c r="F4677" s="115">
        <v>0</v>
      </c>
      <c r="G4677" s="115">
        <v>-234</v>
      </c>
      <c r="H4677" s="115">
        <v>0</v>
      </c>
      <c r="I4677" s="115">
        <v>0</v>
      </c>
      <c r="J4677" s="115">
        <v>0</v>
      </c>
      <c r="K4677" s="115">
        <v>0</v>
      </c>
    </row>
    <row r="4678" spans="1:11" x14ac:dyDescent="0.25">
      <c r="B4678" s="115" t="s">
        <v>4489</v>
      </c>
      <c r="D4678" s="115" t="s">
        <v>10813</v>
      </c>
      <c r="E4678" s="115" t="s">
        <v>4490</v>
      </c>
      <c r="F4678" s="115">
        <v>0</v>
      </c>
      <c r="G4678" s="115">
        <v>115</v>
      </c>
      <c r="H4678" s="115">
        <v>0</v>
      </c>
      <c r="I4678" s="115">
        <v>-195</v>
      </c>
      <c r="J4678" s="115">
        <v>0</v>
      </c>
      <c r="K4678" s="115">
        <v>0</v>
      </c>
    </row>
    <row r="4679" spans="1:11" x14ac:dyDescent="0.25">
      <c r="B4679" s="115" t="s">
        <v>1241</v>
      </c>
      <c r="D4679" s="115" t="s">
        <v>10814</v>
      </c>
      <c r="E4679" s="115" t="s">
        <v>4491</v>
      </c>
      <c r="F4679" s="115">
        <v>0</v>
      </c>
      <c r="G4679" s="115">
        <v>441</v>
      </c>
      <c r="H4679" s="115">
        <v>0</v>
      </c>
      <c r="I4679" s="115">
        <v>0</v>
      </c>
      <c r="J4679" s="115">
        <v>0</v>
      </c>
      <c r="K4679" s="115">
        <v>569</v>
      </c>
    </row>
    <row r="4680" spans="1:11" x14ac:dyDescent="0.25">
      <c r="A4680" s="115">
        <v>-1</v>
      </c>
      <c r="B4680" s="115" t="s">
        <v>4492</v>
      </c>
      <c r="D4680" s="115" t="s">
        <v>10815</v>
      </c>
      <c r="E4680" s="115" t="s">
        <v>4493</v>
      </c>
      <c r="F4680" s="115">
        <v>0</v>
      </c>
      <c r="G4680" s="115">
        <v>0</v>
      </c>
      <c r="H4680" s="115">
        <v>0</v>
      </c>
      <c r="I4680" s="115">
        <v>760</v>
      </c>
      <c r="J4680" s="115">
        <v>-180</v>
      </c>
      <c r="K4680" s="115">
        <v>282</v>
      </c>
    </row>
    <row r="4681" spans="1:11" x14ac:dyDescent="0.25">
      <c r="B4681" s="115" t="s">
        <v>1241</v>
      </c>
      <c r="D4681" s="115" t="s">
        <v>10816</v>
      </c>
      <c r="E4681" s="115" t="s">
        <v>4494</v>
      </c>
      <c r="F4681" s="115">
        <v>0</v>
      </c>
      <c r="G4681" s="115">
        <v>918</v>
      </c>
      <c r="H4681" s="115">
        <v>343</v>
      </c>
      <c r="I4681" s="115">
        <v>603</v>
      </c>
      <c r="J4681" s="115">
        <v>308</v>
      </c>
      <c r="K4681" s="115">
        <v>-25</v>
      </c>
    </row>
    <row r="4682" spans="1:11" x14ac:dyDescent="0.25">
      <c r="B4682" s="115" t="s">
        <v>4495</v>
      </c>
      <c r="D4682" s="115" t="s">
        <v>10817</v>
      </c>
      <c r="E4682" s="115" t="s">
        <v>4496</v>
      </c>
      <c r="F4682" s="115">
        <v>0</v>
      </c>
      <c r="G4682" s="115">
        <v>0</v>
      </c>
      <c r="H4682" s="115">
        <v>0</v>
      </c>
      <c r="I4682" s="115">
        <v>-662</v>
      </c>
      <c r="J4682" s="115">
        <v>0</v>
      </c>
      <c r="K4682" s="115">
        <v>1827</v>
      </c>
    </row>
    <row r="4683" spans="1:11" x14ac:dyDescent="0.25">
      <c r="A4683" s="115">
        <v>1</v>
      </c>
      <c r="B4683" s="115" t="s">
        <v>4497</v>
      </c>
      <c r="D4683" s="115" t="s">
        <v>10818</v>
      </c>
      <c r="E4683" s="115" t="s">
        <v>4498</v>
      </c>
      <c r="F4683" s="115">
        <v>-1178</v>
      </c>
      <c r="G4683" s="115">
        <v>897</v>
      </c>
      <c r="H4683" s="115">
        <v>2095</v>
      </c>
      <c r="I4683" s="115">
        <v>1625</v>
      </c>
      <c r="J4683" s="115">
        <v>0</v>
      </c>
      <c r="K4683" s="115">
        <v>768</v>
      </c>
    </row>
    <row r="4684" spans="1:11" x14ac:dyDescent="0.25">
      <c r="A4684" s="115">
        <v>1</v>
      </c>
      <c r="B4684" s="115" t="s">
        <v>4499</v>
      </c>
      <c r="D4684" s="115" t="s">
        <v>10819</v>
      </c>
      <c r="E4684" s="115" t="s">
        <v>4500</v>
      </c>
      <c r="F4684" s="115">
        <v>-886</v>
      </c>
      <c r="G4684" s="115">
        <v>378</v>
      </c>
      <c r="H4684" s="115">
        <v>0</v>
      </c>
      <c r="I4684" s="115">
        <v>0</v>
      </c>
      <c r="J4684" s="115">
        <v>0</v>
      </c>
      <c r="K4684" s="115">
        <v>108</v>
      </c>
    </row>
    <row r="4685" spans="1:11" x14ac:dyDescent="0.25">
      <c r="B4685" s="115" t="s">
        <v>4501</v>
      </c>
      <c r="D4685" s="115" t="s">
        <v>10820</v>
      </c>
      <c r="E4685" s="115" t="s">
        <v>4502</v>
      </c>
      <c r="F4685" s="115">
        <v>586</v>
      </c>
      <c r="G4685" s="115">
        <v>-408</v>
      </c>
      <c r="H4685" s="115">
        <v>0</v>
      </c>
      <c r="I4685" s="115">
        <v>0</v>
      </c>
      <c r="J4685" s="115">
        <v>0</v>
      </c>
      <c r="K4685" s="115">
        <v>0</v>
      </c>
    </row>
    <row r="4686" spans="1:11" x14ac:dyDescent="0.25">
      <c r="B4686" s="115" t="s">
        <v>4503</v>
      </c>
      <c r="D4686" s="115" t="s">
        <v>10821</v>
      </c>
      <c r="E4686" s="115" t="s">
        <v>4504</v>
      </c>
      <c r="F4686" s="115">
        <v>430</v>
      </c>
      <c r="G4686" s="115">
        <v>171</v>
      </c>
      <c r="H4686" s="115">
        <v>0</v>
      </c>
      <c r="I4686" s="115">
        <v>866</v>
      </c>
      <c r="J4686" s="115">
        <v>-421</v>
      </c>
      <c r="K4686" s="115">
        <v>719</v>
      </c>
    </row>
    <row r="4687" spans="1:11" x14ac:dyDescent="0.25">
      <c r="A4687" s="115">
        <v>1</v>
      </c>
      <c r="B4687" s="115" t="s">
        <v>4505</v>
      </c>
      <c r="D4687" s="115" t="s">
        <v>10822</v>
      </c>
      <c r="E4687" s="115" t="s">
        <v>4506</v>
      </c>
      <c r="F4687" s="115">
        <v>573</v>
      </c>
      <c r="G4687" s="115">
        <v>0</v>
      </c>
      <c r="H4687" s="115">
        <v>-244</v>
      </c>
      <c r="I4687" s="115">
        <v>0</v>
      </c>
      <c r="J4687" s="115">
        <v>0</v>
      </c>
      <c r="K4687" s="115">
        <v>544</v>
      </c>
    </row>
    <row r="4688" spans="1:11" x14ac:dyDescent="0.25">
      <c r="A4688" s="115" t="s">
        <v>1239</v>
      </c>
      <c r="B4688" s="115" t="s">
        <v>4507</v>
      </c>
      <c r="D4688" s="115" t="s">
        <v>10823</v>
      </c>
      <c r="E4688" s="115" t="s">
        <v>4508</v>
      </c>
      <c r="F4688" s="115">
        <v>0</v>
      </c>
      <c r="G4688" s="115">
        <v>127</v>
      </c>
      <c r="H4688" s="115">
        <v>0</v>
      </c>
      <c r="I4688" s="115">
        <v>58</v>
      </c>
      <c r="J4688" s="115">
        <v>496</v>
      </c>
      <c r="K4688" s="115">
        <v>-833</v>
      </c>
    </row>
    <row r="4689" spans="1:11" x14ac:dyDescent="0.25">
      <c r="B4689" s="115" t="s">
        <v>1241</v>
      </c>
      <c r="D4689" s="115" t="s">
        <v>10824</v>
      </c>
      <c r="E4689" s="115" t="s">
        <v>4509</v>
      </c>
      <c r="F4689" s="115">
        <v>0</v>
      </c>
      <c r="G4689" s="115">
        <v>-1057</v>
      </c>
      <c r="H4689" s="115">
        <v>0</v>
      </c>
      <c r="I4689" s="115">
        <v>604</v>
      </c>
      <c r="J4689" s="115">
        <v>688</v>
      </c>
      <c r="K4689" s="115">
        <v>295</v>
      </c>
    </row>
    <row r="4690" spans="1:11" x14ac:dyDescent="0.25">
      <c r="B4690" s="115" t="s">
        <v>4510</v>
      </c>
      <c r="C4690" s="115" t="s">
        <v>1239</v>
      </c>
      <c r="D4690" s="115" t="s">
        <v>10825</v>
      </c>
      <c r="E4690" s="115" t="s">
        <v>4511</v>
      </c>
      <c r="F4690" s="115">
        <v>0</v>
      </c>
      <c r="G4690" s="115">
        <v>0</v>
      </c>
      <c r="H4690" s="115">
        <v>0</v>
      </c>
      <c r="I4690" s="115">
        <v>368</v>
      </c>
      <c r="J4690" s="115">
        <v>343</v>
      </c>
      <c r="K4690" s="115">
        <v>472</v>
      </c>
    </row>
    <row r="4691" spans="1:11" x14ac:dyDescent="0.25">
      <c r="B4691" s="115" t="s">
        <v>4512</v>
      </c>
      <c r="D4691" s="115" t="s">
        <v>10826</v>
      </c>
      <c r="E4691" s="115" t="s">
        <v>4513</v>
      </c>
      <c r="F4691" s="115">
        <v>0</v>
      </c>
      <c r="G4691" s="115">
        <v>0</v>
      </c>
      <c r="H4691" s="115">
        <v>117</v>
      </c>
      <c r="I4691" s="115">
        <v>0</v>
      </c>
      <c r="J4691" s="115">
        <v>413</v>
      </c>
      <c r="K4691" s="115">
        <v>0</v>
      </c>
    </row>
    <row r="4692" spans="1:11" x14ac:dyDescent="0.25">
      <c r="B4692" s="115" t="s">
        <v>4514</v>
      </c>
      <c r="D4692" s="115" t="s">
        <v>10827</v>
      </c>
      <c r="E4692" s="115" t="s">
        <v>4515</v>
      </c>
      <c r="F4692" s="115">
        <v>0</v>
      </c>
      <c r="G4692" s="115">
        <v>0</v>
      </c>
      <c r="H4692" s="115">
        <v>0</v>
      </c>
      <c r="I4692" s="115">
        <v>0</v>
      </c>
      <c r="J4692" s="115">
        <v>0</v>
      </c>
      <c r="K4692" s="115">
        <v>-580</v>
      </c>
    </row>
    <row r="4693" spans="1:11" x14ac:dyDescent="0.25">
      <c r="B4693" s="115" t="s">
        <v>4516</v>
      </c>
      <c r="D4693" s="115" t="s">
        <v>10828</v>
      </c>
      <c r="E4693" s="115" t="s">
        <v>4517</v>
      </c>
      <c r="F4693" s="115">
        <v>0</v>
      </c>
      <c r="G4693" s="115">
        <v>783</v>
      </c>
      <c r="H4693" s="115">
        <v>-7</v>
      </c>
      <c r="I4693" s="115">
        <v>0</v>
      </c>
      <c r="J4693" s="115">
        <v>0</v>
      </c>
      <c r="K4693" s="115">
        <v>0</v>
      </c>
    </row>
    <row r="4694" spans="1:11" x14ac:dyDescent="0.25">
      <c r="B4694" s="115" t="s">
        <v>1241</v>
      </c>
      <c r="D4694" s="115" t="s">
        <v>10829</v>
      </c>
      <c r="E4694" s="115" t="s">
        <v>4518</v>
      </c>
      <c r="F4694" s="115">
        <v>-159</v>
      </c>
      <c r="G4694" s="115">
        <v>51</v>
      </c>
      <c r="H4694" s="115">
        <v>-395</v>
      </c>
      <c r="I4694" s="115">
        <v>278</v>
      </c>
      <c r="J4694" s="115">
        <v>0</v>
      </c>
      <c r="K4694" s="115">
        <v>0</v>
      </c>
    </row>
    <row r="4695" spans="1:11" x14ac:dyDescent="0.25">
      <c r="B4695" s="115" t="s">
        <v>1241</v>
      </c>
      <c r="D4695" s="115" t="s">
        <v>10830</v>
      </c>
      <c r="E4695" s="115" t="s">
        <v>4519</v>
      </c>
      <c r="F4695" s="115">
        <v>320</v>
      </c>
      <c r="G4695" s="115">
        <v>0</v>
      </c>
      <c r="H4695" s="115">
        <v>0</v>
      </c>
      <c r="I4695" s="115">
        <v>-542</v>
      </c>
      <c r="J4695" s="115">
        <v>-315</v>
      </c>
      <c r="K4695" s="115">
        <v>0</v>
      </c>
    </row>
    <row r="4696" spans="1:11" x14ac:dyDescent="0.25">
      <c r="B4696" s="115" t="s">
        <v>1241</v>
      </c>
      <c r="D4696" s="115" t="s">
        <v>10831</v>
      </c>
      <c r="E4696" s="115" t="s">
        <v>4520</v>
      </c>
      <c r="F4696" s="115">
        <v>0</v>
      </c>
      <c r="G4696" s="115">
        <v>391</v>
      </c>
      <c r="H4696" s="115">
        <v>309</v>
      </c>
      <c r="I4696" s="115">
        <v>95</v>
      </c>
      <c r="J4696" s="115">
        <v>-1266</v>
      </c>
      <c r="K4696" s="115">
        <v>-652</v>
      </c>
    </row>
    <row r="4697" spans="1:11" x14ac:dyDescent="0.25">
      <c r="A4697" s="115" t="s">
        <v>1239</v>
      </c>
      <c r="B4697" s="115" t="s">
        <v>4521</v>
      </c>
      <c r="D4697" s="115" t="s">
        <v>10832</v>
      </c>
      <c r="E4697" s="115" t="s">
        <v>1242</v>
      </c>
      <c r="F4697" s="115">
        <v>-24</v>
      </c>
      <c r="G4697" s="115">
        <v>0</v>
      </c>
      <c r="H4697" s="115">
        <v>0</v>
      </c>
      <c r="I4697" s="115">
        <v>0</v>
      </c>
      <c r="J4697" s="115">
        <v>0</v>
      </c>
      <c r="K4697" s="115">
        <v>0</v>
      </c>
    </row>
    <row r="4698" spans="1:11" x14ac:dyDescent="0.25">
      <c r="B4698" s="115" t="s">
        <v>1241</v>
      </c>
      <c r="D4698" s="115" t="s">
        <v>10833</v>
      </c>
      <c r="E4698" s="115" t="s">
        <v>4522</v>
      </c>
      <c r="F4698" s="115">
        <v>-348</v>
      </c>
      <c r="G4698" s="115">
        <v>-91</v>
      </c>
      <c r="H4698" s="115">
        <v>-422</v>
      </c>
      <c r="I4698" s="115">
        <v>-265</v>
      </c>
      <c r="J4698" s="115">
        <v>0</v>
      </c>
      <c r="K4698" s="115">
        <v>0</v>
      </c>
    </row>
    <row r="4699" spans="1:11" x14ac:dyDescent="0.25">
      <c r="A4699" s="115">
        <v>1</v>
      </c>
      <c r="B4699" s="115" t="s">
        <v>4523</v>
      </c>
      <c r="D4699" s="115" t="s">
        <v>10834</v>
      </c>
      <c r="E4699" s="115" t="s">
        <v>4524</v>
      </c>
      <c r="F4699" s="115">
        <v>0</v>
      </c>
      <c r="G4699" s="115">
        <v>0</v>
      </c>
      <c r="H4699" s="115">
        <v>0</v>
      </c>
      <c r="I4699" s="115">
        <v>0</v>
      </c>
      <c r="J4699" s="115">
        <v>1007</v>
      </c>
      <c r="K4699" s="115">
        <v>0</v>
      </c>
    </row>
    <row r="4700" spans="1:11" x14ac:dyDescent="0.25">
      <c r="B4700" s="115" t="s">
        <v>4525</v>
      </c>
      <c r="D4700" s="115" t="s">
        <v>8710</v>
      </c>
      <c r="E4700" s="115" t="s">
        <v>1242</v>
      </c>
      <c r="F4700" s="115">
        <v>0</v>
      </c>
      <c r="G4700" s="115">
        <v>0</v>
      </c>
      <c r="H4700" s="115">
        <v>0</v>
      </c>
      <c r="I4700" s="115">
        <v>0</v>
      </c>
      <c r="J4700" s="115">
        <v>0</v>
      </c>
      <c r="K4700" s="115">
        <v>0</v>
      </c>
    </row>
    <row r="4701" spans="1:11" x14ac:dyDescent="0.25">
      <c r="B4701" s="115" t="s">
        <v>1241</v>
      </c>
      <c r="D4701" s="115" t="s">
        <v>10835</v>
      </c>
      <c r="E4701" s="115" t="s">
        <v>4526</v>
      </c>
      <c r="F4701" s="115">
        <v>0</v>
      </c>
      <c r="G4701" s="115">
        <v>0</v>
      </c>
      <c r="H4701" s="115">
        <v>0</v>
      </c>
      <c r="I4701" s="115">
        <v>1987</v>
      </c>
      <c r="J4701" s="115">
        <v>0</v>
      </c>
      <c r="K4701" s="115">
        <v>0</v>
      </c>
    </row>
    <row r="4702" spans="1:11" x14ac:dyDescent="0.25">
      <c r="B4702" s="115" t="s">
        <v>1241</v>
      </c>
      <c r="D4702" s="115" t="s">
        <v>10836</v>
      </c>
      <c r="E4702" s="115" t="s">
        <v>4527</v>
      </c>
      <c r="F4702" s="115">
        <v>180</v>
      </c>
      <c r="G4702" s="115">
        <v>-1</v>
      </c>
      <c r="H4702" s="115">
        <v>900</v>
      </c>
      <c r="I4702" s="115">
        <v>-89</v>
      </c>
      <c r="J4702" s="115">
        <v>-120</v>
      </c>
      <c r="K4702" s="115">
        <v>-644</v>
      </c>
    </row>
    <row r="4703" spans="1:11" x14ac:dyDescent="0.25">
      <c r="A4703" s="115">
        <v>-64</v>
      </c>
      <c r="B4703" s="115" t="s">
        <v>4528</v>
      </c>
      <c r="D4703" s="115" t="s">
        <v>10837</v>
      </c>
      <c r="E4703" s="115" t="s">
        <v>4529</v>
      </c>
      <c r="F4703" s="115">
        <v>538</v>
      </c>
      <c r="G4703" s="115">
        <v>1180</v>
      </c>
      <c r="H4703" s="115">
        <v>0</v>
      </c>
      <c r="I4703" s="115">
        <v>0</v>
      </c>
      <c r="J4703" s="115">
        <v>-370</v>
      </c>
      <c r="K4703" s="115">
        <v>0</v>
      </c>
    </row>
    <row r="4704" spans="1:11" x14ac:dyDescent="0.25">
      <c r="B4704" s="115" t="s">
        <v>1241</v>
      </c>
      <c r="D4704" s="115" t="s">
        <v>10838</v>
      </c>
      <c r="E4704" s="115" t="s">
        <v>1242</v>
      </c>
      <c r="F4704" s="115">
        <v>0</v>
      </c>
      <c r="G4704" s="115">
        <v>0</v>
      </c>
      <c r="H4704" s="115">
        <v>0</v>
      </c>
      <c r="I4704" s="115">
        <v>0</v>
      </c>
      <c r="J4704" s="115">
        <v>0</v>
      </c>
      <c r="K4704" s="115">
        <v>0</v>
      </c>
    </row>
    <row r="4705" spans="1:11" x14ac:dyDescent="0.25">
      <c r="A4705" s="115" t="s">
        <v>1239</v>
      </c>
      <c r="B4705" s="115" t="s">
        <v>4530</v>
      </c>
      <c r="D4705" s="115" t="s">
        <v>10839</v>
      </c>
      <c r="E4705" s="115" t="s">
        <v>4531</v>
      </c>
      <c r="F4705" s="115">
        <v>0</v>
      </c>
      <c r="G4705" s="115">
        <v>4916</v>
      </c>
      <c r="H4705" s="115">
        <v>0</v>
      </c>
      <c r="I4705" s="115">
        <v>-100</v>
      </c>
      <c r="J4705" s="115">
        <v>-113</v>
      </c>
      <c r="K4705" s="115">
        <v>-37</v>
      </c>
    </row>
    <row r="4706" spans="1:11" x14ac:dyDescent="0.25">
      <c r="B4706" s="115" t="s">
        <v>4532</v>
      </c>
      <c r="D4706" s="115" t="s">
        <v>10840</v>
      </c>
      <c r="E4706" s="115" t="s">
        <v>4533</v>
      </c>
      <c r="F4706" s="115">
        <v>2766</v>
      </c>
      <c r="G4706" s="115">
        <v>1471</v>
      </c>
      <c r="H4706" s="115">
        <v>-3565</v>
      </c>
      <c r="I4706" s="115">
        <v>0</v>
      </c>
      <c r="J4706" s="115">
        <v>-2860</v>
      </c>
      <c r="K4706" s="115">
        <v>0</v>
      </c>
    </row>
    <row r="4707" spans="1:11" x14ac:dyDescent="0.25">
      <c r="B4707" s="115" t="s">
        <v>1241</v>
      </c>
      <c r="D4707" s="115" t="s">
        <v>10841</v>
      </c>
      <c r="E4707" s="115" t="s">
        <v>4534</v>
      </c>
      <c r="F4707" s="115">
        <v>-115</v>
      </c>
      <c r="G4707" s="115">
        <v>0</v>
      </c>
      <c r="H4707" s="115">
        <v>0</v>
      </c>
      <c r="I4707" s="115">
        <v>0</v>
      </c>
      <c r="J4707" s="115">
        <v>360</v>
      </c>
      <c r="K4707" s="115">
        <v>0</v>
      </c>
    </row>
    <row r="4708" spans="1:11" x14ac:dyDescent="0.25">
      <c r="A4708" s="115">
        <v>-3</v>
      </c>
      <c r="B4708" s="115" t="s">
        <v>4535</v>
      </c>
      <c r="D4708" s="115" t="s">
        <v>10842</v>
      </c>
      <c r="E4708" s="115" t="s">
        <v>4536</v>
      </c>
      <c r="F4708" s="115">
        <v>0</v>
      </c>
      <c r="G4708" s="115">
        <v>0</v>
      </c>
      <c r="H4708" s="115">
        <v>-34859</v>
      </c>
      <c r="I4708" s="115">
        <v>0</v>
      </c>
      <c r="J4708" s="115">
        <v>-12853</v>
      </c>
      <c r="K4708" s="115">
        <v>-1425</v>
      </c>
    </row>
    <row r="4709" spans="1:11" x14ac:dyDescent="0.25">
      <c r="B4709" s="115" t="s">
        <v>1241</v>
      </c>
      <c r="C4709" s="115" t="s">
        <v>1239</v>
      </c>
      <c r="D4709" s="115" t="s">
        <v>10843</v>
      </c>
      <c r="E4709" s="115" t="s">
        <v>4537</v>
      </c>
      <c r="F4709" s="115">
        <v>0</v>
      </c>
      <c r="G4709" s="115">
        <v>-1538</v>
      </c>
      <c r="H4709" s="115">
        <v>0</v>
      </c>
      <c r="I4709" s="115">
        <v>0</v>
      </c>
      <c r="J4709" s="115">
        <v>0</v>
      </c>
      <c r="K4709" s="115">
        <v>0</v>
      </c>
    </row>
    <row r="4710" spans="1:11" x14ac:dyDescent="0.25">
      <c r="A4710" s="115">
        <v>-7</v>
      </c>
      <c r="B4710" s="115" t="s">
        <v>4538</v>
      </c>
      <c r="D4710" s="115" t="s">
        <v>10844</v>
      </c>
      <c r="E4710" s="115" t="s">
        <v>4539</v>
      </c>
      <c r="F4710" s="115">
        <v>0</v>
      </c>
      <c r="G4710" s="115">
        <v>-645</v>
      </c>
      <c r="H4710" s="115">
        <v>-297</v>
      </c>
      <c r="I4710" s="115">
        <v>0</v>
      </c>
      <c r="J4710" s="115">
        <v>-585</v>
      </c>
      <c r="K4710" s="115">
        <v>-697</v>
      </c>
    </row>
    <row r="4711" spans="1:11" x14ac:dyDescent="0.25">
      <c r="B4711" s="115">
        <f>-57   -567</f>
        <v>-624</v>
      </c>
      <c r="C4711" s="115" t="s">
        <v>1239</v>
      </c>
      <c r="D4711" s="115" t="s">
        <v>10845</v>
      </c>
      <c r="E4711" s="115" t="s">
        <v>1242</v>
      </c>
      <c r="F4711" s="115">
        <v>-1282</v>
      </c>
      <c r="G4711" s="115">
        <v>0</v>
      </c>
      <c r="H4711" s="115">
        <v>0</v>
      </c>
      <c r="I4711" s="115">
        <v>0</v>
      </c>
      <c r="J4711" s="115">
        <v>0</v>
      </c>
      <c r="K4711" s="115">
        <v>0</v>
      </c>
    </row>
    <row r="4712" spans="1:11" x14ac:dyDescent="0.25">
      <c r="A4712" s="115">
        <v>1</v>
      </c>
      <c r="B4712" s="115" t="s">
        <v>4540</v>
      </c>
      <c r="D4712" s="115" t="s">
        <v>10846</v>
      </c>
      <c r="E4712" s="115" t="s">
        <v>4541</v>
      </c>
      <c r="F4712" s="115">
        <v>567</v>
      </c>
      <c r="G4712" s="115">
        <v>0</v>
      </c>
      <c r="H4712" s="115">
        <v>-333</v>
      </c>
      <c r="I4712" s="115">
        <v>519</v>
      </c>
      <c r="J4712" s="115">
        <v>116</v>
      </c>
      <c r="K4712" s="115">
        <v>285</v>
      </c>
    </row>
    <row r="4713" spans="1:11" x14ac:dyDescent="0.25">
      <c r="B4713" s="115" t="s">
        <v>4542</v>
      </c>
      <c r="D4713" s="115" t="s">
        <v>10847</v>
      </c>
      <c r="E4713" s="115" t="s">
        <v>4543</v>
      </c>
      <c r="F4713" s="115">
        <v>-2135</v>
      </c>
      <c r="G4713" s="115">
        <v>655</v>
      </c>
      <c r="H4713" s="115">
        <v>0</v>
      </c>
      <c r="I4713" s="115">
        <v>-481</v>
      </c>
      <c r="J4713" s="115">
        <v>100</v>
      </c>
      <c r="K4713" s="115">
        <v>0</v>
      </c>
    </row>
    <row r="4714" spans="1:11" x14ac:dyDescent="0.25">
      <c r="B4714" s="115" t="s">
        <v>1241</v>
      </c>
      <c r="D4714" s="115" t="s">
        <v>10848</v>
      </c>
      <c r="E4714" s="115" t="s">
        <v>4544</v>
      </c>
      <c r="F4714" s="115">
        <v>0</v>
      </c>
      <c r="G4714" s="115">
        <v>177</v>
      </c>
      <c r="H4714" s="115">
        <v>-194</v>
      </c>
      <c r="I4714" s="115">
        <v>119</v>
      </c>
      <c r="J4714" s="115">
        <v>70</v>
      </c>
      <c r="K4714" s="115">
        <v>0</v>
      </c>
    </row>
    <row r="4715" spans="1:11" x14ac:dyDescent="0.25">
      <c r="B4715" s="115" t="s">
        <v>1241</v>
      </c>
      <c r="D4715" s="115" t="s">
        <v>10849</v>
      </c>
      <c r="E4715" s="115" t="s">
        <v>4545</v>
      </c>
      <c r="F4715" s="115">
        <v>156</v>
      </c>
      <c r="G4715" s="115">
        <v>0</v>
      </c>
      <c r="H4715" s="115">
        <v>-1003</v>
      </c>
      <c r="I4715" s="115">
        <v>-243</v>
      </c>
      <c r="J4715" s="115">
        <v>-70</v>
      </c>
      <c r="K4715" s="115">
        <v>0</v>
      </c>
    </row>
    <row r="4716" spans="1:11" x14ac:dyDescent="0.25">
      <c r="A4716" s="115" t="s">
        <v>1239</v>
      </c>
      <c r="B4716" s="115" t="s">
        <v>4546</v>
      </c>
      <c r="D4716" s="115" t="s">
        <v>10850</v>
      </c>
      <c r="E4716" s="115" t="s">
        <v>4547</v>
      </c>
      <c r="F4716" s="115">
        <v>736</v>
      </c>
      <c r="G4716" s="115">
        <v>28</v>
      </c>
      <c r="H4716" s="115">
        <v>2529</v>
      </c>
      <c r="I4716" s="115">
        <v>3758</v>
      </c>
      <c r="J4716" s="115">
        <v>0</v>
      </c>
      <c r="K4716" s="115">
        <v>739</v>
      </c>
    </row>
    <row r="4717" spans="1:11" x14ac:dyDescent="0.25">
      <c r="B4717" s="115" t="s">
        <v>1241</v>
      </c>
      <c r="D4717" s="115" t="s">
        <v>10851</v>
      </c>
      <c r="E4717" s="115" t="s">
        <v>4548</v>
      </c>
      <c r="F4717" s="115">
        <v>0</v>
      </c>
      <c r="G4717" s="115">
        <v>202</v>
      </c>
      <c r="H4717" s="115">
        <v>0</v>
      </c>
      <c r="I4717" s="115">
        <v>0</v>
      </c>
      <c r="J4717" s="115">
        <v>274</v>
      </c>
      <c r="K4717" s="115">
        <v>0</v>
      </c>
    </row>
    <row r="4718" spans="1:11" x14ac:dyDescent="0.25">
      <c r="B4718" s="115" t="s">
        <v>4549</v>
      </c>
      <c r="D4718" s="115" t="s">
        <v>10852</v>
      </c>
      <c r="E4718" s="115" t="s">
        <v>4550</v>
      </c>
      <c r="F4718" s="115">
        <v>0</v>
      </c>
      <c r="G4718" s="115">
        <v>0</v>
      </c>
      <c r="H4718" s="115">
        <v>0</v>
      </c>
      <c r="I4718" s="115">
        <v>0</v>
      </c>
      <c r="J4718" s="115">
        <v>609</v>
      </c>
      <c r="K4718" s="115">
        <v>0</v>
      </c>
    </row>
    <row r="4719" spans="1:11" x14ac:dyDescent="0.25">
      <c r="A4719" s="115" t="s">
        <v>1239</v>
      </c>
      <c r="B4719" s="115" t="s">
        <v>4551</v>
      </c>
      <c r="D4719" s="115" t="s">
        <v>10853</v>
      </c>
      <c r="E4719" s="115" t="s">
        <v>4552</v>
      </c>
      <c r="F4719" s="115">
        <v>-326</v>
      </c>
      <c r="G4719" s="115">
        <v>-15</v>
      </c>
      <c r="H4719" s="115">
        <v>-58</v>
      </c>
      <c r="I4719" s="115">
        <v>0</v>
      </c>
      <c r="J4719" s="115">
        <v>0</v>
      </c>
      <c r="K4719" s="115">
        <v>0</v>
      </c>
    </row>
    <row r="4720" spans="1:11" x14ac:dyDescent="0.25">
      <c r="A4720" s="115">
        <v>1</v>
      </c>
      <c r="B4720" s="115" t="s">
        <v>4553</v>
      </c>
      <c r="C4720" s="115" t="s">
        <v>1239</v>
      </c>
      <c r="D4720" s="115" t="s">
        <v>10854</v>
      </c>
      <c r="E4720" s="115" t="s">
        <v>4554</v>
      </c>
      <c r="F4720" s="115">
        <v>518</v>
      </c>
      <c r="G4720" s="115">
        <v>0</v>
      </c>
      <c r="H4720" s="115">
        <v>283</v>
      </c>
      <c r="I4720" s="115">
        <v>0</v>
      </c>
      <c r="J4720" s="115">
        <v>0</v>
      </c>
      <c r="K4720" s="115">
        <v>79</v>
      </c>
    </row>
    <row r="4721" spans="1:11" x14ac:dyDescent="0.25">
      <c r="B4721" s="115" t="s">
        <v>4555</v>
      </c>
      <c r="D4721" s="115" t="s">
        <v>10855</v>
      </c>
      <c r="E4721" s="115" t="s">
        <v>1242</v>
      </c>
      <c r="F4721" s="115">
        <v>0</v>
      </c>
      <c r="G4721" s="115">
        <v>0</v>
      </c>
      <c r="H4721" s="115">
        <v>0</v>
      </c>
      <c r="I4721" s="115">
        <v>0</v>
      </c>
      <c r="J4721" s="115">
        <v>0</v>
      </c>
      <c r="K4721" s="115">
        <v>0</v>
      </c>
    </row>
    <row r="4722" spans="1:11" x14ac:dyDescent="0.25">
      <c r="B4722" s="115" t="s">
        <v>1241</v>
      </c>
      <c r="D4722" s="115" t="s">
        <v>10856</v>
      </c>
      <c r="E4722" s="115" t="s">
        <v>4556</v>
      </c>
      <c r="F4722" s="115">
        <v>-409</v>
      </c>
      <c r="G4722" s="115">
        <v>-156</v>
      </c>
      <c r="H4722" s="115">
        <v>-50</v>
      </c>
      <c r="I4722" s="115">
        <v>0</v>
      </c>
      <c r="J4722" s="115">
        <v>-285</v>
      </c>
      <c r="K4722" s="115">
        <v>2115</v>
      </c>
    </row>
    <row r="4723" spans="1:11" x14ac:dyDescent="0.25">
      <c r="B4723" s="115" t="s">
        <v>1241</v>
      </c>
      <c r="D4723" s="115" t="s">
        <v>10857</v>
      </c>
      <c r="E4723" s="115" t="s">
        <v>4557</v>
      </c>
      <c r="F4723" s="115">
        <v>0</v>
      </c>
      <c r="G4723" s="115">
        <v>3228</v>
      </c>
      <c r="H4723" s="115">
        <v>-4435</v>
      </c>
      <c r="I4723" s="115">
        <v>1500</v>
      </c>
      <c r="J4723" s="115">
        <v>1287</v>
      </c>
      <c r="K4723" s="115">
        <v>20</v>
      </c>
    </row>
    <row r="4724" spans="1:11" x14ac:dyDescent="0.25">
      <c r="A4724" s="115" t="s">
        <v>1239</v>
      </c>
      <c r="B4724" s="115" t="s">
        <v>4558</v>
      </c>
      <c r="D4724" s="115" t="s">
        <v>10858</v>
      </c>
      <c r="E4724" s="115" t="s">
        <v>4559</v>
      </c>
      <c r="F4724" s="115">
        <v>0</v>
      </c>
      <c r="G4724" s="115">
        <v>-86</v>
      </c>
      <c r="H4724" s="115">
        <v>0</v>
      </c>
      <c r="I4724" s="115">
        <v>-72</v>
      </c>
      <c r="J4724" s="115">
        <v>0</v>
      </c>
      <c r="K4724" s="115">
        <v>0</v>
      </c>
    </row>
    <row r="4725" spans="1:11" x14ac:dyDescent="0.25">
      <c r="B4725" s="115">
        <f>-92    -15</f>
        <v>-107</v>
      </c>
      <c r="D4725" s="115" t="s">
        <v>10859</v>
      </c>
      <c r="E4725" s="115" t="s">
        <v>4560</v>
      </c>
      <c r="F4725" s="115">
        <v>0</v>
      </c>
      <c r="G4725" s="115">
        <v>0</v>
      </c>
      <c r="H4725" s="115">
        <v>264</v>
      </c>
      <c r="I4725" s="115">
        <v>0</v>
      </c>
      <c r="J4725" s="115">
        <v>-2936</v>
      </c>
      <c r="K4725" s="115">
        <v>-928</v>
      </c>
    </row>
    <row r="4726" spans="1:11" x14ac:dyDescent="0.25">
      <c r="B4726" s="115" t="s">
        <v>4561</v>
      </c>
      <c r="D4726" s="115" t="s">
        <v>10860</v>
      </c>
      <c r="E4726" s="115" t="s">
        <v>4562</v>
      </c>
      <c r="F4726" s="115">
        <v>-668</v>
      </c>
      <c r="G4726" s="115">
        <v>-1557</v>
      </c>
      <c r="H4726" s="115">
        <v>-2259</v>
      </c>
      <c r="I4726" s="115">
        <v>-707</v>
      </c>
      <c r="J4726" s="115">
        <v>0</v>
      </c>
      <c r="K4726" s="115">
        <v>0</v>
      </c>
    </row>
    <row r="4727" spans="1:11" x14ac:dyDescent="0.25">
      <c r="B4727" s="115" t="s">
        <v>1241</v>
      </c>
      <c r="D4727" s="115" t="s">
        <v>10861</v>
      </c>
      <c r="E4727" s="115" t="s">
        <v>4563</v>
      </c>
      <c r="F4727" s="115">
        <v>0</v>
      </c>
      <c r="G4727" s="115">
        <v>-486</v>
      </c>
      <c r="H4727" s="115">
        <v>-225</v>
      </c>
      <c r="I4727" s="115">
        <v>90</v>
      </c>
      <c r="J4727" s="115">
        <v>-231</v>
      </c>
      <c r="K4727" s="115">
        <v>16</v>
      </c>
    </row>
    <row r="4728" spans="1:11" x14ac:dyDescent="0.25">
      <c r="B4728" s="115" t="s">
        <v>4564</v>
      </c>
      <c r="D4728" s="115" t="s">
        <v>10862</v>
      </c>
      <c r="E4728" s="115" t="s">
        <v>4565</v>
      </c>
      <c r="F4728" s="115">
        <v>0</v>
      </c>
      <c r="G4728" s="115">
        <v>-394</v>
      </c>
      <c r="H4728" s="115">
        <v>887</v>
      </c>
      <c r="I4728" s="115">
        <v>0</v>
      </c>
      <c r="J4728" s="115">
        <v>0</v>
      </c>
      <c r="K4728" s="115">
        <v>0</v>
      </c>
    </row>
    <row r="4729" spans="1:11" x14ac:dyDescent="0.25">
      <c r="B4729" s="115" t="s">
        <v>4566</v>
      </c>
      <c r="D4729" s="115" t="s">
        <v>10863</v>
      </c>
      <c r="E4729" s="115" t="s">
        <v>1242</v>
      </c>
      <c r="F4729" s="115">
        <v>-2156</v>
      </c>
      <c r="G4729" s="115">
        <v>0</v>
      </c>
      <c r="H4729" s="115">
        <v>0</v>
      </c>
      <c r="I4729" s="115">
        <v>0</v>
      </c>
      <c r="J4729" s="115">
        <v>0</v>
      </c>
      <c r="K4729" s="115">
        <v>0</v>
      </c>
    </row>
    <row r="4730" spans="1:11" x14ac:dyDescent="0.25">
      <c r="B4730" s="115" t="s">
        <v>1241</v>
      </c>
      <c r="D4730" s="115" t="s">
        <v>8710</v>
      </c>
      <c r="E4730" s="115" t="s">
        <v>1242</v>
      </c>
      <c r="F4730" s="115">
        <v>0</v>
      </c>
      <c r="G4730" s="115">
        <v>0</v>
      </c>
      <c r="H4730" s="115">
        <v>0</v>
      </c>
      <c r="I4730" s="115">
        <v>0</v>
      </c>
      <c r="J4730" s="115">
        <v>0</v>
      </c>
      <c r="K4730" s="115">
        <v>0</v>
      </c>
    </row>
    <row r="4731" spans="1:11" x14ac:dyDescent="0.25">
      <c r="B4731" s="115" t="s">
        <v>4567</v>
      </c>
      <c r="D4731" s="115" t="s">
        <v>10864</v>
      </c>
      <c r="E4731" s="115" t="s">
        <v>4568</v>
      </c>
      <c r="F4731" s="115">
        <v>0</v>
      </c>
      <c r="G4731" s="115">
        <v>0</v>
      </c>
      <c r="H4731" s="115">
        <v>-120</v>
      </c>
      <c r="I4731" s="115">
        <v>-2615</v>
      </c>
      <c r="J4731" s="115">
        <v>-222</v>
      </c>
      <c r="K4731" s="115">
        <v>-739</v>
      </c>
    </row>
    <row r="4732" spans="1:11" x14ac:dyDescent="0.25">
      <c r="B4732" s="115" t="s">
        <v>4569</v>
      </c>
      <c r="D4732" s="115" t="s">
        <v>10865</v>
      </c>
      <c r="E4732" s="115" t="s">
        <v>4570</v>
      </c>
      <c r="F4732" s="115">
        <v>-183</v>
      </c>
      <c r="G4732" s="115">
        <v>-140</v>
      </c>
      <c r="H4732" s="115">
        <v>-60842</v>
      </c>
      <c r="I4732" s="115">
        <v>55</v>
      </c>
      <c r="J4732" s="115">
        <v>91</v>
      </c>
      <c r="K4732" s="115">
        <v>419</v>
      </c>
    </row>
    <row r="4733" spans="1:11" x14ac:dyDescent="0.25">
      <c r="B4733" s="115" t="s">
        <v>1241</v>
      </c>
      <c r="D4733" s="115" t="s">
        <v>10866</v>
      </c>
      <c r="E4733" s="115" t="s">
        <v>4571</v>
      </c>
      <c r="F4733" s="115">
        <v>0</v>
      </c>
      <c r="G4733" s="115">
        <v>0</v>
      </c>
      <c r="H4733" s="115">
        <v>-90</v>
      </c>
      <c r="I4733" s="115">
        <v>-38</v>
      </c>
      <c r="J4733" s="115">
        <v>0</v>
      </c>
      <c r="K4733" s="115">
        <v>0</v>
      </c>
    </row>
    <row r="4734" spans="1:11" x14ac:dyDescent="0.25">
      <c r="B4734" s="115" t="s">
        <v>1241</v>
      </c>
      <c r="D4734" s="115" t="s">
        <v>10867</v>
      </c>
      <c r="E4734" s="115" t="s">
        <v>4572</v>
      </c>
      <c r="F4734" s="115">
        <v>9</v>
      </c>
      <c r="G4734" s="115">
        <v>0</v>
      </c>
      <c r="H4734" s="115">
        <v>0</v>
      </c>
      <c r="I4734" s="115">
        <v>1829</v>
      </c>
      <c r="J4734" s="115">
        <v>0</v>
      </c>
      <c r="K4734" s="115">
        <v>-1693</v>
      </c>
    </row>
    <row r="4735" spans="1:11" x14ac:dyDescent="0.25">
      <c r="B4735" s="115" t="s">
        <v>4573</v>
      </c>
      <c r="D4735" s="115" t="s">
        <v>10868</v>
      </c>
      <c r="E4735" s="115" t="s">
        <v>4574</v>
      </c>
      <c r="F4735" s="115">
        <v>0</v>
      </c>
      <c r="G4735" s="115">
        <v>998</v>
      </c>
      <c r="H4735" s="115">
        <v>-5959</v>
      </c>
      <c r="I4735" s="115">
        <v>194</v>
      </c>
      <c r="J4735" s="115">
        <v>50</v>
      </c>
      <c r="K4735" s="115">
        <v>-490</v>
      </c>
    </row>
    <row r="4736" spans="1:11" x14ac:dyDescent="0.25">
      <c r="B4736" s="115" t="s">
        <v>3764</v>
      </c>
      <c r="D4736" s="115" t="s">
        <v>10869</v>
      </c>
      <c r="E4736" s="115" t="s">
        <v>4575</v>
      </c>
      <c r="F4736" s="115">
        <v>0</v>
      </c>
      <c r="G4736" s="115">
        <v>0</v>
      </c>
      <c r="H4736" s="115">
        <v>0</v>
      </c>
      <c r="I4736" s="115">
        <v>0</v>
      </c>
      <c r="J4736" s="115">
        <v>427</v>
      </c>
      <c r="K4736" s="115">
        <v>0</v>
      </c>
    </row>
    <row r="4737" spans="1:11" x14ac:dyDescent="0.25">
      <c r="B4737" s="115" t="s">
        <v>1241</v>
      </c>
      <c r="D4737" s="115" t="s">
        <v>10870</v>
      </c>
      <c r="E4737" s="115" t="s">
        <v>1242</v>
      </c>
      <c r="F4737" s="115">
        <v>-213</v>
      </c>
      <c r="G4737" s="115">
        <v>0</v>
      </c>
      <c r="H4737" s="115">
        <v>0</v>
      </c>
      <c r="I4737" s="115">
        <v>0</v>
      </c>
      <c r="J4737" s="115">
        <v>0</v>
      </c>
      <c r="K4737" s="115">
        <v>0</v>
      </c>
    </row>
    <row r="4738" spans="1:11" x14ac:dyDescent="0.25">
      <c r="A4738" s="115" t="s">
        <v>1239</v>
      </c>
      <c r="B4738" s="115" t="s">
        <v>3534</v>
      </c>
      <c r="D4738" s="115" t="s">
        <v>10871</v>
      </c>
      <c r="E4738" s="115" t="s">
        <v>4576</v>
      </c>
      <c r="F4738" s="115">
        <v>0</v>
      </c>
      <c r="G4738" s="115">
        <v>0</v>
      </c>
      <c r="H4738" s="115">
        <v>-618</v>
      </c>
      <c r="I4738" s="115">
        <v>-1871</v>
      </c>
      <c r="J4738" s="115">
        <v>0</v>
      </c>
      <c r="K4738" s="115">
        <v>116</v>
      </c>
    </row>
    <row r="4739" spans="1:11" x14ac:dyDescent="0.25">
      <c r="B4739" s="115" t="s">
        <v>1241</v>
      </c>
      <c r="D4739" s="115" t="s">
        <v>10872</v>
      </c>
      <c r="E4739" s="115" t="s">
        <v>4577</v>
      </c>
      <c r="F4739" s="115">
        <v>-744</v>
      </c>
      <c r="G4739" s="115">
        <v>195</v>
      </c>
      <c r="H4739" s="115">
        <v>141</v>
      </c>
      <c r="I4739" s="115">
        <v>0</v>
      </c>
      <c r="J4739" s="115">
        <v>0</v>
      </c>
      <c r="K4739" s="115">
        <v>17</v>
      </c>
    </row>
    <row r="4740" spans="1:11" x14ac:dyDescent="0.25">
      <c r="B4740" s="115" t="s">
        <v>4578</v>
      </c>
      <c r="D4740" s="115" t="s">
        <v>10873</v>
      </c>
      <c r="E4740" s="115" t="s">
        <v>4579</v>
      </c>
      <c r="F4740" s="115">
        <v>-168</v>
      </c>
      <c r="G4740" s="115">
        <v>-117</v>
      </c>
      <c r="H4740" s="115">
        <v>1015</v>
      </c>
      <c r="I4740" s="115">
        <v>132</v>
      </c>
      <c r="J4740" s="115">
        <v>-62</v>
      </c>
      <c r="K4740" s="115">
        <v>0</v>
      </c>
    </row>
    <row r="4741" spans="1:11" x14ac:dyDescent="0.25">
      <c r="B4741" s="115" t="s">
        <v>1241</v>
      </c>
      <c r="D4741" s="115" t="s">
        <v>10874</v>
      </c>
      <c r="E4741" s="115" t="s">
        <v>4580</v>
      </c>
      <c r="F4741" s="115">
        <v>451</v>
      </c>
      <c r="G4741" s="115">
        <v>0</v>
      </c>
      <c r="H4741" s="115">
        <v>-852</v>
      </c>
      <c r="I4741" s="115">
        <v>15</v>
      </c>
      <c r="J4741" s="115">
        <v>89</v>
      </c>
      <c r="K4741" s="115">
        <v>0</v>
      </c>
    </row>
    <row r="4742" spans="1:11" x14ac:dyDescent="0.25">
      <c r="B4742" s="115" t="s">
        <v>4581</v>
      </c>
      <c r="D4742" s="115" t="s">
        <v>10875</v>
      </c>
      <c r="E4742" s="115" t="s">
        <v>4582</v>
      </c>
      <c r="F4742" s="115">
        <v>-139</v>
      </c>
      <c r="G4742" s="115">
        <v>0</v>
      </c>
      <c r="H4742" s="115">
        <v>2193</v>
      </c>
      <c r="I4742" s="115">
        <v>899</v>
      </c>
      <c r="J4742" s="115">
        <v>-61</v>
      </c>
      <c r="K4742" s="115">
        <v>12</v>
      </c>
    </row>
    <row r="4743" spans="1:11" x14ac:dyDescent="0.25">
      <c r="B4743" s="115" t="s">
        <v>4583</v>
      </c>
      <c r="D4743" s="115" t="s">
        <v>10876</v>
      </c>
      <c r="E4743" s="115" t="s">
        <v>4584</v>
      </c>
      <c r="F4743" s="115">
        <v>0</v>
      </c>
      <c r="G4743" s="115">
        <v>0</v>
      </c>
      <c r="H4743" s="115">
        <v>75</v>
      </c>
      <c r="I4743" s="115">
        <v>-141</v>
      </c>
      <c r="J4743" s="115">
        <v>0</v>
      </c>
      <c r="K4743" s="115">
        <v>-52</v>
      </c>
    </row>
    <row r="4744" spans="1:11" x14ac:dyDescent="0.25">
      <c r="A4744" s="115" t="s">
        <v>1239</v>
      </c>
      <c r="B4744" s="115" t="s">
        <v>4585</v>
      </c>
      <c r="D4744" s="115" t="s">
        <v>10877</v>
      </c>
      <c r="E4744" s="115" t="s">
        <v>4586</v>
      </c>
      <c r="F4744" s="115">
        <v>0</v>
      </c>
      <c r="G4744" s="115">
        <v>0</v>
      </c>
      <c r="H4744" s="115">
        <v>0</v>
      </c>
      <c r="I4744" s="115">
        <v>0</v>
      </c>
      <c r="J4744" s="115">
        <v>-380</v>
      </c>
      <c r="K4744" s="115">
        <v>0</v>
      </c>
    </row>
    <row r="4745" spans="1:11" x14ac:dyDescent="0.25">
      <c r="B4745" s="115" t="s">
        <v>4587</v>
      </c>
      <c r="D4745" s="115" t="s">
        <v>10878</v>
      </c>
      <c r="E4745" s="115" t="s">
        <v>4588</v>
      </c>
      <c r="F4745" s="115">
        <v>112</v>
      </c>
      <c r="G4745" s="115">
        <v>-2460</v>
      </c>
      <c r="H4745" s="115">
        <v>95</v>
      </c>
      <c r="I4745" s="115">
        <v>-27</v>
      </c>
      <c r="J4745" s="115">
        <v>-153</v>
      </c>
      <c r="K4745" s="115">
        <v>-29</v>
      </c>
    </row>
    <row r="4746" spans="1:11" x14ac:dyDescent="0.25">
      <c r="A4746" s="115">
        <v>1</v>
      </c>
      <c r="B4746" s="115" t="s">
        <v>4589</v>
      </c>
      <c r="D4746" s="115" t="s">
        <v>10879</v>
      </c>
      <c r="E4746" s="115" t="s">
        <v>4590</v>
      </c>
      <c r="F4746" s="115">
        <v>0</v>
      </c>
      <c r="G4746" s="115">
        <v>0</v>
      </c>
      <c r="H4746" s="115">
        <v>-34</v>
      </c>
      <c r="I4746" s="115">
        <v>-16</v>
      </c>
      <c r="J4746" s="115">
        <v>0</v>
      </c>
      <c r="K4746" s="115">
        <v>-4</v>
      </c>
    </row>
    <row r="4747" spans="1:11" x14ac:dyDescent="0.25">
      <c r="B4747" s="115" t="s">
        <v>1241</v>
      </c>
      <c r="D4747" s="115" t="s">
        <v>10880</v>
      </c>
      <c r="E4747" s="115" t="s">
        <v>4591</v>
      </c>
      <c r="F4747" s="115">
        <v>-67</v>
      </c>
      <c r="G4747" s="115">
        <v>21</v>
      </c>
      <c r="H4747" s="115">
        <v>46</v>
      </c>
      <c r="I4747" s="115">
        <v>0</v>
      </c>
      <c r="J4747" s="115">
        <v>0</v>
      </c>
      <c r="K4747" s="115">
        <v>0</v>
      </c>
    </row>
    <row r="4748" spans="1:11" x14ac:dyDescent="0.25">
      <c r="B4748" s="115" t="s">
        <v>1241</v>
      </c>
      <c r="D4748" s="115" t="s">
        <v>10881</v>
      </c>
      <c r="E4748" s="115" t="s">
        <v>4592</v>
      </c>
      <c r="F4748" s="115">
        <v>271</v>
      </c>
      <c r="G4748" s="115">
        <v>104</v>
      </c>
      <c r="H4748" s="115">
        <v>-34</v>
      </c>
      <c r="I4748" s="115">
        <v>0</v>
      </c>
      <c r="J4748" s="115">
        <v>-313</v>
      </c>
      <c r="K4748" s="115">
        <v>-3053</v>
      </c>
    </row>
    <row r="4749" spans="1:11" x14ac:dyDescent="0.25">
      <c r="B4749" s="115" t="s">
        <v>2707</v>
      </c>
      <c r="D4749" s="115" t="s">
        <v>10882</v>
      </c>
      <c r="E4749" s="115" t="s">
        <v>4593</v>
      </c>
      <c r="F4749" s="115">
        <v>2521</v>
      </c>
      <c r="G4749" s="115">
        <v>1336</v>
      </c>
      <c r="H4749" s="115">
        <v>-1</v>
      </c>
      <c r="I4749" s="115">
        <v>-13</v>
      </c>
      <c r="J4749" s="115">
        <v>4</v>
      </c>
      <c r="K4749" s="115">
        <v>0</v>
      </c>
    </row>
    <row r="4750" spans="1:11" x14ac:dyDescent="0.25">
      <c r="B4750" s="115" t="s">
        <v>4594</v>
      </c>
      <c r="D4750" s="115" t="s">
        <v>10883</v>
      </c>
      <c r="E4750" s="115" t="s">
        <v>4595</v>
      </c>
      <c r="F4750" s="115">
        <v>0</v>
      </c>
      <c r="G4750" s="115">
        <v>-81</v>
      </c>
      <c r="H4750" s="115">
        <v>0</v>
      </c>
      <c r="I4750" s="115">
        <v>12</v>
      </c>
      <c r="J4750" s="115">
        <v>0</v>
      </c>
      <c r="K4750" s="115">
        <v>0</v>
      </c>
    </row>
    <row r="4751" spans="1:11" x14ac:dyDescent="0.25">
      <c r="B4751" s="115" t="s">
        <v>1241</v>
      </c>
      <c r="D4751" s="115" t="s">
        <v>10884</v>
      </c>
      <c r="E4751" s="115" t="s">
        <v>4596</v>
      </c>
      <c r="F4751" s="115">
        <v>0</v>
      </c>
      <c r="G4751" s="115">
        <v>0</v>
      </c>
      <c r="H4751" s="115">
        <v>-197</v>
      </c>
      <c r="I4751" s="115">
        <v>0</v>
      </c>
      <c r="J4751" s="115">
        <v>318</v>
      </c>
      <c r="K4751" s="115">
        <v>33</v>
      </c>
    </row>
    <row r="4752" spans="1:11" x14ac:dyDescent="0.25">
      <c r="B4752" s="115" t="s">
        <v>4597</v>
      </c>
      <c r="D4752" s="115" t="s">
        <v>10885</v>
      </c>
      <c r="E4752" s="115" t="s">
        <v>4598</v>
      </c>
      <c r="F4752" s="115">
        <v>0</v>
      </c>
      <c r="G4752" s="115">
        <v>0</v>
      </c>
      <c r="H4752" s="115">
        <v>0</v>
      </c>
      <c r="I4752" s="115">
        <v>0</v>
      </c>
      <c r="J4752" s="115">
        <v>0</v>
      </c>
      <c r="K4752" s="115">
        <v>2124</v>
      </c>
    </row>
    <row r="4753" spans="1:11" x14ac:dyDescent="0.25">
      <c r="A4753" s="115" t="s">
        <v>1239</v>
      </c>
      <c r="B4753" s="115" t="s">
        <v>4599</v>
      </c>
      <c r="D4753" s="115" t="s">
        <v>10886</v>
      </c>
      <c r="E4753" s="115" t="s">
        <v>4600</v>
      </c>
      <c r="F4753" s="115">
        <v>-1152</v>
      </c>
      <c r="G4753" s="115">
        <v>0</v>
      </c>
      <c r="H4753" s="115">
        <v>0</v>
      </c>
      <c r="I4753" s="115">
        <v>0</v>
      </c>
      <c r="J4753" s="115">
        <v>0</v>
      </c>
      <c r="K4753" s="115">
        <v>-521</v>
      </c>
    </row>
    <row r="4754" spans="1:11" x14ac:dyDescent="0.25">
      <c r="B4754" s="115" t="s">
        <v>4601</v>
      </c>
      <c r="D4754" s="115" t="s">
        <v>10887</v>
      </c>
      <c r="E4754" s="115" t="s">
        <v>4602</v>
      </c>
      <c r="F4754" s="115">
        <v>-1123</v>
      </c>
      <c r="G4754" s="115">
        <v>155</v>
      </c>
      <c r="H4754" s="115">
        <v>0</v>
      </c>
      <c r="I4754" s="115">
        <v>0</v>
      </c>
      <c r="J4754" s="115">
        <v>0</v>
      </c>
      <c r="K4754" s="115">
        <v>0</v>
      </c>
    </row>
    <row r="4755" spans="1:11" x14ac:dyDescent="0.25">
      <c r="B4755" s="115" t="s">
        <v>4603</v>
      </c>
      <c r="D4755" s="115" t="s">
        <v>10888</v>
      </c>
      <c r="E4755" s="115" t="s">
        <v>4604</v>
      </c>
      <c r="F4755" s="115">
        <v>342</v>
      </c>
      <c r="G4755" s="115">
        <v>-1970</v>
      </c>
      <c r="H4755" s="115">
        <v>-389</v>
      </c>
      <c r="I4755" s="115">
        <v>-98</v>
      </c>
      <c r="J4755" s="115">
        <v>-17</v>
      </c>
      <c r="K4755" s="115">
        <v>58</v>
      </c>
    </row>
    <row r="4756" spans="1:11" x14ac:dyDescent="0.25">
      <c r="A4756" s="115">
        <v>-1</v>
      </c>
      <c r="B4756" s="115" t="s">
        <v>4605</v>
      </c>
      <c r="D4756" s="115" t="s">
        <v>10889</v>
      </c>
      <c r="E4756" s="115" t="s">
        <v>4606</v>
      </c>
      <c r="F4756" s="115">
        <v>0</v>
      </c>
      <c r="G4756" s="115">
        <v>0</v>
      </c>
      <c r="H4756" s="115">
        <v>0</v>
      </c>
      <c r="I4756" s="115">
        <v>0</v>
      </c>
      <c r="J4756" s="115">
        <v>0</v>
      </c>
      <c r="K4756" s="115">
        <v>70</v>
      </c>
    </row>
    <row r="4757" spans="1:11" x14ac:dyDescent="0.25">
      <c r="B4757" s="115" t="s">
        <v>4607</v>
      </c>
      <c r="D4757" s="115" t="s">
        <v>10890</v>
      </c>
      <c r="E4757" s="115" t="s">
        <v>4608</v>
      </c>
      <c r="F4757" s="115">
        <v>-56</v>
      </c>
      <c r="G4757" s="115">
        <v>0</v>
      </c>
      <c r="H4757" s="115">
        <v>0</v>
      </c>
      <c r="I4757" s="115">
        <v>-91</v>
      </c>
      <c r="J4757" s="115">
        <v>0</v>
      </c>
      <c r="K4757" s="115">
        <v>-348</v>
      </c>
    </row>
    <row r="4758" spans="1:11" x14ac:dyDescent="0.25">
      <c r="A4758" s="115">
        <v>1</v>
      </c>
      <c r="B4758" s="115" t="s">
        <v>2337</v>
      </c>
      <c r="D4758" s="115" t="s">
        <v>10891</v>
      </c>
      <c r="E4758" s="115" t="s">
        <v>4609</v>
      </c>
      <c r="F4758" s="115">
        <v>0</v>
      </c>
      <c r="G4758" s="115">
        <v>648</v>
      </c>
      <c r="H4758" s="115">
        <v>0</v>
      </c>
      <c r="I4758" s="115">
        <v>-5299</v>
      </c>
      <c r="J4758" s="115">
        <v>-5052</v>
      </c>
      <c r="K4758" s="115">
        <v>0</v>
      </c>
    </row>
    <row r="4759" spans="1:11" x14ac:dyDescent="0.25">
      <c r="B4759" s="115" t="s">
        <v>1241</v>
      </c>
      <c r="D4759" s="115" t="s">
        <v>8710</v>
      </c>
      <c r="E4759" s="115" t="s">
        <v>1242</v>
      </c>
      <c r="F4759" s="115">
        <v>0</v>
      </c>
      <c r="G4759" s="115">
        <v>0</v>
      </c>
      <c r="H4759" s="115">
        <v>0</v>
      </c>
      <c r="I4759" s="115">
        <v>0</v>
      </c>
      <c r="J4759" s="115">
        <v>0</v>
      </c>
      <c r="K4759" s="115">
        <v>0</v>
      </c>
    </row>
    <row r="4760" spans="1:11" x14ac:dyDescent="0.25">
      <c r="B4760" s="115" t="s">
        <v>1241</v>
      </c>
      <c r="D4760" s="115" t="s">
        <v>10892</v>
      </c>
      <c r="E4760" s="115" t="s">
        <v>1242</v>
      </c>
      <c r="F4760" s="115">
        <v>512</v>
      </c>
      <c r="G4760" s="115">
        <v>0</v>
      </c>
      <c r="H4760" s="115">
        <v>0</v>
      </c>
      <c r="I4760" s="115">
        <v>0</v>
      </c>
      <c r="J4760" s="115">
        <v>0</v>
      </c>
      <c r="K4760" s="115">
        <v>0</v>
      </c>
    </row>
    <row r="4761" spans="1:11" x14ac:dyDescent="0.25">
      <c r="B4761" s="115" t="s">
        <v>4610</v>
      </c>
      <c r="D4761" s="115" t="s">
        <v>10893</v>
      </c>
      <c r="E4761" s="115" t="s">
        <v>4611</v>
      </c>
      <c r="F4761" s="115">
        <v>6368</v>
      </c>
      <c r="G4761" s="115">
        <v>6468</v>
      </c>
      <c r="H4761" s="115">
        <v>5685</v>
      </c>
      <c r="I4761" s="115">
        <v>-2471</v>
      </c>
      <c r="J4761" s="115">
        <v>-159</v>
      </c>
      <c r="K4761" s="115">
        <v>277</v>
      </c>
    </row>
    <row r="4762" spans="1:11" x14ac:dyDescent="0.25">
      <c r="A4762" s="115" t="s">
        <v>1239</v>
      </c>
      <c r="B4762" s="115" t="s">
        <v>4612</v>
      </c>
      <c r="D4762" s="115" t="s">
        <v>10894</v>
      </c>
      <c r="E4762" s="115" t="s">
        <v>4613</v>
      </c>
      <c r="F4762" s="115">
        <v>4124</v>
      </c>
      <c r="G4762" s="115">
        <v>0</v>
      </c>
      <c r="H4762" s="115">
        <v>0</v>
      </c>
      <c r="I4762" s="115">
        <v>-161</v>
      </c>
      <c r="J4762" s="115">
        <v>0</v>
      </c>
      <c r="K4762" s="115">
        <v>0</v>
      </c>
    </row>
    <row r="4763" spans="1:11" x14ac:dyDescent="0.25">
      <c r="B4763" s="115" t="s">
        <v>4614</v>
      </c>
      <c r="D4763" s="115" t="s">
        <v>10895</v>
      </c>
      <c r="E4763" s="115" t="s">
        <v>4615</v>
      </c>
      <c r="F4763" s="115">
        <v>0</v>
      </c>
      <c r="G4763" s="115">
        <v>0</v>
      </c>
      <c r="H4763" s="115">
        <v>0</v>
      </c>
      <c r="I4763" s="115">
        <v>0</v>
      </c>
      <c r="J4763" s="115">
        <v>0</v>
      </c>
      <c r="K4763" s="115">
        <v>-37</v>
      </c>
    </row>
    <row r="4764" spans="1:11" x14ac:dyDescent="0.25">
      <c r="B4764" s="115" t="s">
        <v>1241</v>
      </c>
      <c r="C4764" s="115" t="s">
        <v>1239</v>
      </c>
      <c r="D4764" s="115" t="s">
        <v>10896</v>
      </c>
      <c r="E4764" s="115" t="s">
        <v>4616</v>
      </c>
      <c r="F4764" s="115">
        <v>2058</v>
      </c>
      <c r="G4764" s="115">
        <v>0</v>
      </c>
      <c r="H4764" s="115">
        <v>27</v>
      </c>
      <c r="I4764" s="115">
        <v>-131</v>
      </c>
      <c r="J4764" s="115">
        <v>125</v>
      </c>
      <c r="K4764" s="115">
        <v>0</v>
      </c>
    </row>
    <row r="4765" spans="1:11" x14ac:dyDescent="0.25">
      <c r="A4765" s="115">
        <v>-17</v>
      </c>
      <c r="B4765" s="115" t="s">
        <v>4617</v>
      </c>
      <c r="C4765" s="115">
        <v>1</v>
      </c>
      <c r="D4765" s="115" t="s">
        <v>10897</v>
      </c>
      <c r="E4765" s="115" t="s">
        <v>4618</v>
      </c>
      <c r="F4765" s="115">
        <v>16588</v>
      </c>
      <c r="G4765" s="115">
        <v>14056</v>
      </c>
      <c r="H4765" s="115">
        <v>0</v>
      </c>
      <c r="I4765" s="115">
        <v>3876</v>
      </c>
      <c r="J4765" s="115">
        <v>0</v>
      </c>
      <c r="K4765" s="115">
        <v>0</v>
      </c>
    </row>
    <row r="4766" spans="1:11" x14ac:dyDescent="0.25">
      <c r="B4766" s="115" t="s">
        <v>1241</v>
      </c>
      <c r="D4766" s="115" t="s">
        <v>10898</v>
      </c>
      <c r="E4766" s="115" t="s">
        <v>4619</v>
      </c>
      <c r="F4766" s="115">
        <v>0</v>
      </c>
      <c r="G4766" s="115">
        <v>0</v>
      </c>
      <c r="H4766" s="115">
        <v>0</v>
      </c>
      <c r="I4766" s="115">
        <v>8981</v>
      </c>
      <c r="J4766" s="115">
        <v>0</v>
      </c>
      <c r="K4766" s="115">
        <v>7643</v>
      </c>
    </row>
    <row r="4767" spans="1:11" x14ac:dyDescent="0.25">
      <c r="B4767" s="115" t="s">
        <v>1241</v>
      </c>
      <c r="D4767" s="115" t="s">
        <v>10899</v>
      </c>
      <c r="E4767" s="115" t="s">
        <v>4620</v>
      </c>
      <c r="F4767" s="115">
        <v>0</v>
      </c>
      <c r="G4767" s="115">
        <v>-915</v>
      </c>
      <c r="H4767" s="115">
        <v>0</v>
      </c>
      <c r="I4767" s="115">
        <v>-8194</v>
      </c>
      <c r="J4767" s="115">
        <v>3211</v>
      </c>
      <c r="K4767" s="115">
        <v>0</v>
      </c>
    </row>
    <row r="4768" spans="1:11" x14ac:dyDescent="0.25">
      <c r="B4768" s="115" t="s">
        <v>4621</v>
      </c>
      <c r="C4768" s="115" t="s">
        <v>1239</v>
      </c>
      <c r="D4768" s="115" t="s">
        <v>10900</v>
      </c>
      <c r="E4768" s="115" t="s">
        <v>4622</v>
      </c>
      <c r="F4768" s="115">
        <v>-14</v>
      </c>
      <c r="G4768" s="115">
        <v>0</v>
      </c>
      <c r="H4768" s="115">
        <v>0</v>
      </c>
      <c r="I4768" s="115">
        <v>0</v>
      </c>
      <c r="J4768" s="115">
        <v>0</v>
      </c>
      <c r="K4768" s="115">
        <v>-819</v>
      </c>
    </row>
    <row r="4769" spans="1:11" x14ac:dyDescent="0.25">
      <c r="B4769" s="115" t="s">
        <v>4623</v>
      </c>
      <c r="D4769" s="115" t="s">
        <v>10901</v>
      </c>
      <c r="E4769" s="115" t="s">
        <v>4624</v>
      </c>
      <c r="F4769" s="115">
        <v>11</v>
      </c>
      <c r="G4769" s="115">
        <v>-111</v>
      </c>
      <c r="H4769" s="115">
        <v>0</v>
      </c>
      <c r="I4769" s="115">
        <v>-99</v>
      </c>
      <c r="J4769" s="115">
        <v>-131</v>
      </c>
      <c r="K4769" s="115">
        <v>-148</v>
      </c>
    </row>
    <row r="4770" spans="1:11" x14ac:dyDescent="0.25">
      <c r="B4770" s="115" t="s">
        <v>4625</v>
      </c>
      <c r="D4770" s="115" t="s">
        <v>10902</v>
      </c>
      <c r="E4770" s="115" t="s">
        <v>4626</v>
      </c>
      <c r="F4770" s="115">
        <v>0</v>
      </c>
      <c r="G4770" s="115">
        <v>0</v>
      </c>
      <c r="H4770" s="115">
        <v>0</v>
      </c>
      <c r="I4770" s="115">
        <v>0</v>
      </c>
      <c r="J4770" s="115">
        <v>0</v>
      </c>
      <c r="K4770" s="115">
        <v>285</v>
      </c>
    </row>
    <row r="4771" spans="1:11" x14ac:dyDescent="0.25">
      <c r="B4771" s="115" t="s">
        <v>3934</v>
      </c>
      <c r="D4771" s="115" t="s">
        <v>10903</v>
      </c>
      <c r="E4771" s="115" t="s">
        <v>4627</v>
      </c>
      <c r="F4771" s="115">
        <v>0</v>
      </c>
      <c r="G4771" s="115">
        <v>149</v>
      </c>
      <c r="H4771" s="115">
        <v>-1549</v>
      </c>
      <c r="I4771" s="115">
        <v>120</v>
      </c>
      <c r="J4771" s="115">
        <v>104</v>
      </c>
      <c r="K4771" s="115">
        <v>60</v>
      </c>
    </row>
    <row r="4772" spans="1:11" x14ac:dyDescent="0.25">
      <c r="B4772" s="115" t="s">
        <v>4628</v>
      </c>
      <c r="D4772" s="115" t="s">
        <v>10904</v>
      </c>
      <c r="E4772" s="115" t="s">
        <v>4629</v>
      </c>
      <c r="F4772" s="115">
        <v>30</v>
      </c>
      <c r="G4772" s="115">
        <v>0</v>
      </c>
      <c r="H4772" s="115">
        <v>-44</v>
      </c>
      <c r="I4772" s="115">
        <v>62</v>
      </c>
      <c r="J4772" s="115">
        <v>0</v>
      </c>
      <c r="K4772" s="115">
        <v>0</v>
      </c>
    </row>
    <row r="4773" spans="1:11" x14ac:dyDescent="0.25">
      <c r="B4773" s="115" t="s">
        <v>4630</v>
      </c>
      <c r="D4773" s="115" t="s">
        <v>10905</v>
      </c>
      <c r="E4773" s="115" t="s">
        <v>4631</v>
      </c>
      <c r="F4773" s="115">
        <v>-172</v>
      </c>
      <c r="G4773" s="115">
        <v>727</v>
      </c>
      <c r="H4773" s="115">
        <v>29</v>
      </c>
      <c r="I4773" s="115">
        <v>94</v>
      </c>
      <c r="J4773" s="115">
        <v>0</v>
      </c>
      <c r="K4773" s="115">
        <v>0</v>
      </c>
    </row>
    <row r="4774" spans="1:11" x14ac:dyDescent="0.25">
      <c r="B4774" s="115" t="s">
        <v>1241</v>
      </c>
      <c r="D4774" s="115" t="s">
        <v>10906</v>
      </c>
      <c r="E4774" s="115" t="s">
        <v>4632</v>
      </c>
      <c r="F4774" s="115">
        <v>0</v>
      </c>
      <c r="G4774" s="115">
        <v>292</v>
      </c>
      <c r="H4774" s="115">
        <v>49</v>
      </c>
      <c r="I4774" s="115">
        <v>2</v>
      </c>
      <c r="J4774" s="115">
        <v>0</v>
      </c>
      <c r="K4774" s="115">
        <v>124</v>
      </c>
    </row>
    <row r="4775" spans="1:11" x14ac:dyDescent="0.25">
      <c r="A4775" s="115">
        <v>-1</v>
      </c>
      <c r="B4775" s="115" t="s">
        <v>4633</v>
      </c>
      <c r="D4775" s="115" t="s">
        <v>10907</v>
      </c>
      <c r="E4775" s="115" t="s">
        <v>4634</v>
      </c>
      <c r="F4775" s="115">
        <v>564</v>
      </c>
      <c r="G4775" s="115">
        <v>1732</v>
      </c>
      <c r="H4775" s="115">
        <v>667</v>
      </c>
      <c r="I4775" s="115">
        <v>0</v>
      </c>
      <c r="J4775" s="115">
        <v>-11</v>
      </c>
      <c r="K4775" s="115">
        <v>0</v>
      </c>
    </row>
    <row r="4776" spans="1:11" x14ac:dyDescent="0.25">
      <c r="B4776" s="115" t="s">
        <v>4635</v>
      </c>
      <c r="D4776" s="115" t="s">
        <v>10908</v>
      </c>
      <c r="E4776" s="115" t="s">
        <v>4636</v>
      </c>
      <c r="F4776" s="115">
        <v>-96</v>
      </c>
      <c r="G4776" s="115">
        <v>0</v>
      </c>
      <c r="H4776" s="115">
        <v>0</v>
      </c>
      <c r="I4776" s="115">
        <v>-84</v>
      </c>
      <c r="J4776" s="115">
        <v>0</v>
      </c>
      <c r="K4776" s="115">
        <v>366</v>
      </c>
    </row>
    <row r="4777" spans="1:11" x14ac:dyDescent="0.25">
      <c r="B4777" s="115" t="s">
        <v>4637</v>
      </c>
      <c r="D4777" s="115" t="s">
        <v>10909</v>
      </c>
      <c r="E4777" s="115" t="s">
        <v>4638</v>
      </c>
      <c r="F4777" s="115">
        <v>0</v>
      </c>
      <c r="G4777" s="115">
        <v>0</v>
      </c>
      <c r="H4777" s="115">
        <v>0</v>
      </c>
      <c r="I4777" s="115">
        <v>-488</v>
      </c>
      <c r="J4777" s="115">
        <v>0</v>
      </c>
      <c r="K4777" s="115">
        <v>286</v>
      </c>
    </row>
    <row r="4778" spans="1:11" x14ac:dyDescent="0.25">
      <c r="B4778" s="115" t="s">
        <v>4639</v>
      </c>
      <c r="D4778" s="115" t="s">
        <v>10910</v>
      </c>
      <c r="E4778" s="115" t="s">
        <v>4640</v>
      </c>
      <c r="F4778" s="115">
        <v>-1429</v>
      </c>
      <c r="G4778" s="115">
        <v>-180</v>
      </c>
      <c r="H4778" s="115">
        <v>0</v>
      </c>
      <c r="I4778" s="115">
        <v>0</v>
      </c>
      <c r="J4778" s="115">
        <v>0</v>
      </c>
      <c r="K4778" s="115">
        <v>2998</v>
      </c>
    </row>
    <row r="4779" spans="1:11" x14ac:dyDescent="0.25">
      <c r="A4779" s="115">
        <v>2</v>
      </c>
      <c r="B4779" s="115" t="s">
        <v>4641</v>
      </c>
      <c r="D4779" s="115" t="s">
        <v>10911</v>
      </c>
      <c r="E4779" s="115" t="s">
        <v>4642</v>
      </c>
      <c r="F4779" s="115">
        <v>0</v>
      </c>
      <c r="G4779" s="115">
        <v>51</v>
      </c>
      <c r="H4779" s="115">
        <v>0</v>
      </c>
      <c r="I4779" s="115">
        <v>0</v>
      </c>
      <c r="J4779" s="115">
        <v>37</v>
      </c>
      <c r="K4779" s="115">
        <v>0</v>
      </c>
    </row>
    <row r="4780" spans="1:11" x14ac:dyDescent="0.25">
      <c r="B4780" s="115" t="s">
        <v>4643</v>
      </c>
      <c r="D4780" s="115" t="s">
        <v>10912</v>
      </c>
      <c r="E4780" s="115" t="s">
        <v>1242</v>
      </c>
      <c r="F4780" s="115">
        <v>0</v>
      </c>
      <c r="G4780" s="115">
        <v>0</v>
      </c>
      <c r="H4780" s="115">
        <v>0</v>
      </c>
      <c r="I4780" s="115">
        <v>0</v>
      </c>
      <c r="J4780" s="115">
        <v>0</v>
      </c>
      <c r="K4780" s="115">
        <v>0</v>
      </c>
    </row>
    <row r="4781" spans="1:11" x14ac:dyDescent="0.25">
      <c r="B4781" s="115" t="s">
        <v>4644</v>
      </c>
      <c r="D4781" s="115" t="s">
        <v>10913</v>
      </c>
      <c r="E4781" s="115" t="s">
        <v>4645</v>
      </c>
      <c r="F4781" s="115">
        <v>-112</v>
      </c>
      <c r="G4781" s="115">
        <v>75</v>
      </c>
      <c r="H4781" s="115">
        <v>0</v>
      </c>
      <c r="I4781" s="115">
        <v>-160</v>
      </c>
      <c r="J4781" s="115">
        <v>571</v>
      </c>
      <c r="K4781" s="115">
        <v>0</v>
      </c>
    </row>
    <row r="4782" spans="1:11" x14ac:dyDescent="0.25">
      <c r="B4782" s="115" t="s">
        <v>1241</v>
      </c>
      <c r="D4782" s="115" t="s">
        <v>10914</v>
      </c>
      <c r="E4782" s="115" t="s">
        <v>4646</v>
      </c>
      <c r="F4782" s="115">
        <v>1016</v>
      </c>
      <c r="G4782" s="115">
        <v>-583</v>
      </c>
      <c r="H4782" s="115">
        <v>-423</v>
      </c>
      <c r="I4782" s="115">
        <v>-331</v>
      </c>
      <c r="J4782" s="115">
        <v>41</v>
      </c>
      <c r="K4782" s="115">
        <v>-710</v>
      </c>
    </row>
    <row r="4783" spans="1:11" x14ac:dyDescent="0.25">
      <c r="B4783" s="115" t="s">
        <v>1241</v>
      </c>
      <c r="D4783" s="115" t="s">
        <v>10915</v>
      </c>
      <c r="E4783" s="115" t="s">
        <v>4647</v>
      </c>
      <c r="F4783" s="115">
        <v>-476</v>
      </c>
      <c r="G4783" s="115">
        <v>0</v>
      </c>
      <c r="H4783" s="115">
        <v>-269</v>
      </c>
      <c r="I4783" s="115">
        <v>0</v>
      </c>
      <c r="J4783" s="115">
        <v>0</v>
      </c>
      <c r="K4783" s="115">
        <v>-811</v>
      </c>
    </row>
    <row r="4784" spans="1:11" x14ac:dyDescent="0.25">
      <c r="B4784" s="115" t="s">
        <v>4648</v>
      </c>
      <c r="D4784" s="115" t="s">
        <v>10916</v>
      </c>
      <c r="E4784" s="115" t="s">
        <v>4649</v>
      </c>
      <c r="F4784" s="115">
        <v>0</v>
      </c>
      <c r="G4784" s="115">
        <v>50</v>
      </c>
      <c r="H4784" s="115">
        <v>0</v>
      </c>
      <c r="I4784" s="115">
        <v>16</v>
      </c>
      <c r="J4784" s="115">
        <v>-261</v>
      </c>
      <c r="K4784" s="115">
        <v>284</v>
      </c>
    </row>
    <row r="4785" spans="1:11" x14ac:dyDescent="0.25">
      <c r="A4785" s="115">
        <v>-1</v>
      </c>
      <c r="B4785" s="115" t="s">
        <v>4650</v>
      </c>
      <c r="D4785" s="115" t="s">
        <v>10917</v>
      </c>
      <c r="E4785" s="115" t="s">
        <v>4651</v>
      </c>
      <c r="F4785" s="115">
        <v>-2681</v>
      </c>
      <c r="G4785" s="115">
        <v>-4094</v>
      </c>
      <c r="H4785" s="115">
        <v>-1903</v>
      </c>
      <c r="I4785" s="115">
        <v>0</v>
      </c>
      <c r="J4785" s="115">
        <v>0</v>
      </c>
      <c r="K4785" s="115">
        <v>0</v>
      </c>
    </row>
    <row r="4786" spans="1:11" x14ac:dyDescent="0.25">
      <c r="B4786" s="115" t="s">
        <v>1241</v>
      </c>
      <c r="D4786" s="115" t="s">
        <v>10918</v>
      </c>
      <c r="E4786" s="115" t="s">
        <v>4652</v>
      </c>
      <c r="F4786" s="115">
        <v>291</v>
      </c>
      <c r="G4786" s="115">
        <v>-66</v>
      </c>
      <c r="H4786" s="115">
        <v>416</v>
      </c>
      <c r="I4786" s="115">
        <v>277</v>
      </c>
      <c r="J4786" s="115">
        <v>194</v>
      </c>
      <c r="K4786" s="115">
        <v>-695</v>
      </c>
    </row>
    <row r="4787" spans="1:11" x14ac:dyDescent="0.25">
      <c r="B4787" s="115" t="s">
        <v>1241</v>
      </c>
      <c r="D4787" s="115" t="s">
        <v>10919</v>
      </c>
      <c r="E4787" s="115" t="s">
        <v>4653</v>
      </c>
      <c r="F4787" s="115">
        <v>-388</v>
      </c>
      <c r="G4787" s="115">
        <v>1767</v>
      </c>
      <c r="H4787" s="115">
        <v>0</v>
      </c>
      <c r="I4787" s="115">
        <v>0</v>
      </c>
      <c r="J4787" s="115">
        <v>0</v>
      </c>
      <c r="K4787" s="115">
        <v>0</v>
      </c>
    </row>
    <row r="4788" spans="1:11" x14ac:dyDescent="0.25">
      <c r="B4788" s="115" t="s">
        <v>4654</v>
      </c>
      <c r="C4788" s="115" t="s">
        <v>1239</v>
      </c>
      <c r="D4788" s="115" t="s">
        <v>10920</v>
      </c>
      <c r="E4788" s="115" t="s">
        <v>1242</v>
      </c>
      <c r="F4788" s="115">
        <v>0</v>
      </c>
      <c r="G4788" s="115">
        <v>0</v>
      </c>
      <c r="H4788" s="115">
        <v>0</v>
      </c>
      <c r="I4788" s="115">
        <v>0</v>
      </c>
      <c r="J4788" s="115">
        <v>0</v>
      </c>
      <c r="K4788" s="115">
        <v>0</v>
      </c>
    </row>
    <row r="4789" spans="1:11" x14ac:dyDescent="0.25">
      <c r="B4789" s="115" t="s">
        <v>1241</v>
      </c>
      <c r="D4789" s="115" t="s">
        <v>10921</v>
      </c>
      <c r="E4789" s="115" t="s">
        <v>4655</v>
      </c>
      <c r="F4789" s="115">
        <v>0</v>
      </c>
      <c r="G4789" s="115">
        <v>0</v>
      </c>
      <c r="H4789" s="115">
        <v>0</v>
      </c>
      <c r="I4789" s="115">
        <v>0</v>
      </c>
      <c r="J4789" s="115">
        <v>0</v>
      </c>
      <c r="K4789" s="115">
        <v>323</v>
      </c>
    </row>
    <row r="4790" spans="1:11" x14ac:dyDescent="0.25">
      <c r="B4790" s="115" t="s">
        <v>1241</v>
      </c>
      <c r="D4790" s="115" t="s">
        <v>10922</v>
      </c>
      <c r="E4790" s="115" t="s">
        <v>4656</v>
      </c>
      <c r="F4790" s="115">
        <v>0</v>
      </c>
      <c r="G4790" s="115">
        <v>-159</v>
      </c>
      <c r="H4790" s="115">
        <v>3998</v>
      </c>
      <c r="I4790" s="115">
        <v>86964</v>
      </c>
      <c r="J4790" s="115">
        <v>4317</v>
      </c>
      <c r="K4790" s="115">
        <v>4331</v>
      </c>
    </row>
    <row r="4791" spans="1:11" x14ac:dyDescent="0.25">
      <c r="A4791" s="115">
        <v>4</v>
      </c>
      <c r="B4791" s="115" t="s">
        <v>4657</v>
      </c>
      <c r="C4791" s="115" t="s">
        <v>1239</v>
      </c>
      <c r="D4791" s="115" t="s">
        <v>10923</v>
      </c>
      <c r="E4791" s="115" t="s">
        <v>4658</v>
      </c>
      <c r="F4791" s="115">
        <v>243</v>
      </c>
      <c r="G4791" s="115">
        <v>9008</v>
      </c>
      <c r="H4791" s="115">
        <v>-474</v>
      </c>
      <c r="I4791" s="115">
        <v>-2655</v>
      </c>
      <c r="J4791" s="115">
        <v>160</v>
      </c>
      <c r="K4791" s="115">
        <v>-432</v>
      </c>
    </row>
    <row r="4792" spans="1:11" x14ac:dyDescent="0.25">
      <c r="A4792" s="115">
        <v>2</v>
      </c>
      <c r="B4792" s="115" t="s">
        <v>4514</v>
      </c>
      <c r="D4792" s="115" t="s">
        <v>10924</v>
      </c>
      <c r="E4792" s="115" t="s">
        <v>4659</v>
      </c>
      <c r="F4792" s="115">
        <v>0</v>
      </c>
      <c r="G4792" s="115">
        <v>0</v>
      </c>
      <c r="H4792" s="115">
        <v>0</v>
      </c>
      <c r="I4792" s="115">
        <v>-528</v>
      </c>
      <c r="J4792" s="115">
        <v>906</v>
      </c>
      <c r="K4792" s="115">
        <v>0</v>
      </c>
    </row>
    <row r="4793" spans="1:11" x14ac:dyDescent="0.25">
      <c r="B4793" s="115" t="s">
        <v>1241</v>
      </c>
      <c r="D4793" s="115" t="s">
        <v>10925</v>
      </c>
      <c r="E4793" s="115" t="s">
        <v>4660</v>
      </c>
      <c r="F4793" s="115">
        <v>0</v>
      </c>
      <c r="G4793" s="115">
        <v>19</v>
      </c>
      <c r="H4793" s="115">
        <v>0</v>
      </c>
      <c r="I4793" s="115">
        <v>0</v>
      </c>
      <c r="J4793" s="115">
        <v>416</v>
      </c>
      <c r="K4793" s="115">
        <v>0</v>
      </c>
    </row>
    <row r="4794" spans="1:11" x14ac:dyDescent="0.25">
      <c r="A4794" s="115" t="s">
        <v>1239</v>
      </c>
      <c r="B4794" s="115" t="s">
        <v>4661</v>
      </c>
      <c r="D4794" s="115" t="s">
        <v>10926</v>
      </c>
      <c r="E4794" s="115" t="s">
        <v>4662</v>
      </c>
      <c r="F4794" s="115">
        <v>109</v>
      </c>
      <c r="G4794" s="115">
        <v>0</v>
      </c>
      <c r="H4794" s="115">
        <v>-1278</v>
      </c>
      <c r="I4794" s="115">
        <v>-610</v>
      </c>
      <c r="J4794" s="115">
        <v>419</v>
      </c>
      <c r="K4794" s="115">
        <v>869</v>
      </c>
    </row>
    <row r="4795" spans="1:11" x14ac:dyDescent="0.25">
      <c r="A4795" s="115">
        <v>1</v>
      </c>
      <c r="B4795" s="115" t="s">
        <v>4663</v>
      </c>
      <c r="D4795" s="115" t="s">
        <v>10927</v>
      </c>
      <c r="E4795" s="115" t="s">
        <v>4664</v>
      </c>
      <c r="F4795" s="115">
        <v>0</v>
      </c>
      <c r="G4795" s="115">
        <v>0</v>
      </c>
      <c r="H4795" s="115">
        <v>0</v>
      </c>
      <c r="I4795" s="115">
        <v>0</v>
      </c>
      <c r="J4795" s="115">
        <v>0</v>
      </c>
      <c r="K4795" s="115">
        <v>-3092</v>
      </c>
    </row>
    <row r="4796" spans="1:11" x14ac:dyDescent="0.25">
      <c r="B4796" s="115" t="s">
        <v>1241</v>
      </c>
      <c r="D4796" s="115" t="s">
        <v>10928</v>
      </c>
      <c r="E4796" s="115" t="s">
        <v>4665</v>
      </c>
      <c r="F4796" s="115">
        <v>0</v>
      </c>
      <c r="G4796" s="115">
        <v>866</v>
      </c>
      <c r="H4796" s="115">
        <v>0</v>
      </c>
      <c r="I4796" s="115">
        <v>0</v>
      </c>
      <c r="J4796" s="115">
        <v>0</v>
      </c>
      <c r="K4796" s="115">
        <v>0</v>
      </c>
    </row>
    <row r="4797" spans="1:11" x14ac:dyDescent="0.25">
      <c r="B4797" s="115" t="s">
        <v>4666</v>
      </c>
      <c r="D4797" s="115" t="s">
        <v>10929</v>
      </c>
      <c r="E4797" s="115" t="s">
        <v>4667</v>
      </c>
      <c r="F4797" s="115">
        <v>538</v>
      </c>
      <c r="G4797" s="115">
        <v>0</v>
      </c>
      <c r="H4797" s="115">
        <v>0</v>
      </c>
      <c r="I4797" s="115">
        <v>-8916</v>
      </c>
      <c r="J4797" s="115">
        <v>-8069</v>
      </c>
      <c r="K4797" s="115">
        <v>0</v>
      </c>
    </row>
    <row r="4798" spans="1:11" x14ac:dyDescent="0.25">
      <c r="A4798" s="115">
        <v>7</v>
      </c>
      <c r="B4798" s="115" t="s">
        <v>4668</v>
      </c>
      <c r="D4798" s="115" t="s">
        <v>10930</v>
      </c>
      <c r="E4798" s="115" t="s">
        <v>4669</v>
      </c>
      <c r="F4798" s="115">
        <v>0</v>
      </c>
      <c r="G4798" s="115">
        <v>-3109</v>
      </c>
      <c r="H4798" s="115">
        <v>434</v>
      </c>
      <c r="I4798" s="115">
        <v>-246</v>
      </c>
      <c r="J4798" s="115">
        <v>0</v>
      </c>
      <c r="K4798" s="115">
        <v>0</v>
      </c>
    </row>
    <row r="4799" spans="1:11" x14ac:dyDescent="0.25">
      <c r="A4799" s="115" t="s">
        <v>1239</v>
      </c>
      <c r="B4799" s="115" t="s">
        <v>4670</v>
      </c>
      <c r="D4799" s="115" t="s">
        <v>10931</v>
      </c>
      <c r="E4799" s="115" t="s">
        <v>4671</v>
      </c>
      <c r="F4799" s="115">
        <v>5748</v>
      </c>
      <c r="G4799" s="115">
        <v>3367</v>
      </c>
      <c r="H4799" s="115">
        <v>6648</v>
      </c>
      <c r="I4799" s="115">
        <v>-7593</v>
      </c>
      <c r="J4799" s="115">
        <v>2484</v>
      </c>
      <c r="K4799" s="115">
        <v>8021</v>
      </c>
    </row>
    <row r="4800" spans="1:11" x14ac:dyDescent="0.25">
      <c r="B4800" s="115" t="s">
        <v>1241</v>
      </c>
      <c r="D4800" s="115" t="s">
        <v>10932</v>
      </c>
      <c r="E4800" s="115" t="s">
        <v>4672</v>
      </c>
      <c r="F4800" s="115">
        <v>0</v>
      </c>
      <c r="G4800" s="115">
        <v>11324</v>
      </c>
      <c r="H4800" s="115">
        <v>0</v>
      </c>
      <c r="I4800" s="115">
        <v>-18630</v>
      </c>
      <c r="J4800" s="115">
        <v>1931</v>
      </c>
      <c r="K4800" s="115">
        <v>-4373</v>
      </c>
    </row>
    <row r="4801" spans="1:11" x14ac:dyDescent="0.25">
      <c r="B4801" s="115" t="s">
        <v>4510</v>
      </c>
      <c r="C4801" s="115" t="s">
        <v>1239</v>
      </c>
      <c r="D4801" s="115" t="s">
        <v>10933</v>
      </c>
      <c r="E4801" s="115" t="s">
        <v>4673</v>
      </c>
      <c r="F4801" s="115">
        <v>-247</v>
      </c>
      <c r="G4801" s="115">
        <v>-1252</v>
      </c>
      <c r="H4801" s="115">
        <v>0</v>
      </c>
      <c r="I4801" s="115">
        <v>4272</v>
      </c>
      <c r="J4801" s="115">
        <v>7115</v>
      </c>
      <c r="K4801" s="115">
        <v>130</v>
      </c>
    </row>
    <row r="4802" spans="1:11" x14ac:dyDescent="0.25">
      <c r="B4802" s="115" t="s">
        <v>4674</v>
      </c>
      <c r="D4802" s="115" t="s">
        <v>10934</v>
      </c>
      <c r="E4802" s="115" t="s">
        <v>4675</v>
      </c>
      <c r="F4802" s="115">
        <v>0</v>
      </c>
      <c r="G4802" s="115">
        <v>0</v>
      </c>
      <c r="H4802" s="115">
        <v>0</v>
      </c>
      <c r="I4802" s="115">
        <v>228</v>
      </c>
      <c r="J4802" s="115">
        <v>178</v>
      </c>
      <c r="K4802" s="115">
        <v>0</v>
      </c>
    </row>
    <row r="4803" spans="1:11" x14ac:dyDescent="0.25">
      <c r="B4803" s="115">
        <f>-79   -334</f>
        <v>-413</v>
      </c>
      <c r="D4803" s="115" t="s">
        <v>10935</v>
      </c>
      <c r="E4803" s="115" t="s">
        <v>1838</v>
      </c>
      <c r="F4803" s="115">
        <v>0</v>
      </c>
      <c r="G4803" s="115">
        <v>0</v>
      </c>
      <c r="H4803" s="115">
        <v>0</v>
      </c>
      <c r="I4803" s="115">
        <v>0</v>
      </c>
      <c r="J4803" s="115">
        <v>0</v>
      </c>
      <c r="K4803" s="115">
        <v>-355</v>
      </c>
    </row>
    <row r="4804" spans="1:11" x14ac:dyDescent="0.25">
      <c r="B4804" s="115" t="s">
        <v>3656</v>
      </c>
      <c r="D4804" s="115" t="s">
        <v>10936</v>
      </c>
      <c r="E4804" s="115" t="s">
        <v>4676</v>
      </c>
      <c r="F4804" s="115">
        <v>0</v>
      </c>
      <c r="G4804" s="115">
        <v>92</v>
      </c>
      <c r="H4804" s="115">
        <v>-5362</v>
      </c>
      <c r="I4804" s="115">
        <v>65</v>
      </c>
      <c r="J4804" s="115">
        <v>-255</v>
      </c>
      <c r="K4804" s="115">
        <v>-1400</v>
      </c>
    </row>
    <row r="4805" spans="1:11" x14ac:dyDescent="0.25">
      <c r="A4805" s="115" t="s">
        <v>1239</v>
      </c>
      <c r="B4805" s="115" t="s">
        <v>4677</v>
      </c>
      <c r="D4805" s="115" t="s">
        <v>10937</v>
      </c>
      <c r="E4805" s="115" t="s">
        <v>4678</v>
      </c>
      <c r="F4805" s="115">
        <v>130</v>
      </c>
      <c r="G4805" s="115">
        <v>0</v>
      </c>
      <c r="H4805" s="115">
        <v>0</v>
      </c>
      <c r="I4805" s="115">
        <v>790</v>
      </c>
      <c r="J4805" s="115">
        <v>70</v>
      </c>
      <c r="K4805" s="115">
        <v>0</v>
      </c>
    </row>
    <row r="4806" spans="1:11" x14ac:dyDescent="0.25">
      <c r="A4806" s="115" t="s">
        <v>1239</v>
      </c>
      <c r="B4806" s="115" t="s">
        <v>4391</v>
      </c>
      <c r="D4806" s="115" t="s">
        <v>10938</v>
      </c>
      <c r="E4806" s="115" t="s">
        <v>4679</v>
      </c>
      <c r="F4806" s="115">
        <v>0</v>
      </c>
      <c r="G4806" s="115">
        <v>-235</v>
      </c>
      <c r="H4806" s="115">
        <v>83</v>
      </c>
      <c r="I4806" s="115">
        <v>-271</v>
      </c>
      <c r="J4806" s="115">
        <v>0</v>
      </c>
      <c r="K4806" s="115">
        <v>0</v>
      </c>
    </row>
    <row r="4807" spans="1:11" x14ac:dyDescent="0.25">
      <c r="B4807" s="115" t="s">
        <v>1241</v>
      </c>
      <c r="D4807" s="115" t="s">
        <v>10939</v>
      </c>
      <c r="E4807" s="115" t="s">
        <v>4680</v>
      </c>
      <c r="F4807" s="115">
        <v>0</v>
      </c>
      <c r="G4807" s="115">
        <v>-1507</v>
      </c>
      <c r="H4807" s="115">
        <v>154</v>
      </c>
      <c r="I4807" s="115">
        <v>303</v>
      </c>
      <c r="J4807" s="115">
        <v>0</v>
      </c>
      <c r="K4807" s="115">
        <v>79</v>
      </c>
    </row>
    <row r="4808" spans="1:11" x14ac:dyDescent="0.25">
      <c r="A4808" s="115">
        <v>-8</v>
      </c>
      <c r="B4808" s="115" t="s">
        <v>4681</v>
      </c>
      <c r="D4808" s="115" t="s">
        <v>10940</v>
      </c>
      <c r="E4808" s="115" t="s">
        <v>4682</v>
      </c>
      <c r="F4808" s="115">
        <v>0</v>
      </c>
      <c r="G4808" s="115">
        <v>5623</v>
      </c>
      <c r="H4808" s="115">
        <v>7914</v>
      </c>
      <c r="I4808" s="115">
        <v>692</v>
      </c>
      <c r="J4808" s="115">
        <v>214</v>
      </c>
      <c r="K4808" s="115">
        <v>174</v>
      </c>
    </row>
    <row r="4809" spans="1:11" x14ac:dyDescent="0.25">
      <c r="B4809" s="115" t="s">
        <v>4683</v>
      </c>
      <c r="D4809" s="115" t="s">
        <v>10941</v>
      </c>
      <c r="E4809" s="115" t="s">
        <v>4684</v>
      </c>
      <c r="F4809" s="115">
        <v>-142</v>
      </c>
      <c r="G4809" s="115">
        <v>0</v>
      </c>
      <c r="H4809" s="115">
        <v>-113</v>
      </c>
      <c r="I4809" s="115">
        <v>0</v>
      </c>
      <c r="J4809" s="115">
        <v>-55</v>
      </c>
      <c r="K4809" s="115">
        <v>0</v>
      </c>
    </row>
    <row r="4810" spans="1:11" x14ac:dyDescent="0.25">
      <c r="B4810" s="115" t="s">
        <v>1241</v>
      </c>
      <c r="D4810" s="115" t="s">
        <v>10942</v>
      </c>
      <c r="E4810" s="115" t="s">
        <v>4685</v>
      </c>
      <c r="F4810" s="115">
        <v>0</v>
      </c>
      <c r="G4810" s="115">
        <v>0</v>
      </c>
      <c r="H4810" s="115">
        <v>0</v>
      </c>
      <c r="I4810" s="115">
        <v>176</v>
      </c>
      <c r="J4810" s="115">
        <v>0</v>
      </c>
      <c r="K4810" s="115">
        <v>54</v>
      </c>
    </row>
    <row r="4811" spans="1:11" x14ac:dyDescent="0.25">
      <c r="B4811" s="115" t="s">
        <v>4686</v>
      </c>
      <c r="D4811" s="115" t="s">
        <v>10943</v>
      </c>
      <c r="E4811" s="115" t="s">
        <v>1242</v>
      </c>
      <c r="F4811" s="115">
        <v>4231</v>
      </c>
      <c r="G4811" s="115">
        <v>0</v>
      </c>
      <c r="H4811" s="115">
        <v>0</v>
      </c>
      <c r="I4811" s="115">
        <v>0</v>
      </c>
      <c r="J4811" s="115">
        <v>0</v>
      </c>
      <c r="K4811" s="115">
        <v>0</v>
      </c>
    </row>
    <row r="4812" spans="1:11" x14ac:dyDescent="0.25">
      <c r="A4812" s="115">
        <v>10</v>
      </c>
      <c r="B4812" s="115" t="s">
        <v>4687</v>
      </c>
      <c r="C4812" s="115" t="s">
        <v>1239</v>
      </c>
      <c r="D4812" s="115" t="s">
        <v>10944</v>
      </c>
      <c r="E4812" s="115" t="s">
        <v>4688</v>
      </c>
      <c r="F4812" s="115">
        <v>-515</v>
      </c>
      <c r="G4812" s="115">
        <v>-3982</v>
      </c>
      <c r="H4812" s="115">
        <v>0</v>
      </c>
      <c r="I4812" s="115">
        <v>0</v>
      </c>
      <c r="J4812" s="115">
        <v>0</v>
      </c>
      <c r="K4812" s="115">
        <v>0</v>
      </c>
    </row>
    <row r="4813" spans="1:11" x14ac:dyDescent="0.25">
      <c r="B4813" s="115" t="s">
        <v>4689</v>
      </c>
      <c r="D4813" s="115" t="s">
        <v>10945</v>
      </c>
      <c r="E4813" s="115" t="s">
        <v>4690</v>
      </c>
      <c r="F4813" s="115">
        <v>0</v>
      </c>
      <c r="G4813" s="115">
        <v>-3212</v>
      </c>
      <c r="H4813" s="115">
        <v>330</v>
      </c>
      <c r="I4813" s="115">
        <v>0</v>
      </c>
      <c r="J4813" s="115">
        <v>0</v>
      </c>
      <c r="K4813" s="115">
        <v>0</v>
      </c>
    </row>
    <row r="4814" spans="1:11" x14ac:dyDescent="0.25">
      <c r="B4814" s="115" t="s">
        <v>4691</v>
      </c>
      <c r="D4814" s="115" t="s">
        <v>10946</v>
      </c>
      <c r="E4814" s="115">
        <f>-274  -5011   -967  -1636   -128</f>
        <v>-8016</v>
      </c>
      <c r="F4814" s="115">
        <v>-1006</v>
      </c>
      <c r="G4814" s="115">
        <v>-274</v>
      </c>
      <c r="H4814" s="115">
        <v>-5011</v>
      </c>
      <c r="I4814" s="115">
        <v>-967</v>
      </c>
      <c r="J4814" s="115">
        <v>-1636</v>
      </c>
      <c r="K4814" s="115">
        <v>-128</v>
      </c>
    </row>
    <row r="4815" spans="1:11" x14ac:dyDescent="0.25">
      <c r="A4815" s="115">
        <v>1</v>
      </c>
      <c r="B4815" s="115" t="s">
        <v>4692</v>
      </c>
      <c r="C4815" s="115" t="s">
        <v>1239</v>
      </c>
      <c r="D4815" s="115" t="s">
        <v>10947</v>
      </c>
      <c r="E4815" s="115" t="s">
        <v>1242</v>
      </c>
      <c r="F4815" s="115">
        <v>0</v>
      </c>
      <c r="G4815" s="115">
        <v>0</v>
      </c>
      <c r="H4815" s="115">
        <v>0</v>
      </c>
      <c r="I4815" s="115">
        <v>0</v>
      </c>
      <c r="J4815" s="115">
        <v>0</v>
      </c>
      <c r="K4815" s="115">
        <v>0</v>
      </c>
    </row>
    <row r="4816" spans="1:11" x14ac:dyDescent="0.25">
      <c r="B4816" s="115" t="s">
        <v>4693</v>
      </c>
      <c r="C4816" s="115" t="s">
        <v>1239</v>
      </c>
      <c r="D4816" s="115" t="s">
        <v>10948</v>
      </c>
      <c r="E4816" s="115" t="s">
        <v>4694</v>
      </c>
      <c r="F4816" s="115">
        <v>-4058</v>
      </c>
      <c r="G4816" s="115">
        <v>3160</v>
      </c>
      <c r="H4816" s="115">
        <v>0</v>
      </c>
      <c r="I4816" s="115">
        <v>0</v>
      </c>
      <c r="J4816" s="115">
        <v>-410</v>
      </c>
      <c r="K4816" s="115">
        <v>0</v>
      </c>
    </row>
    <row r="4817" spans="1:11" x14ac:dyDescent="0.25">
      <c r="A4817" s="115">
        <v>-1</v>
      </c>
      <c r="B4817" s="115" t="s">
        <v>4695</v>
      </c>
      <c r="D4817" s="115" t="s">
        <v>10949</v>
      </c>
      <c r="E4817" s="115" t="s">
        <v>4696</v>
      </c>
      <c r="F4817" s="115">
        <v>0</v>
      </c>
      <c r="G4817" s="115">
        <v>0</v>
      </c>
      <c r="H4817" s="115">
        <v>6176</v>
      </c>
      <c r="I4817" s="115">
        <v>0</v>
      </c>
      <c r="J4817" s="115">
        <v>-13315</v>
      </c>
      <c r="K4817" s="115">
        <v>-22065</v>
      </c>
    </row>
    <row r="4818" spans="1:11" x14ac:dyDescent="0.25">
      <c r="B4818" s="115" t="s">
        <v>1241</v>
      </c>
      <c r="D4818" s="115" t="s">
        <v>8710</v>
      </c>
      <c r="E4818" s="115" t="s">
        <v>1242</v>
      </c>
      <c r="F4818" s="115">
        <v>0</v>
      </c>
      <c r="G4818" s="115">
        <v>0</v>
      </c>
      <c r="H4818" s="115">
        <v>0</v>
      </c>
      <c r="I4818" s="115">
        <v>0</v>
      </c>
      <c r="J4818" s="115">
        <v>0</v>
      </c>
      <c r="K4818" s="115">
        <v>0</v>
      </c>
    </row>
    <row r="4819" spans="1:11" x14ac:dyDescent="0.25">
      <c r="B4819" s="115" t="s">
        <v>1241</v>
      </c>
      <c r="D4819" s="115" t="s">
        <v>10950</v>
      </c>
      <c r="E4819" s="115" t="s">
        <v>4697</v>
      </c>
      <c r="F4819" s="115">
        <v>0</v>
      </c>
      <c r="G4819" s="115">
        <v>2614</v>
      </c>
      <c r="H4819" s="115">
        <v>0</v>
      </c>
      <c r="I4819" s="115">
        <v>0</v>
      </c>
      <c r="J4819" s="115">
        <v>0</v>
      </c>
      <c r="K4819" s="115">
        <v>0</v>
      </c>
    </row>
    <row r="4820" spans="1:11" x14ac:dyDescent="0.25">
      <c r="B4820" s="115" t="s">
        <v>4081</v>
      </c>
      <c r="D4820" s="115" t="s">
        <v>10951</v>
      </c>
      <c r="E4820" s="115" t="s">
        <v>4698</v>
      </c>
      <c r="F4820" s="115">
        <v>55295</v>
      </c>
      <c r="G4820" s="115">
        <v>18527</v>
      </c>
      <c r="H4820" s="115">
        <v>19572</v>
      </c>
      <c r="I4820" s="115">
        <v>17482</v>
      </c>
      <c r="J4820" s="115">
        <v>-4316</v>
      </c>
      <c r="K4820" s="115">
        <v>-257</v>
      </c>
    </row>
    <row r="4821" spans="1:11" x14ac:dyDescent="0.25">
      <c r="A4821" s="115">
        <v>1</v>
      </c>
      <c r="B4821" s="115" t="s">
        <v>4699</v>
      </c>
      <c r="D4821" s="115" t="s">
        <v>10952</v>
      </c>
      <c r="E4821" s="115" t="s">
        <v>4700</v>
      </c>
      <c r="F4821" s="115">
        <v>-2186</v>
      </c>
      <c r="G4821" s="115">
        <v>623</v>
      </c>
      <c r="H4821" s="115">
        <v>-455</v>
      </c>
      <c r="I4821" s="115">
        <v>310</v>
      </c>
      <c r="J4821" s="115">
        <v>0</v>
      </c>
      <c r="K4821" s="115">
        <v>0</v>
      </c>
    </row>
    <row r="4822" spans="1:11" x14ac:dyDescent="0.25">
      <c r="B4822" s="115" t="s">
        <v>4701</v>
      </c>
      <c r="D4822" s="115" t="s">
        <v>10953</v>
      </c>
      <c r="E4822" s="115" t="s">
        <v>4702</v>
      </c>
      <c r="F4822" s="115">
        <v>-319</v>
      </c>
      <c r="G4822" s="115">
        <v>276</v>
      </c>
      <c r="H4822" s="115">
        <v>0</v>
      </c>
      <c r="I4822" s="115">
        <v>0</v>
      </c>
      <c r="J4822" s="115">
        <v>0</v>
      </c>
      <c r="K4822" s="115">
        <v>0</v>
      </c>
    </row>
    <row r="4823" spans="1:11" x14ac:dyDescent="0.25">
      <c r="B4823" s="115" t="s">
        <v>1241</v>
      </c>
      <c r="D4823" s="115" t="s">
        <v>10954</v>
      </c>
      <c r="E4823" s="115" t="s">
        <v>4703</v>
      </c>
      <c r="F4823" s="115">
        <v>0</v>
      </c>
      <c r="G4823" s="115">
        <v>583</v>
      </c>
      <c r="H4823" s="115">
        <v>0</v>
      </c>
      <c r="I4823" s="115">
        <v>-540</v>
      </c>
      <c r="J4823" s="115">
        <v>0</v>
      </c>
      <c r="K4823" s="115">
        <v>534</v>
      </c>
    </row>
    <row r="4824" spans="1:11" x14ac:dyDescent="0.25">
      <c r="B4824" s="115" t="s">
        <v>4704</v>
      </c>
      <c r="D4824" s="115" t="s">
        <v>10955</v>
      </c>
      <c r="E4824" s="115" t="s">
        <v>4705</v>
      </c>
      <c r="F4824" s="115">
        <v>607</v>
      </c>
      <c r="G4824" s="115">
        <v>558</v>
      </c>
      <c r="H4824" s="115">
        <v>-1732</v>
      </c>
      <c r="I4824" s="115">
        <v>-600</v>
      </c>
      <c r="J4824" s="115">
        <v>296</v>
      </c>
      <c r="K4824" s="115">
        <v>0</v>
      </c>
    </row>
    <row r="4825" spans="1:11" x14ac:dyDescent="0.25">
      <c r="B4825" s="115" t="s">
        <v>4706</v>
      </c>
      <c r="D4825" s="115" t="s">
        <v>10956</v>
      </c>
      <c r="E4825" s="115" t="s">
        <v>4707</v>
      </c>
      <c r="F4825" s="115">
        <v>0</v>
      </c>
      <c r="G4825" s="115">
        <v>0</v>
      </c>
      <c r="H4825" s="115">
        <v>1033</v>
      </c>
      <c r="I4825" s="115">
        <v>0</v>
      </c>
      <c r="J4825" s="115">
        <v>0</v>
      </c>
      <c r="K4825" s="115">
        <v>0</v>
      </c>
    </row>
    <row r="4826" spans="1:11" x14ac:dyDescent="0.25">
      <c r="B4826" s="115" t="s">
        <v>4708</v>
      </c>
      <c r="D4826" s="115" t="s">
        <v>10957</v>
      </c>
      <c r="E4826" s="115" t="s">
        <v>4709</v>
      </c>
      <c r="F4826" s="115">
        <v>0</v>
      </c>
      <c r="G4826" s="115">
        <v>0</v>
      </c>
      <c r="H4826" s="115">
        <v>0</v>
      </c>
      <c r="I4826" s="115">
        <v>0</v>
      </c>
      <c r="J4826" s="115">
        <v>329</v>
      </c>
      <c r="K4826" s="115">
        <v>0</v>
      </c>
    </row>
    <row r="4827" spans="1:11" x14ac:dyDescent="0.25">
      <c r="A4827" s="115">
        <v>-1</v>
      </c>
      <c r="B4827" s="115" t="s">
        <v>4710</v>
      </c>
      <c r="D4827" s="115" t="s">
        <v>10958</v>
      </c>
      <c r="E4827" s="115" t="s">
        <v>4711</v>
      </c>
      <c r="F4827" s="115">
        <v>145</v>
      </c>
      <c r="G4827" s="115">
        <v>-7198</v>
      </c>
      <c r="H4827" s="115">
        <v>0</v>
      </c>
      <c r="I4827" s="115">
        <v>476</v>
      </c>
      <c r="J4827" s="115">
        <v>0</v>
      </c>
      <c r="K4827" s="115">
        <v>0</v>
      </c>
    </row>
    <row r="4828" spans="1:11" x14ac:dyDescent="0.25">
      <c r="B4828" s="115" t="s">
        <v>1241</v>
      </c>
      <c r="C4828" s="115" t="s">
        <v>1239</v>
      </c>
      <c r="D4828" s="115" t="s">
        <v>10959</v>
      </c>
      <c r="E4828" s="115" t="s">
        <v>4712</v>
      </c>
      <c r="F4828" s="115">
        <v>203</v>
      </c>
      <c r="G4828" s="115">
        <v>0</v>
      </c>
      <c r="H4828" s="115">
        <v>0</v>
      </c>
      <c r="I4828" s="115">
        <v>-18</v>
      </c>
      <c r="J4828" s="115">
        <v>-246</v>
      </c>
      <c r="K4828" s="115">
        <v>0</v>
      </c>
    </row>
    <row r="4829" spans="1:11" x14ac:dyDescent="0.25">
      <c r="A4829" s="115" t="s">
        <v>1239</v>
      </c>
      <c r="B4829" s="115" t="s">
        <v>4713</v>
      </c>
      <c r="D4829" s="115" t="s">
        <v>10960</v>
      </c>
      <c r="E4829" s="115" t="s">
        <v>4714</v>
      </c>
      <c r="F4829" s="115">
        <v>-84</v>
      </c>
      <c r="G4829" s="115">
        <v>-364</v>
      </c>
      <c r="H4829" s="115">
        <v>-995</v>
      </c>
      <c r="I4829" s="115">
        <v>0</v>
      </c>
      <c r="J4829" s="115">
        <v>0</v>
      </c>
      <c r="K4829" s="115">
        <v>0</v>
      </c>
    </row>
    <row r="4830" spans="1:11" x14ac:dyDescent="0.25">
      <c r="B4830" s="115" t="s">
        <v>1241</v>
      </c>
      <c r="D4830" s="115" t="s">
        <v>10961</v>
      </c>
      <c r="E4830" s="115" t="s">
        <v>4715</v>
      </c>
      <c r="F4830" s="115">
        <v>2045</v>
      </c>
      <c r="G4830" s="115">
        <v>-501</v>
      </c>
      <c r="H4830" s="115">
        <v>481</v>
      </c>
      <c r="I4830" s="115">
        <v>0</v>
      </c>
      <c r="J4830" s="115">
        <v>691</v>
      </c>
      <c r="K4830" s="115">
        <v>-14258</v>
      </c>
    </row>
    <row r="4831" spans="1:11" x14ac:dyDescent="0.25">
      <c r="A4831" s="115">
        <v>4</v>
      </c>
      <c r="B4831" s="115" t="s">
        <v>4716</v>
      </c>
      <c r="D4831" s="115" t="s">
        <v>10962</v>
      </c>
      <c r="E4831" s="115" t="s">
        <v>4717</v>
      </c>
      <c r="F4831" s="115">
        <v>-18538</v>
      </c>
      <c r="G4831" s="115">
        <v>-26336</v>
      </c>
      <c r="H4831" s="115">
        <v>-7576</v>
      </c>
      <c r="I4831" s="115">
        <v>-187</v>
      </c>
      <c r="J4831" s="115">
        <v>0</v>
      </c>
      <c r="K4831" s="115">
        <v>-17</v>
      </c>
    </row>
    <row r="4832" spans="1:11" x14ac:dyDescent="0.25">
      <c r="A4832" s="115">
        <v>-2</v>
      </c>
      <c r="B4832" s="115" t="s">
        <v>4718</v>
      </c>
      <c r="D4832" s="115" t="s">
        <v>10963</v>
      </c>
      <c r="E4832" s="115" t="s">
        <v>4719</v>
      </c>
      <c r="F4832" s="115">
        <v>3060</v>
      </c>
      <c r="G4832" s="115">
        <v>-1784</v>
      </c>
      <c r="H4832" s="115">
        <v>0</v>
      </c>
      <c r="I4832" s="115">
        <v>911</v>
      </c>
      <c r="J4832" s="115">
        <v>-11632</v>
      </c>
      <c r="K4832" s="115">
        <v>-1058</v>
      </c>
    </row>
    <row r="4833" spans="1:11" x14ac:dyDescent="0.25">
      <c r="A4833" s="115">
        <v>1</v>
      </c>
      <c r="B4833" s="115" t="s">
        <v>4720</v>
      </c>
      <c r="D4833" s="115" t="s">
        <v>10964</v>
      </c>
      <c r="E4833" s="115" t="s">
        <v>4721</v>
      </c>
      <c r="F4833" s="115">
        <v>0</v>
      </c>
      <c r="G4833" s="115">
        <v>0</v>
      </c>
      <c r="H4833" s="115">
        <v>280</v>
      </c>
      <c r="I4833" s="115">
        <v>0</v>
      </c>
      <c r="J4833" s="115">
        <v>-746</v>
      </c>
      <c r="K4833" s="115">
        <v>2110</v>
      </c>
    </row>
    <row r="4834" spans="1:11" x14ac:dyDescent="0.25">
      <c r="B4834" s="115" t="s">
        <v>1548</v>
      </c>
      <c r="D4834" s="115" t="s">
        <v>10965</v>
      </c>
      <c r="E4834" s="115" t="s">
        <v>4722</v>
      </c>
      <c r="F4834" s="115">
        <v>-337</v>
      </c>
      <c r="G4834" s="115">
        <v>4</v>
      </c>
      <c r="H4834" s="115">
        <v>-1483</v>
      </c>
      <c r="I4834" s="115">
        <v>674</v>
      </c>
      <c r="J4834" s="115">
        <v>3009</v>
      </c>
      <c r="K4834" s="115">
        <v>4753</v>
      </c>
    </row>
    <row r="4835" spans="1:11" x14ac:dyDescent="0.25">
      <c r="B4835" s="115" t="s">
        <v>4723</v>
      </c>
      <c r="D4835" s="115" t="s">
        <v>10966</v>
      </c>
      <c r="E4835" s="115" t="s">
        <v>4724</v>
      </c>
      <c r="F4835" s="115">
        <v>-968</v>
      </c>
      <c r="G4835" s="115">
        <v>90</v>
      </c>
      <c r="H4835" s="115">
        <v>0</v>
      </c>
      <c r="I4835" s="115">
        <v>-23</v>
      </c>
      <c r="J4835" s="115">
        <v>0</v>
      </c>
      <c r="K4835" s="115">
        <v>0</v>
      </c>
    </row>
    <row r="4836" spans="1:11" x14ac:dyDescent="0.25">
      <c r="B4836" s="115" t="s">
        <v>4725</v>
      </c>
      <c r="D4836" s="115" t="s">
        <v>10967</v>
      </c>
      <c r="E4836" s="115" t="s">
        <v>1242</v>
      </c>
      <c r="F4836" s="115">
        <v>-479</v>
      </c>
      <c r="G4836" s="115">
        <v>0</v>
      </c>
      <c r="H4836" s="115">
        <v>0</v>
      </c>
      <c r="I4836" s="115">
        <v>0</v>
      </c>
      <c r="J4836" s="115">
        <v>0</v>
      </c>
      <c r="K4836" s="115">
        <v>0</v>
      </c>
    </row>
    <row r="4837" spans="1:11" x14ac:dyDescent="0.25">
      <c r="A4837" s="115">
        <v>1</v>
      </c>
      <c r="B4837" s="115" t="s">
        <v>4726</v>
      </c>
      <c r="C4837" s="115" t="s">
        <v>1239</v>
      </c>
      <c r="D4837" s="115" t="s">
        <v>10968</v>
      </c>
      <c r="E4837" s="115" t="s">
        <v>4727</v>
      </c>
      <c r="F4837" s="115">
        <v>177</v>
      </c>
      <c r="G4837" s="115">
        <v>0</v>
      </c>
      <c r="H4837" s="115">
        <v>1577</v>
      </c>
      <c r="I4837" s="115">
        <v>-10097</v>
      </c>
      <c r="J4837" s="115">
        <v>-265</v>
      </c>
      <c r="K4837" s="115">
        <v>0</v>
      </c>
    </row>
    <row r="4838" spans="1:11" x14ac:dyDescent="0.25">
      <c r="B4838" s="115" t="s">
        <v>1241</v>
      </c>
      <c r="D4838" s="115" t="s">
        <v>10969</v>
      </c>
      <c r="E4838" s="115" t="s">
        <v>4728</v>
      </c>
      <c r="F4838" s="115">
        <v>359</v>
      </c>
      <c r="G4838" s="115">
        <v>332</v>
      </c>
      <c r="H4838" s="115">
        <v>189</v>
      </c>
      <c r="I4838" s="115">
        <v>0</v>
      </c>
      <c r="J4838" s="115">
        <v>-433</v>
      </c>
      <c r="K4838" s="115">
        <v>0</v>
      </c>
    </row>
    <row r="4839" spans="1:11" x14ac:dyDescent="0.25">
      <c r="B4839" s="115" t="s">
        <v>4729</v>
      </c>
      <c r="D4839" s="115" t="s">
        <v>10970</v>
      </c>
      <c r="E4839" s="115" t="s">
        <v>4730</v>
      </c>
      <c r="F4839" s="115">
        <v>0</v>
      </c>
      <c r="G4839" s="115">
        <v>22</v>
      </c>
      <c r="H4839" s="115">
        <v>0</v>
      </c>
      <c r="I4839" s="115">
        <v>0</v>
      </c>
      <c r="J4839" s="115">
        <v>0</v>
      </c>
      <c r="K4839" s="115">
        <v>0</v>
      </c>
    </row>
    <row r="4840" spans="1:11" x14ac:dyDescent="0.25">
      <c r="B4840" s="115" t="s">
        <v>1241</v>
      </c>
      <c r="D4840" s="115" t="s">
        <v>10971</v>
      </c>
      <c r="E4840" s="115" t="s">
        <v>4731</v>
      </c>
      <c r="F4840" s="115">
        <v>720</v>
      </c>
      <c r="G4840" s="115">
        <v>0</v>
      </c>
      <c r="H4840" s="115">
        <v>755</v>
      </c>
      <c r="I4840" s="115">
        <v>-327</v>
      </c>
      <c r="J4840" s="115">
        <v>66</v>
      </c>
      <c r="K4840" s="115">
        <v>0</v>
      </c>
    </row>
    <row r="4841" spans="1:11" x14ac:dyDescent="0.25">
      <c r="A4841" s="115">
        <v>-1</v>
      </c>
      <c r="B4841" s="115" t="s">
        <v>4732</v>
      </c>
      <c r="D4841" s="115" t="s">
        <v>10972</v>
      </c>
      <c r="E4841" s="115" t="s">
        <v>4733</v>
      </c>
      <c r="F4841" s="115">
        <v>0</v>
      </c>
      <c r="G4841" s="115">
        <v>0</v>
      </c>
      <c r="H4841" s="115">
        <v>0</v>
      </c>
      <c r="I4841" s="115">
        <v>5932</v>
      </c>
      <c r="J4841" s="115">
        <v>317</v>
      </c>
      <c r="K4841" s="115">
        <v>-2212</v>
      </c>
    </row>
    <row r="4842" spans="1:11" x14ac:dyDescent="0.25">
      <c r="A4842" s="115">
        <v>-1</v>
      </c>
      <c r="B4842" s="115" t="s">
        <v>4734</v>
      </c>
      <c r="C4842" s="115" t="s">
        <v>1239</v>
      </c>
      <c r="D4842" s="115" t="s">
        <v>10973</v>
      </c>
      <c r="E4842" s="115" t="s">
        <v>4735</v>
      </c>
      <c r="F4842" s="115">
        <v>0</v>
      </c>
      <c r="G4842" s="115">
        <v>0</v>
      </c>
      <c r="H4842" s="115">
        <v>0</v>
      </c>
      <c r="I4842" s="115">
        <v>-788</v>
      </c>
      <c r="J4842" s="115">
        <v>0</v>
      </c>
      <c r="K4842" s="115">
        <v>-122</v>
      </c>
    </row>
    <row r="4843" spans="1:11" x14ac:dyDescent="0.25">
      <c r="B4843" s="115" t="s">
        <v>1241</v>
      </c>
      <c r="C4843" s="115" t="s">
        <v>1239</v>
      </c>
      <c r="D4843" s="115" t="s">
        <v>10974</v>
      </c>
      <c r="E4843" s="115" t="s">
        <v>4736</v>
      </c>
      <c r="F4843" s="115">
        <v>0</v>
      </c>
      <c r="G4843" s="115">
        <v>0</v>
      </c>
      <c r="H4843" s="115">
        <v>0</v>
      </c>
      <c r="I4843" s="115">
        <v>0</v>
      </c>
      <c r="J4843" s="115">
        <v>3900</v>
      </c>
      <c r="K4843" s="115">
        <v>0</v>
      </c>
    </row>
    <row r="4844" spans="1:11" x14ac:dyDescent="0.25">
      <c r="A4844" s="115">
        <v>-2</v>
      </c>
      <c r="B4844" s="115" t="s">
        <v>4737</v>
      </c>
      <c r="D4844" s="115" t="s">
        <v>10975</v>
      </c>
      <c r="E4844" s="115" t="s">
        <v>4738</v>
      </c>
      <c r="F4844" s="115">
        <v>-3400</v>
      </c>
      <c r="G4844" s="115">
        <v>-6939</v>
      </c>
      <c r="H4844" s="115">
        <v>-5857</v>
      </c>
      <c r="I4844" s="115">
        <v>-69</v>
      </c>
      <c r="J4844" s="115">
        <v>3501</v>
      </c>
      <c r="K4844" s="115">
        <v>765</v>
      </c>
    </row>
    <row r="4845" spans="1:11" x14ac:dyDescent="0.25">
      <c r="B4845" s="115" t="s">
        <v>1241</v>
      </c>
      <c r="D4845" s="115" t="s">
        <v>10976</v>
      </c>
      <c r="E4845" s="115" t="s">
        <v>4739</v>
      </c>
      <c r="F4845" s="115">
        <v>0</v>
      </c>
      <c r="G4845" s="115">
        <v>0</v>
      </c>
      <c r="H4845" s="115">
        <v>0</v>
      </c>
      <c r="I4845" s="115">
        <v>-281</v>
      </c>
      <c r="J4845" s="115">
        <v>60</v>
      </c>
      <c r="K4845" s="115">
        <v>539</v>
      </c>
    </row>
    <row r="4846" spans="1:11" x14ac:dyDescent="0.25">
      <c r="B4846" s="115" t="s">
        <v>4740</v>
      </c>
      <c r="D4846" s="115" t="s">
        <v>10977</v>
      </c>
      <c r="E4846" s="115" t="s">
        <v>4741</v>
      </c>
      <c r="F4846" s="115">
        <v>0</v>
      </c>
      <c r="G4846" s="115">
        <v>-2279</v>
      </c>
      <c r="H4846" s="115">
        <v>0</v>
      </c>
      <c r="I4846" s="115">
        <v>39</v>
      </c>
      <c r="J4846" s="115">
        <v>-1114</v>
      </c>
      <c r="K4846" s="115">
        <v>0</v>
      </c>
    </row>
    <row r="4847" spans="1:11" x14ac:dyDescent="0.25">
      <c r="B4847" s="115" t="s">
        <v>1241</v>
      </c>
      <c r="D4847" s="115" t="s">
        <v>10978</v>
      </c>
      <c r="E4847" s="115" t="s">
        <v>4742</v>
      </c>
      <c r="F4847" s="115">
        <v>0</v>
      </c>
      <c r="G4847" s="115">
        <v>-6488</v>
      </c>
      <c r="H4847" s="115">
        <v>-14999</v>
      </c>
      <c r="I4847" s="115">
        <v>0</v>
      </c>
      <c r="J4847" s="115">
        <v>0</v>
      </c>
      <c r="K4847" s="115">
        <v>0</v>
      </c>
    </row>
    <row r="4848" spans="1:11" x14ac:dyDescent="0.25">
      <c r="B4848" s="115" t="s">
        <v>1241</v>
      </c>
      <c r="D4848" s="115" t="s">
        <v>8710</v>
      </c>
      <c r="E4848" s="115" t="s">
        <v>1242</v>
      </c>
      <c r="F4848" s="115">
        <v>0</v>
      </c>
      <c r="G4848" s="115">
        <v>0</v>
      </c>
      <c r="H4848" s="115">
        <v>0</v>
      </c>
      <c r="I4848" s="115">
        <v>0</v>
      </c>
      <c r="J4848" s="115">
        <v>0</v>
      </c>
      <c r="K4848" s="115">
        <v>0</v>
      </c>
    </row>
    <row r="4849" spans="1:11" x14ac:dyDescent="0.25">
      <c r="B4849" s="115" t="s">
        <v>1241</v>
      </c>
      <c r="D4849" s="115" t="s">
        <v>10979</v>
      </c>
      <c r="E4849" s="115" t="s">
        <v>4743</v>
      </c>
      <c r="F4849" s="115">
        <v>0</v>
      </c>
      <c r="G4849" s="115">
        <v>0</v>
      </c>
      <c r="H4849" s="115">
        <v>0</v>
      </c>
      <c r="I4849" s="115">
        <v>0</v>
      </c>
      <c r="J4849" s="115">
        <v>560</v>
      </c>
      <c r="K4849" s="115">
        <v>4030</v>
      </c>
    </row>
    <row r="4850" spans="1:11" x14ac:dyDescent="0.25">
      <c r="A4850" s="115">
        <v>3</v>
      </c>
      <c r="B4850" s="115" t="s">
        <v>4744</v>
      </c>
      <c r="C4850" s="115">
        <v>4</v>
      </c>
      <c r="D4850" s="115" t="s">
        <v>10980</v>
      </c>
      <c r="E4850" s="115" t="s">
        <v>4745</v>
      </c>
      <c r="F4850" s="115">
        <v>21115</v>
      </c>
      <c r="G4850" s="115">
        <v>-8341</v>
      </c>
      <c r="H4850" s="115">
        <v>-240</v>
      </c>
      <c r="I4850" s="115">
        <v>1270</v>
      </c>
      <c r="J4850" s="115">
        <v>9861</v>
      </c>
      <c r="K4850" s="115">
        <v>4983</v>
      </c>
    </row>
    <row r="4851" spans="1:11" x14ac:dyDescent="0.25">
      <c r="A4851" s="115">
        <v>27</v>
      </c>
      <c r="B4851" s="115" t="s">
        <v>4746</v>
      </c>
      <c r="C4851" s="115" t="s">
        <v>1239</v>
      </c>
      <c r="D4851" s="115" t="s">
        <v>10981</v>
      </c>
      <c r="E4851" s="115" t="s">
        <v>4747</v>
      </c>
      <c r="F4851" s="115">
        <v>-1355</v>
      </c>
      <c r="G4851" s="115">
        <v>-8</v>
      </c>
      <c r="H4851" s="115">
        <v>0</v>
      </c>
      <c r="I4851" s="115">
        <v>0</v>
      </c>
      <c r="J4851" s="115">
        <v>-5</v>
      </c>
      <c r="K4851" s="115">
        <v>0</v>
      </c>
    </row>
    <row r="4852" spans="1:11" x14ac:dyDescent="0.25">
      <c r="B4852" s="115" t="s">
        <v>1241</v>
      </c>
      <c r="D4852" s="115" t="s">
        <v>10982</v>
      </c>
      <c r="E4852" s="115" t="s">
        <v>1242</v>
      </c>
      <c r="F4852" s="115">
        <v>0</v>
      </c>
      <c r="G4852" s="115">
        <v>0</v>
      </c>
      <c r="H4852" s="115">
        <v>0</v>
      </c>
      <c r="I4852" s="115">
        <v>0</v>
      </c>
      <c r="J4852" s="115">
        <v>0</v>
      </c>
      <c r="K4852" s="115">
        <v>0</v>
      </c>
    </row>
    <row r="4853" spans="1:11" x14ac:dyDescent="0.25">
      <c r="B4853" s="115" t="s">
        <v>4403</v>
      </c>
      <c r="D4853" s="115" t="s">
        <v>10983</v>
      </c>
      <c r="E4853" s="115" t="s">
        <v>4748</v>
      </c>
      <c r="F4853" s="115">
        <v>0</v>
      </c>
      <c r="G4853" s="115">
        <v>-868</v>
      </c>
      <c r="H4853" s="115">
        <v>0</v>
      </c>
      <c r="I4853" s="115">
        <v>484</v>
      </c>
      <c r="J4853" s="115">
        <v>575</v>
      </c>
      <c r="K4853" s="115">
        <v>155</v>
      </c>
    </row>
    <row r="4854" spans="1:11" x14ac:dyDescent="0.25">
      <c r="B4854" s="115" t="s">
        <v>4749</v>
      </c>
      <c r="D4854" s="115" t="s">
        <v>10984</v>
      </c>
      <c r="E4854" s="115" t="s">
        <v>4750</v>
      </c>
      <c r="F4854" s="115">
        <v>-1009</v>
      </c>
      <c r="G4854" s="115">
        <v>-4</v>
      </c>
      <c r="H4854" s="115">
        <v>-574</v>
      </c>
      <c r="I4854" s="115">
        <v>0</v>
      </c>
      <c r="J4854" s="115">
        <v>-269</v>
      </c>
      <c r="K4854" s="115">
        <v>0</v>
      </c>
    </row>
    <row r="4855" spans="1:11" x14ac:dyDescent="0.25">
      <c r="B4855" s="115" t="s">
        <v>1241</v>
      </c>
      <c r="D4855" s="115" t="s">
        <v>10985</v>
      </c>
      <c r="E4855" s="115" t="s">
        <v>4751</v>
      </c>
      <c r="F4855" s="115">
        <v>346</v>
      </c>
      <c r="G4855" s="115">
        <v>0</v>
      </c>
      <c r="H4855" s="115">
        <v>0</v>
      </c>
      <c r="I4855" s="115">
        <v>0</v>
      </c>
      <c r="J4855" s="115">
        <v>873</v>
      </c>
      <c r="K4855" s="115">
        <v>0</v>
      </c>
    </row>
    <row r="4856" spans="1:11" x14ac:dyDescent="0.25">
      <c r="A4856" s="115" t="s">
        <v>1239</v>
      </c>
      <c r="B4856" s="115" t="s">
        <v>4752</v>
      </c>
      <c r="D4856" s="115" t="s">
        <v>10986</v>
      </c>
      <c r="E4856" s="115" t="s">
        <v>4753</v>
      </c>
      <c r="F4856" s="115">
        <v>0</v>
      </c>
      <c r="G4856" s="115">
        <v>0</v>
      </c>
      <c r="H4856" s="115">
        <v>521</v>
      </c>
      <c r="I4856" s="115">
        <v>0</v>
      </c>
      <c r="J4856" s="115">
        <v>-277</v>
      </c>
      <c r="K4856" s="115">
        <v>5008</v>
      </c>
    </row>
    <row r="4857" spans="1:11" x14ac:dyDescent="0.25">
      <c r="B4857" s="115" t="s">
        <v>1241</v>
      </c>
      <c r="D4857" s="115" t="s">
        <v>10987</v>
      </c>
      <c r="E4857" s="115" t="s">
        <v>4754</v>
      </c>
      <c r="F4857" s="115">
        <v>0</v>
      </c>
      <c r="G4857" s="115">
        <v>576</v>
      </c>
      <c r="H4857" s="115">
        <v>0</v>
      </c>
      <c r="I4857" s="115">
        <v>0</v>
      </c>
      <c r="J4857" s="115">
        <v>0</v>
      </c>
      <c r="K4857" s="115">
        <v>0</v>
      </c>
    </row>
    <row r="4858" spans="1:11" x14ac:dyDescent="0.25">
      <c r="A4858" s="115">
        <v>-1</v>
      </c>
      <c r="B4858" s="115" t="s">
        <v>4755</v>
      </c>
      <c r="D4858" s="115" t="s">
        <v>10988</v>
      </c>
      <c r="E4858" s="115" t="s">
        <v>4756</v>
      </c>
      <c r="F4858" s="115">
        <v>0</v>
      </c>
      <c r="G4858" s="115">
        <v>10</v>
      </c>
      <c r="H4858" s="115">
        <v>-141</v>
      </c>
      <c r="I4858" s="115">
        <v>0</v>
      </c>
      <c r="J4858" s="115">
        <v>-297</v>
      </c>
      <c r="K4858" s="115">
        <v>-303</v>
      </c>
    </row>
    <row r="4859" spans="1:11" x14ac:dyDescent="0.25">
      <c r="A4859" s="115" t="s">
        <v>1239</v>
      </c>
      <c r="B4859" s="115" t="s">
        <v>4757</v>
      </c>
      <c r="D4859" s="115" t="s">
        <v>10989</v>
      </c>
      <c r="E4859" s="115" t="s">
        <v>1242</v>
      </c>
      <c r="F4859" s="115">
        <v>-624</v>
      </c>
      <c r="G4859" s="115">
        <v>0</v>
      </c>
      <c r="H4859" s="115">
        <v>0</v>
      </c>
      <c r="I4859" s="115">
        <v>0</v>
      </c>
      <c r="J4859" s="115">
        <v>0</v>
      </c>
      <c r="K4859" s="115">
        <v>0</v>
      </c>
    </row>
    <row r="4860" spans="1:11" x14ac:dyDescent="0.25">
      <c r="B4860" s="115" t="s">
        <v>4758</v>
      </c>
      <c r="D4860" s="115" t="s">
        <v>10990</v>
      </c>
      <c r="E4860" s="115" t="s">
        <v>4759</v>
      </c>
      <c r="F4860" s="115">
        <v>359</v>
      </c>
      <c r="G4860" s="115">
        <v>0</v>
      </c>
      <c r="H4860" s="115">
        <v>1708</v>
      </c>
      <c r="I4860" s="115">
        <v>-6282</v>
      </c>
      <c r="J4860" s="115">
        <v>-244</v>
      </c>
      <c r="K4860" s="115">
        <v>-676</v>
      </c>
    </row>
    <row r="4861" spans="1:11" x14ac:dyDescent="0.25">
      <c r="A4861" s="115">
        <v>-1</v>
      </c>
      <c r="B4861" s="115" t="s">
        <v>4760</v>
      </c>
      <c r="D4861" s="115" t="s">
        <v>10991</v>
      </c>
      <c r="E4861" s="115" t="s">
        <v>4761</v>
      </c>
      <c r="F4861" s="115">
        <v>220</v>
      </c>
      <c r="G4861" s="115">
        <v>59</v>
      </c>
      <c r="H4861" s="115">
        <v>0</v>
      </c>
      <c r="I4861" s="115">
        <v>55</v>
      </c>
      <c r="J4861" s="115">
        <v>-1089</v>
      </c>
      <c r="K4861" s="115">
        <v>0</v>
      </c>
    </row>
    <row r="4862" spans="1:11" x14ac:dyDescent="0.25">
      <c r="B4862" s="115" t="s">
        <v>1241</v>
      </c>
      <c r="D4862" s="115" t="s">
        <v>10992</v>
      </c>
      <c r="E4862" s="115" t="s">
        <v>4762</v>
      </c>
      <c r="F4862" s="115">
        <v>0</v>
      </c>
      <c r="G4862" s="115">
        <v>-221</v>
      </c>
      <c r="H4862" s="115">
        <v>880</v>
      </c>
      <c r="I4862" s="115">
        <v>147</v>
      </c>
      <c r="J4862" s="115">
        <v>-607</v>
      </c>
      <c r="K4862" s="115">
        <v>0</v>
      </c>
    </row>
    <row r="4863" spans="1:11" x14ac:dyDescent="0.25">
      <c r="B4863" s="115" t="s">
        <v>1241</v>
      </c>
      <c r="D4863" s="115" t="s">
        <v>10993</v>
      </c>
      <c r="E4863" s="115" t="s">
        <v>4763</v>
      </c>
      <c r="F4863" s="115">
        <v>-826</v>
      </c>
      <c r="G4863" s="115">
        <v>0</v>
      </c>
      <c r="H4863" s="115">
        <v>-326</v>
      </c>
      <c r="I4863" s="115">
        <v>-322</v>
      </c>
      <c r="J4863" s="115">
        <v>284</v>
      </c>
      <c r="K4863" s="115">
        <v>0</v>
      </c>
    </row>
    <row r="4864" spans="1:11" x14ac:dyDescent="0.25">
      <c r="A4864" s="115">
        <v>7</v>
      </c>
      <c r="B4864" s="115" t="s">
        <v>4764</v>
      </c>
      <c r="D4864" s="115" t="s">
        <v>10994</v>
      </c>
      <c r="E4864" s="115" t="s">
        <v>4765</v>
      </c>
      <c r="F4864" s="115">
        <v>4558</v>
      </c>
      <c r="G4864" s="115">
        <v>-20945</v>
      </c>
      <c r="H4864" s="115">
        <v>-20689</v>
      </c>
      <c r="I4864" s="115">
        <v>-27645</v>
      </c>
      <c r="J4864" s="115">
        <v>0</v>
      </c>
      <c r="K4864" s="115">
        <v>1018</v>
      </c>
    </row>
    <row r="4865" spans="1:11" x14ac:dyDescent="0.25">
      <c r="B4865" s="115" t="s">
        <v>1241</v>
      </c>
      <c r="C4865" s="115" t="s">
        <v>1239</v>
      </c>
      <c r="D4865" s="115" t="s">
        <v>10995</v>
      </c>
      <c r="E4865" s="115" t="s">
        <v>4766</v>
      </c>
      <c r="F4865" s="115">
        <v>0</v>
      </c>
      <c r="G4865" s="115">
        <v>1031</v>
      </c>
      <c r="H4865" s="115">
        <v>0</v>
      </c>
      <c r="I4865" s="115">
        <v>0</v>
      </c>
      <c r="J4865" s="115">
        <v>1277</v>
      </c>
      <c r="K4865" s="115">
        <v>0</v>
      </c>
    </row>
    <row r="4866" spans="1:11" x14ac:dyDescent="0.25">
      <c r="A4866" s="115">
        <v>-2</v>
      </c>
      <c r="B4866" s="115" t="s">
        <v>4767</v>
      </c>
      <c r="D4866" s="115" t="s">
        <v>10996</v>
      </c>
      <c r="E4866" s="115" t="s">
        <v>4768</v>
      </c>
      <c r="F4866" s="115">
        <v>0</v>
      </c>
      <c r="G4866" s="115">
        <v>0</v>
      </c>
      <c r="H4866" s="115">
        <v>0</v>
      </c>
      <c r="I4866" s="115">
        <v>0</v>
      </c>
      <c r="J4866" s="115">
        <v>-6485</v>
      </c>
      <c r="K4866" s="115">
        <v>0</v>
      </c>
    </row>
    <row r="4867" spans="1:11" x14ac:dyDescent="0.25">
      <c r="A4867" s="115">
        <v>10</v>
      </c>
      <c r="B4867" s="115" t="s">
        <v>4769</v>
      </c>
      <c r="C4867" s="115" t="s">
        <v>1239</v>
      </c>
      <c r="D4867" s="115" t="s">
        <v>10997</v>
      </c>
      <c r="E4867" s="115" t="s">
        <v>4770</v>
      </c>
      <c r="F4867" s="115">
        <v>1688</v>
      </c>
      <c r="G4867" s="115">
        <v>-9460</v>
      </c>
      <c r="H4867" s="115">
        <v>-180</v>
      </c>
      <c r="I4867" s="115">
        <v>0</v>
      </c>
      <c r="J4867" s="115">
        <v>0</v>
      </c>
      <c r="K4867" s="115">
        <v>0</v>
      </c>
    </row>
    <row r="4868" spans="1:11" x14ac:dyDescent="0.25">
      <c r="A4868" s="115">
        <v>2</v>
      </c>
      <c r="B4868" s="115" t="s">
        <v>4771</v>
      </c>
      <c r="D4868" s="115" t="s">
        <v>10998</v>
      </c>
      <c r="E4868" s="115" t="s">
        <v>4772</v>
      </c>
      <c r="F4868" s="115">
        <v>216</v>
      </c>
      <c r="G4868" s="115">
        <v>0</v>
      </c>
      <c r="H4868" s="115">
        <v>-544</v>
      </c>
      <c r="I4868" s="115">
        <v>0</v>
      </c>
      <c r="J4868" s="115">
        <v>0</v>
      </c>
      <c r="K4868" s="115">
        <v>137</v>
      </c>
    </row>
    <row r="4869" spans="1:11" x14ac:dyDescent="0.25">
      <c r="B4869" s="115" t="s">
        <v>4773</v>
      </c>
      <c r="D4869" s="115" t="s">
        <v>10999</v>
      </c>
      <c r="E4869" s="115" t="s">
        <v>1242</v>
      </c>
      <c r="F4869" s="115">
        <v>0</v>
      </c>
      <c r="G4869" s="115">
        <v>0</v>
      </c>
      <c r="H4869" s="115">
        <v>0</v>
      </c>
      <c r="I4869" s="115">
        <v>0</v>
      </c>
      <c r="J4869" s="115">
        <v>0</v>
      </c>
      <c r="K4869" s="115">
        <v>0</v>
      </c>
    </row>
    <row r="4870" spans="1:11" x14ac:dyDescent="0.25">
      <c r="B4870" s="115" t="s">
        <v>1241</v>
      </c>
      <c r="D4870" s="115" t="s">
        <v>11000</v>
      </c>
      <c r="E4870" s="115" t="s">
        <v>4774</v>
      </c>
      <c r="F4870" s="115">
        <v>27</v>
      </c>
      <c r="G4870" s="115">
        <v>-142</v>
      </c>
      <c r="H4870" s="115">
        <v>96</v>
      </c>
      <c r="I4870" s="115">
        <v>0</v>
      </c>
      <c r="J4870" s="115">
        <v>-137</v>
      </c>
      <c r="K4870" s="115">
        <v>3351</v>
      </c>
    </row>
    <row r="4871" spans="1:11" x14ac:dyDescent="0.25">
      <c r="B4871" s="115" t="s">
        <v>1241</v>
      </c>
      <c r="D4871" s="115" t="s">
        <v>11001</v>
      </c>
      <c r="E4871" s="115" t="s">
        <v>4775</v>
      </c>
      <c r="F4871" s="115">
        <v>0</v>
      </c>
      <c r="G4871" s="115">
        <v>5987</v>
      </c>
      <c r="H4871" s="115">
        <v>809</v>
      </c>
      <c r="I4871" s="115">
        <v>-2292</v>
      </c>
      <c r="J4871" s="115">
        <v>-1725</v>
      </c>
      <c r="K4871" s="115">
        <v>-393</v>
      </c>
    </row>
    <row r="4872" spans="1:11" x14ac:dyDescent="0.25">
      <c r="A4872" s="115">
        <v>-4</v>
      </c>
      <c r="B4872" s="115" t="s">
        <v>4776</v>
      </c>
      <c r="D4872" s="115" t="s">
        <v>11002</v>
      </c>
      <c r="E4872" s="115" t="s">
        <v>4777</v>
      </c>
      <c r="F4872" s="115">
        <v>0</v>
      </c>
      <c r="G4872" s="115">
        <v>-611</v>
      </c>
      <c r="H4872" s="115">
        <v>0</v>
      </c>
      <c r="I4872" s="115">
        <v>-119</v>
      </c>
      <c r="J4872" s="115">
        <v>0</v>
      </c>
      <c r="K4872" s="115">
        <v>0</v>
      </c>
    </row>
    <row r="4873" spans="1:11" x14ac:dyDescent="0.25">
      <c r="A4873" s="115">
        <v>-2</v>
      </c>
      <c r="B4873" s="115" t="s">
        <v>4778</v>
      </c>
      <c r="D4873" s="115" t="s">
        <v>11003</v>
      </c>
      <c r="E4873" s="115" t="s">
        <v>4779</v>
      </c>
      <c r="F4873" s="115">
        <v>0</v>
      </c>
      <c r="G4873" s="115">
        <v>0</v>
      </c>
      <c r="H4873" s="115">
        <v>1931</v>
      </c>
      <c r="I4873" s="115">
        <v>0</v>
      </c>
      <c r="J4873" s="115">
        <v>-1427</v>
      </c>
      <c r="K4873" s="115">
        <v>-1584</v>
      </c>
    </row>
    <row r="4874" spans="1:11" x14ac:dyDescent="0.25">
      <c r="A4874" s="115" t="s">
        <v>1239</v>
      </c>
      <c r="B4874" s="115" t="s">
        <v>4780</v>
      </c>
      <c r="C4874" s="115" t="s">
        <v>1239</v>
      </c>
      <c r="D4874" s="115" t="s">
        <v>11004</v>
      </c>
      <c r="E4874" s="115" t="s">
        <v>4781</v>
      </c>
      <c r="F4874" s="115">
        <v>-3797</v>
      </c>
      <c r="G4874" s="115">
        <v>5999</v>
      </c>
      <c r="H4874" s="115">
        <v>5455</v>
      </c>
      <c r="I4874" s="115">
        <v>2032</v>
      </c>
      <c r="J4874" s="115">
        <v>0</v>
      </c>
      <c r="K4874" s="115">
        <v>0</v>
      </c>
    </row>
    <row r="4875" spans="1:11" x14ac:dyDescent="0.25">
      <c r="B4875" s="115" t="s">
        <v>1241</v>
      </c>
      <c r="D4875" s="115" t="s">
        <v>11005</v>
      </c>
      <c r="E4875" s="115" t="s">
        <v>4782</v>
      </c>
      <c r="F4875" s="115">
        <v>0</v>
      </c>
      <c r="G4875" s="115">
        <v>-749</v>
      </c>
      <c r="H4875" s="115">
        <v>156</v>
      </c>
      <c r="I4875" s="115">
        <v>-278</v>
      </c>
      <c r="J4875" s="115">
        <v>356</v>
      </c>
      <c r="K4875" s="115">
        <v>-361</v>
      </c>
    </row>
    <row r="4876" spans="1:11" x14ac:dyDescent="0.25">
      <c r="A4876" s="115">
        <v>1</v>
      </c>
      <c r="B4876" s="115" t="s">
        <v>4783</v>
      </c>
      <c r="D4876" s="115" t="s">
        <v>11006</v>
      </c>
      <c r="E4876" s="115" t="s">
        <v>4784</v>
      </c>
      <c r="F4876" s="115">
        <v>0</v>
      </c>
      <c r="G4876" s="115">
        <v>275</v>
      </c>
      <c r="H4876" s="115">
        <v>-678</v>
      </c>
      <c r="I4876" s="115">
        <v>0</v>
      </c>
      <c r="J4876" s="115">
        <v>0</v>
      </c>
      <c r="K4876" s="115">
        <v>0</v>
      </c>
    </row>
    <row r="4877" spans="1:11" x14ac:dyDescent="0.25">
      <c r="B4877" s="115" t="s">
        <v>4785</v>
      </c>
      <c r="D4877" s="115" t="s">
        <v>11007</v>
      </c>
      <c r="E4877" s="115" t="s">
        <v>1242</v>
      </c>
      <c r="F4877" s="115">
        <v>-13211</v>
      </c>
      <c r="G4877" s="115">
        <v>0</v>
      </c>
      <c r="H4877" s="115">
        <v>0</v>
      </c>
      <c r="I4877" s="115">
        <v>0</v>
      </c>
      <c r="J4877" s="115">
        <v>0</v>
      </c>
      <c r="K4877" s="115">
        <v>0</v>
      </c>
    </row>
    <row r="4878" spans="1:11" x14ac:dyDescent="0.25">
      <c r="B4878" s="115" t="s">
        <v>1241</v>
      </c>
      <c r="D4878" s="115" t="s">
        <v>8710</v>
      </c>
      <c r="E4878" s="115" t="s">
        <v>1242</v>
      </c>
      <c r="F4878" s="115">
        <v>0</v>
      </c>
      <c r="G4878" s="115">
        <v>0</v>
      </c>
      <c r="H4878" s="115">
        <v>0</v>
      </c>
      <c r="I4878" s="115">
        <v>0</v>
      </c>
      <c r="J4878" s="115">
        <v>0</v>
      </c>
      <c r="K4878" s="115">
        <v>0</v>
      </c>
    </row>
    <row r="4879" spans="1:11" x14ac:dyDescent="0.25">
      <c r="A4879" s="115">
        <v>2</v>
      </c>
      <c r="B4879" s="115" t="s">
        <v>4786</v>
      </c>
      <c r="D4879" s="115" t="s">
        <v>11008</v>
      </c>
      <c r="E4879" s="115" t="s">
        <v>4787</v>
      </c>
      <c r="F4879" s="115">
        <v>0</v>
      </c>
      <c r="G4879" s="115">
        <v>0</v>
      </c>
      <c r="H4879" s="115">
        <v>486</v>
      </c>
      <c r="I4879" s="115">
        <v>4110</v>
      </c>
      <c r="J4879" s="115">
        <v>3607</v>
      </c>
      <c r="K4879" s="115">
        <v>18670</v>
      </c>
    </row>
    <row r="4880" spans="1:11" x14ac:dyDescent="0.25">
      <c r="A4880" s="115">
        <v>20</v>
      </c>
      <c r="B4880" s="115" t="s">
        <v>4788</v>
      </c>
      <c r="C4880" s="115">
        <v>2</v>
      </c>
      <c r="D4880" s="115" t="s">
        <v>11009</v>
      </c>
      <c r="E4880" s="115" t="s">
        <v>4789</v>
      </c>
      <c r="F4880" s="115">
        <v>-61</v>
      </c>
      <c r="G4880" s="115">
        <v>-635</v>
      </c>
      <c r="H4880" s="115">
        <v>9782</v>
      </c>
      <c r="I4880" s="115">
        <v>6133</v>
      </c>
      <c r="J4880" s="115">
        <v>27699</v>
      </c>
      <c r="K4880" s="115">
        <v>23869</v>
      </c>
    </row>
    <row r="4881" spans="1:11" x14ac:dyDescent="0.25">
      <c r="B4881" s="115">
        <f>-35  -1494</f>
        <v>-1529</v>
      </c>
      <c r="D4881" s="115" t="s">
        <v>11010</v>
      </c>
      <c r="E4881" s="115" t="s">
        <v>4790</v>
      </c>
      <c r="F4881" s="115">
        <v>2152</v>
      </c>
      <c r="G4881" s="115">
        <v>0</v>
      </c>
      <c r="H4881" s="115">
        <v>0</v>
      </c>
      <c r="I4881" s="115">
        <v>-12</v>
      </c>
      <c r="J4881" s="115">
        <v>0</v>
      </c>
      <c r="K4881" s="115">
        <v>0</v>
      </c>
    </row>
    <row r="4882" spans="1:11" x14ac:dyDescent="0.25">
      <c r="B4882" s="115" t="s">
        <v>4791</v>
      </c>
      <c r="D4882" s="115" t="s">
        <v>11011</v>
      </c>
      <c r="E4882" s="115" t="s">
        <v>4792</v>
      </c>
      <c r="F4882" s="115">
        <v>0</v>
      </c>
      <c r="G4882" s="115">
        <v>0</v>
      </c>
      <c r="H4882" s="115">
        <v>0</v>
      </c>
      <c r="I4882" s="115">
        <v>0</v>
      </c>
      <c r="J4882" s="115">
        <v>0</v>
      </c>
      <c r="K4882" s="115">
        <v>313</v>
      </c>
    </row>
    <row r="4883" spans="1:11" x14ac:dyDescent="0.25">
      <c r="B4883" s="115" t="s">
        <v>1241</v>
      </c>
      <c r="D4883" s="115" t="s">
        <v>11012</v>
      </c>
      <c r="E4883" s="115" t="s">
        <v>4793</v>
      </c>
      <c r="F4883" s="115">
        <v>-302</v>
      </c>
      <c r="G4883" s="115">
        <v>0</v>
      </c>
      <c r="H4883" s="115">
        <v>409</v>
      </c>
      <c r="I4883" s="115">
        <v>-112</v>
      </c>
      <c r="J4883" s="115">
        <v>-1</v>
      </c>
      <c r="K4883" s="115">
        <v>0</v>
      </c>
    </row>
    <row r="4884" spans="1:11" x14ac:dyDescent="0.25">
      <c r="A4884" s="115">
        <v>-1</v>
      </c>
      <c r="B4884" s="115" t="s">
        <v>4794</v>
      </c>
      <c r="D4884" s="115" t="s">
        <v>11013</v>
      </c>
      <c r="E4884" s="115" t="s">
        <v>4795</v>
      </c>
      <c r="F4884" s="115">
        <v>-187</v>
      </c>
      <c r="G4884" s="115">
        <v>-474</v>
      </c>
      <c r="H4884" s="115">
        <v>0</v>
      </c>
      <c r="I4884" s="115">
        <v>574</v>
      </c>
      <c r="J4884" s="115">
        <v>0</v>
      </c>
      <c r="K4884" s="115">
        <v>0</v>
      </c>
    </row>
    <row r="4885" spans="1:11" x14ac:dyDescent="0.25">
      <c r="B4885" s="115" t="s">
        <v>1241</v>
      </c>
      <c r="D4885" s="115" t="s">
        <v>11014</v>
      </c>
      <c r="E4885" s="115" t="s">
        <v>4796</v>
      </c>
      <c r="F4885" s="115">
        <v>0</v>
      </c>
      <c r="G4885" s="115">
        <v>0</v>
      </c>
      <c r="H4885" s="115">
        <v>0</v>
      </c>
      <c r="I4885" s="115">
        <v>-240</v>
      </c>
      <c r="J4885" s="115">
        <v>0</v>
      </c>
      <c r="K4885" s="115">
        <v>-259</v>
      </c>
    </row>
    <row r="4886" spans="1:11" x14ac:dyDescent="0.25">
      <c r="B4886" s="115" t="s">
        <v>1241</v>
      </c>
      <c r="D4886" s="115" t="s">
        <v>11015</v>
      </c>
      <c r="E4886" s="115" t="s">
        <v>4797</v>
      </c>
      <c r="F4886" s="115">
        <v>0</v>
      </c>
      <c r="G4886" s="115">
        <v>369</v>
      </c>
      <c r="H4886" s="115">
        <v>0</v>
      </c>
      <c r="I4886" s="115">
        <v>-1498</v>
      </c>
      <c r="J4886" s="115">
        <v>3141</v>
      </c>
      <c r="K4886" s="115">
        <v>0</v>
      </c>
    </row>
    <row r="4887" spans="1:11" x14ac:dyDescent="0.25">
      <c r="B4887" s="115" t="s">
        <v>1759</v>
      </c>
      <c r="C4887" s="115" t="s">
        <v>1239</v>
      </c>
      <c r="D4887" s="115" t="s">
        <v>11016</v>
      </c>
      <c r="E4887" s="115" t="s">
        <v>4798</v>
      </c>
      <c r="F4887" s="115">
        <v>701</v>
      </c>
      <c r="G4887" s="115">
        <v>0</v>
      </c>
      <c r="H4887" s="115">
        <v>0</v>
      </c>
      <c r="I4887" s="115">
        <v>0</v>
      </c>
      <c r="J4887" s="115">
        <v>0</v>
      </c>
      <c r="K4887" s="115">
        <v>-637</v>
      </c>
    </row>
    <row r="4888" spans="1:11" x14ac:dyDescent="0.25">
      <c r="B4888" s="115" t="s">
        <v>4799</v>
      </c>
      <c r="D4888" s="115" t="s">
        <v>11017</v>
      </c>
      <c r="E4888" s="115" t="s">
        <v>4800</v>
      </c>
      <c r="F4888" s="115">
        <v>-69</v>
      </c>
      <c r="G4888" s="115">
        <v>-17</v>
      </c>
      <c r="H4888" s="115">
        <v>0</v>
      </c>
      <c r="I4888" s="115">
        <v>-317</v>
      </c>
      <c r="J4888" s="115">
        <v>-794</v>
      </c>
      <c r="K4888" s="115">
        <v>-109</v>
      </c>
    </row>
    <row r="4889" spans="1:11" x14ac:dyDescent="0.25">
      <c r="A4889" s="115" t="s">
        <v>1239</v>
      </c>
      <c r="B4889" s="115" t="s">
        <v>4801</v>
      </c>
      <c r="D4889" s="115" t="s">
        <v>11018</v>
      </c>
      <c r="E4889" s="115" t="s">
        <v>4802</v>
      </c>
      <c r="F4889" s="115">
        <v>0</v>
      </c>
      <c r="G4889" s="115">
        <v>0</v>
      </c>
      <c r="H4889" s="115">
        <v>0</v>
      </c>
      <c r="I4889" s="115">
        <v>0</v>
      </c>
      <c r="J4889" s="115">
        <v>0</v>
      </c>
      <c r="K4889" s="115">
        <v>834</v>
      </c>
    </row>
    <row r="4890" spans="1:11" x14ac:dyDescent="0.25">
      <c r="B4890" s="115" t="s">
        <v>4803</v>
      </c>
      <c r="D4890" s="115" t="s">
        <v>11019</v>
      </c>
      <c r="E4890" s="115" t="s">
        <v>4804</v>
      </c>
      <c r="F4890" s="115">
        <v>0</v>
      </c>
      <c r="G4890" s="115">
        <v>559</v>
      </c>
      <c r="H4890" s="115">
        <v>-6395</v>
      </c>
      <c r="I4890" s="115">
        <v>275</v>
      </c>
      <c r="J4890" s="115">
        <v>478</v>
      </c>
      <c r="K4890" s="115">
        <v>-1211</v>
      </c>
    </row>
    <row r="4891" spans="1:11" x14ac:dyDescent="0.25">
      <c r="B4891" s="115" t="s">
        <v>4805</v>
      </c>
      <c r="D4891" s="115" t="s">
        <v>11020</v>
      </c>
      <c r="E4891" s="115" t="s">
        <v>4806</v>
      </c>
      <c r="F4891" s="115">
        <v>129</v>
      </c>
      <c r="G4891" s="115">
        <v>0</v>
      </c>
      <c r="H4891" s="115">
        <v>86</v>
      </c>
      <c r="I4891" s="115">
        <v>-1264</v>
      </c>
      <c r="J4891" s="115">
        <v>0</v>
      </c>
      <c r="K4891" s="115">
        <v>0</v>
      </c>
    </row>
    <row r="4892" spans="1:11" x14ac:dyDescent="0.25">
      <c r="B4892" s="115" t="s">
        <v>4807</v>
      </c>
      <c r="D4892" s="115" t="s">
        <v>11021</v>
      </c>
      <c r="E4892" s="115" t="s">
        <v>4808</v>
      </c>
      <c r="F4892" s="115">
        <v>110</v>
      </c>
      <c r="G4892" s="115">
        <v>487</v>
      </c>
      <c r="H4892" s="115">
        <v>161</v>
      </c>
      <c r="I4892" s="115">
        <v>9</v>
      </c>
      <c r="J4892" s="115">
        <v>0</v>
      </c>
      <c r="K4892" s="115">
        <v>0</v>
      </c>
    </row>
    <row r="4893" spans="1:11" x14ac:dyDescent="0.25">
      <c r="B4893" s="115" t="s">
        <v>1241</v>
      </c>
      <c r="D4893" s="115" t="s">
        <v>11022</v>
      </c>
      <c r="E4893" s="115" t="s">
        <v>4809</v>
      </c>
      <c r="F4893" s="115">
        <v>0</v>
      </c>
      <c r="G4893" s="115">
        <v>599</v>
      </c>
      <c r="H4893" s="115">
        <v>-231</v>
      </c>
      <c r="I4893" s="115">
        <v>106</v>
      </c>
      <c r="J4893" s="115">
        <v>0</v>
      </c>
      <c r="K4893" s="115">
        <v>-669</v>
      </c>
    </row>
    <row r="4894" spans="1:11" x14ac:dyDescent="0.25">
      <c r="A4894" s="115">
        <v>-4</v>
      </c>
      <c r="B4894" s="115" t="s">
        <v>4810</v>
      </c>
      <c r="D4894" s="115" t="s">
        <v>11023</v>
      </c>
      <c r="E4894" s="115" t="s">
        <v>4811</v>
      </c>
      <c r="F4894" s="115">
        <v>617</v>
      </c>
      <c r="G4894" s="115">
        <v>739</v>
      </c>
      <c r="H4894" s="115">
        <v>495</v>
      </c>
      <c r="I4894" s="115">
        <v>0</v>
      </c>
      <c r="J4894" s="115">
        <v>162</v>
      </c>
      <c r="K4894" s="115">
        <v>0</v>
      </c>
    </row>
    <row r="4895" spans="1:11" x14ac:dyDescent="0.25">
      <c r="B4895" s="115" t="s">
        <v>4812</v>
      </c>
      <c r="D4895" s="115" t="s">
        <v>11024</v>
      </c>
      <c r="E4895" s="115" t="s">
        <v>4813</v>
      </c>
      <c r="F4895" s="115">
        <v>-108</v>
      </c>
      <c r="G4895" s="115">
        <v>0</v>
      </c>
      <c r="H4895" s="115">
        <v>0</v>
      </c>
      <c r="I4895" s="115">
        <v>-9</v>
      </c>
      <c r="J4895" s="115">
        <v>0</v>
      </c>
      <c r="K4895" s="115">
        <v>71</v>
      </c>
    </row>
    <row r="4896" spans="1:11" x14ac:dyDescent="0.25">
      <c r="B4896" s="115">
        <f>-56    -99</f>
        <v>-155</v>
      </c>
      <c r="D4896" s="115" t="s">
        <v>11025</v>
      </c>
      <c r="E4896" s="115" t="s">
        <v>4814</v>
      </c>
      <c r="F4896" s="115">
        <v>0</v>
      </c>
      <c r="G4896" s="115">
        <v>0</v>
      </c>
      <c r="H4896" s="115">
        <v>0</v>
      </c>
      <c r="I4896" s="115">
        <v>1417</v>
      </c>
      <c r="J4896" s="115">
        <v>0</v>
      </c>
      <c r="K4896" s="115">
        <v>-1248</v>
      </c>
    </row>
    <row r="4897" spans="1:11" x14ac:dyDescent="0.25">
      <c r="B4897" s="115" t="s">
        <v>4815</v>
      </c>
      <c r="D4897" s="115" t="s">
        <v>11026</v>
      </c>
      <c r="E4897" s="115" t="s">
        <v>4816</v>
      </c>
      <c r="F4897" s="115">
        <v>-20685</v>
      </c>
      <c r="G4897" s="115">
        <v>630</v>
      </c>
      <c r="H4897" s="115">
        <v>0</v>
      </c>
      <c r="I4897" s="115">
        <v>0</v>
      </c>
      <c r="J4897" s="115">
        <v>0</v>
      </c>
      <c r="K4897" s="115">
        <v>-23715</v>
      </c>
    </row>
    <row r="4898" spans="1:11" x14ac:dyDescent="0.25">
      <c r="A4898" s="115">
        <v>-33</v>
      </c>
      <c r="B4898" s="115" t="s">
        <v>4817</v>
      </c>
      <c r="D4898" s="115" t="s">
        <v>11027</v>
      </c>
      <c r="E4898" s="115" t="s">
        <v>4818</v>
      </c>
      <c r="F4898" s="115">
        <v>0</v>
      </c>
      <c r="G4898" s="115">
        <v>-901</v>
      </c>
      <c r="H4898" s="115">
        <v>0</v>
      </c>
      <c r="I4898" s="115">
        <v>0</v>
      </c>
      <c r="J4898" s="115">
        <v>-471</v>
      </c>
      <c r="K4898" s="115">
        <v>0</v>
      </c>
    </row>
    <row r="4899" spans="1:11" x14ac:dyDescent="0.25">
      <c r="A4899" s="115">
        <v>-2</v>
      </c>
      <c r="B4899" s="115" t="s">
        <v>4819</v>
      </c>
      <c r="D4899" s="115" t="s">
        <v>11028</v>
      </c>
      <c r="E4899" s="115" t="s">
        <v>1242</v>
      </c>
      <c r="F4899" s="115">
        <v>0</v>
      </c>
      <c r="G4899" s="115">
        <v>0</v>
      </c>
      <c r="H4899" s="115">
        <v>0</v>
      </c>
      <c r="I4899" s="115">
        <v>0</v>
      </c>
      <c r="J4899" s="115">
        <v>0</v>
      </c>
      <c r="K4899" s="115">
        <v>0</v>
      </c>
    </row>
    <row r="4900" spans="1:11" x14ac:dyDescent="0.25">
      <c r="B4900" s="115" t="s">
        <v>4820</v>
      </c>
      <c r="D4900" s="115" t="s">
        <v>11029</v>
      </c>
      <c r="E4900" s="115" t="s">
        <v>4821</v>
      </c>
      <c r="F4900" s="115">
        <v>2504</v>
      </c>
      <c r="G4900" s="115">
        <v>-952</v>
      </c>
      <c r="H4900" s="115">
        <v>0</v>
      </c>
      <c r="I4900" s="115">
        <v>398</v>
      </c>
      <c r="J4900" s="115">
        <v>3031</v>
      </c>
      <c r="K4900" s="115">
        <v>0</v>
      </c>
    </row>
    <row r="4901" spans="1:11" x14ac:dyDescent="0.25">
      <c r="B4901" s="115" t="s">
        <v>1241</v>
      </c>
      <c r="D4901" s="115" t="s">
        <v>11030</v>
      </c>
      <c r="E4901" s="115" t="s">
        <v>4822</v>
      </c>
      <c r="F4901" s="115">
        <v>2770</v>
      </c>
      <c r="G4901" s="115">
        <v>219</v>
      </c>
      <c r="H4901" s="115">
        <v>-2100</v>
      </c>
      <c r="I4901" s="115">
        <v>-1731</v>
      </c>
      <c r="J4901" s="115">
        <v>-734</v>
      </c>
      <c r="K4901" s="115">
        <v>-4312</v>
      </c>
    </row>
    <row r="4902" spans="1:11" x14ac:dyDescent="0.25">
      <c r="B4902" s="115" t="s">
        <v>1241</v>
      </c>
      <c r="D4902" s="115" t="s">
        <v>11031</v>
      </c>
      <c r="E4902" s="115" t="s">
        <v>4823</v>
      </c>
      <c r="F4902" s="115">
        <v>-966</v>
      </c>
      <c r="G4902" s="115">
        <v>0</v>
      </c>
      <c r="H4902" s="115">
        <v>-155</v>
      </c>
      <c r="I4902" s="115">
        <v>0</v>
      </c>
      <c r="J4902" s="115">
        <v>0</v>
      </c>
      <c r="K4902" s="115">
        <v>-2415</v>
      </c>
    </row>
    <row r="4903" spans="1:11" x14ac:dyDescent="0.25">
      <c r="B4903" s="115" t="s">
        <v>4824</v>
      </c>
      <c r="D4903" s="115" t="s">
        <v>11032</v>
      </c>
      <c r="E4903" s="115" t="s">
        <v>4825</v>
      </c>
      <c r="F4903" s="115">
        <v>0</v>
      </c>
      <c r="G4903" s="115">
        <v>2021</v>
      </c>
      <c r="H4903" s="115">
        <v>0</v>
      </c>
      <c r="I4903" s="115">
        <v>-891</v>
      </c>
      <c r="J4903" s="115">
        <v>-1560</v>
      </c>
      <c r="K4903" s="115">
        <v>-814</v>
      </c>
    </row>
    <row r="4904" spans="1:11" x14ac:dyDescent="0.25">
      <c r="A4904" s="115">
        <v>-3</v>
      </c>
      <c r="B4904" s="115" t="s">
        <v>4826</v>
      </c>
      <c r="C4904" s="115" t="s">
        <v>1239</v>
      </c>
      <c r="D4904" s="115" t="s">
        <v>11033</v>
      </c>
      <c r="E4904" s="115" t="s">
        <v>4827</v>
      </c>
      <c r="F4904" s="115">
        <v>-688</v>
      </c>
      <c r="G4904" s="115">
        <v>2936</v>
      </c>
      <c r="H4904" s="115">
        <v>2689</v>
      </c>
      <c r="I4904" s="115">
        <v>0</v>
      </c>
      <c r="J4904" s="115">
        <v>0</v>
      </c>
      <c r="K4904" s="115">
        <v>0</v>
      </c>
    </row>
    <row r="4905" spans="1:11" x14ac:dyDescent="0.25">
      <c r="B4905" s="115" t="s">
        <v>1241</v>
      </c>
      <c r="D4905" s="115" t="s">
        <v>11034</v>
      </c>
      <c r="E4905" s="115" t="s">
        <v>4828</v>
      </c>
      <c r="F4905" s="115">
        <v>581</v>
      </c>
      <c r="G4905" s="115">
        <v>-129</v>
      </c>
      <c r="H4905" s="115">
        <v>2066</v>
      </c>
      <c r="I4905" s="115">
        <v>-59</v>
      </c>
      <c r="J4905" s="115">
        <v>670</v>
      </c>
      <c r="K4905" s="115">
        <v>107</v>
      </c>
    </row>
    <row r="4906" spans="1:11" x14ac:dyDescent="0.25">
      <c r="B4906" s="115" t="s">
        <v>1241</v>
      </c>
      <c r="C4906" s="115" t="s">
        <v>1239</v>
      </c>
      <c r="D4906" s="115" t="s">
        <v>11035</v>
      </c>
      <c r="E4906" s="115" t="s">
        <v>4829</v>
      </c>
      <c r="F4906" s="115">
        <v>437</v>
      </c>
      <c r="G4906" s="115">
        <v>-945</v>
      </c>
      <c r="H4906" s="115">
        <v>0</v>
      </c>
      <c r="I4906" s="115">
        <v>0</v>
      </c>
      <c r="J4906" s="115">
        <v>0</v>
      </c>
      <c r="K4906" s="115">
        <v>0</v>
      </c>
    </row>
    <row r="4907" spans="1:11" x14ac:dyDescent="0.25">
      <c r="A4907" s="115">
        <v>5</v>
      </c>
      <c r="B4907" s="115" t="s">
        <v>4830</v>
      </c>
      <c r="C4907" s="115" t="s">
        <v>1239</v>
      </c>
      <c r="D4907" s="115" t="s">
        <v>11036</v>
      </c>
      <c r="E4907" s="115" t="s">
        <v>1242</v>
      </c>
      <c r="F4907" s="115">
        <v>0</v>
      </c>
      <c r="G4907" s="115">
        <v>0</v>
      </c>
      <c r="H4907" s="115">
        <v>0</v>
      </c>
      <c r="I4907" s="115">
        <v>0</v>
      </c>
      <c r="J4907" s="115">
        <v>0</v>
      </c>
      <c r="K4907" s="115">
        <v>0</v>
      </c>
    </row>
    <row r="4908" spans="1:11" x14ac:dyDescent="0.25">
      <c r="B4908" s="115" t="s">
        <v>1241</v>
      </c>
      <c r="D4908" s="115" t="s">
        <v>11037</v>
      </c>
      <c r="E4908" s="115" t="s">
        <v>4831</v>
      </c>
      <c r="F4908" s="115">
        <v>0</v>
      </c>
      <c r="G4908" s="115">
        <v>0</v>
      </c>
      <c r="H4908" s="115">
        <v>0</v>
      </c>
      <c r="I4908" s="115">
        <v>0</v>
      </c>
      <c r="J4908" s="115">
        <v>0</v>
      </c>
      <c r="K4908" s="115">
        <v>2423</v>
      </c>
    </row>
    <row r="4909" spans="1:11" x14ac:dyDescent="0.25">
      <c r="B4909" s="115" t="s">
        <v>1241</v>
      </c>
      <c r="D4909" s="115" t="s">
        <v>11038</v>
      </c>
      <c r="E4909" s="115" t="s">
        <v>4832</v>
      </c>
      <c r="F4909" s="115">
        <v>0</v>
      </c>
      <c r="G4909" s="115">
        <v>269</v>
      </c>
      <c r="H4909" s="115">
        <v>3206</v>
      </c>
      <c r="I4909" s="115">
        <v>1178</v>
      </c>
      <c r="J4909" s="115">
        <v>16122</v>
      </c>
      <c r="K4909" s="115">
        <v>19145</v>
      </c>
    </row>
    <row r="4910" spans="1:11" x14ac:dyDescent="0.25">
      <c r="A4910" s="115">
        <v>19</v>
      </c>
      <c r="B4910" s="115" t="s">
        <v>4833</v>
      </c>
      <c r="C4910" s="115" t="s">
        <v>1239</v>
      </c>
      <c r="D4910" s="115" t="s">
        <v>11039</v>
      </c>
      <c r="E4910" s="115" t="s">
        <v>4834</v>
      </c>
      <c r="F4910" s="115">
        <v>-197</v>
      </c>
      <c r="G4910" s="115">
        <v>7032</v>
      </c>
      <c r="H4910" s="115">
        <v>-119</v>
      </c>
      <c r="I4910" s="115">
        <v>20484</v>
      </c>
      <c r="J4910" s="115">
        <v>22739</v>
      </c>
      <c r="K4910" s="115">
        <v>22748</v>
      </c>
    </row>
    <row r="4911" spans="1:11" x14ac:dyDescent="0.25">
      <c r="A4911" s="115">
        <v>1</v>
      </c>
      <c r="B4911" s="115" t="s">
        <v>4835</v>
      </c>
      <c r="D4911" s="115" t="s">
        <v>11040</v>
      </c>
      <c r="E4911" s="115" t="s">
        <v>4836</v>
      </c>
      <c r="F4911" s="115">
        <v>-1237</v>
      </c>
      <c r="G4911" s="115">
        <v>0</v>
      </c>
      <c r="H4911" s="115">
        <v>0</v>
      </c>
      <c r="I4911" s="115">
        <v>358</v>
      </c>
      <c r="J4911" s="115">
        <v>0</v>
      </c>
      <c r="K4911" s="115">
        <v>0</v>
      </c>
    </row>
    <row r="4912" spans="1:11" x14ac:dyDescent="0.25">
      <c r="B4912" s="115" t="s">
        <v>4837</v>
      </c>
      <c r="D4912" s="115" t="s">
        <v>11041</v>
      </c>
      <c r="E4912" s="115" t="s">
        <v>4838</v>
      </c>
      <c r="F4912" s="115">
        <v>0</v>
      </c>
      <c r="G4912" s="115">
        <v>0</v>
      </c>
      <c r="H4912" s="115">
        <v>0</v>
      </c>
      <c r="I4912" s="115">
        <v>0</v>
      </c>
      <c r="J4912" s="115">
        <v>0</v>
      </c>
      <c r="K4912" s="115">
        <v>-69</v>
      </c>
    </row>
    <row r="4913" spans="1:11" x14ac:dyDescent="0.25">
      <c r="B4913" s="115" t="s">
        <v>1241</v>
      </c>
      <c r="D4913" s="115" t="s">
        <v>11042</v>
      </c>
      <c r="E4913" s="115" t="s">
        <v>4839</v>
      </c>
      <c r="F4913" s="115">
        <v>-2488</v>
      </c>
      <c r="G4913" s="115">
        <v>0</v>
      </c>
      <c r="H4913" s="115">
        <v>-405</v>
      </c>
      <c r="I4913" s="115">
        <v>-599</v>
      </c>
      <c r="J4913" s="115">
        <v>-244</v>
      </c>
      <c r="K4913" s="115">
        <v>0</v>
      </c>
    </row>
    <row r="4914" spans="1:11" x14ac:dyDescent="0.25">
      <c r="A4914" s="115">
        <v>-7</v>
      </c>
      <c r="B4914" s="115" t="s">
        <v>4840</v>
      </c>
      <c r="C4914" s="115" t="s">
        <v>1239</v>
      </c>
      <c r="D4914" s="115" t="s">
        <v>11043</v>
      </c>
      <c r="E4914" s="115" t="s">
        <v>4841</v>
      </c>
      <c r="F4914" s="115">
        <v>1617</v>
      </c>
      <c r="G4914" s="115">
        <v>2334</v>
      </c>
      <c r="H4914" s="115">
        <v>0</v>
      </c>
      <c r="I4914" s="115">
        <v>1363</v>
      </c>
      <c r="J4914" s="115">
        <v>0</v>
      </c>
      <c r="K4914" s="115">
        <v>0</v>
      </c>
    </row>
    <row r="4915" spans="1:11" x14ac:dyDescent="0.25">
      <c r="B4915" s="115" t="s">
        <v>1241</v>
      </c>
      <c r="D4915" s="115" t="s">
        <v>11044</v>
      </c>
      <c r="E4915" s="115" t="s">
        <v>4842</v>
      </c>
      <c r="F4915" s="115">
        <v>0</v>
      </c>
      <c r="G4915" s="115">
        <v>0</v>
      </c>
      <c r="H4915" s="115">
        <v>0</v>
      </c>
      <c r="I4915" s="115">
        <v>509</v>
      </c>
      <c r="J4915" s="115">
        <v>0</v>
      </c>
      <c r="K4915" s="115">
        <v>1509</v>
      </c>
    </row>
    <row r="4916" spans="1:11" x14ac:dyDescent="0.25">
      <c r="B4916" s="115" t="s">
        <v>1241</v>
      </c>
      <c r="D4916" s="115" t="s">
        <v>11045</v>
      </c>
      <c r="E4916" s="115" t="s">
        <v>4843</v>
      </c>
      <c r="F4916" s="115">
        <v>0</v>
      </c>
      <c r="G4916" s="115">
        <v>9214</v>
      </c>
      <c r="H4916" s="115">
        <v>0</v>
      </c>
      <c r="I4916" s="115">
        <v>8910</v>
      </c>
      <c r="J4916" s="115">
        <v>4170</v>
      </c>
      <c r="K4916" s="115">
        <v>0</v>
      </c>
    </row>
    <row r="4917" spans="1:11" x14ac:dyDescent="0.25">
      <c r="B4917" s="115" t="s">
        <v>4844</v>
      </c>
      <c r="D4917" s="115" t="s">
        <v>11046</v>
      </c>
      <c r="E4917" s="115" t="s">
        <v>4845</v>
      </c>
      <c r="F4917" s="115">
        <v>304</v>
      </c>
      <c r="G4917" s="115">
        <v>0</v>
      </c>
      <c r="H4917" s="115">
        <v>0</v>
      </c>
      <c r="I4917" s="115">
        <v>0</v>
      </c>
      <c r="J4917" s="115">
        <v>0</v>
      </c>
      <c r="K4917" s="115">
        <v>5321</v>
      </c>
    </row>
    <row r="4918" spans="1:11" x14ac:dyDescent="0.25">
      <c r="A4918" s="115">
        <v>-1</v>
      </c>
      <c r="B4918" s="115" t="s">
        <v>4846</v>
      </c>
      <c r="D4918" s="115" t="s">
        <v>11047</v>
      </c>
      <c r="E4918" s="115" t="s">
        <v>4847</v>
      </c>
      <c r="F4918" s="115">
        <v>194</v>
      </c>
      <c r="G4918" s="115">
        <v>232</v>
      </c>
      <c r="H4918" s="115">
        <v>0</v>
      </c>
      <c r="I4918" s="115">
        <v>886</v>
      </c>
      <c r="J4918" s="115">
        <v>611</v>
      </c>
      <c r="K4918" s="115">
        <v>186</v>
      </c>
    </row>
    <row r="4919" spans="1:11" x14ac:dyDescent="0.25">
      <c r="B4919" s="115" t="s">
        <v>4848</v>
      </c>
      <c r="D4919" s="115" t="s">
        <v>11048</v>
      </c>
      <c r="E4919" s="115" t="s">
        <v>4849</v>
      </c>
      <c r="F4919" s="115">
        <v>0</v>
      </c>
      <c r="G4919" s="115">
        <v>0</v>
      </c>
      <c r="H4919" s="115">
        <v>0</v>
      </c>
      <c r="I4919" s="115">
        <v>0</v>
      </c>
      <c r="J4919" s="115">
        <v>0</v>
      </c>
      <c r="K4919" s="115">
        <v>-1374</v>
      </c>
    </row>
    <row r="4920" spans="1:11" x14ac:dyDescent="0.25">
      <c r="B4920" s="115" t="s">
        <v>4850</v>
      </c>
      <c r="D4920" s="115" t="s">
        <v>11049</v>
      </c>
      <c r="E4920" s="115" t="s">
        <v>4851</v>
      </c>
      <c r="F4920" s="115">
        <v>0</v>
      </c>
      <c r="G4920" s="115">
        <v>541</v>
      </c>
      <c r="H4920" s="115">
        <v>5131</v>
      </c>
      <c r="I4920" s="115">
        <v>-182</v>
      </c>
      <c r="J4920" s="115">
        <v>4</v>
      </c>
      <c r="K4920" s="115">
        <v>1300</v>
      </c>
    </row>
    <row r="4921" spans="1:11" x14ac:dyDescent="0.25">
      <c r="B4921" s="115" t="s">
        <v>4852</v>
      </c>
      <c r="C4921" s="115" t="s">
        <v>1239</v>
      </c>
      <c r="D4921" s="115" t="s">
        <v>11050</v>
      </c>
      <c r="E4921" s="115" t="s">
        <v>4853</v>
      </c>
      <c r="F4921" s="115">
        <v>-585</v>
      </c>
      <c r="G4921" s="115">
        <v>0</v>
      </c>
      <c r="H4921" s="115">
        <v>820</v>
      </c>
      <c r="I4921" s="115">
        <v>-451</v>
      </c>
      <c r="J4921" s="115">
        <v>0</v>
      </c>
      <c r="K4921" s="115">
        <v>0</v>
      </c>
    </row>
    <row r="4922" spans="1:11" x14ac:dyDescent="0.25">
      <c r="B4922" s="115" t="s">
        <v>4854</v>
      </c>
      <c r="D4922" s="115" t="s">
        <v>11051</v>
      </c>
      <c r="E4922" s="115" t="s">
        <v>4855</v>
      </c>
      <c r="F4922" s="115">
        <v>-42</v>
      </c>
      <c r="G4922" s="115">
        <v>-539</v>
      </c>
      <c r="H4922" s="115">
        <v>-308</v>
      </c>
      <c r="I4922" s="115">
        <v>-156</v>
      </c>
      <c r="J4922" s="115">
        <v>0</v>
      </c>
      <c r="K4922" s="115">
        <v>0</v>
      </c>
    </row>
    <row r="4923" spans="1:11" x14ac:dyDescent="0.25">
      <c r="B4923" s="115" t="s">
        <v>1241</v>
      </c>
      <c r="D4923" s="115" t="s">
        <v>11052</v>
      </c>
      <c r="E4923" s="115" t="s">
        <v>4856</v>
      </c>
      <c r="F4923" s="115">
        <v>0</v>
      </c>
      <c r="G4923" s="115">
        <v>-1071</v>
      </c>
      <c r="H4923" s="115">
        <v>-659</v>
      </c>
      <c r="I4923" s="115">
        <v>-111</v>
      </c>
      <c r="J4923" s="115">
        <v>0</v>
      </c>
      <c r="K4923" s="115">
        <v>589</v>
      </c>
    </row>
    <row r="4924" spans="1:11" x14ac:dyDescent="0.25">
      <c r="A4924" s="115">
        <v>5</v>
      </c>
      <c r="B4924" s="115" t="s">
        <v>4857</v>
      </c>
      <c r="C4924" s="115" t="s">
        <v>1239</v>
      </c>
      <c r="D4924" s="115" t="s">
        <v>11053</v>
      </c>
      <c r="E4924" s="115" t="s">
        <v>4858</v>
      </c>
      <c r="F4924" s="115">
        <v>-1082</v>
      </c>
      <c r="G4924" s="115">
        <v>-3598</v>
      </c>
      <c r="H4924" s="115">
        <v>-3039</v>
      </c>
      <c r="I4924" s="115">
        <v>0</v>
      </c>
      <c r="J4924" s="115">
        <v>-602</v>
      </c>
      <c r="K4924" s="115">
        <v>0</v>
      </c>
    </row>
    <row r="4925" spans="1:11" x14ac:dyDescent="0.25">
      <c r="B4925" s="115" t="s">
        <v>4859</v>
      </c>
      <c r="D4925" s="115" t="s">
        <v>11054</v>
      </c>
      <c r="E4925" s="115" t="s">
        <v>4860</v>
      </c>
      <c r="F4925" s="115">
        <v>-37</v>
      </c>
      <c r="G4925" s="115">
        <v>0</v>
      </c>
      <c r="H4925" s="115">
        <v>0</v>
      </c>
      <c r="I4925" s="115">
        <v>-217</v>
      </c>
      <c r="J4925" s="115">
        <v>0</v>
      </c>
      <c r="K4925" s="115">
        <v>-722</v>
      </c>
    </row>
    <row r="4926" spans="1:11" x14ac:dyDescent="0.25">
      <c r="A4926" s="115" t="s">
        <v>1239</v>
      </c>
      <c r="B4926" s="115" t="s">
        <v>4861</v>
      </c>
      <c r="D4926" s="115" t="s">
        <v>11055</v>
      </c>
      <c r="E4926" s="115" t="s">
        <v>4862</v>
      </c>
      <c r="F4926" s="115">
        <v>0</v>
      </c>
      <c r="G4926" s="115">
        <v>0</v>
      </c>
      <c r="H4926" s="115">
        <v>0</v>
      </c>
      <c r="I4926" s="115">
        <v>760</v>
      </c>
      <c r="J4926" s="115">
        <v>0</v>
      </c>
      <c r="K4926" s="115">
        <v>-1522</v>
      </c>
    </row>
    <row r="4927" spans="1:11" x14ac:dyDescent="0.25">
      <c r="A4927" s="115" t="s">
        <v>1239</v>
      </c>
      <c r="B4927" s="115" t="s">
        <v>4863</v>
      </c>
      <c r="D4927" s="115" t="s">
        <v>11056</v>
      </c>
      <c r="E4927" s="115" t="s">
        <v>4864</v>
      </c>
      <c r="F4927" s="115">
        <v>5354</v>
      </c>
      <c r="G4927" s="115">
        <v>206</v>
      </c>
      <c r="H4927" s="115">
        <v>0</v>
      </c>
      <c r="I4927" s="115">
        <v>0</v>
      </c>
      <c r="J4927" s="115">
        <v>0</v>
      </c>
      <c r="K4927" s="115">
        <v>-4003</v>
      </c>
    </row>
    <row r="4928" spans="1:11" x14ac:dyDescent="0.25">
      <c r="A4928" s="115">
        <v>-3</v>
      </c>
      <c r="B4928" s="115" t="s">
        <v>4865</v>
      </c>
      <c r="D4928" s="115" t="s">
        <v>11057</v>
      </c>
      <c r="E4928" s="115" t="s">
        <v>4866</v>
      </c>
      <c r="F4928" s="115">
        <v>0</v>
      </c>
      <c r="G4928" s="115">
        <v>-538</v>
      </c>
      <c r="H4928" s="115">
        <v>0</v>
      </c>
      <c r="I4928" s="115">
        <v>0</v>
      </c>
      <c r="J4928" s="115">
        <v>121</v>
      </c>
      <c r="K4928" s="115">
        <v>0</v>
      </c>
    </row>
    <row r="4929" spans="1:11" x14ac:dyDescent="0.25">
      <c r="B4929" s="115" t="s">
        <v>1400</v>
      </c>
      <c r="D4929" s="115" t="s">
        <v>11058</v>
      </c>
      <c r="E4929" s="115" t="s">
        <v>1242</v>
      </c>
      <c r="F4929" s="115">
        <v>0</v>
      </c>
      <c r="G4929" s="115">
        <v>0</v>
      </c>
      <c r="H4929" s="115">
        <v>0</v>
      </c>
      <c r="I4929" s="115">
        <v>0</v>
      </c>
      <c r="J4929" s="115">
        <v>0</v>
      </c>
      <c r="K4929" s="115">
        <v>0</v>
      </c>
    </row>
    <row r="4930" spans="1:11" x14ac:dyDescent="0.25">
      <c r="B4930" s="115" t="s">
        <v>4867</v>
      </c>
      <c r="D4930" s="115" t="s">
        <v>11059</v>
      </c>
      <c r="E4930" s="115" t="s">
        <v>4868</v>
      </c>
      <c r="F4930" s="115">
        <v>-351</v>
      </c>
      <c r="G4930" s="115">
        <v>109</v>
      </c>
      <c r="H4930" s="115">
        <v>0</v>
      </c>
      <c r="I4930" s="115">
        <v>5849</v>
      </c>
      <c r="J4930" s="115">
        <v>-3100</v>
      </c>
      <c r="K4930" s="115">
        <v>0</v>
      </c>
    </row>
    <row r="4931" spans="1:11" x14ac:dyDescent="0.25">
      <c r="B4931" s="115" t="s">
        <v>1241</v>
      </c>
      <c r="D4931" s="115" t="s">
        <v>11060</v>
      </c>
      <c r="E4931" s="115">
        <f>-722  -1396  -1179  -1551   -929</f>
        <v>-5777</v>
      </c>
      <c r="F4931" s="115">
        <v>-17021</v>
      </c>
      <c r="G4931" s="115">
        <v>-722</v>
      </c>
      <c r="H4931" s="115">
        <v>-1396</v>
      </c>
      <c r="I4931" s="115">
        <v>-1179</v>
      </c>
      <c r="J4931" s="115">
        <v>-1551</v>
      </c>
      <c r="K4931" s="115">
        <v>-929</v>
      </c>
    </row>
    <row r="4932" spans="1:11" x14ac:dyDescent="0.25">
      <c r="B4932" s="115" t="s">
        <v>1241</v>
      </c>
      <c r="D4932" s="115" t="s">
        <v>11061</v>
      </c>
      <c r="E4932" s="115" t="s">
        <v>4869</v>
      </c>
      <c r="F4932" s="115">
        <v>1516</v>
      </c>
      <c r="G4932" s="115">
        <v>0</v>
      </c>
      <c r="H4932" s="115">
        <v>967</v>
      </c>
      <c r="I4932" s="115">
        <v>0</v>
      </c>
      <c r="J4932" s="115">
        <v>0</v>
      </c>
      <c r="K4932" s="115">
        <v>3097</v>
      </c>
    </row>
    <row r="4933" spans="1:11" x14ac:dyDescent="0.25">
      <c r="B4933" s="115" t="s">
        <v>1354</v>
      </c>
      <c r="D4933" s="115" t="s">
        <v>11062</v>
      </c>
      <c r="E4933" s="115" t="s">
        <v>4870</v>
      </c>
      <c r="F4933" s="115">
        <v>0</v>
      </c>
      <c r="G4933" s="115">
        <v>-3670</v>
      </c>
      <c r="H4933" s="115">
        <v>0</v>
      </c>
      <c r="I4933" s="115">
        <v>4298</v>
      </c>
      <c r="J4933" s="115">
        <v>-461</v>
      </c>
      <c r="K4933" s="115">
        <v>-3892</v>
      </c>
    </row>
    <row r="4934" spans="1:11" x14ac:dyDescent="0.25">
      <c r="A4934" s="115">
        <v>3</v>
      </c>
      <c r="B4934" s="115" t="s">
        <v>4871</v>
      </c>
      <c r="D4934" s="115" t="s">
        <v>11063</v>
      </c>
      <c r="E4934" s="115" t="s">
        <v>4872</v>
      </c>
      <c r="F4934" s="115">
        <v>1991</v>
      </c>
      <c r="G4934" s="115">
        <v>3501</v>
      </c>
      <c r="H4934" s="115">
        <v>2283</v>
      </c>
      <c r="I4934" s="115">
        <v>0</v>
      </c>
      <c r="J4934" s="115">
        <v>0</v>
      </c>
      <c r="K4934" s="115">
        <v>0</v>
      </c>
    </row>
    <row r="4935" spans="1:11" x14ac:dyDescent="0.25">
      <c r="B4935" s="115" t="s">
        <v>1241</v>
      </c>
      <c r="D4935" s="115" t="s">
        <v>11064</v>
      </c>
      <c r="E4935" s="115" t="s">
        <v>4873</v>
      </c>
      <c r="F4935" s="115">
        <v>-1</v>
      </c>
      <c r="G4935" s="115">
        <v>77</v>
      </c>
      <c r="H4935" s="115">
        <v>-657</v>
      </c>
      <c r="I4935" s="115">
        <v>238</v>
      </c>
      <c r="J4935" s="115">
        <v>-445</v>
      </c>
      <c r="K4935" s="115">
        <v>842</v>
      </c>
    </row>
    <row r="4936" spans="1:11" x14ac:dyDescent="0.25">
      <c r="B4936" s="115" t="s">
        <v>1241</v>
      </c>
      <c r="D4936" s="115" t="s">
        <v>11065</v>
      </c>
      <c r="E4936" s="115" t="s">
        <v>4874</v>
      </c>
      <c r="F4936" s="115">
        <v>233</v>
      </c>
      <c r="G4936" s="115">
        <v>-2219</v>
      </c>
      <c r="H4936" s="115">
        <v>0</v>
      </c>
      <c r="I4936" s="115">
        <v>0</v>
      </c>
      <c r="J4936" s="115">
        <v>0</v>
      </c>
      <c r="K4936" s="115">
        <v>0</v>
      </c>
    </row>
    <row r="4937" spans="1:11" x14ac:dyDescent="0.25">
      <c r="A4937" s="115">
        <v>-5</v>
      </c>
      <c r="B4937" s="115" t="s">
        <v>2335</v>
      </c>
      <c r="D4937" s="115" t="s">
        <v>11066</v>
      </c>
      <c r="E4937" s="115" t="s">
        <v>1242</v>
      </c>
      <c r="F4937" s="115">
        <v>0</v>
      </c>
      <c r="G4937" s="115">
        <v>0</v>
      </c>
      <c r="H4937" s="115">
        <v>0</v>
      </c>
      <c r="I4937" s="115">
        <v>0</v>
      </c>
      <c r="J4937" s="115">
        <v>0</v>
      </c>
      <c r="K4937" s="115">
        <v>0</v>
      </c>
    </row>
    <row r="4938" spans="1:11" x14ac:dyDescent="0.25">
      <c r="B4938" s="115" t="s">
        <v>1241</v>
      </c>
      <c r="D4938" s="115" t="s">
        <v>11067</v>
      </c>
      <c r="E4938" s="115" t="s">
        <v>4875</v>
      </c>
      <c r="F4938" s="115">
        <v>0</v>
      </c>
      <c r="G4938" s="115">
        <v>0</v>
      </c>
      <c r="H4938" s="115">
        <v>0</v>
      </c>
      <c r="I4938" s="115">
        <v>0</v>
      </c>
      <c r="J4938" s="115">
        <v>0</v>
      </c>
      <c r="K4938" s="115">
        <v>-4151</v>
      </c>
    </row>
    <row r="4939" spans="1:11" x14ac:dyDescent="0.25">
      <c r="B4939" s="115" t="s">
        <v>1241</v>
      </c>
      <c r="D4939" s="115" t="s">
        <v>11068</v>
      </c>
      <c r="E4939" s="115" t="s">
        <v>4876</v>
      </c>
      <c r="F4939" s="115">
        <v>0</v>
      </c>
      <c r="G4939" s="115">
        <v>-1226</v>
      </c>
      <c r="H4939" s="115">
        <v>437</v>
      </c>
      <c r="I4939" s="115">
        <v>-839</v>
      </c>
      <c r="J4939" s="115">
        <v>-6179</v>
      </c>
      <c r="K4939" s="115">
        <v>-9436</v>
      </c>
    </row>
    <row r="4940" spans="1:11" x14ac:dyDescent="0.25">
      <c r="A4940" s="115">
        <v>-10</v>
      </c>
      <c r="B4940" s="115" t="s">
        <v>4877</v>
      </c>
      <c r="C4940" s="115">
        <v>1</v>
      </c>
      <c r="D4940" s="115" t="s">
        <v>11069</v>
      </c>
      <c r="E4940" s="115" t="s">
        <v>4878</v>
      </c>
      <c r="F4940" s="115">
        <v>-47718</v>
      </c>
      <c r="G4940" s="115">
        <v>-13664</v>
      </c>
      <c r="H4940" s="115">
        <v>-7074</v>
      </c>
      <c r="I4940" s="115">
        <v>-33137</v>
      </c>
      <c r="J4940" s="115">
        <v>-34466</v>
      </c>
      <c r="K4940" s="115">
        <v>-33437</v>
      </c>
    </row>
    <row r="4941" spans="1:11" x14ac:dyDescent="0.25">
      <c r="A4941" s="115">
        <v>-24</v>
      </c>
      <c r="B4941" s="115" t="s">
        <v>3415</v>
      </c>
      <c r="D4941" s="115" t="s">
        <v>8710</v>
      </c>
      <c r="E4941" s="115" t="s">
        <v>1242</v>
      </c>
      <c r="F4941" s="115">
        <v>0</v>
      </c>
      <c r="G4941" s="115">
        <v>0</v>
      </c>
      <c r="H4941" s="115">
        <v>0</v>
      </c>
      <c r="I4941" s="115">
        <v>0</v>
      </c>
      <c r="J4941" s="115">
        <v>0</v>
      </c>
      <c r="K4941" s="115">
        <v>0</v>
      </c>
    </row>
    <row r="4942" spans="1:11" x14ac:dyDescent="0.25">
      <c r="B4942" s="115" t="s">
        <v>1241</v>
      </c>
      <c r="D4942" s="115" t="s">
        <v>8710</v>
      </c>
      <c r="E4942" s="115" t="s">
        <v>1242</v>
      </c>
      <c r="F4942" s="115">
        <v>0</v>
      </c>
      <c r="G4942" s="115">
        <v>0</v>
      </c>
      <c r="H4942" s="115">
        <v>0</v>
      </c>
      <c r="I4942" s="115">
        <v>0</v>
      </c>
      <c r="J4942" s="115">
        <v>0</v>
      </c>
      <c r="K4942" s="115">
        <v>0</v>
      </c>
    </row>
    <row r="4943" spans="1:11" x14ac:dyDescent="0.25">
      <c r="B4943" s="115" t="s">
        <v>1241</v>
      </c>
      <c r="D4943" s="115" t="s">
        <v>8710</v>
      </c>
      <c r="E4943" s="115" t="s">
        <v>1242</v>
      </c>
      <c r="F4943" s="115">
        <v>0</v>
      </c>
      <c r="G4943" s="115">
        <v>0</v>
      </c>
      <c r="H4943" s="115">
        <v>0</v>
      </c>
      <c r="I4943" s="115">
        <v>0</v>
      </c>
      <c r="J4943" s="115">
        <v>0</v>
      </c>
      <c r="K4943" s="115">
        <v>0</v>
      </c>
    </row>
    <row r="4944" spans="1:11" x14ac:dyDescent="0.25">
      <c r="B4944" s="115" t="s">
        <v>1241</v>
      </c>
      <c r="D4944" s="115" t="s">
        <v>8710</v>
      </c>
      <c r="E4944" s="115" t="s">
        <v>1242</v>
      </c>
      <c r="F4944" s="115">
        <v>0</v>
      </c>
      <c r="G4944" s="115">
        <v>0</v>
      </c>
      <c r="H4944" s="115">
        <v>0</v>
      </c>
      <c r="I4944" s="115">
        <v>0</v>
      </c>
      <c r="J4944" s="115">
        <v>0</v>
      </c>
      <c r="K4944" s="115">
        <v>0</v>
      </c>
    </row>
    <row r="4945" spans="2:11" x14ac:dyDescent="0.25">
      <c r="B4945" s="115" t="s">
        <v>1241</v>
      </c>
      <c r="D4945" s="115" t="s">
        <v>8710</v>
      </c>
      <c r="E4945" s="115" t="s">
        <v>1242</v>
      </c>
      <c r="F4945" s="115">
        <v>0</v>
      </c>
      <c r="G4945" s="115">
        <v>0</v>
      </c>
      <c r="H4945" s="115">
        <v>0</v>
      </c>
      <c r="I4945" s="115">
        <v>0</v>
      </c>
      <c r="J4945" s="115">
        <v>0</v>
      </c>
      <c r="K4945" s="115">
        <v>0</v>
      </c>
    </row>
    <row r="4946" spans="2:11" x14ac:dyDescent="0.25">
      <c r="B4946" s="115" t="s">
        <v>1241</v>
      </c>
      <c r="D4946" s="115" t="s">
        <v>8710</v>
      </c>
      <c r="E4946" s="115" t="s">
        <v>1242</v>
      </c>
      <c r="F4946" s="115">
        <v>0</v>
      </c>
      <c r="G4946" s="115">
        <v>0</v>
      </c>
      <c r="H4946" s="115">
        <v>0</v>
      </c>
      <c r="I4946" s="115">
        <v>0</v>
      </c>
      <c r="J4946" s="115">
        <v>0</v>
      </c>
      <c r="K4946" s="115">
        <v>0</v>
      </c>
    </row>
    <row r="4947" spans="2:11" x14ac:dyDescent="0.25">
      <c r="B4947" s="115" t="s">
        <v>1241</v>
      </c>
      <c r="D4947" s="115" t="s">
        <v>8710</v>
      </c>
      <c r="E4947" s="115" t="s">
        <v>1242</v>
      </c>
      <c r="F4947" s="115">
        <v>0</v>
      </c>
      <c r="G4947" s="115">
        <v>0</v>
      </c>
      <c r="H4947" s="115">
        <v>0</v>
      </c>
      <c r="I4947" s="115">
        <v>0</v>
      </c>
      <c r="J4947" s="115">
        <v>0</v>
      </c>
      <c r="K4947" s="115">
        <v>0</v>
      </c>
    </row>
    <row r="4948" spans="2:11" x14ac:dyDescent="0.25">
      <c r="B4948" s="115" t="s">
        <v>1241</v>
      </c>
      <c r="D4948" s="115" t="s">
        <v>8710</v>
      </c>
      <c r="E4948" s="115" t="s">
        <v>1242</v>
      </c>
      <c r="F4948" s="115">
        <v>0</v>
      </c>
      <c r="G4948" s="115">
        <v>0</v>
      </c>
      <c r="H4948" s="115">
        <v>0</v>
      </c>
      <c r="I4948" s="115">
        <v>0</v>
      </c>
      <c r="J4948" s="115">
        <v>0</v>
      </c>
      <c r="K4948" s="115">
        <v>0</v>
      </c>
    </row>
    <row r="4949" spans="2:11" x14ac:dyDescent="0.25">
      <c r="B4949" s="115" t="s">
        <v>1241</v>
      </c>
      <c r="D4949" s="115" t="s">
        <v>8710</v>
      </c>
      <c r="E4949" s="115" t="s">
        <v>1242</v>
      </c>
      <c r="F4949" s="115">
        <v>0</v>
      </c>
      <c r="G4949" s="115">
        <v>0</v>
      </c>
      <c r="H4949" s="115">
        <v>0</v>
      </c>
      <c r="I4949" s="115">
        <v>0</v>
      </c>
      <c r="J4949" s="115">
        <v>0</v>
      </c>
      <c r="K4949" s="115">
        <v>0</v>
      </c>
    </row>
    <row r="4950" spans="2:11" x14ac:dyDescent="0.25">
      <c r="B4950" s="115" t="s">
        <v>1241</v>
      </c>
      <c r="D4950" s="115" t="s">
        <v>8710</v>
      </c>
      <c r="E4950" s="115" t="s">
        <v>1242</v>
      </c>
      <c r="F4950" s="115">
        <v>0</v>
      </c>
      <c r="G4950" s="115">
        <v>0</v>
      </c>
      <c r="H4950" s="115">
        <v>0</v>
      </c>
      <c r="I4950" s="115">
        <v>0</v>
      </c>
      <c r="J4950" s="115">
        <v>0</v>
      </c>
      <c r="K4950" s="115">
        <v>0</v>
      </c>
    </row>
    <row r="4951" spans="2:11" x14ac:dyDescent="0.25">
      <c r="B4951" s="115" t="s">
        <v>1241</v>
      </c>
      <c r="D4951" s="115" t="s">
        <v>8710</v>
      </c>
      <c r="E4951" s="115" t="s">
        <v>1242</v>
      </c>
      <c r="F4951" s="115">
        <v>0</v>
      </c>
      <c r="G4951" s="115">
        <v>0</v>
      </c>
      <c r="H4951" s="115">
        <v>0</v>
      </c>
      <c r="I4951" s="115">
        <v>0</v>
      </c>
      <c r="J4951" s="115">
        <v>0</v>
      </c>
      <c r="K4951" s="115">
        <v>0</v>
      </c>
    </row>
    <row r="4952" spans="2:11" x14ac:dyDescent="0.25">
      <c r="B4952" s="115" t="s">
        <v>1241</v>
      </c>
      <c r="D4952" s="115" t="s">
        <v>8710</v>
      </c>
      <c r="E4952" s="115" t="s">
        <v>1242</v>
      </c>
      <c r="F4952" s="115">
        <v>0</v>
      </c>
      <c r="G4952" s="115">
        <v>0</v>
      </c>
      <c r="H4952" s="115">
        <v>0</v>
      </c>
      <c r="I4952" s="115">
        <v>0</v>
      </c>
      <c r="J4952" s="115">
        <v>0</v>
      </c>
      <c r="K4952" s="115">
        <v>0</v>
      </c>
    </row>
    <row r="4953" spans="2:11" x14ac:dyDescent="0.25">
      <c r="B4953" s="115" t="s">
        <v>1241</v>
      </c>
      <c r="D4953" s="115" t="s">
        <v>8710</v>
      </c>
      <c r="E4953" s="115" t="s">
        <v>1242</v>
      </c>
      <c r="F4953" s="115">
        <v>0</v>
      </c>
      <c r="G4953" s="115">
        <v>0</v>
      </c>
      <c r="H4953" s="115">
        <v>0</v>
      </c>
      <c r="I4953" s="115">
        <v>0</v>
      </c>
      <c r="J4953" s="115">
        <v>0</v>
      </c>
      <c r="K4953" s="115">
        <v>0</v>
      </c>
    </row>
    <row r="4954" spans="2:11" x14ac:dyDescent="0.25">
      <c r="B4954" s="115" t="s">
        <v>1241</v>
      </c>
      <c r="D4954" s="115" t="s">
        <v>8710</v>
      </c>
      <c r="E4954" s="115" t="s">
        <v>1242</v>
      </c>
      <c r="F4954" s="115">
        <v>0</v>
      </c>
      <c r="G4954" s="115">
        <v>0</v>
      </c>
      <c r="H4954" s="115">
        <v>0</v>
      </c>
      <c r="I4954" s="115">
        <v>0</v>
      </c>
      <c r="J4954" s="115">
        <v>0</v>
      </c>
      <c r="K4954" s="115">
        <v>0</v>
      </c>
    </row>
    <row r="4955" spans="2:11" x14ac:dyDescent="0.25">
      <c r="B4955" s="115" t="s">
        <v>1241</v>
      </c>
      <c r="D4955" s="115" t="s">
        <v>8710</v>
      </c>
      <c r="E4955" s="115" t="s">
        <v>1242</v>
      </c>
      <c r="F4955" s="115">
        <v>0</v>
      </c>
      <c r="G4955" s="115">
        <v>0</v>
      </c>
      <c r="H4955" s="115">
        <v>0</v>
      </c>
      <c r="I4955" s="115">
        <v>0</v>
      </c>
      <c r="J4955" s="115">
        <v>0</v>
      </c>
      <c r="K4955" s="115">
        <v>0</v>
      </c>
    </row>
    <row r="4956" spans="2:11" x14ac:dyDescent="0.25">
      <c r="B4956" s="115" t="s">
        <v>1241</v>
      </c>
      <c r="D4956" s="115" t="s">
        <v>8710</v>
      </c>
      <c r="E4956" s="115" t="s">
        <v>1242</v>
      </c>
      <c r="F4956" s="115">
        <v>0</v>
      </c>
      <c r="G4956" s="115">
        <v>0</v>
      </c>
      <c r="H4956" s="115">
        <v>0</v>
      </c>
      <c r="I4956" s="115">
        <v>0</v>
      </c>
      <c r="J4956" s="115">
        <v>0</v>
      </c>
      <c r="K4956" s="115">
        <v>0</v>
      </c>
    </row>
    <row r="4957" spans="2:11" x14ac:dyDescent="0.25">
      <c r="B4957" s="115" t="s">
        <v>1241</v>
      </c>
      <c r="D4957" s="115" t="s">
        <v>8710</v>
      </c>
      <c r="E4957" s="115" t="s">
        <v>1242</v>
      </c>
      <c r="F4957" s="115">
        <v>0</v>
      </c>
      <c r="G4957" s="115">
        <v>0</v>
      </c>
      <c r="H4957" s="115">
        <v>0</v>
      </c>
      <c r="I4957" s="115">
        <v>0</v>
      </c>
      <c r="J4957" s="115">
        <v>0</v>
      </c>
      <c r="K4957" s="115">
        <v>0</v>
      </c>
    </row>
    <row r="4958" spans="2:11" x14ac:dyDescent="0.25">
      <c r="B4958" s="115" t="s">
        <v>1241</v>
      </c>
      <c r="D4958" s="115" t="s">
        <v>8710</v>
      </c>
      <c r="E4958" s="115" t="s">
        <v>1242</v>
      </c>
      <c r="F4958" s="115">
        <v>0</v>
      </c>
      <c r="G4958" s="115">
        <v>0</v>
      </c>
      <c r="H4958" s="115">
        <v>0</v>
      </c>
      <c r="I4958" s="115">
        <v>0</v>
      </c>
      <c r="J4958" s="115">
        <v>0</v>
      </c>
      <c r="K4958" s="115">
        <v>0</v>
      </c>
    </row>
    <row r="4959" spans="2:11" x14ac:dyDescent="0.25">
      <c r="B4959" s="115" t="s">
        <v>1241</v>
      </c>
      <c r="D4959" s="115" t="s">
        <v>8710</v>
      </c>
      <c r="E4959" s="115" t="s">
        <v>1242</v>
      </c>
      <c r="F4959" s="115">
        <v>0</v>
      </c>
      <c r="G4959" s="115">
        <v>0</v>
      </c>
      <c r="H4959" s="115">
        <v>0</v>
      </c>
      <c r="I4959" s="115">
        <v>0</v>
      </c>
      <c r="J4959" s="115">
        <v>0</v>
      </c>
      <c r="K4959" s="115">
        <v>0</v>
      </c>
    </row>
    <row r="4960" spans="2:11" x14ac:dyDescent="0.25">
      <c r="B4960" s="115" t="s">
        <v>1241</v>
      </c>
      <c r="D4960" s="115" t="s">
        <v>8710</v>
      </c>
      <c r="E4960" s="115" t="s">
        <v>1242</v>
      </c>
      <c r="F4960" s="115">
        <v>0</v>
      </c>
      <c r="G4960" s="115">
        <v>0</v>
      </c>
      <c r="H4960" s="115">
        <v>0</v>
      </c>
      <c r="I4960" s="115">
        <v>0</v>
      </c>
      <c r="J4960" s="115">
        <v>0</v>
      </c>
      <c r="K4960" s="115">
        <v>0</v>
      </c>
    </row>
    <row r="4961" spans="1:11" x14ac:dyDescent="0.25">
      <c r="B4961" s="115" t="s">
        <v>1241</v>
      </c>
      <c r="D4961" s="115" t="s">
        <v>8710</v>
      </c>
      <c r="E4961" s="115" t="s">
        <v>1242</v>
      </c>
      <c r="F4961" s="115">
        <v>0</v>
      </c>
      <c r="G4961" s="115">
        <v>0</v>
      </c>
      <c r="H4961" s="115">
        <v>0</v>
      </c>
      <c r="I4961" s="115">
        <v>0</v>
      </c>
      <c r="J4961" s="115">
        <v>0</v>
      </c>
      <c r="K4961" s="115">
        <v>0</v>
      </c>
    </row>
    <row r="4962" spans="1:11" x14ac:dyDescent="0.25">
      <c r="B4962" s="115" t="s">
        <v>1241</v>
      </c>
      <c r="D4962" s="115" t="s">
        <v>8710</v>
      </c>
      <c r="E4962" s="115" t="s">
        <v>1242</v>
      </c>
      <c r="F4962" s="115">
        <v>0</v>
      </c>
      <c r="G4962" s="115">
        <v>0</v>
      </c>
      <c r="H4962" s="115">
        <v>0</v>
      </c>
      <c r="I4962" s="115">
        <v>0</v>
      </c>
      <c r="J4962" s="115">
        <v>0</v>
      </c>
      <c r="K4962" s="115">
        <v>0</v>
      </c>
    </row>
    <row r="4963" spans="1:11" x14ac:dyDescent="0.25">
      <c r="B4963" s="115" t="s">
        <v>1241</v>
      </c>
      <c r="D4963" s="115" t="s">
        <v>8710</v>
      </c>
      <c r="E4963" s="115" t="s">
        <v>1242</v>
      </c>
      <c r="F4963" s="115">
        <v>0</v>
      </c>
      <c r="G4963" s="115">
        <v>0</v>
      </c>
      <c r="H4963" s="115">
        <v>0</v>
      </c>
      <c r="I4963" s="115">
        <v>0</v>
      </c>
      <c r="J4963" s="115">
        <v>0</v>
      </c>
      <c r="K4963" s="115">
        <v>0</v>
      </c>
    </row>
    <row r="4964" spans="1:11" x14ac:dyDescent="0.25">
      <c r="B4964" s="115" t="s">
        <v>1241</v>
      </c>
      <c r="D4964" s="115" t="s">
        <v>8710</v>
      </c>
      <c r="E4964" s="115" t="s">
        <v>1242</v>
      </c>
      <c r="F4964" s="115">
        <v>0</v>
      </c>
      <c r="G4964" s="115">
        <v>0</v>
      </c>
      <c r="H4964" s="115">
        <v>0</v>
      </c>
      <c r="I4964" s="115">
        <v>0</v>
      </c>
      <c r="J4964" s="115">
        <v>0</v>
      </c>
      <c r="K4964" s="115">
        <v>0</v>
      </c>
    </row>
    <row r="4965" spans="1:11" x14ac:dyDescent="0.25">
      <c r="B4965" s="115" t="s">
        <v>1241</v>
      </c>
      <c r="D4965" s="115" t="s">
        <v>8710</v>
      </c>
      <c r="E4965" s="115" t="s">
        <v>1242</v>
      </c>
      <c r="F4965" s="115">
        <v>0</v>
      </c>
      <c r="G4965" s="115">
        <v>0</v>
      </c>
      <c r="H4965" s="115">
        <v>0</v>
      </c>
      <c r="I4965" s="115">
        <v>0</v>
      </c>
      <c r="J4965" s="115">
        <v>0</v>
      </c>
      <c r="K4965" s="115">
        <v>0</v>
      </c>
    </row>
    <row r="4966" spans="1:11" x14ac:dyDescent="0.25">
      <c r="B4966" s="115" t="s">
        <v>1241</v>
      </c>
      <c r="D4966" s="115" t="s">
        <v>8710</v>
      </c>
      <c r="E4966" s="115" t="s">
        <v>1242</v>
      </c>
      <c r="F4966" s="115">
        <v>0</v>
      </c>
      <c r="G4966" s="115">
        <v>0</v>
      </c>
      <c r="H4966" s="115">
        <v>0</v>
      </c>
      <c r="I4966" s="115">
        <v>0</v>
      </c>
      <c r="J4966" s="115">
        <v>0</v>
      </c>
      <c r="K4966" s="115">
        <v>0</v>
      </c>
    </row>
    <row r="4967" spans="1:11" x14ac:dyDescent="0.25">
      <c r="B4967" s="115" t="s">
        <v>1241</v>
      </c>
      <c r="D4967" s="115" t="s">
        <v>8710</v>
      </c>
      <c r="E4967" s="115" t="s">
        <v>1242</v>
      </c>
      <c r="F4967" s="115">
        <v>0</v>
      </c>
      <c r="G4967" s="115">
        <v>0</v>
      </c>
      <c r="H4967" s="115">
        <v>0</v>
      </c>
      <c r="I4967" s="115">
        <v>0</v>
      </c>
      <c r="J4967" s="115">
        <v>0</v>
      </c>
      <c r="K4967" s="115">
        <v>0</v>
      </c>
    </row>
    <row r="4968" spans="1:11" x14ac:dyDescent="0.25">
      <c r="B4968" s="115" t="s">
        <v>1241</v>
      </c>
      <c r="D4968" s="115" t="s">
        <v>8710</v>
      </c>
      <c r="E4968" s="115" t="s">
        <v>1242</v>
      </c>
      <c r="F4968" s="115">
        <v>0</v>
      </c>
      <c r="G4968" s="115">
        <v>0</v>
      </c>
      <c r="H4968" s="115">
        <v>0</v>
      </c>
      <c r="I4968" s="115">
        <v>0</v>
      </c>
      <c r="J4968" s="115">
        <v>0</v>
      </c>
      <c r="K4968" s="115">
        <v>0</v>
      </c>
    </row>
    <row r="4969" spans="1:11" x14ac:dyDescent="0.25">
      <c r="B4969" s="115" t="s">
        <v>1241</v>
      </c>
      <c r="D4969" s="115" t="s">
        <v>8710</v>
      </c>
      <c r="E4969" s="115" t="s">
        <v>1242</v>
      </c>
      <c r="F4969" s="115">
        <v>0</v>
      </c>
      <c r="G4969" s="115">
        <v>0</v>
      </c>
      <c r="H4969" s="115">
        <v>0</v>
      </c>
      <c r="I4969" s="115">
        <v>0</v>
      </c>
      <c r="J4969" s="115">
        <v>0</v>
      </c>
      <c r="K4969" s="115">
        <v>0</v>
      </c>
    </row>
    <row r="4970" spans="1:11" x14ac:dyDescent="0.25">
      <c r="B4970" s="115" t="s">
        <v>1241</v>
      </c>
      <c r="D4970" s="115" t="s">
        <v>8710</v>
      </c>
      <c r="E4970" s="115" t="s">
        <v>1242</v>
      </c>
      <c r="F4970" s="115">
        <v>0</v>
      </c>
      <c r="G4970" s="115">
        <v>0</v>
      </c>
      <c r="H4970" s="115">
        <v>0</v>
      </c>
      <c r="I4970" s="115">
        <v>0</v>
      </c>
      <c r="J4970" s="115">
        <v>0</v>
      </c>
      <c r="K4970" s="115">
        <v>0</v>
      </c>
    </row>
    <row r="4971" spans="1:11" x14ac:dyDescent="0.25">
      <c r="B4971" s="115" t="s">
        <v>1241</v>
      </c>
      <c r="D4971" s="115" t="s">
        <v>11070</v>
      </c>
      <c r="E4971" s="115" t="s">
        <v>4879</v>
      </c>
      <c r="F4971" s="115">
        <v>-1990</v>
      </c>
      <c r="G4971" s="115">
        <v>123</v>
      </c>
      <c r="H4971" s="115">
        <v>-37</v>
      </c>
      <c r="I4971" s="115">
        <v>-469</v>
      </c>
      <c r="J4971" s="115">
        <v>0</v>
      </c>
      <c r="K4971" s="115">
        <v>0</v>
      </c>
    </row>
    <row r="4972" spans="1:11" x14ac:dyDescent="0.25">
      <c r="B4972" s="115" t="s">
        <v>4203</v>
      </c>
      <c r="D4972" s="115" t="s">
        <v>11071</v>
      </c>
      <c r="E4972" s="115" t="s">
        <v>4880</v>
      </c>
      <c r="F4972" s="115">
        <v>-577</v>
      </c>
      <c r="G4972" s="115">
        <v>440</v>
      </c>
      <c r="H4972" s="115">
        <v>0</v>
      </c>
      <c r="I4972" s="115">
        <v>0</v>
      </c>
      <c r="J4972" s="115">
        <v>0</v>
      </c>
      <c r="K4972" s="115">
        <v>0</v>
      </c>
    </row>
    <row r="4973" spans="1:11" x14ac:dyDescent="0.25">
      <c r="B4973" s="115" t="s">
        <v>1241</v>
      </c>
      <c r="D4973" s="115" t="s">
        <v>11072</v>
      </c>
      <c r="E4973" s="115" t="s">
        <v>4881</v>
      </c>
      <c r="F4973" s="115">
        <v>0</v>
      </c>
      <c r="G4973" s="115">
        <v>73</v>
      </c>
      <c r="H4973" s="115">
        <v>0</v>
      </c>
      <c r="I4973" s="115">
        <v>-30</v>
      </c>
      <c r="J4973" s="115">
        <v>0</v>
      </c>
      <c r="K4973" s="115">
        <v>737</v>
      </c>
    </row>
    <row r="4974" spans="1:11" x14ac:dyDescent="0.25">
      <c r="A4974" s="115" t="s">
        <v>1239</v>
      </c>
      <c r="B4974" s="115" t="s">
        <v>4882</v>
      </c>
      <c r="D4974" s="115" t="s">
        <v>11073</v>
      </c>
      <c r="E4974" s="115" t="s">
        <v>4883</v>
      </c>
      <c r="F4974" s="115">
        <v>-2092</v>
      </c>
      <c r="G4974" s="115">
        <v>198</v>
      </c>
      <c r="H4974" s="115">
        <v>-213</v>
      </c>
      <c r="I4974" s="115">
        <v>-534</v>
      </c>
      <c r="J4974" s="115">
        <v>130</v>
      </c>
      <c r="K4974" s="115">
        <v>0</v>
      </c>
    </row>
    <row r="4975" spans="1:11" x14ac:dyDescent="0.25">
      <c r="B4975" s="115" t="s">
        <v>4884</v>
      </c>
      <c r="D4975" s="115" t="s">
        <v>11074</v>
      </c>
      <c r="E4975" s="115" t="s">
        <v>4885</v>
      </c>
      <c r="F4975" s="115">
        <v>0</v>
      </c>
      <c r="G4975" s="115">
        <v>0</v>
      </c>
      <c r="H4975" s="115">
        <v>-511</v>
      </c>
      <c r="I4975" s="115">
        <v>0</v>
      </c>
      <c r="J4975" s="115">
        <v>0</v>
      </c>
      <c r="K4975" s="115">
        <v>0</v>
      </c>
    </row>
    <row r="4976" spans="1:11" x14ac:dyDescent="0.25">
      <c r="B4976" s="115" t="s">
        <v>4886</v>
      </c>
      <c r="D4976" s="115" t="s">
        <v>11075</v>
      </c>
      <c r="E4976" s="115" t="s">
        <v>1242</v>
      </c>
      <c r="F4976" s="115">
        <v>0</v>
      </c>
      <c r="G4976" s="115">
        <v>0</v>
      </c>
      <c r="H4976" s="115">
        <v>0</v>
      </c>
      <c r="I4976" s="115">
        <v>0</v>
      </c>
      <c r="J4976" s="115">
        <v>0</v>
      </c>
      <c r="K4976" s="115">
        <v>0</v>
      </c>
    </row>
    <row r="4977" spans="1:11" x14ac:dyDescent="0.25">
      <c r="B4977" s="115" t="s">
        <v>4887</v>
      </c>
      <c r="D4977" s="115" t="s">
        <v>11076</v>
      </c>
      <c r="E4977" s="115" t="s">
        <v>4888</v>
      </c>
      <c r="F4977" s="115">
        <v>-7900</v>
      </c>
      <c r="G4977" s="115">
        <v>-24065</v>
      </c>
      <c r="H4977" s="115">
        <v>0</v>
      </c>
      <c r="I4977" s="115">
        <v>18052</v>
      </c>
      <c r="J4977" s="115">
        <v>0</v>
      </c>
      <c r="K4977" s="115">
        <v>0</v>
      </c>
    </row>
    <row r="4978" spans="1:11" x14ac:dyDescent="0.25">
      <c r="B4978" s="115" t="s">
        <v>1241</v>
      </c>
      <c r="C4978" s="115">
        <v>1</v>
      </c>
      <c r="D4978" s="115" t="s">
        <v>11077</v>
      </c>
      <c r="E4978" s="115" t="s">
        <v>4889</v>
      </c>
      <c r="F4978" s="115">
        <v>9757</v>
      </c>
      <c r="G4978" s="115">
        <v>0</v>
      </c>
      <c r="H4978" s="115">
        <v>0</v>
      </c>
      <c r="I4978" s="115">
        <v>9359</v>
      </c>
      <c r="J4978" s="115">
        <v>6561</v>
      </c>
      <c r="K4978" s="115">
        <v>0</v>
      </c>
    </row>
    <row r="4979" spans="1:11" x14ac:dyDescent="0.25">
      <c r="A4979" s="115">
        <v>6</v>
      </c>
      <c r="B4979" s="115" t="s">
        <v>4890</v>
      </c>
      <c r="D4979" s="115" t="s">
        <v>11078</v>
      </c>
      <c r="E4979" s="115" t="s">
        <v>4891</v>
      </c>
      <c r="F4979" s="115">
        <v>7795</v>
      </c>
      <c r="G4979" s="115">
        <v>11483</v>
      </c>
      <c r="H4979" s="115">
        <v>25197</v>
      </c>
      <c r="I4979" s="115">
        <v>0</v>
      </c>
      <c r="J4979" s="115">
        <v>0</v>
      </c>
      <c r="K4979" s="115">
        <v>0</v>
      </c>
    </row>
    <row r="4980" spans="1:11" x14ac:dyDescent="0.25">
      <c r="B4980" s="115" t="s">
        <v>1241</v>
      </c>
      <c r="C4980" s="115" t="s">
        <v>1239</v>
      </c>
      <c r="D4980" s="115" t="s">
        <v>11079</v>
      </c>
      <c r="E4980" s="115" t="s">
        <v>4892</v>
      </c>
      <c r="F4980" s="115">
        <v>259</v>
      </c>
      <c r="G4980" s="115">
        <v>5333</v>
      </c>
      <c r="H4980" s="115">
        <v>23726</v>
      </c>
      <c r="I4980" s="115">
        <v>0</v>
      </c>
      <c r="J4980" s="115">
        <v>1287</v>
      </c>
      <c r="K4980" s="115">
        <v>-5167</v>
      </c>
    </row>
    <row r="4981" spans="1:11" x14ac:dyDescent="0.25">
      <c r="B4981" s="115" t="s">
        <v>4893</v>
      </c>
      <c r="D4981" s="115" t="s">
        <v>11080</v>
      </c>
      <c r="E4981" s="115" t="s">
        <v>4894</v>
      </c>
      <c r="F4981" s="115">
        <v>-1007</v>
      </c>
      <c r="G4981" s="115">
        <v>-3964</v>
      </c>
      <c r="H4981" s="115">
        <v>-314</v>
      </c>
      <c r="I4981" s="115">
        <v>-709</v>
      </c>
      <c r="J4981" s="115">
        <v>0</v>
      </c>
      <c r="K4981" s="115">
        <v>790</v>
      </c>
    </row>
    <row r="4982" spans="1:11" x14ac:dyDescent="0.25">
      <c r="A4982" s="115">
        <v>-1</v>
      </c>
      <c r="B4982" s="115" t="s">
        <v>4895</v>
      </c>
      <c r="D4982" s="115" t="s">
        <v>11081</v>
      </c>
      <c r="E4982" s="115" t="s">
        <v>4896</v>
      </c>
      <c r="F4982" s="115">
        <v>265</v>
      </c>
      <c r="G4982" s="115">
        <v>95</v>
      </c>
      <c r="H4982" s="115">
        <v>0</v>
      </c>
      <c r="I4982" s="115">
        <v>38</v>
      </c>
      <c r="J4982" s="115">
        <v>-650</v>
      </c>
      <c r="K4982" s="115">
        <v>-930</v>
      </c>
    </row>
    <row r="4983" spans="1:11" x14ac:dyDescent="0.25">
      <c r="A4983" s="115">
        <v>-2</v>
      </c>
      <c r="B4983" s="115" t="s">
        <v>1253</v>
      </c>
      <c r="D4983" s="115" t="s">
        <v>11082</v>
      </c>
      <c r="E4983" s="115" t="s">
        <v>4897</v>
      </c>
      <c r="F4983" s="115">
        <v>0</v>
      </c>
      <c r="G4983" s="115">
        <v>0</v>
      </c>
      <c r="H4983" s="115">
        <v>66</v>
      </c>
      <c r="I4983" s="115">
        <v>0</v>
      </c>
      <c r="J4983" s="115">
        <v>-158</v>
      </c>
      <c r="K4983" s="115">
        <v>-864</v>
      </c>
    </row>
    <row r="4984" spans="1:11" x14ac:dyDescent="0.25">
      <c r="A4984" s="115">
        <v>-1</v>
      </c>
      <c r="B4984" s="115" t="s">
        <v>4898</v>
      </c>
      <c r="D4984" s="115" t="s">
        <v>11083</v>
      </c>
      <c r="E4984" s="115" t="s">
        <v>4899</v>
      </c>
      <c r="F4984" s="115">
        <v>107</v>
      </c>
      <c r="G4984" s="115">
        <v>-553</v>
      </c>
      <c r="H4984" s="115">
        <v>583</v>
      </c>
      <c r="I4984" s="115">
        <v>157</v>
      </c>
      <c r="J4984" s="115">
        <v>-1145</v>
      </c>
      <c r="K4984" s="115">
        <v>-3938</v>
      </c>
    </row>
    <row r="4985" spans="1:11" x14ac:dyDescent="0.25">
      <c r="B4985" s="115" t="s">
        <v>4900</v>
      </c>
      <c r="D4985" s="115" t="s">
        <v>11084</v>
      </c>
      <c r="E4985" s="115" t="s">
        <v>4901</v>
      </c>
      <c r="F4985" s="115">
        <v>-1677</v>
      </c>
      <c r="G4985" s="115">
        <v>-893</v>
      </c>
      <c r="H4985" s="115">
        <v>0</v>
      </c>
      <c r="I4985" s="115">
        <v>-406</v>
      </c>
      <c r="J4985" s="115">
        <v>0</v>
      </c>
      <c r="K4985" s="115">
        <v>0</v>
      </c>
    </row>
    <row r="4986" spans="1:11" x14ac:dyDescent="0.25">
      <c r="B4986" s="115" t="s">
        <v>1354</v>
      </c>
      <c r="D4986" s="115" t="s">
        <v>11085</v>
      </c>
      <c r="E4986" s="115" t="s">
        <v>1242</v>
      </c>
      <c r="F4986" s="115">
        <v>-1550</v>
      </c>
      <c r="G4986" s="115">
        <v>0</v>
      </c>
      <c r="H4986" s="115">
        <v>0</v>
      </c>
      <c r="I4986" s="115">
        <v>0</v>
      </c>
      <c r="J4986" s="115">
        <v>0</v>
      </c>
      <c r="K4986" s="115">
        <v>0</v>
      </c>
    </row>
    <row r="4987" spans="1:11" x14ac:dyDescent="0.25">
      <c r="B4987" s="115" t="s">
        <v>2560</v>
      </c>
      <c r="D4987" s="115" t="s">
        <v>11086</v>
      </c>
      <c r="E4987" s="115" t="s">
        <v>4902</v>
      </c>
      <c r="F4987" s="115">
        <v>-1128</v>
      </c>
      <c r="G4987" s="115">
        <v>0</v>
      </c>
      <c r="H4987" s="115">
        <v>1716</v>
      </c>
      <c r="I4987" s="115">
        <v>-7795</v>
      </c>
      <c r="J4987" s="115">
        <v>28</v>
      </c>
      <c r="K4987" s="115">
        <v>0</v>
      </c>
    </row>
    <row r="4988" spans="1:11" x14ac:dyDescent="0.25">
      <c r="B4988" s="115" t="s">
        <v>1241</v>
      </c>
      <c r="D4988" s="115" t="s">
        <v>11087</v>
      </c>
      <c r="E4988" s="115" t="s">
        <v>4903</v>
      </c>
      <c r="F4988" s="115">
        <v>95</v>
      </c>
      <c r="G4988" s="115">
        <v>-785</v>
      </c>
      <c r="H4988" s="115">
        <v>-911</v>
      </c>
      <c r="I4988" s="115">
        <v>0</v>
      </c>
      <c r="J4988" s="115">
        <v>-1215</v>
      </c>
      <c r="K4988" s="115">
        <v>0</v>
      </c>
    </row>
    <row r="4989" spans="1:11" x14ac:dyDescent="0.25">
      <c r="B4989" s="115" t="s">
        <v>3656</v>
      </c>
      <c r="D4989" s="115" t="s">
        <v>11088</v>
      </c>
      <c r="E4989" s="115" t="s">
        <v>4904</v>
      </c>
      <c r="F4989" s="115">
        <v>0</v>
      </c>
      <c r="G4989" s="115">
        <v>-49</v>
      </c>
      <c r="H4989" s="115">
        <v>0</v>
      </c>
      <c r="I4989" s="115">
        <v>0</v>
      </c>
      <c r="J4989" s="115">
        <v>0</v>
      </c>
      <c r="K4989" s="115">
        <v>0</v>
      </c>
    </row>
    <row r="4990" spans="1:11" x14ac:dyDescent="0.25">
      <c r="B4990" s="115" t="s">
        <v>1241</v>
      </c>
      <c r="D4990" s="115" t="s">
        <v>11089</v>
      </c>
      <c r="E4990" s="115" t="s">
        <v>4905</v>
      </c>
      <c r="F4990" s="115">
        <v>40</v>
      </c>
      <c r="G4990" s="115">
        <v>0</v>
      </c>
      <c r="H4990" s="115">
        <v>-156</v>
      </c>
      <c r="I4990" s="115">
        <v>-533</v>
      </c>
      <c r="J4990" s="115">
        <v>-1317</v>
      </c>
      <c r="K4990" s="115">
        <v>0</v>
      </c>
    </row>
    <row r="4991" spans="1:11" x14ac:dyDescent="0.25">
      <c r="A4991" s="115">
        <v>2</v>
      </c>
      <c r="B4991" s="115" t="s">
        <v>4906</v>
      </c>
      <c r="D4991" s="115" t="s">
        <v>11090</v>
      </c>
      <c r="E4991" s="115" t="s">
        <v>4907</v>
      </c>
      <c r="F4991" s="115">
        <v>0</v>
      </c>
      <c r="G4991" s="115">
        <v>0</v>
      </c>
      <c r="H4991" s="115">
        <v>0</v>
      </c>
      <c r="I4991" s="115">
        <v>-6478</v>
      </c>
      <c r="J4991" s="115">
        <v>-1209</v>
      </c>
      <c r="K4991" s="115">
        <v>-3022</v>
      </c>
    </row>
    <row r="4992" spans="1:11" x14ac:dyDescent="0.25">
      <c r="A4992" s="115">
        <v>-2</v>
      </c>
      <c r="B4992" s="115" t="s">
        <v>4908</v>
      </c>
      <c r="C4992" s="115" t="s">
        <v>1239</v>
      </c>
      <c r="D4992" s="115" t="s">
        <v>11091</v>
      </c>
      <c r="E4992" s="115" t="s">
        <v>4909</v>
      </c>
      <c r="F4992" s="115">
        <v>0</v>
      </c>
      <c r="G4992" s="115">
        <v>0</v>
      </c>
      <c r="H4992" s="115">
        <v>0</v>
      </c>
      <c r="I4992" s="115">
        <v>1086</v>
      </c>
      <c r="J4992" s="115">
        <v>0</v>
      </c>
      <c r="K4992" s="115">
        <v>1234</v>
      </c>
    </row>
    <row r="4993" spans="1:11" x14ac:dyDescent="0.25">
      <c r="B4993" s="115" t="s">
        <v>1241</v>
      </c>
      <c r="C4993" s="115" t="s">
        <v>1239</v>
      </c>
      <c r="D4993" s="115" t="s">
        <v>11092</v>
      </c>
      <c r="E4993" s="115" t="s">
        <v>4910</v>
      </c>
      <c r="F4993" s="115">
        <v>0</v>
      </c>
      <c r="G4993" s="115">
        <v>0</v>
      </c>
      <c r="H4993" s="115">
        <v>0</v>
      </c>
      <c r="I4993" s="115">
        <v>0</v>
      </c>
      <c r="J4993" s="115">
        <v>73</v>
      </c>
      <c r="K4993" s="115">
        <v>0</v>
      </c>
    </row>
    <row r="4994" spans="1:11" x14ac:dyDescent="0.25">
      <c r="A4994" s="115">
        <v>1</v>
      </c>
      <c r="B4994" s="115" t="s">
        <v>4911</v>
      </c>
      <c r="C4994" s="115" t="s">
        <v>1239</v>
      </c>
      <c r="D4994" s="115" t="s">
        <v>11093</v>
      </c>
      <c r="E4994" s="115" t="s">
        <v>4912</v>
      </c>
      <c r="F4994" s="115">
        <v>-294</v>
      </c>
      <c r="G4994" s="115">
        <v>-2285</v>
      </c>
      <c r="H4994" s="115">
        <v>-921</v>
      </c>
      <c r="I4994" s="115">
        <v>1407</v>
      </c>
      <c r="J4994" s="115">
        <v>1878</v>
      </c>
      <c r="K4994" s="115">
        <v>3027</v>
      </c>
    </row>
    <row r="4995" spans="1:11" x14ac:dyDescent="0.25">
      <c r="B4995" s="115" t="s">
        <v>1241</v>
      </c>
      <c r="D4995" s="115" t="s">
        <v>11094</v>
      </c>
      <c r="E4995" s="115" t="s">
        <v>4913</v>
      </c>
      <c r="F4995" s="115">
        <v>0</v>
      </c>
      <c r="G4995" s="115">
        <v>0</v>
      </c>
      <c r="H4995" s="115">
        <v>0</v>
      </c>
      <c r="I4995" s="115">
        <v>451</v>
      </c>
      <c r="J4995" s="115">
        <v>-3356</v>
      </c>
      <c r="K4995" s="115">
        <v>-7529</v>
      </c>
    </row>
    <row r="4996" spans="1:11" x14ac:dyDescent="0.25">
      <c r="A4996" s="115">
        <v>-1</v>
      </c>
      <c r="B4996" s="115" t="s">
        <v>4914</v>
      </c>
      <c r="D4996" s="115" t="s">
        <v>11095</v>
      </c>
      <c r="E4996" s="115" t="s">
        <v>4915</v>
      </c>
      <c r="F4996" s="115">
        <v>0</v>
      </c>
      <c r="G4996" s="115">
        <v>-351</v>
      </c>
      <c r="H4996" s="115">
        <v>0</v>
      </c>
      <c r="I4996" s="115">
        <v>-1184</v>
      </c>
      <c r="J4996" s="115">
        <v>529</v>
      </c>
      <c r="K4996" s="115">
        <v>0</v>
      </c>
    </row>
    <row r="4997" spans="1:11" x14ac:dyDescent="0.25">
      <c r="B4997" s="115" t="s">
        <v>1241</v>
      </c>
      <c r="D4997" s="115" t="s">
        <v>11096</v>
      </c>
      <c r="E4997" s="115" t="s">
        <v>4916</v>
      </c>
      <c r="F4997" s="115">
        <v>0</v>
      </c>
      <c r="G4997" s="115">
        <v>2962</v>
      </c>
      <c r="H4997" s="115">
        <v>6847</v>
      </c>
      <c r="I4997" s="115">
        <v>0</v>
      </c>
      <c r="J4997" s="115">
        <v>0</v>
      </c>
      <c r="K4997" s="115">
        <v>0</v>
      </c>
    </row>
    <row r="4998" spans="1:11" x14ac:dyDescent="0.25">
      <c r="B4998" s="115" t="s">
        <v>1241</v>
      </c>
      <c r="D4998" s="115" t="s">
        <v>8710</v>
      </c>
      <c r="E4998" s="115" t="s">
        <v>1242</v>
      </c>
      <c r="F4998" s="115">
        <v>0</v>
      </c>
      <c r="G4998" s="115">
        <v>0</v>
      </c>
      <c r="H4998" s="115">
        <v>0</v>
      </c>
      <c r="I4998" s="115">
        <v>0</v>
      </c>
      <c r="J4998" s="115">
        <v>0</v>
      </c>
      <c r="K4998" s="115">
        <v>0</v>
      </c>
    </row>
    <row r="4999" spans="1:11" x14ac:dyDescent="0.25">
      <c r="B4999" s="115" t="s">
        <v>1241</v>
      </c>
      <c r="D4999" s="115" t="s">
        <v>11097</v>
      </c>
      <c r="E4999" s="115" t="s">
        <v>4917</v>
      </c>
      <c r="F4999" s="115">
        <v>0</v>
      </c>
      <c r="G4999" s="115">
        <v>0</v>
      </c>
      <c r="H4999" s="115">
        <v>0</v>
      </c>
      <c r="I4999" s="115">
        <v>0</v>
      </c>
      <c r="J4999" s="115">
        <v>-1060</v>
      </c>
      <c r="K4999" s="115">
        <v>3748</v>
      </c>
    </row>
    <row r="5000" spans="1:11" x14ac:dyDescent="0.25">
      <c r="A5000" s="115">
        <v>4</v>
      </c>
      <c r="B5000" s="115" t="s">
        <v>4918</v>
      </c>
      <c r="C5000" s="115">
        <v>2</v>
      </c>
      <c r="D5000" s="115" t="s">
        <v>11098</v>
      </c>
      <c r="E5000" s="115" t="s">
        <v>4919</v>
      </c>
      <c r="F5000" s="115">
        <v>21140</v>
      </c>
      <c r="G5000" s="115">
        <v>-75</v>
      </c>
      <c r="H5000" s="115">
        <v>340</v>
      </c>
      <c r="I5000" s="115">
        <v>-913</v>
      </c>
      <c r="J5000" s="115">
        <v>5425</v>
      </c>
      <c r="K5000" s="115">
        <v>3358</v>
      </c>
    </row>
    <row r="5001" spans="1:11" x14ac:dyDescent="0.25">
      <c r="A5001" s="115">
        <v>44</v>
      </c>
      <c r="B5001" s="115" t="s">
        <v>4920</v>
      </c>
      <c r="C5001" s="115">
        <v>1</v>
      </c>
      <c r="D5001" s="115" t="s">
        <v>11099</v>
      </c>
      <c r="E5001" s="115" t="s">
        <v>4921</v>
      </c>
      <c r="F5001" s="115">
        <v>1193</v>
      </c>
      <c r="G5001" s="115">
        <v>0</v>
      </c>
      <c r="H5001" s="115">
        <v>-610</v>
      </c>
      <c r="I5001" s="115">
        <v>-2288</v>
      </c>
      <c r="J5001" s="115">
        <v>295</v>
      </c>
      <c r="K5001" s="115">
        <v>192</v>
      </c>
    </row>
    <row r="5002" spans="1:11" x14ac:dyDescent="0.25">
      <c r="B5002" s="115" t="s">
        <v>4922</v>
      </c>
      <c r="D5002" s="115" t="s">
        <v>11100</v>
      </c>
      <c r="E5002" s="115" t="s">
        <v>4923</v>
      </c>
      <c r="F5002" s="115">
        <v>0</v>
      </c>
      <c r="G5002" s="115">
        <v>0</v>
      </c>
      <c r="H5002" s="115">
        <v>0</v>
      </c>
      <c r="I5002" s="115">
        <v>443</v>
      </c>
      <c r="J5002" s="115">
        <v>-1152</v>
      </c>
      <c r="K5002" s="115">
        <v>0</v>
      </c>
    </row>
    <row r="5003" spans="1:11" x14ac:dyDescent="0.25">
      <c r="B5003" s="115" t="s">
        <v>1241</v>
      </c>
      <c r="D5003" s="115" t="s">
        <v>11101</v>
      </c>
      <c r="E5003" s="115" t="s">
        <v>4924</v>
      </c>
      <c r="F5003" s="115">
        <v>0</v>
      </c>
      <c r="G5003" s="115">
        <v>921</v>
      </c>
      <c r="H5003" s="115">
        <v>0</v>
      </c>
      <c r="I5003" s="115">
        <v>0</v>
      </c>
      <c r="J5003" s="115">
        <v>-51</v>
      </c>
      <c r="K5003" s="115">
        <v>0</v>
      </c>
    </row>
    <row r="5004" spans="1:11" x14ac:dyDescent="0.25">
      <c r="B5004" s="115" t="s">
        <v>3084</v>
      </c>
      <c r="D5004" s="115" t="s">
        <v>11102</v>
      </c>
      <c r="E5004" s="115" t="s">
        <v>4925</v>
      </c>
      <c r="F5004" s="115">
        <v>-191</v>
      </c>
      <c r="G5004" s="115">
        <v>0</v>
      </c>
      <c r="H5004" s="115">
        <v>-914</v>
      </c>
      <c r="I5004" s="115">
        <v>-2227</v>
      </c>
      <c r="J5004" s="115">
        <v>457</v>
      </c>
      <c r="K5004" s="115">
        <v>473</v>
      </c>
    </row>
    <row r="5005" spans="1:11" x14ac:dyDescent="0.25">
      <c r="B5005" s="115" t="s">
        <v>4926</v>
      </c>
      <c r="D5005" s="115" t="s">
        <v>11103</v>
      </c>
      <c r="E5005" s="115" t="s">
        <v>4927</v>
      </c>
      <c r="F5005" s="115">
        <v>0</v>
      </c>
      <c r="G5005" s="115">
        <v>0</v>
      </c>
      <c r="H5005" s="115">
        <v>0</v>
      </c>
      <c r="I5005" s="115">
        <v>0</v>
      </c>
      <c r="J5005" s="115">
        <v>0</v>
      </c>
      <c r="K5005" s="115">
        <v>-487</v>
      </c>
    </row>
    <row r="5006" spans="1:11" x14ac:dyDescent="0.25">
      <c r="B5006" s="115" t="s">
        <v>1241</v>
      </c>
      <c r="D5006" s="115" t="s">
        <v>11104</v>
      </c>
      <c r="E5006" s="115" t="s">
        <v>4928</v>
      </c>
      <c r="F5006" s="115">
        <v>0</v>
      </c>
      <c r="G5006" s="115">
        <v>76</v>
      </c>
      <c r="H5006" s="115">
        <v>0</v>
      </c>
      <c r="I5006" s="115">
        <v>0</v>
      </c>
      <c r="J5006" s="115">
        <v>0</v>
      </c>
      <c r="K5006" s="115">
        <v>0</v>
      </c>
    </row>
    <row r="5007" spans="1:11" x14ac:dyDescent="0.25">
      <c r="B5007" s="115" t="s">
        <v>4929</v>
      </c>
      <c r="D5007" s="115" t="s">
        <v>11105</v>
      </c>
      <c r="E5007" s="115" t="s">
        <v>4930</v>
      </c>
      <c r="F5007" s="115">
        <v>-174</v>
      </c>
      <c r="G5007" s="115">
        <v>0</v>
      </c>
      <c r="H5007" s="115">
        <v>0</v>
      </c>
      <c r="I5007" s="115">
        <v>-6751</v>
      </c>
      <c r="J5007" s="115">
        <v>-5923</v>
      </c>
      <c r="K5007" s="115">
        <v>0</v>
      </c>
    </row>
    <row r="5008" spans="1:11" x14ac:dyDescent="0.25">
      <c r="A5008" s="115">
        <v>-2</v>
      </c>
      <c r="B5008" s="115" t="s">
        <v>4931</v>
      </c>
      <c r="D5008" s="115" t="s">
        <v>11106</v>
      </c>
      <c r="E5008" s="115" t="s">
        <v>4932</v>
      </c>
      <c r="F5008" s="115">
        <v>0</v>
      </c>
      <c r="G5008" s="115">
        <v>1165</v>
      </c>
      <c r="H5008" s="115">
        <v>793</v>
      </c>
      <c r="I5008" s="115">
        <v>322</v>
      </c>
      <c r="J5008" s="115">
        <v>0</v>
      </c>
      <c r="K5008" s="115">
        <v>0</v>
      </c>
    </row>
    <row r="5009" spans="1:11" x14ac:dyDescent="0.25">
      <c r="A5009" s="115" t="s">
        <v>1239</v>
      </c>
      <c r="B5009" s="115" t="s">
        <v>4933</v>
      </c>
      <c r="D5009" s="115" t="s">
        <v>11107</v>
      </c>
      <c r="E5009" s="115" t="s">
        <v>4934</v>
      </c>
      <c r="F5009" s="115">
        <v>1641</v>
      </c>
      <c r="G5009" s="115">
        <v>-117</v>
      </c>
      <c r="H5009" s="115">
        <v>1575</v>
      </c>
      <c r="I5009" s="115">
        <v>679</v>
      </c>
      <c r="J5009" s="115">
        <v>713</v>
      </c>
      <c r="K5009" s="115">
        <v>-760</v>
      </c>
    </row>
    <row r="5010" spans="1:11" x14ac:dyDescent="0.25">
      <c r="B5010" s="115" t="s">
        <v>1241</v>
      </c>
      <c r="D5010" s="115" t="s">
        <v>11108</v>
      </c>
      <c r="E5010" s="115" t="s">
        <v>4935</v>
      </c>
      <c r="F5010" s="115">
        <v>0</v>
      </c>
      <c r="G5010" s="115">
        <v>3027</v>
      </c>
      <c r="H5010" s="115">
        <v>0</v>
      </c>
      <c r="I5010" s="115">
        <v>-1138</v>
      </c>
      <c r="J5010" s="115">
        <v>5019</v>
      </c>
      <c r="K5010" s="115">
        <v>1413</v>
      </c>
    </row>
    <row r="5011" spans="1:11" x14ac:dyDescent="0.25">
      <c r="B5011" s="115" t="s">
        <v>4936</v>
      </c>
      <c r="C5011" s="115">
        <v>-1</v>
      </c>
      <c r="D5011" s="115" t="s">
        <v>11109</v>
      </c>
      <c r="E5011" s="115" t="s">
        <v>4937</v>
      </c>
      <c r="F5011" s="115">
        <v>1288</v>
      </c>
      <c r="G5011" s="115">
        <v>-1299</v>
      </c>
      <c r="H5011" s="115">
        <v>0</v>
      </c>
      <c r="I5011" s="115">
        <v>-1625</v>
      </c>
      <c r="J5011" s="115">
        <v>-1453</v>
      </c>
      <c r="K5011" s="115">
        <v>-2744</v>
      </c>
    </row>
    <row r="5012" spans="1:11" x14ac:dyDescent="0.25">
      <c r="B5012" s="115" t="s">
        <v>1592</v>
      </c>
      <c r="D5012" s="115" t="s">
        <v>11110</v>
      </c>
      <c r="E5012" s="115" t="s">
        <v>4938</v>
      </c>
      <c r="F5012" s="115">
        <v>0</v>
      </c>
      <c r="G5012" s="115">
        <v>0</v>
      </c>
      <c r="H5012" s="115">
        <v>0</v>
      </c>
      <c r="I5012" s="115">
        <v>-2397</v>
      </c>
      <c r="J5012" s="115">
        <v>-10502</v>
      </c>
      <c r="K5012" s="115">
        <v>0</v>
      </c>
    </row>
    <row r="5013" spans="1:11" x14ac:dyDescent="0.25">
      <c r="A5013" s="115">
        <v>-6</v>
      </c>
      <c r="B5013" s="115" t="s">
        <v>4939</v>
      </c>
      <c r="D5013" s="115" t="s">
        <v>11111</v>
      </c>
      <c r="E5013" s="115" t="s">
        <v>4940</v>
      </c>
      <c r="F5013" s="115">
        <v>0</v>
      </c>
      <c r="G5013" s="115">
        <v>0</v>
      </c>
      <c r="H5013" s="115">
        <v>0</v>
      </c>
      <c r="I5013" s="115">
        <v>0</v>
      </c>
      <c r="J5013" s="115">
        <v>0</v>
      </c>
      <c r="K5013" s="115">
        <v>-628</v>
      </c>
    </row>
    <row r="5014" spans="1:11" x14ac:dyDescent="0.25">
      <c r="B5014" s="115" t="s">
        <v>2862</v>
      </c>
      <c r="D5014" s="115" t="s">
        <v>11112</v>
      </c>
      <c r="E5014" s="115" t="s">
        <v>4941</v>
      </c>
      <c r="F5014" s="115">
        <v>0</v>
      </c>
      <c r="G5014" s="115">
        <v>800</v>
      </c>
      <c r="H5014" s="115">
        <v>-6510</v>
      </c>
      <c r="I5014" s="115">
        <v>754</v>
      </c>
      <c r="J5014" s="115">
        <v>254</v>
      </c>
      <c r="K5014" s="115">
        <v>1482</v>
      </c>
    </row>
    <row r="5015" spans="1:11" x14ac:dyDescent="0.25">
      <c r="B5015" s="115">
        <f>-13   -241</f>
        <v>-254</v>
      </c>
      <c r="D5015" s="115" t="s">
        <v>11113</v>
      </c>
      <c r="E5015" s="115" t="s">
        <v>4942</v>
      </c>
      <c r="F5015" s="115">
        <v>-75</v>
      </c>
      <c r="G5015" s="115">
        <v>0</v>
      </c>
      <c r="H5015" s="115">
        <v>0</v>
      </c>
      <c r="I5015" s="115">
        <v>-957</v>
      </c>
      <c r="J5015" s="115">
        <v>-77</v>
      </c>
      <c r="K5015" s="115">
        <v>0</v>
      </c>
    </row>
    <row r="5016" spans="1:11" x14ac:dyDescent="0.25">
      <c r="A5016" s="115" t="s">
        <v>1239</v>
      </c>
      <c r="B5016" s="115" t="s">
        <v>4708</v>
      </c>
      <c r="D5016" s="115" t="s">
        <v>11114</v>
      </c>
      <c r="E5016" s="115" t="s">
        <v>4943</v>
      </c>
      <c r="F5016" s="115">
        <v>0</v>
      </c>
      <c r="G5016" s="115">
        <v>-250</v>
      </c>
      <c r="H5016" s="115">
        <v>-116</v>
      </c>
      <c r="I5016" s="115">
        <v>-419</v>
      </c>
      <c r="J5016" s="115">
        <v>0</v>
      </c>
      <c r="K5016" s="115">
        <v>0</v>
      </c>
    </row>
    <row r="5017" spans="1:11" x14ac:dyDescent="0.25">
      <c r="B5017" s="115" t="s">
        <v>1241</v>
      </c>
      <c r="D5017" s="115" t="s">
        <v>11115</v>
      </c>
      <c r="E5017" s="115" t="s">
        <v>4944</v>
      </c>
      <c r="F5017" s="115">
        <v>0</v>
      </c>
      <c r="G5017" s="115">
        <v>-266</v>
      </c>
      <c r="H5017" s="115">
        <v>-803</v>
      </c>
      <c r="I5017" s="115">
        <v>-101</v>
      </c>
      <c r="J5017" s="115">
        <v>0</v>
      </c>
      <c r="K5017" s="115">
        <v>1482</v>
      </c>
    </row>
    <row r="5018" spans="1:11" x14ac:dyDescent="0.25">
      <c r="A5018" s="115">
        <v>-10</v>
      </c>
      <c r="B5018" s="115" t="s">
        <v>4945</v>
      </c>
      <c r="D5018" s="115" t="s">
        <v>11116</v>
      </c>
      <c r="E5018" s="115" t="s">
        <v>4946</v>
      </c>
      <c r="F5018" s="115">
        <v>0</v>
      </c>
      <c r="G5018" s="115">
        <v>-328</v>
      </c>
      <c r="H5018" s="115">
        <v>-633</v>
      </c>
      <c r="I5018" s="115">
        <v>-87</v>
      </c>
      <c r="J5018" s="115">
        <v>21</v>
      </c>
      <c r="K5018" s="115">
        <v>94</v>
      </c>
    </row>
    <row r="5019" spans="1:11" x14ac:dyDescent="0.25">
      <c r="B5019" s="115" t="s">
        <v>4947</v>
      </c>
      <c r="D5019" s="115" t="s">
        <v>11117</v>
      </c>
      <c r="E5019" s="115" t="s">
        <v>4948</v>
      </c>
      <c r="F5019" s="115">
        <v>161</v>
      </c>
      <c r="G5019" s="115">
        <v>0</v>
      </c>
      <c r="H5019" s="115">
        <v>-11</v>
      </c>
      <c r="I5019" s="115">
        <v>0</v>
      </c>
      <c r="J5019" s="115">
        <v>-187</v>
      </c>
      <c r="K5019" s="115">
        <v>0</v>
      </c>
    </row>
    <row r="5020" spans="1:11" x14ac:dyDescent="0.25">
      <c r="B5020" s="115" t="s">
        <v>1241</v>
      </c>
      <c r="D5020" s="115" t="s">
        <v>11118</v>
      </c>
      <c r="E5020" s="115" t="s">
        <v>4949</v>
      </c>
      <c r="F5020" s="115">
        <v>0</v>
      </c>
      <c r="G5020" s="115">
        <v>0</v>
      </c>
      <c r="H5020" s="115">
        <v>0</v>
      </c>
      <c r="I5020" s="115">
        <v>-114</v>
      </c>
      <c r="J5020" s="115">
        <v>0</v>
      </c>
      <c r="K5020" s="115">
        <v>-172</v>
      </c>
    </row>
    <row r="5021" spans="1:11" x14ac:dyDescent="0.25">
      <c r="A5021" s="115" t="s">
        <v>1239</v>
      </c>
      <c r="B5021" s="115" t="s">
        <v>4950</v>
      </c>
      <c r="D5021" s="115" t="s">
        <v>11119</v>
      </c>
      <c r="E5021" s="115" t="s">
        <v>1242</v>
      </c>
      <c r="F5021" s="115">
        <v>1930</v>
      </c>
      <c r="G5021" s="115">
        <v>0</v>
      </c>
      <c r="H5021" s="115">
        <v>0</v>
      </c>
      <c r="I5021" s="115">
        <v>0</v>
      </c>
      <c r="J5021" s="115">
        <v>0</v>
      </c>
      <c r="K5021" s="115">
        <v>0</v>
      </c>
    </row>
    <row r="5022" spans="1:11" x14ac:dyDescent="0.25">
      <c r="A5022" s="115">
        <v>-3</v>
      </c>
      <c r="B5022" s="115" t="s">
        <v>4951</v>
      </c>
      <c r="C5022" s="115" t="s">
        <v>1239</v>
      </c>
      <c r="D5022" s="115" t="s">
        <v>11120</v>
      </c>
      <c r="E5022" s="115" t="s">
        <v>4952</v>
      </c>
      <c r="F5022" s="115">
        <v>-1782</v>
      </c>
      <c r="G5022" s="115">
        <v>-6100</v>
      </c>
      <c r="H5022" s="115">
        <v>0</v>
      </c>
      <c r="I5022" s="115">
        <v>0</v>
      </c>
      <c r="J5022" s="115">
        <v>0</v>
      </c>
      <c r="K5022" s="115">
        <v>0</v>
      </c>
    </row>
    <row r="5023" spans="1:11" x14ac:dyDescent="0.25">
      <c r="A5023" s="115" t="s">
        <v>1239</v>
      </c>
      <c r="B5023" s="115" t="s">
        <v>4953</v>
      </c>
      <c r="D5023" s="115" t="s">
        <v>11121</v>
      </c>
      <c r="E5023" s="115" t="s">
        <v>4954</v>
      </c>
      <c r="F5023" s="115">
        <v>0</v>
      </c>
      <c r="G5023" s="115">
        <v>-1473</v>
      </c>
      <c r="H5023" s="115">
        <v>1018</v>
      </c>
      <c r="I5023" s="115">
        <v>0</v>
      </c>
      <c r="J5023" s="115">
        <v>0</v>
      </c>
      <c r="K5023" s="115">
        <v>0</v>
      </c>
    </row>
    <row r="5024" spans="1:11" x14ac:dyDescent="0.25">
      <c r="B5024" s="115" t="s">
        <v>4955</v>
      </c>
      <c r="D5024" s="115" t="s">
        <v>11122</v>
      </c>
      <c r="E5024" s="115">
        <f>-3269  -4802  -1731  -2860  -2385</f>
        <v>-15047</v>
      </c>
      <c r="F5024" s="115">
        <v>-2730</v>
      </c>
      <c r="G5024" s="115">
        <v>-3269</v>
      </c>
      <c r="H5024" s="115">
        <v>-4802</v>
      </c>
      <c r="I5024" s="115">
        <v>-1731</v>
      </c>
      <c r="J5024" s="115">
        <v>-2860</v>
      </c>
      <c r="K5024" s="115">
        <v>-2385</v>
      </c>
    </row>
    <row r="5025" spans="1:11" x14ac:dyDescent="0.25">
      <c r="A5025" s="115" t="s">
        <v>1239</v>
      </c>
      <c r="B5025" s="115" t="s">
        <v>4956</v>
      </c>
      <c r="D5025" s="115" t="s">
        <v>11123</v>
      </c>
      <c r="E5025" s="115" t="s">
        <v>1242</v>
      </c>
      <c r="F5025" s="115">
        <v>0</v>
      </c>
      <c r="G5025" s="115">
        <v>0</v>
      </c>
      <c r="H5025" s="115">
        <v>0</v>
      </c>
      <c r="I5025" s="115">
        <v>0</v>
      </c>
      <c r="J5025" s="115">
        <v>0</v>
      </c>
      <c r="K5025" s="115">
        <v>0</v>
      </c>
    </row>
    <row r="5026" spans="1:11" x14ac:dyDescent="0.25">
      <c r="A5026" s="115" t="s">
        <v>1239</v>
      </c>
      <c r="B5026" s="115" t="s">
        <v>4957</v>
      </c>
      <c r="D5026" s="115" t="s">
        <v>11124</v>
      </c>
      <c r="E5026" s="115" t="s">
        <v>4958</v>
      </c>
      <c r="F5026" s="115">
        <v>1773</v>
      </c>
      <c r="G5026" s="115">
        <v>1601</v>
      </c>
      <c r="H5026" s="115">
        <v>0</v>
      </c>
      <c r="I5026" s="115">
        <v>0</v>
      </c>
      <c r="J5026" s="115">
        <v>-1824</v>
      </c>
      <c r="K5026" s="115">
        <v>0</v>
      </c>
    </row>
    <row r="5027" spans="1:11" x14ac:dyDescent="0.25">
      <c r="B5027" s="115" t="s">
        <v>4959</v>
      </c>
      <c r="D5027" s="115" t="s">
        <v>11125</v>
      </c>
      <c r="E5027" s="115" t="s">
        <v>4960</v>
      </c>
      <c r="F5027" s="115">
        <v>0</v>
      </c>
      <c r="G5027" s="115">
        <v>0</v>
      </c>
      <c r="H5027" s="115">
        <v>-2167</v>
      </c>
      <c r="I5027" s="115">
        <v>0</v>
      </c>
      <c r="J5027" s="115">
        <v>540</v>
      </c>
      <c r="K5027" s="115">
        <v>1474</v>
      </c>
    </row>
    <row r="5028" spans="1:11" x14ac:dyDescent="0.25">
      <c r="B5028" s="115" t="s">
        <v>1241</v>
      </c>
      <c r="D5028" s="115" t="s">
        <v>8710</v>
      </c>
      <c r="E5028" s="115" t="s">
        <v>1242</v>
      </c>
      <c r="F5028" s="115">
        <v>0</v>
      </c>
      <c r="G5028" s="115">
        <v>0</v>
      </c>
      <c r="H5028" s="115">
        <v>0</v>
      </c>
      <c r="I5028" s="115">
        <v>0</v>
      </c>
      <c r="J5028" s="115">
        <v>0</v>
      </c>
      <c r="K5028" s="115">
        <v>0</v>
      </c>
    </row>
    <row r="5029" spans="1:11" x14ac:dyDescent="0.25">
      <c r="B5029" s="115" t="s">
        <v>1241</v>
      </c>
      <c r="D5029" s="115" t="s">
        <v>11126</v>
      </c>
      <c r="E5029" s="115" t="s">
        <v>4961</v>
      </c>
      <c r="F5029" s="115">
        <v>0</v>
      </c>
      <c r="G5029" s="115">
        <v>-1168</v>
      </c>
      <c r="H5029" s="115">
        <v>0</v>
      </c>
      <c r="I5029" s="115">
        <v>0</v>
      </c>
      <c r="J5029" s="115">
        <v>0</v>
      </c>
      <c r="K5029" s="115">
        <v>0</v>
      </c>
    </row>
    <row r="5030" spans="1:11" x14ac:dyDescent="0.25">
      <c r="B5030" s="115" t="s">
        <v>3656</v>
      </c>
      <c r="D5030" s="115" t="s">
        <v>11127</v>
      </c>
      <c r="E5030" s="115" t="s">
        <v>4962</v>
      </c>
      <c r="F5030" s="115">
        <v>21850</v>
      </c>
      <c r="G5030" s="115">
        <v>47383</v>
      </c>
      <c r="H5030" s="115">
        <v>25016</v>
      </c>
      <c r="I5030" s="115">
        <v>25931</v>
      </c>
      <c r="J5030" s="115">
        <v>-1144</v>
      </c>
      <c r="K5030" s="115">
        <v>-366</v>
      </c>
    </row>
    <row r="5031" spans="1:11" x14ac:dyDescent="0.25">
      <c r="A5031" s="115" t="s">
        <v>1239</v>
      </c>
      <c r="B5031" s="115" t="s">
        <v>4963</v>
      </c>
      <c r="D5031" s="115" t="s">
        <v>11128</v>
      </c>
      <c r="E5031" s="115" t="s">
        <v>4964</v>
      </c>
      <c r="F5031" s="115">
        <v>35731</v>
      </c>
      <c r="G5031" s="115">
        <v>18146</v>
      </c>
      <c r="H5031" s="115">
        <v>18393</v>
      </c>
      <c r="I5031" s="115">
        <v>-118</v>
      </c>
      <c r="J5031" s="115">
        <v>0</v>
      </c>
      <c r="K5031" s="115">
        <v>23413</v>
      </c>
    </row>
    <row r="5032" spans="1:11" x14ac:dyDescent="0.25">
      <c r="A5032" s="115" t="s">
        <v>1239</v>
      </c>
      <c r="B5032" s="115" t="s">
        <v>4965</v>
      </c>
      <c r="D5032" s="115" t="s">
        <v>11129</v>
      </c>
      <c r="E5032" s="115" t="s">
        <v>4966</v>
      </c>
      <c r="F5032" s="115">
        <v>208</v>
      </c>
      <c r="G5032" s="115">
        <v>0</v>
      </c>
      <c r="H5032" s="115">
        <v>0</v>
      </c>
      <c r="I5032" s="115">
        <v>108</v>
      </c>
      <c r="J5032" s="115">
        <v>0</v>
      </c>
      <c r="K5032" s="115">
        <v>0</v>
      </c>
    </row>
    <row r="5033" spans="1:11" x14ac:dyDescent="0.25">
      <c r="B5033" s="115" t="s">
        <v>4967</v>
      </c>
      <c r="D5033" s="115" t="s">
        <v>11130</v>
      </c>
      <c r="E5033" s="115" t="s">
        <v>4968</v>
      </c>
      <c r="F5033" s="115">
        <v>0</v>
      </c>
      <c r="G5033" s="115">
        <v>0</v>
      </c>
      <c r="H5033" s="115">
        <v>0</v>
      </c>
      <c r="I5033" s="115">
        <v>0</v>
      </c>
      <c r="J5033" s="115">
        <v>0</v>
      </c>
      <c r="K5033" s="115">
        <v>858</v>
      </c>
    </row>
    <row r="5034" spans="1:11" x14ac:dyDescent="0.25">
      <c r="B5034" s="115" t="s">
        <v>1241</v>
      </c>
      <c r="D5034" s="115" t="s">
        <v>11131</v>
      </c>
      <c r="E5034" s="115" t="s">
        <v>4969</v>
      </c>
      <c r="F5034" s="115">
        <v>55</v>
      </c>
      <c r="G5034" s="115">
        <v>0</v>
      </c>
      <c r="H5034" s="115">
        <v>520</v>
      </c>
      <c r="I5034" s="115">
        <v>-677</v>
      </c>
      <c r="J5034" s="115">
        <v>-238</v>
      </c>
      <c r="K5034" s="115">
        <v>0</v>
      </c>
    </row>
    <row r="5035" spans="1:11" x14ac:dyDescent="0.25">
      <c r="A5035" s="115" t="s">
        <v>1239</v>
      </c>
      <c r="B5035" s="115" t="s">
        <v>4970</v>
      </c>
      <c r="D5035" s="115" t="s">
        <v>11132</v>
      </c>
      <c r="E5035" s="115" t="s">
        <v>4971</v>
      </c>
      <c r="F5035" s="115">
        <v>235</v>
      </c>
      <c r="G5035" s="115">
        <v>310</v>
      </c>
      <c r="H5035" s="115">
        <v>0</v>
      </c>
      <c r="I5035" s="115">
        <v>-21</v>
      </c>
      <c r="J5035" s="115">
        <v>0</v>
      </c>
      <c r="K5035" s="115">
        <v>0</v>
      </c>
    </row>
    <row r="5036" spans="1:11" x14ac:dyDescent="0.25">
      <c r="B5036" s="115" t="s">
        <v>1241</v>
      </c>
      <c r="D5036" s="115" t="s">
        <v>11133</v>
      </c>
      <c r="E5036" s="115" t="s">
        <v>4972</v>
      </c>
      <c r="F5036" s="115">
        <v>0</v>
      </c>
      <c r="G5036" s="115">
        <v>0</v>
      </c>
      <c r="H5036" s="115">
        <v>0</v>
      </c>
      <c r="I5036" s="115">
        <v>-65</v>
      </c>
      <c r="J5036" s="115">
        <v>0</v>
      </c>
      <c r="K5036" s="115">
        <v>77</v>
      </c>
    </row>
    <row r="5037" spans="1:11" x14ac:dyDescent="0.25">
      <c r="B5037" s="115" t="s">
        <v>1241</v>
      </c>
      <c r="D5037" s="115" t="s">
        <v>11134</v>
      </c>
      <c r="E5037" s="115" t="s">
        <v>4973</v>
      </c>
      <c r="F5037" s="115">
        <v>0</v>
      </c>
      <c r="G5037" s="115">
        <v>104</v>
      </c>
      <c r="H5037" s="115">
        <v>0</v>
      </c>
      <c r="I5037" s="115">
        <v>204</v>
      </c>
      <c r="J5037" s="115">
        <v>-85</v>
      </c>
      <c r="K5037" s="115">
        <v>0</v>
      </c>
    </row>
    <row r="5038" spans="1:11" x14ac:dyDescent="0.25">
      <c r="B5038" s="115" t="s">
        <v>4974</v>
      </c>
      <c r="C5038" s="115" t="s">
        <v>1239</v>
      </c>
      <c r="D5038" s="115" t="s">
        <v>11135</v>
      </c>
      <c r="E5038" s="115" t="s">
        <v>4975</v>
      </c>
      <c r="F5038" s="115">
        <v>-188</v>
      </c>
      <c r="G5038" s="115">
        <v>0</v>
      </c>
      <c r="H5038" s="115">
        <v>0</v>
      </c>
      <c r="I5038" s="115">
        <v>0</v>
      </c>
      <c r="J5038" s="115">
        <v>0</v>
      </c>
      <c r="K5038" s="115">
        <v>-134</v>
      </c>
    </row>
    <row r="5039" spans="1:11" x14ac:dyDescent="0.25">
      <c r="B5039" s="115" t="s">
        <v>4976</v>
      </c>
      <c r="D5039" s="115" t="s">
        <v>11136</v>
      </c>
      <c r="E5039" s="115" t="s">
        <v>4977</v>
      </c>
      <c r="F5039" s="115">
        <v>-1315</v>
      </c>
      <c r="G5039" s="115">
        <v>510</v>
      </c>
      <c r="H5039" s="115">
        <v>0</v>
      </c>
      <c r="I5039" s="115">
        <v>305</v>
      </c>
      <c r="J5039" s="115">
        <v>503</v>
      </c>
      <c r="K5039" s="115">
        <v>145</v>
      </c>
    </row>
    <row r="5040" spans="1:11" x14ac:dyDescent="0.25">
      <c r="B5040" s="115" t="s">
        <v>4978</v>
      </c>
      <c r="D5040" s="115" t="s">
        <v>11137</v>
      </c>
      <c r="E5040" s="115" t="s">
        <v>4979</v>
      </c>
      <c r="F5040" s="115">
        <v>0</v>
      </c>
      <c r="G5040" s="115">
        <v>0</v>
      </c>
      <c r="H5040" s="115">
        <v>0</v>
      </c>
      <c r="I5040" s="115">
        <v>0</v>
      </c>
      <c r="J5040" s="115">
        <v>0</v>
      </c>
      <c r="K5040" s="115">
        <v>2850</v>
      </c>
    </row>
    <row r="5041" spans="1:11" x14ac:dyDescent="0.25">
      <c r="B5041" s="115" t="s">
        <v>4980</v>
      </c>
      <c r="D5041" s="115" t="s">
        <v>11138</v>
      </c>
      <c r="E5041" s="115" t="s">
        <v>4981</v>
      </c>
      <c r="F5041" s="115">
        <v>0</v>
      </c>
      <c r="G5041" s="115">
        <v>1155</v>
      </c>
      <c r="H5041" s="115">
        <v>-6634</v>
      </c>
      <c r="I5041" s="115">
        <v>755</v>
      </c>
      <c r="J5041" s="115">
        <v>-308</v>
      </c>
      <c r="K5041" s="115">
        <v>1774</v>
      </c>
    </row>
    <row r="5042" spans="1:11" x14ac:dyDescent="0.25">
      <c r="B5042" s="115" t="s">
        <v>4982</v>
      </c>
      <c r="C5042" s="115" t="s">
        <v>1239</v>
      </c>
      <c r="D5042" s="115" t="s">
        <v>11139</v>
      </c>
      <c r="E5042" s="115" t="s">
        <v>4983</v>
      </c>
      <c r="F5042" s="115">
        <v>-213</v>
      </c>
      <c r="G5042" s="115">
        <v>0</v>
      </c>
      <c r="H5042" s="115">
        <v>323</v>
      </c>
      <c r="I5042" s="115">
        <v>-1023</v>
      </c>
      <c r="J5042" s="115">
        <v>0</v>
      </c>
      <c r="K5042" s="115">
        <v>0</v>
      </c>
    </row>
    <row r="5043" spans="1:11" x14ac:dyDescent="0.25">
      <c r="B5043" s="115" t="s">
        <v>4984</v>
      </c>
      <c r="D5043" s="115" t="s">
        <v>11140</v>
      </c>
      <c r="E5043" s="115" t="s">
        <v>4985</v>
      </c>
      <c r="F5043" s="115">
        <v>-26</v>
      </c>
      <c r="G5043" s="115">
        <v>-331</v>
      </c>
      <c r="H5043" s="115">
        <v>-125</v>
      </c>
      <c r="I5043" s="115">
        <v>-821</v>
      </c>
      <c r="J5043" s="115">
        <v>0</v>
      </c>
      <c r="K5043" s="115">
        <v>0</v>
      </c>
    </row>
    <row r="5044" spans="1:11" x14ac:dyDescent="0.25">
      <c r="B5044" s="115" t="s">
        <v>1241</v>
      </c>
      <c r="D5044" s="115" t="s">
        <v>11141</v>
      </c>
      <c r="E5044" s="115" t="s">
        <v>4986</v>
      </c>
      <c r="F5044" s="115">
        <v>0</v>
      </c>
      <c r="G5044" s="115">
        <v>-265</v>
      </c>
      <c r="H5044" s="115">
        <v>-1060</v>
      </c>
      <c r="I5044" s="115">
        <v>-347</v>
      </c>
      <c r="J5044" s="115">
        <v>0</v>
      </c>
      <c r="K5044" s="115">
        <v>376</v>
      </c>
    </row>
    <row r="5045" spans="1:11" x14ac:dyDescent="0.25">
      <c r="A5045" s="115">
        <v>-13</v>
      </c>
      <c r="B5045" s="115" t="s">
        <v>4987</v>
      </c>
      <c r="D5045" s="115" t="s">
        <v>11142</v>
      </c>
      <c r="E5045" s="115" t="s">
        <v>4988</v>
      </c>
      <c r="F5045" s="115">
        <v>-1506</v>
      </c>
      <c r="G5045" s="115">
        <v>-337</v>
      </c>
      <c r="H5045" s="115">
        <v>207</v>
      </c>
      <c r="I5045" s="115">
        <v>0</v>
      </c>
      <c r="J5045" s="115">
        <v>644</v>
      </c>
      <c r="K5045" s="115">
        <v>0</v>
      </c>
    </row>
    <row r="5046" spans="1:11" x14ac:dyDescent="0.25">
      <c r="B5046" s="115" t="s">
        <v>4989</v>
      </c>
      <c r="D5046" s="115" t="s">
        <v>11143</v>
      </c>
      <c r="E5046" s="115" t="s">
        <v>4990</v>
      </c>
      <c r="F5046" s="115">
        <v>5278</v>
      </c>
      <c r="G5046" s="115">
        <v>0</v>
      </c>
      <c r="H5046" s="115">
        <v>0</v>
      </c>
      <c r="I5046" s="115">
        <v>-255</v>
      </c>
      <c r="J5046" s="115">
        <v>0</v>
      </c>
      <c r="K5046" s="115">
        <v>1449</v>
      </c>
    </row>
    <row r="5047" spans="1:11" x14ac:dyDescent="0.25">
      <c r="B5047" s="115" t="s">
        <v>4991</v>
      </c>
      <c r="D5047" s="115" t="s">
        <v>11144</v>
      </c>
      <c r="E5047" s="115" t="s">
        <v>4992</v>
      </c>
      <c r="F5047" s="115">
        <v>0</v>
      </c>
      <c r="G5047" s="115">
        <v>0</v>
      </c>
      <c r="H5047" s="115">
        <v>0</v>
      </c>
      <c r="I5047" s="115">
        <v>-67</v>
      </c>
      <c r="J5047" s="115">
        <v>0</v>
      </c>
      <c r="K5047" s="115">
        <v>-594</v>
      </c>
    </row>
    <row r="5048" spans="1:11" x14ac:dyDescent="0.25">
      <c r="B5048" s="115" t="s">
        <v>4993</v>
      </c>
      <c r="D5048" s="115" t="s">
        <v>11145</v>
      </c>
      <c r="E5048" s="115" t="s">
        <v>4994</v>
      </c>
      <c r="F5048" s="115">
        <v>-10618</v>
      </c>
      <c r="G5048" s="115">
        <v>-105</v>
      </c>
      <c r="H5048" s="115">
        <v>0</v>
      </c>
      <c r="I5048" s="115">
        <v>0</v>
      </c>
      <c r="J5048" s="115">
        <v>0</v>
      </c>
      <c r="K5048" s="115">
        <v>-634</v>
      </c>
    </row>
    <row r="5049" spans="1:11" x14ac:dyDescent="0.25">
      <c r="A5049" s="115" t="s">
        <v>1239</v>
      </c>
      <c r="B5049" s="115" t="s">
        <v>4995</v>
      </c>
      <c r="D5049" s="115" t="s">
        <v>11146</v>
      </c>
      <c r="E5049" s="115" t="s">
        <v>4996</v>
      </c>
      <c r="F5049" s="115">
        <v>0</v>
      </c>
      <c r="G5049" s="115">
        <v>-375</v>
      </c>
      <c r="H5049" s="115">
        <v>0</v>
      </c>
      <c r="I5049" s="115">
        <v>0</v>
      </c>
      <c r="J5049" s="115">
        <v>164</v>
      </c>
      <c r="K5049" s="115">
        <v>0</v>
      </c>
    </row>
    <row r="5050" spans="1:11" x14ac:dyDescent="0.25">
      <c r="A5050" s="115" t="s">
        <v>1239</v>
      </c>
      <c r="B5050" s="115" t="s">
        <v>4997</v>
      </c>
      <c r="D5050" s="115" t="s">
        <v>11147</v>
      </c>
      <c r="E5050" s="115" t="s">
        <v>1242</v>
      </c>
      <c r="F5050" s="115">
        <v>0</v>
      </c>
      <c r="G5050" s="115">
        <v>0</v>
      </c>
      <c r="H5050" s="115">
        <v>0</v>
      </c>
      <c r="I5050" s="115">
        <v>0</v>
      </c>
      <c r="J5050" s="115">
        <v>0</v>
      </c>
      <c r="K5050" s="115">
        <v>0</v>
      </c>
    </row>
    <row r="5051" spans="1:11" x14ac:dyDescent="0.25">
      <c r="B5051" s="115" t="s">
        <v>3390</v>
      </c>
      <c r="D5051" s="115" t="s">
        <v>11148</v>
      </c>
      <c r="E5051" s="115" t="s">
        <v>4998</v>
      </c>
      <c r="F5051" s="115">
        <v>-473</v>
      </c>
      <c r="G5051" s="115">
        <v>32</v>
      </c>
      <c r="H5051" s="115">
        <v>0</v>
      </c>
      <c r="I5051" s="115">
        <v>2802</v>
      </c>
      <c r="J5051" s="115">
        <v>1940</v>
      </c>
      <c r="K5051" s="115">
        <v>0</v>
      </c>
    </row>
    <row r="5052" spans="1:11" x14ac:dyDescent="0.25">
      <c r="B5052" s="115" t="s">
        <v>1241</v>
      </c>
      <c r="D5052" s="115" t="s">
        <v>11149</v>
      </c>
      <c r="E5052" s="115">
        <f>-1671  -3695  -2952  -1808  -6152</f>
        <v>-16278</v>
      </c>
      <c r="F5052" s="115">
        <v>-3944</v>
      </c>
      <c r="G5052" s="115">
        <v>-1671</v>
      </c>
      <c r="H5052" s="115">
        <v>-3695</v>
      </c>
      <c r="I5052" s="115">
        <v>-2952</v>
      </c>
      <c r="J5052" s="115">
        <v>-1808</v>
      </c>
      <c r="K5052" s="115">
        <v>-6152</v>
      </c>
    </row>
    <row r="5053" spans="1:11" x14ac:dyDescent="0.25">
      <c r="B5053" s="115" t="s">
        <v>1241</v>
      </c>
      <c r="D5053" s="115" t="s">
        <v>11150</v>
      </c>
      <c r="E5053" s="115" t="s">
        <v>4999</v>
      </c>
      <c r="F5053" s="115">
        <v>244</v>
      </c>
      <c r="G5053" s="115">
        <v>0</v>
      </c>
      <c r="H5053" s="115">
        <v>577</v>
      </c>
      <c r="I5053" s="115">
        <v>0</v>
      </c>
      <c r="J5053" s="115">
        <v>0</v>
      </c>
      <c r="K5053" s="115">
        <v>-1484</v>
      </c>
    </row>
    <row r="5054" spans="1:11" x14ac:dyDescent="0.25">
      <c r="B5054" s="115" t="s">
        <v>5000</v>
      </c>
      <c r="D5054" s="115" t="s">
        <v>11151</v>
      </c>
      <c r="E5054" s="115" t="s">
        <v>5001</v>
      </c>
      <c r="F5054" s="115">
        <v>0</v>
      </c>
      <c r="G5054" s="115">
        <v>342</v>
      </c>
      <c r="H5054" s="115">
        <v>0</v>
      </c>
      <c r="I5054" s="115">
        <v>1493</v>
      </c>
      <c r="J5054" s="115">
        <v>-2750</v>
      </c>
      <c r="K5054" s="115">
        <v>-3391</v>
      </c>
    </row>
    <row r="5055" spans="1:11" x14ac:dyDescent="0.25">
      <c r="A5055" s="115">
        <v>-4</v>
      </c>
      <c r="B5055" s="115" t="s">
        <v>5002</v>
      </c>
      <c r="C5055" s="115" t="s">
        <v>1239</v>
      </c>
      <c r="D5055" s="115" t="s">
        <v>11152</v>
      </c>
      <c r="E5055" s="115" t="s">
        <v>5003</v>
      </c>
      <c r="F5055" s="115">
        <v>408</v>
      </c>
      <c r="G5055" s="115">
        <v>897</v>
      </c>
      <c r="H5055" s="115">
        <v>871</v>
      </c>
      <c r="I5055" s="115">
        <v>0</v>
      </c>
      <c r="J5055" s="115">
        <v>0</v>
      </c>
      <c r="K5055" s="115">
        <v>0</v>
      </c>
    </row>
    <row r="5056" spans="1:11" x14ac:dyDescent="0.25">
      <c r="B5056" s="115" t="s">
        <v>1241</v>
      </c>
      <c r="D5056" s="115" t="s">
        <v>11153</v>
      </c>
      <c r="E5056" s="115" t="s">
        <v>5004</v>
      </c>
      <c r="F5056" s="115">
        <v>-2126</v>
      </c>
      <c r="G5056" s="115">
        <v>57</v>
      </c>
      <c r="H5056" s="115">
        <v>-1068</v>
      </c>
      <c r="I5056" s="115">
        <v>1081</v>
      </c>
      <c r="J5056" s="115">
        <v>-865</v>
      </c>
      <c r="K5056" s="115">
        <v>1240</v>
      </c>
    </row>
    <row r="5057" spans="1:11" x14ac:dyDescent="0.25">
      <c r="B5057" s="115" t="s">
        <v>1241</v>
      </c>
      <c r="C5057" s="115" t="s">
        <v>1239</v>
      </c>
      <c r="D5057" s="115" t="s">
        <v>11154</v>
      </c>
      <c r="E5057" s="115" t="s">
        <v>5005</v>
      </c>
      <c r="F5057" s="115">
        <v>-184</v>
      </c>
      <c r="G5057" s="115">
        <v>-2012</v>
      </c>
      <c r="H5057" s="115">
        <v>0</v>
      </c>
      <c r="I5057" s="115">
        <v>0</v>
      </c>
      <c r="J5057" s="115">
        <v>0</v>
      </c>
      <c r="K5057" s="115">
        <v>0</v>
      </c>
    </row>
    <row r="5058" spans="1:11" x14ac:dyDescent="0.25">
      <c r="A5058" s="115">
        <v>-1</v>
      </c>
      <c r="B5058" s="115" t="s">
        <v>5006</v>
      </c>
      <c r="D5058" s="115" t="s">
        <v>11155</v>
      </c>
      <c r="E5058" s="115" t="s">
        <v>1242</v>
      </c>
      <c r="F5058" s="115">
        <v>0</v>
      </c>
      <c r="G5058" s="115">
        <v>0</v>
      </c>
      <c r="H5058" s="115">
        <v>0</v>
      </c>
      <c r="I5058" s="115">
        <v>0</v>
      </c>
      <c r="J5058" s="115">
        <v>0</v>
      </c>
      <c r="K5058" s="115">
        <v>0</v>
      </c>
    </row>
    <row r="5059" spans="1:11" x14ac:dyDescent="0.25">
      <c r="B5059" s="115" t="s">
        <v>1241</v>
      </c>
      <c r="D5059" s="115" t="s">
        <v>11156</v>
      </c>
      <c r="E5059" s="115" t="s">
        <v>5007</v>
      </c>
      <c r="F5059" s="115">
        <v>0</v>
      </c>
      <c r="G5059" s="115">
        <v>0</v>
      </c>
      <c r="H5059" s="115">
        <v>0</v>
      </c>
      <c r="I5059" s="115">
        <v>0</v>
      </c>
      <c r="J5059" s="115">
        <v>0</v>
      </c>
      <c r="K5059" s="115">
        <v>-1007</v>
      </c>
    </row>
    <row r="5060" spans="1:11" x14ac:dyDescent="0.25">
      <c r="B5060" s="115" t="s">
        <v>1241</v>
      </c>
      <c r="D5060" s="115" t="s">
        <v>11157</v>
      </c>
      <c r="E5060" s="115" t="s">
        <v>5008</v>
      </c>
      <c r="F5060" s="115">
        <v>0</v>
      </c>
      <c r="G5060" s="115">
        <v>-342</v>
      </c>
      <c r="H5060" s="115">
        <v>4082</v>
      </c>
      <c r="I5060" s="115">
        <v>4506</v>
      </c>
      <c r="J5060" s="115">
        <v>23182</v>
      </c>
      <c r="K5060" s="115">
        <v>25039</v>
      </c>
    </row>
    <row r="5061" spans="1:11" x14ac:dyDescent="0.25">
      <c r="A5061" s="115">
        <v>47</v>
      </c>
      <c r="B5061" s="115" t="s">
        <v>5009</v>
      </c>
      <c r="C5061" s="115" t="s">
        <v>1239</v>
      </c>
      <c r="D5061" s="115" t="s">
        <v>11158</v>
      </c>
      <c r="E5061" s="115" t="s">
        <v>5010</v>
      </c>
      <c r="F5061" s="115">
        <v>-125</v>
      </c>
      <c r="G5061" s="115">
        <v>5907</v>
      </c>
      <c r="H5061" s="115">
        <v>4051</v>
      </c>
      <c r="I5061" s="115">
        <v>17391</v>
      </c>
      <c r="J5061" s="115">
        <v>19092</v>
      </c>
      <c r="K5061" s="115">
        <v>34419</v>
      </c>
    </row>
    <row r="5062" spans="1:11" x14ac:dyDescent="0.25">
      <c r="A5062" s="115">
        <v>18</v>
      </c>
      <c r="B5062" s="115" t="s">
        <v>5011</v>
      </c>
      <c r="D5062" s="115" t="s">
        <v>11159</v>
      </c>
      <c r="E5062" s="115" t="s">
        <v>5012</v>
      </c>
      <c r="F5062" s="115">
        <v>19290</v>
      </c>
      <c r="G5062" s="115">
        <v>-156</v>
      </c>
      <c r="H5062" s="115">
        <v>146</v>
      </c>
      <c r="I5062" s="115">
        <v>181</v>
      </c>
      <c r="J5062" s="115">
        <v>136</v>
      </c>
      <c r="K5062" s="115">
        <v>390</v>
      </c>
    </row>
    <row r="5063" spans="1:11" x14ac:dyDescent="0.25">
      <c r="B5063" s="115" t="s">
        <v>1241</v>
      </c>
      <c r="D5063" s="115" t="s">
        <v>11160</v>
      </c>
      <c r="E5063" s="115" t="s">
        <v>5013</v>
      </c>
      <c r="F5063" s="115">
        <v>0</v>
      </c>
      <c r="G5063" s="115">
        <v>0</v>
      </c>
      <c r="H5063" s="115">
        <v>-56</v>
      </c>
      <c r="I5063" s="115">
        <v>-323</v>
      </c>
      <c r="J5063" s="115">
        <v>0</v>
      </c>
      <c r="K5063" s="115">
        <v>0</v>
      </c>
    </row>
    <row r="5064" spans="1:11" x14ac:dyDescent="0.25">
      <c r="B5064" s="115" t="s">
        <v>1241</v>
      </c>
      <c r="D5064" s="115" t="s">
        <v>11161</v>
      </c>
      <c r="E5064" s="115" t="s">
        <v>5014</v>
      </c>
      <c r="F5064" s="115">
        <v>700</v>
      </c>
      <c r="G5064" s="115">
        <v>0</v>
      </c>
      <c r="H5064" s="115">
        <v>0</v>
      </c>
      <c r="I5064" s="115">
        <v>-20</v>
      </c>
      <c r="J5064" s="115">
        <v>0</v>
      </c>
      <c r="K5064" s="115">
        <v>24</v>
      </c>
    </row>
    <row r="5065" spans="1:11" x14ac:dyDescent="0.25">
      <c r="B5065" s="115" t="s">
        <v>5015</v>
      </c>
      <c r="D5065" s="115" t="s">
        <v>11162</v>
      </c>
      <c r="E5065" s="115" t="s">
        <v>5016</v>
      </c>
      <c r="F5065" s="115">
        <v>0</v>
      </c>
      <c r="G5065" s="115">
        <v>-723</v>
      </c>
      <c r="H5065" s="115">
        <v>199</v>
      </c>
      <c r="I5065" s="115">
        <v>377</v>
      </c>
      <c r="J5065" s="115">
        <v>397</v>
      </c>
      <c r="K5065" s="115">
        <v>318</v>
      </c>
    </row>
    <row r="5066" spans="1:11" x14ac:dyDescent="0.25">
      <c r="B5066" s="115" t="s">
        <v>5017</v>
      </c>
      <c r="D5066" s="115" t="s">
        <v>11163</v>
      </c>
      <c r="E5066" s="115" t="s">
        <v>5018</v>
      </c>
      <c r="F5066" s="115">
        <v>0</v>
      </c>
      <c r="G5066" s="115">
        <v>0</v>
      </c>
      <c r="H5066" s="115">
        <v>0</v>
      </c>
      <c r="I5066" s="115">
        <v>0</v>
      </c>
      <c r="J5066" s="115">
        <v>-185</v>
      </c>
      <c r="K5066" s="115">
        <v>0</v>
      </c>
    </row>
    <row r="5067" spans="1:11" x14ac:dyDescent="0.25">
      <c r="B5067" s="115" t="s">
        <v>1241</v>
      </c>
      <c r="D5067" s="115" t="s">
        <v>11164</v>
      </c>
      <c r="E5067" s="115" t="s">
        <v>1242</v>
      </c>
      <c r="F5067" s="115">
        <v>43</v>
      </c>
      <c r="G5067" s="115">
        <v>0</v>
      </c>
      <c r="H5067" s="115">
        <v>0</v>
      </c>
      <c r="I5067" s="115">
        <v>0</v>
      </c>
      <c r="J5067" s="115">
        <v>0</v>
      </c>
      <c r="K5067" s="115">
        <v>0</v>
      </c>
    </row>
    <row r="5068" spans="1:11" x14ac:dyDescent="0.25">
      <c r="B5068" s="115" t="s">
        <v>5019</v>
      </c>
      <c r="D5068" s="115" t="s">
        <v>11165</v>
      </c>
      <c r="E5068" s="115" t="s">
        <v>5020</v>
      </c>
      <c r="F5068" s="115">
        <v>0</v>
      </c>
      <c r="G5068" s="115">
        <v>0</v>
      </c>
      <c r="H5068" s="115">
        <v>-5102</v>
      </c>
      <c r="I5068" s="115">
        <v>-3293</v>
      </c>
      <c r="J5068" s="115">
        <v>0</v>
      </c>
      <c r="K5068" s="115">
        <v>-815</v>
      </c>
    </row>
    <row r="5069" spans="1:11" x14ac:dyDescent="0.25">
      <c r="B5069" s="115" t="s">
        <v>1241</v>
      </c>
      <c r="D5069" s="115" t="s">
        <v>11166</v>
      </c>
      <c r="E5069" s="115" t="s">
        <v>5021</v>
      </c>
      <c r="F5069" s="115">
        <v>-86</v>
      </c>
      <c r="G5069" s="115">
        <v>996</v>
      </c>
      <c r="H5069" s="115">
        <v>912</v>
      </c>
      <c r="I5069" s="115">
        <v>0</v>
      </c>
      <c r="J5069" s="115">
        <v>0</v>
      </c>
      <c r="K5069" s="115">
        <v>38</v>
      </c>
    </row>
    <row r="5070" spans="1:11" x14ac:dyDescent="0.25">
      <c r="A5070" s="115" t="s">
        <v>1239</v>
      </c>
      <c r="B5070" s="115" t="s">
        <v>5022</v>
      </c>
      <c r="D5070" s="115" t="s">
        <v>11167</v>
      </c>
      <c r="E5070" s="115" t="s">
        <v>5023</v>
      </c>
      <c r="F5070" s="115">
        <v>18</v>
      </c>
      <c r="G5070" s="115">
        <v>1715</v>
      </c>
      <c r="H5070" s="115">
        <v>-153</v>
      </c>
      <c r="I5070" s="115">
        <v>91</v>
      </c>
      <c r="J5070" s="115">
        <v>5</v>
      </c>
      <c r="K5070" s="115">
        <v>0</v>
      </c>
    </row>
    <row r="5071" spans="1:11" x14ac:dyDescent="0.25">
      <c r="B5071" s="115" t="s">
        <v>1241</v>
      </c>
      <c r="D5071" s="115" t="s">
        <v>11168</v>
      </c>
      <c r="E5071" s="115" t="s">
        <v>5024</v>
      </c>
      <c r="F5071" s="115">
        <v>2628</v>
      </c>
      <c r="G5071" s="115">
        <v>0</v>
      </c>
      <c r="H5071" s="115">
        <v>-717</v>
      </c>
      <c r="I5071" s="115">
        <v>3804</v>
      </c>
      <c r="J5071" s="115">
        <v>592</v>
      </c>
      <c r="K5071" s="115">
        <v>0</v>
      </c>
    </row>
    <row r="5072" spans="1:11" x14ac:dyDescent="0.25">
      <c r="B5072" s="115" t="s">
        <v>5025</v>
      </c>
      <c r="D5072" s="115" t="s">
        <v>11169</v>
      </c>
      <c r="E5072" s="115" t="s">
        <v>5026</v>
      </c>
      <c r="F5072" s="115">
        <v>825</v>
      </c>
      <c r="G5072" s="115">
        <v>0</v>
      </c>
      <c r="H5072" s="115">
        <v>-98</v>
      </c>
      <c r="I5072" s="115">
        <v>-660</v>
      </c>
      <c r="J5072" s="115">
        <v>272</v>
      </c>
      <c r="K5072" s="115">
        <v>-119</v>
      </c>
    </row>
    <row r="5073" spans="1:11" x14ac:dyDescent="0.25">
      <c r="B5073" s="115" t="s">
        <v>5027</v>
      </c>
      <c r="D5073" s="115" t="s">
        <v>11170</v>
      </c>
      <c r="E5073" s="115" t="s">
        <v>5028</v>
      </c>
      <c r="F5073" s="115">
        <v>0</v>
      </c>
      <c r="G5073" s="115">
        <v>0</v>
      </c>
      <c r="H5073" s="115">
        <v>-155</v>
      </c>
      <c r="I5073" s="115">
        <v>-437</v>
      </c>
      <c r="J5073" s="115">
        <v>0</v>
      </c>
      <c r="K5073" s="115">
        <v>-159</v>
      </c>
    </row>
    <row r="5074" spans="1:11" x14ac:dyDescent="0.25">
      <c r="B5074" s="115" t="s">
        <v>5029</v>
      </c>
      <c r="D5074" s="115" t="s">
        <v>11171</v>
      </c>
      <c r="E5074" s="115" t="s">
        <v>5030</v>
      </c>
      <c r="F5074" s="115">
        <v>0</v>
      </c>
      <c r="G5074" s="115">
        <v>0</v>
      </c>
      <c r="H5074" s="115">
        <v>0</v>
      </c>
      <c r="I5074" s="115">
        <v>0</v>
      </c>
      <c r="J5074" s="115">
        <v>-298</v>
      </c>
      <c r="K5074" s="115">
        <v>0</v>
      </c>
    </row>
    <row r="5075" spans="1:11" x14ac:dyDescent="0.25">
      <c r="A5075" s="115" t="s">
        <v>1239</v>
      </c>
      <c r="B5075" s="115" t="s">
        <v>5031</v>
      </c>
      <c r="D5075" s="115" t="s">
        <v>11172</v>
      </c>
      <c r="E5075" s="115" t="s">
        <v>5032</v>
      </c>
      <c r="F5075" s="115">
        <v>349</v>
      </c>
      <c r="G5075" s="115">
        <v>-3680</v>
      </c>
      <c r="H5075" s="115">
        <v>-193</v>
      </c>
      <c r="I5075" s="115">
        <v>221</v>
      </c>
      <c r="J5075" s="115">
        <v>591</v>
      </c>
      <c r="K5075" s="115">
        <v>17</v>
      </c>
    </row>
    <row r="5076" spans="1:11" x14ac:dyDescent="0.25">
      <c r="A5076" s="115" t="s">
        <v>1239</v>
      </c>
      <c r="B5076" s="115" t="s">
        <v>5033</v>
      </c>
      <c r="D5076" s="115" t="s">
        <v>11173</v>
      </c>
      <c r="E5076" s="115" t="s">
        <v>5034</v>
      </c>
      <c r="F5076" s="115">
        <v>0</v>
      </c>
      <c r="G5076" s="115">
        <v>0</v>
      </c>
      <c r="H5076" s="115">
        <v>-802</v>
      </c>
      <c r="I5076" s="115">
        <v>-2</v>
      </c>
      <c r="J5076" s="115">
        <v>0</v>
      </c>
      <c r="K5076" s="115">
        <v>59</v>
      </c>
    </row>
    <row r="5077" spans="1:11" x14ac:dyDescent="0.25">
      <c r="B5077" s="115" t="s">
        <v>1241</v>
      </c>
      <c r="D5077" s="115" t="s">
        <v>11174</v>
      </c>
      <c r="E5077" s="115" t="s">
        <v>5035</v>
      </c>
      <c r="F5077" s="115">
        <v>111</v>
      </c>
      <c r="G5077" s="115">
        <v>-13</v>
      </c>
      <c r="H5077" s="115">
        <v>241</v>
      </c>
      <c r="I5077" s="115">
        <v>0</v>
      </c>
      <c r="J5077" s="115">
        <v>0</v>
      </c>
      <c r="K5077" s="115">
        <v>0</v>
      </c>
    </row>
    <row r="5078" spans="1:11" x14ac:dyDescent="0.25">
      <c r="B5078" s="115" t="s">
        <v>1241</v>
      </c>
      <c r="D5078" s="115" t="s">
        <v>11175</v>
      </c>
      <c r="E5078" s="115" t="s">
        <v>5036</v>
      </c>
      <c r="F5078" s="115">
        <v>-323</v>
      </c>
      <c r="G5078" s="115">
        <v>-275</v>
      </c>
      <c r="H5078" s="115">
        <v>130</v>
      </c>
      <c r="I5078" s="115">
        <v>0</v>
      </c>
      <c r="J5078" s="115">
        <v>1077</v>
      </c>
      <c r="K5078" s="115">
        <v>-17616</v>
      </c>
    </row>
    <row r="5079" spans="1:11" x14ac:dyDescent="0.25">
      <c r="A5079" s="115">
        <v>-4</v>
      </c>
      <c r="B5079" s="115" t="s">
        <v>5037</v>
      </c>
      <c r="D5079" s="115" t="s">
        <v>11176</v>
      </c>
      <c r="E5079" s="115" t="s">
        <v>5038</v>
      </c>
      <c r="F5079" s="115">
        <v>-2496</v>
      </c>
      <c r="G5079" s="115">
        <v>-2036</v>
      </c>
      <c r="H5079" s="115">
        <v>-3577</v>
      </c>
      <c r="I5079" s="115">
        <v>747</v>
      </c>
      <c r="J5079" s="115">
        <v>788</v>
      </c>
      <c r="K5079" s="115">
        <v>0</v>
      </c>
    </row>
    <row r="5080" spans="1:11" x14ac:dyDescent="0.25">
      <c r="B5080" s="115" t="s">
        <v>5039</v>
      </c>
      <c r="D5080" s="115" t="s">
        <v>11177</v>
      </c>
      <c r="E5080" s="115" t="s">
        <v>5040</v>
      </c>
      <c r="F5080" s="115">
        <v>0</v>
      </c>
      <c r="G5080" s="115">
        <v>-13378</v>
      </c>
      <c r="H5080" s="115">
        <v>0</v>
      </c>
      <c r="I5080" s="115">
        <v>-7501</v>
      </c>
      <c r="J5080" s="115">
        <v>0</v>
      </c>
      <c r="K5080" s="115">
        <v>0</v>
      </c>
    </row>
    <row r="5081" spans="1:11" x14ac:dyDescent="0.25">
      <c r="B5081" s="115" t="s">
        <v>1241</v>
      </c>
      <c r="D5081" s="115" t="s">
        <v>11178</v>
      </c>
      <c r="E5081" s="115" t="s">
        <v>5041</v>
      </c>
      <c r="F5081" s="115">
        <v>0</v>
      </c>
      <c r="G5081" s="115">
        <v>0</v>
      </c>
      <c r="H5081" s="115">
        <v>-821</v>
      </c>
      <c r="I5081" s="115">
        <v>0</v>
      </c>
      <c r="J5081" s="115">
        <v>-1767</v>
      </c>
      <c r="K5081" s="115">
        <v>1091</v>
      </c>
    </row>
    <row r="5082" spans="1:11" x14ac:dyDescent="0.25">
      <c r="A5082" s="115">
        <v>1</v>
      </c>
      <c r="B5082" s="115" t="s">
        <v>5042</v>
      </c>
      <c r="D5082" s="115" t="s">
        <v>11179</v>
      </c>
      <c r="E5082" s="115" t="s">
        <v>5043</v>
      </c>
      <c r="F5082" s="115">
        <v>0</v>
      </c>
      <c r="G5082" s="115">
        <v>0</v>
      </c>
      <c r="H5082" s="115">
        <v>0</v>
      </c>
      <c r="I5082" s="115">
        <v>0</v>
      </c>
      <c r="J5082" s="115">
        <v>0</v>
      </c>
      <c r="K5082" s="115">
        <v>-3395</v>
      </c>
    </row>
    <row r="5083" spans="1:11" x14ac:dyDescent="0.25">
      <c r="A5083" s="115">
        <v>-1</v>
      </c>
      <c r="B5083" s="115" t="s">
        <v>5044</v>
      </c>
      <c r="C5083" s="115" t="s">
        <v>1239</v>
      </c>
      <c r="D5083" s="115" t="s">
        <v>11180</v>
      </c>
      <c r="E5083" s="115" t="s">
        <v>5045</v>
      </c>
      <c r="F5083" s="115">
        <v>-5683</v>
      </c>
      <c r="G5083" s="115">
        <v>0</v>
      </c>
      <c r="H5083" s="115">
        <v>0</v>
      </c>
      <c r="I5083" s="115">
        <v>0</v>
      </c>
      <c r="J5083" s="115">
        <v>0</v>
      </c>
      <c r="K5083" s="115">
        <v>-691</v>
      </c>
    </row>
    <row r="5084" spans="1:11" x14ac:dyDescent="0.25">
      <c r="B5084" s="115" t="s">
        <v>5046</v>
      </c>
      <c r="D5084" s="115" t="s">
        <v>11181</v>
      </c>
      <c r="E5084" s="115" t="s">
        <v>5047</v>
      </c>
      <c r="F5084" s="115">
        <v>-1388</v>
      </c>
      <c r="G5084" s="115">
        <v>626</v>
      </c>
      <c r="H5084" s="115">
        <v>0</v>
      </c>
      <c r="I5084" s="115">
        <v>0</v>
      </c>
      <c r="J5084" s="115">
        <v>0</v>
      </c>
      <c r="K5084" s="115">
        <v>0</v>
      </c>
    </row>
    <row r="5085" spans="1:11" x14ac:dyDescent="0.25">
      <c r="B5085" s="115" t="s">
        <v>4643</v>
      </c>
      <c r="D5085" s="115" t="s">
        <v>11182</v>
      </c>
      <c r="E5085" s="115" t="s">
        <v>5048</v>
      </c>
      <c r="F5085" s="115">
        <v>-2887</v>
      </c>
      <c r="G5085" s="115">
        <v>-3907</v>
      </c>
      <c r="H5085" s="115">
        <v>862</v>
      </c>
      <c r="I5085" s="115">
        <v>-1194</v>
      </c>
      <c r="J5085" s="115">
        <v>-1616</v>
      </c>
      <c r="K5085" s="115">
        <v>-266</v>
      </c>
    </row>
    <row r="5086" spans="1:11" x14ac:dyDescent="0.25">
      <c r="B5086" s="115" t="s">
        <v>5049</v>
      </c>
      <c r="D5086" s="115" t="s">
        <v>11183</v>
      </c>
      <c r="E5086" s="115" t="s">
        <v>5050</v>
      </c>
      <c r="F5086" s="115">
        <v>0</v>
      </c>
      <c r="G5086" s="115">
        <v>0</v>
      </c>
      <c r="H5086" s="115">
        <v>0</v>
      </c>
      <c r="I5086" s="115">
        <v>0</v>
      </c>
      <c r="J5086" s="115">
        <v>0</v>
      </c>
      <c r="K5086" s="115">
        <v>496</v>
      </c>
    </row>
    <row r="5087" spans="1:11" x14ac:dyDescent="0.25">
      <c r="A5087" s="115" t="s">
        <v>1239</v>
      </c>
      <c r="B5087" s="115" t="s">
        <v>5051</v>
      </c>
      <c r="D5087" s="115" t="s">
        <v>11184</v>
      </c>
      <c r="E5087" s="115" t="s">
        <v>5052</v>
      </c>
      <c r="F5087" s="115">
        <v>712</v>
      </c>
      <c r="G5087" s="115">
        <v>0</v>
      </c>
      <c r="H5087" s="115">
        <v>0</v>
      </c>
      <c r="I5087" s="115">
        <v>-1361</v>
      </c>
      <c r="J5087" s="115">
        <v>0</v>
      </c>
      <c r="K5087" s="115">
        <v>438</v>
      </c>
    </row>
    <row r="5088" spans="1:11" x14ac:dyDescent="0.25">
      <c r="A5088" s="115">
        <v>-1</v>
      </c>
      <c r="B5088" s="115" t="s">
        <v>1453</v>
      </c>
      <c r="D5088" s="115" t="s">
        <v>11185</v>
      </c>
      <c r="E5088" s="115" t="s">
        <v>5053</v>
      </c>
      <c r="F5088" s="115">
        <v>0</v>
      </c>
      <c r="G5088" s="115">
        <v>-2205</v>
      </c>
      <c r="H5088" s="115">
        <v>0</v>
      </c>
      <c r="I5088" s="115">
        <v>640</v>
      </c>
      <c r="J5088" s="115">
        <v>1317</v>
      </c>
      <c r="K5088" s="115">
        <v>0</v>
      </c>
    </row>
    <row r="5089" spans="1:11" x14ac:dyDescent="0.25">
      <c r="B5089" s="115" t="s">
        <v>1241</v>
      </c>
      <c r="D5089" s="115" t="s">
        <v>8710</v>
      </c>
      <c r="E5089" s="115" t="s">
        <v>1242</v>
      </c>
      <c r="F5089" s="115">
        <v>0</v>
      </c>
      <c r="G5089" s="115">
        <v>0</v>
      </c>
      <c r="H5089" s="115">
        <v>0</v>
      </c>
      <c r="I5089" s="115">
        <v>0</v>
      </c>
      <c r="J5089" s="115">
        <v>0</v>
      </c>
      <c r="K5089" s="115">
        <v>0</v>
      </c>
    </row>
    <row r="5090" spans="1:11" x14ac:dyDescent="0.25">
      <c r="B5090" s="115" t="s">
        <v>1241</v>
      </c>
      <c r="D5090" s="115" t="s">
        <v>11186</v>
      </c>
      <c r="E5090" s="115" t="s">
        <v>1242</v>
      </c>
      <c r="F5090" s="115">
        <v>-912</v>
      </c>
      <c r="G5090" s="115">
        <v>0</v>
      </c>
      <c r="H5090" s="115">
        <v>0</v>
      </c>
      <c r="I5090" s="115">
        <v>0</v>
      </c>
      <c r="J5090" s="115">
        <v>0</v>
      </c>
      <c r="K5090" s="115">
        <v>0</v>
      </c>
    </row>
    <row r="5091" spans="1:11" x14ac:dyDescent="0.25">
      <c r="A5091" s="115" t="s">
        <v>1239</v>
      </c>
      <c r="B5091" s="115" t="s">
        <v>5054</v>
      </c>
      <c r="D5091" s="115" t="s">
        <v>11187</v>
      </c>
      <c r="E5091" s="115" t="s">
        <v>5055</v>
      </c>
      <c r="F5091" s="115">
        <v>23790</v>
      </c>
      <c r="G5091" s="115">
        <v>23816</v>
      </c>
      <c r="H5091" s="115">
        <v>50913</v>
      </c>
      <c r="I5091" s="115">
        <v>-736</v>
      </c>
      <c r="J5091" s="115">
        <v>-160</v>
      </c>
      <c r="K5091" s="115">
        <v>-101</v>
      </c>
    </row>
    <row r="5092" spans="1:11" x14ac:dyDescent="0.25">
      <c r="A5092" s="115">
        <v>5</v>
      </c>
      <c r="B5092" s="115" t="s">
        <v>5056</v>
      </c>
      <c r="C5092" s="115">
        <v>1</v>
      </c>
      <c r="D5092" s="115" t="s">
        <v>11188</v>
      </c>
      <c r="E5092" s="115" t="s">
        <v>5057</v>
      </c>
      <c r="F5092" s="115">
        <v>17179</v>
      </c>
      <c r="G5092" s="115">
        <v>34917</v>
      </c>
      <c r="H5092" s="115">
        <v>-39</v>
      </c>
      <c r="I5092" s="115">
        <v>0</v>
      </c>
      <c r="J5092" s="115">
        <v>20620</v>
      </c>
      <c r="K5092" s="115">
        <v>23755</v>
      </c>
    </row>
    <row r="5093" spans="1:11" x14ac:dyDescent="0.25">
      <c r="A5093" s="115">
        <v>23</v>
      </c>
      <c r="B5093" s="115" t="s">
        <v>5058</v>
      </c>
      <c r="C5093" s="115" t="s">
        <v>1239</v>
      </c>
      <c r="D5093" s="115" t="s">
        <v>11189</v>
      </c>
      <c r="E5093" s="115" t="s">
        <v>5059</v>
      </c>
      <c r="F5093" s="115">
        <v>-59</v>
      </c>
      <c r="G5093" s="115">
        <v>122</v>
      </c>
      <c r="H5093" s="115">
        <v>0</v>
      </c>
      <c r="I5093" s="115">
        <v>0</v>
      </c>
      <c r="J5093" s="115">
        <v>-57</v>
      </c>
      <c r="K5093" s="115">
        <v>0</v>
      </c>
    </row>
    <row r="5094" spans="1:11" x14ac:dyDescent="0.25">
      <c r="B5094" s="115" t="s">
        <v>1241</v>
      </c>
      <c r="D5094" s="115" t="s">
        <v>11190</v>
      </c>
      <c r="E5094" s="115" t="s">
        <v>1242</v>
      </c>
      <c r="F5094" s="115">
        <v>0</v>
      </c>
      <c r="G5094" s="115">
        <v>0</v>
      </c>
      <c r="H5094" s="115">
        <v>0</v>
      </c>
      <c r="I5094" s="115">
        <v>0</v>
      </c>
      <c r="J5094" s="115">
        <v>0</v>
      </c>
      <c r="K5094" s="115">
        <v>0</v>
      </c>
    </row>
    <row r="5095" spans="1:11" x14ac:dyDescent="0.25">
      <c r="B5095" s="115" t="s">
        <v>4558</v>
      </c>
      <c r="D5095" s="115" t="s">
        <v>11191</v>
      </c>
      <c r="E5095" s="115" t="s">
        <v>5060</v>
      </c>
      <c r="F5095" s="115">
        <v>0</v>
      </c>
      <c r="G5095" s="115">
        <v>-137</v>
      </c>
      <c r="H5095" s="115">
        <v>0</v>
      </c>
      <c r="I5095" s="115">
        <v>225</v>
      </c>
      <c r="J5095" s="115">
        <v>-111</v>
      </c>
      <c r="K5095" s="115">
        <v>-84</v>
      </c>
    </row>
    <row r="5096" spans="1:11" x14ac:dyDescent="0.25">
      <c r="B5096" s="115" t="s">
        <v>5061</v>
      </c>
      <c r="C5096" s="115" t="s">
        <v>1239</v>
      </c>
      <c r="D5096" s="115" t="s">
        <v>11192</v>
      </c>
      <c r="E5096" s="115" t="s">
        <v>5062</v>
      </c>
      <c r="F5096" s="115">
        <v>236</v>
      </c>
      <c r="G5096" s="115">
        <v>62</v>
      </c>
      <c r="H5096" s="115">
        <v>252</v>
      </c>
      <c r="I5096" s="115">
        <v>0</v>
      </c>
      <c r="J5096" s="115">
        <v>-2</v>
      </c>
      <c r="K5096" s="115">
        <v>0</v>
      </c>
    </row>
    <row r="5097" spans="1:11" x14ac:dyDescent="0.25">
      <c r="B5097" s="115" t="s">
        <v>1241</v>
      </c>
      <c r="D5097" s="115" t="s">
        <v>11193</v>
      </c>
      <c r="E5097" s="115" t="s">
        <v>5063</v>
      </c>
      <c r="F5097" s="115">
        <v>23</v>
      </c>
      <c r="G5097" s="115">
        <v>0</v>
      </c>
      <c r="H5097" s="115">
        <v>0</v>
      </c>
      <c r="I5097" s="115">
        <v>0</v>
      </c>
      <c r="J5097" s="115">
        <v>-151</v>
      </c>
      <c r="K5097" s="115">
        <v>0</v>
      </c>
    </row>
    <row r="5098" spans="1:11" x14ac:dyDescent="0.25">
      <c r="B5098" s="115" t="s">
        <v>5064</v>
      </c>
      <c r="D5098" s="115" t="s">
        <v>11194</v>
      </c>
      <c r="E5098" s="115" t="s">
        <v>5065</v>
      </c>
      <c r="F5098" s="115">
        <v>0</v>
      </c>
      <c r="G5098" s="115">
        <v>0</v>
      </c>
      <c r="H5098" s="115">
        <v>-62</v>
      </c>
      <c r="I5098" s="115">
        <v>0</v>
      </c>
      <c r="J5098" s="115">
        <v>188</v>
      </c>
      <c r="K5098" s="115">
        <v>-30</v>
      </c>
    </row>
    <row r="5099" spans="1:11" x14ac:dyDescent="0.25">
      <c r="B5099" s="115" t="s">
        <v>1241</v>
      </c>
      <c r="D5099" s="115" t="s">
        <v>11195</v>
      </c>
      <c r="E5099" s="115" t="s">
        <v>5066</v>
      </c>
      <c r="F5099" s="115">
        <v>0</v>
      </c>
      <c r="G5099" s="115">
        <v>-2045</v>
      </c>
      <c r="H5099" s="115">
        <v>0</v>
      </c>
      <c r="I5099" s="115">
        <v>0</v>
      </c>
      <c r="J5099" s="115">
        <v>0</v>
      </c>
      <c r="K5099" s="115">
        <v>0</v>
      </c>
    </row>
    <row r="5100" spans="1:11" x14ac:dyDescent="0.25">
      <c r="B5100" s="115" t="s">
        <v>5067</v>
      </c>
      <c r="D5100" s="115" t="s">
        <v>11196</v>
      </c>
      <c r="E5100" s="115" t="s">
        <v>5068</v>
      </c>
      <c r="F5100" s="115">
        <v>0</v>
      </c>
      <c r="G5100" s="115">
        <v>-523</v>
      </c>
      <c r="H5100" s="115">
        <v>980</v>
      </c>
      <c r="I5100" s="115">
        <v>0</v>
      </c>
      <c r="J5100" s="115">
        <v>1585</v>
      </c>
      <c r="K5100" s="115">
        <v>599</v>
      </c>
    </row>
    <row r="5101" spans="1:11" x14ac:dyDescent="0.25">
      <c r="B5101" s="115" t="s">
        <v>5069</v>
      </c>
      <c r="C5101" s="115" t="s">
        <v>1239</v>
      </c>
      <c r="D5101" s="115" t="s">
        <v>11197</v>
      </c>
      <c r="E5101" s="115" t="s">
        <v>1242</v>
      </c>
      <c r="F5101" s="115">
        <v>-963</v>
      </c>
      <c r="G5101" s="115">
        <v>0</v>
      </c>
      <c r="H5101" s="115">
        <v>0</v>
      </c>
      <c r="I5101" s="115">
        <v>0</v>
      </c>
      <c r="J5101" s="115">
        <v>0</v>
      </c>
      <c r="K5101" s="115">
        <v>0</v>
      </c>
    </row>
    <row r="5102" spans="1:11" x14ac:dyDescent="0.25">
      <c r="A5102" s="115">
        <v>-1</v>
      </c>
      <c r="B5102" s="115" t="s">
        <v>4824</v>
      </c>
      <c r="D5102" s="115" t="s">
        <v>11198</v>
      </c>
      <c r="E5102" s="115" t="s">
        <v>5070</v>
      </c>
      <c r="F5102" s="115">
        <v>1093</v>
      </c>
      <c r="G5102" s="115">
        <v>0</v>
      </c>
      <c r="H5102" s="115">
        <v>-67</v>
      </c>
      <c r="I5102" s="115">
        <v>-4627</v>
      </c>
      <c r="J5102" s="115">
        <v>-117</v>
      </c>
      <c r="K5102" s="115">
        <v>633</v>
      </c>
    </row>
    <row r="5103" spans="1:11" x14ac:dyDescent="0.25">
      <c r="B5103" s="115" t="s">
        <v>3185</v>
      </c>
      <c r="D5103" s="115" t="s">
        <v>11199</v>
      </c>
      <c r="E5103" s="115" t="s">
        <v>5071</v>
      </c>
      <c r="F5103" s="115">
        <v>-1139</v>
      </c>
      <c r="G5103" s="115">
        <v>461</v>
      </c>
      <c r="H5103" s="115">
        <v>0</v>
      </c>
      <c r="I5103" s="115">
        <v>-147</v>
      </c>
      <c r="J5103" s="115">
        <v>-1322</v>
      </c>
      <c r="K5103" s="115">
        <v>0</v>
      </c>
    </row>
    <row r="5104" spans="1:11" x14ac:dyDescent="0.25">
      <c r="B5104" s="115" t="s">
        <v>1241</v>
      </c>
      <c r="D5104" s="115" t="s">
        <v>11200</v>
      </c>
      <c r="E5104" s="115" t="s">
        <v>5072</v>
      </c>
      <c r="F5104" s="115">
        <v>0</v>
      </c>
      <c r="G5104" s="115">
        <v>-1760</v>
      </c>
      <c r="H5104" s="115">
        <v>683</v>
      </c>
      <c r="I5104" s="115">
        <v>470</v>
      </c>
      <c r="J5104" s="115">
        <v>785</v>
      </c>
      <c r="K5104" s="115">
        <v>0</v>
      </c>
    </row>
    <row r="5105" spans="1:11" x14ac:dyDescent="0.25">
      <c r="B5105" s="115" t="s">
        <v>1241</v>
      </c>
      <c r="D5105" s="115" t="s">
        <v>11201</v>
      </c>
      <c r="E5105" s="115" t="s">
        <v>5073</v>
      </c>
      <c r="F5105" s="115">
        <v>-1289</v>
      </c>
      <c r="G5105" s="115">
        <v>0</v>
      </c>
      <c r="H5105" s="115">
        <v>-462</v>
      </c>
      <c r="I5105" s="115">
        <v>783</v>
      </c>
      <c r="J5105" s="115">
        <v>465</v>
      </c>
      <c r="K5105" s="115">
        <v>0</v>
      </c>
    </row>
    <row r="5106" spans="1:11" x14ac:dyDescent="0.25">
      <c r="B5106" s="115" t="s">
        <v>5074</v>
      </c>
      <c r="D5106" s="115" t="s">
        <v>11202</v>
      </c>
      <c r="E5106" s="115" t="s">
        <v>5075</v>
      </c>
      <c r="F5106" s="115">
        <v>346</v>
      </c>
      <c r="G5106" s="115">
        <v>-21</v>
      </c>
      <c r="H5106" s="115">
        <v>-215</v>
      </c>
      <c r="I5106" s="115">
        <v>-1142</v>
      </c>
      <c r="J5106" s="115">
        <v>0</v>
      </c>
      <c r="K5106" s="115">
        <v>-77</v>
      </c>
    </row>
    <row r="5107" spans="1:11" x14ac:dyDescent="0.25">
      <c r="B5107" s="115" t="s">
        <v>1241</v>
      </c>
      <c r="D5107" s="115" t="s">
        <v>11203</v>
      </c>
      <c r="E5107" s="115" t="s">
        <v>5076</v>
      </c>
      <c r="F5107" s="115">
        <v>0</v>
      </c>
      <c r="G5107" s="115">
        <v>-642</v>
      </c>
      <c r="H5107" s="115">
        <v>0</v>
      </c>
      <c r="I5107" s="115">
        <v>0</v>
      </c>
      <c r="J5107" s="115">
        <v>115</v>
      </c>
      <c r="K5107" s="115">
        <v>0</v>
      </c>
    </row>
    <row r="5108" spans="1:11" x14ac:dyDescent="0.25">
      <c r="A5108" s="115" t="s">
        <v>1239</v>
      </c>
      <c r="B5108" s="115" t="s">
        <v>5077</v>
      </c>
      <c r="D5108" s="115" t="s">
        <v>11204</v>
      </c>
      <c r="E5108" s="115" t="s">
        <v>5078</v>
      </c>
      <c r="F5108" s="115">
        <v>0</v>
      </c>
      <c r="G5108" s="115">
        <v>0</v>
      </c>
      <c r="H5108" s="115">
        <v>0</v>
      </c>
      <c r="I5108" s="115">
        <v>0</v>
      </c>
      <c r="J5108" s="115">
        <v>-721</v>
      </c>
      <c r="K5108" s="115">
        <v>0</v>
      </c>
    </row>
    <row r="5109" spans="1:11" x14ac:dyDescent="0.25">
      <c r="A5109" s="115" t="s">
        <v>1239</v>
      </c>
      <c r="B5109" s="115" t="s">
        <v>5079</v>
      </c>
      <c r="D5109" s="115" t="s">
        <v>11205</v>
      </c>
      <c r="E5109" s="115" t="s">
        <v>5080</v>
      </c>
      <c r="F5109" s="115">
        <v>-295</v>
      </c>
      <c r="G5109" s="115">
        <v>-7101</v>
      </c>
      <c r="H5109" s="115">
        <v>71</v>
      </c>
      <c r="I5109" s="115">
        <v>0</v>
      </c>
      <c r="J5109" s="115">
        <v>0</v>
      </c>
      <c r="K5109" s="115">
        <v>0</v>
      </c>
    </row>
    <row r="5110" spans="1:11" x14ac:dyDescent="0.25">
      <c r="B5110" s="115" t="s">
        <v>5081</v>
      </c>
      <c r="D5110" s="115" t="s">
        <v>11206</v>
      </c>
      <c r="E5110" s="115" t="s">
        <v>5082</v>
      </c>
      <c r="F5110" s="115">
        <v>64</v>
      </c>
      <c r="G5110" s="115">
        <v>0</v>
      </c>
      <c r="H5110" s="115">
        <v>-427</v>
      </c>
      <c r="I5110" s="115">
        <v>0</v>
      </c>
      <c r="J5110" s="115">
        <v>0</v>
      </c>
      <c r="K5110" s="115">
        <v>-46</v>
      </c>
    </row>
    <row r="5111" spans="1:11" x14ac:dyDescent="0.25">
      <c r="B5111" s="115" t="s">
        <v>5083</v>
      </c>
      <c r="D5111" s="115" t="s">
        <v>11207</v>
      </c>
      <c r="E5111" s="115" t="s">
        <v>1242</v>
      </c>
      <c r="F5111" s="115">
        <v>0</v>
      </c>
      <c r="G5111" s="115">
        <v>0</v>
      </c>
      <c r="H5111" s="115">
        <v>0</v>
      </c>
      <c r="I5111" s="115">
        <v>0</v>
      </c>
      <c r="J5111" s="115">
        <v>0</v>
      </c>
      <c r="K5111" s="115">
        <v>0</v>
      </c>
    </row>
    <row r="5112" spans="1:11" x14ac:dyDescent="0.25">
      <c r="B5112" s="115" t="s">
        <v>1241</v>
      </c>
      <c r="D5112" s="115" t="s">
        <v>11208</v>
      </c>
      <c r="E5112" s="115" t="s">
        <v>5084</v>
      </c>
      <c r="F5112" s="115">
        <v>-307</v>
      </c>
      <c r="G5112" s="115">
        <v>-292</v>
      </c>
      <c r="H5112" s="115">
        <v>0</v>
      </c>
      <c r="I5112" s="115">
        <v>0</v>
      </c>
      <c r="J5112" s="115">
        <v>1150</v>
      </c>
      <c r="K5112" s="115">
        <v>1948</v>
      </c>
    </row>
    <row r="5113" spans="1:11" x14ac:dyDescent="0.25">
      <c r="B5113" s="115" t="s">
        <v>1241</v>
      </c>
      <c r="D5113" s="115" t="s">
        <v>11209</v>
      </c>
      <c r="E5113" s="115">
        <f>-2951   -715  -2689  -2173  -1360</f>
        <v>-9888</v>
      </c>
      <c r="F5113" s="115">
        <v>0</v>
      </c>
      <c r="G5113" s="115">
        <v>-2951</v>
      </c>
      <c r="H5113" s="115">
        <v>-715</v>
      </c>
      <c r="I5113" s="115">
        <v>-2689</v>
      </c>
      <c r="J5113" s="115">
        <v>-2173</v>
      </c>
      <c r="K5113" s="115">
        <v>-1360</v>
      </c>
    </row>
    <row r="5114" spans="1:11" x14ac:dyDescent="0.25">
      <c r="A5114" s="115">
        <v>-4</v>
      </c>
      <c r="B5114" s="115" t="s">
        <v>3571</v>
      </c>
      <c r="D5114" s="115" t="s">
        <v>11210</v>
      </c>
      <c r="E5114" s="115" t="s">
        <v>5085</v>
      </c>
      <c r="F5114" s="115">
        <v>0</v>
      </c>
      <c r="G5114" s="115">
        <v>1576</v>
      </c>
      <c r="H5114" s="115">
        <v>0</v>
      </c>
      <c r="I5114" s="115">
        <v>1300</v>
      </c>
      <c r="J5114" s="115">
        <v>0</v>
      </c>
      <c r="K5114" s="115">
        <v>0</v>
      </c>
    </row>
    <row r="5115" spans="1:11" x14ac:dyDescent="0.25">
      <c r="A5115" s="115">
        <v>-1</v>
      </c>
      <c r="B5115" s="115" t="s">
        <v>5086</v>
      </c>
      <c r="D5115" s="115" t="s">
        <v>11211</v>
      </c>
      <c r="E5115" s="115" t="s">
        <v>5087</v>
      </c>
      <c r="F5115" s="115">
        <v>0</v>
      </c>
      <c r="G5115" s="115">
        <v>0</v>
      </c>
      <c r="H5115" s="115">
        <v>-629</v>
      </c>
      <c r="I5115" s="115">
        <v>0</v>
      </c>
      <c r="J5115" s="115">
        <v>832</v>
      </c>
      <c r="K5115" s="115">
        <v>-1581</v>
      </c>
    </row>
    <row r="5116" spans="1:11" x14ac:dyDescent="0.25">
      <c r="A5116" s="115">
        <v>-2</v>
      </c>
      <c r="B5116" s="115" t="s">
        <v>5088</v>
      </c>
      <c r="D5116" s="115" t="s">
        <v>11212</v>
      </c>
      <c r="E5116" s="115" t="s">
        <v>5089</v>
      </c>
      <c r="F5116" s="115">
        <v>-199</v>
      </c>
      <c r="G5116" s="115">
        <v>334</v>
      </c>
      <c r="H5116" s="115">
        <v>-5</v>
      </c>
      <c r="I5116" s="115">
        <v>246</v>
      </c>
      <c r="J5116" s="115">
        <v>0</v>
      </c>
      <c r="K5116" s="115">
        <v>0</v>
      </c>
    </row>
    <row r="5117" spans="1:11" x14ac:dyDescent="0.25">
      <c r="B5117" s="115" t="s">
        <v>1241</v>
      </c>
      <c r="D5117" s="115" t="s">
        <v>11213</v>
      </c>
      <c r="E5117" s="115" t="s">
        <v>5090</v>
      </c>
      <c r="F5117" s="115">
        <v>0</v>
      </c>
      <c r="G5117" s="115">
        <v>377</v>
      </c>
      <c r="H5117" s="115">
        <v>-1694</v>
      </c>
      <c r="I5117" s="115">
        <v>-4420</v>
      </c>
      <c r="J5117" s="115">
        <v>-1144</v>
      </c>
      <c r="K5117" s="115">
        <v>-3381</v>
      </c>
    </row>
    <row r="5118" spans="1:11" x14ac:dyDescent="0.25">
      <c r="A5118" s="115">
        <v>1</v>
      </c>
      <c r="B5118" s="115" t="s">
        <v>5091</v>
      </c>
      <c r="D5118" s="115" t="s">
        <v>11214</v>
      </c>
      <c r="E5118" s="115" t="s">
        <v>5092</v>
      </c>
      <c r="F5118" s="115">
        <v>0</v>
      </c>
      <c r="G5118" s="115">
        <v>-780</v>
      </c>
      <c r="H5118" s="115">
        <v>768</v>
      </c>
      <c r="I5118" s="115">
        <v>0</v>
      </c>
      <c r="J5118" s="115">
        <v>0</v>
      </c>
      <c r="K5118" s="115">
        <v>0</v>
      </c>
    </row>
    <row r="5119" spans="1:11" x14ac:dyDescent="0.25">
      <c r="B5119" s="115" t="s">
        <v>5093</v>
      </c>
      <c r="D5119" s="115" t="s">
        <v>11215</v>
      </c>
      <c r="E5119" s="115" t="s">
        <v>1242</v>
      </c>
      <c r="F5119" s="115">
        <v>1659</v>
      </c>
      <c r="G5119" s="115">
        <v>0</v>
      </c>
      <c r="H5119" s="115">
        <v>0</v>
      </c>
      <c r="I5119" s="115">
        <v>0</v>
      </c>
      <c r="J5119" s="115">
        <v>0</v>
      </c>
      <c r="K5119" s="115">
        <v>0</v>
      </c>
    </row>
    <row r="5120" spans="1:11" x14ac:dyDescent="0.25">
      <c r="B5120" s="115" t="s">
        <v>1241</v>
      </c>
      <c r="D5120" s="115" t="s">
        <v>8710</v>
      </c>
      <c r="E5120" s="115" t="s">
        <v>1242</v>
      </c>
      <c r="F5120" s="115">
        <v>0</v>
      </c>
      <c r="G5120" s="115">
        <v>0</v>
      </c>
      <c r="H5120" s="115">
        <v>0</v>
      </c>
      <c r="I5120" s="115">
        <v>0</v>
      </c>
      <c r="J5120" s="115">
        <v>0</v>
      </c>
      <c r="K5120" s="115">
        <v>0</v>
      </c>
    </row>
    <row r="5121" spans="1:11" x14ac:dyDescent="0.25">
      <c r="A5121" s="115" t="s">
        <v>1239</v>
      </c>
      <c r="B5121" s="115" t="s">
        <v>5094</v>
      </c>
      <c r="D5121" s="115" t="s">
        <v>11216</v>
      </c>
      <c r="E5121" s="115" t="s">
        <v>5095</v>
      </c>
      <c r="F5121" s="115">
        <v>0</v>
      </c>
      <c r="G5121" s="115">
        <v>0</v>
      </c>
      <c r="H5121" s="115">
        <v>-22</v>
      </c>
      <c r="I5121" s="115">
        <v>3195</v>
      </c>
      <c r="J5121" s="115">
        <v>3292</v>
      </c>
      <c r="K5121" s="115">
        <v>37626</v>
      </c>
    </row>
    <row r="5122" spans="1:11" x14ac:dyDescent="0.25">
      <c r="A5122" s="115">
        <v>19</v>
      </c>
      <c r="B5122" s="115" t="s">
        <v>5096</v>
      </c>
      <c r="C5122" s="115">
        <v>1</v>
      </c>
      <c r="D5122" s="115" t="s">
        <v>11217</v>
      </c>
      <c r="E5122" s="115" t="s">
        <v>5097</v>
      </c>
      <c r="F5122" s="115">
        <v>-100</v>
      </c>
      <c r="G5122" s="115">
        <v>-208</v>
      </c>
      <c r="H5122" s="115">
        <v>4647</v>
      </c>
      <c r="I5122" s="115">
        <v>2973</v>
      </c>
      <c r="J5122" s="115">
        <v>28978</v>
      </c>
      <c r="K5122" s="115">
        <v>14965</v>
      </c>
    </row>
    <row r="5123" spans="1:11" x14ac:dyDescent="0.25">
      <c r="A5123" s="115">
        <v>14</v>
      </c>
      <c r="B5123" s="115" t="s">
        <v>5098</v>
      </c>
      <c r="D5123" s="115" t="s">
        <v>11218</v>
      </c>
      <c r="E5123" s="115" t="s">
        <v>5099</v>
      </c>
      <c r="F5123" s="115">
        <v>23551</v>
      </c>
      <c r="G5123" s="115">
        <v>23855</v>
      </c>
      <c r="H5123" s="115">
        <v>22963</v>
      </c>
      <c r="I5123" s="115">
        <v>19766</v>
      </c>
      <c r="J5123" s="115">
        <v>-6238</v>
      </c>
      <c r="K5123" s="115">
        <v>-1698</v>
      </c>
    </row>
    <row r="5124" spans="1:11" x14ac:dyDescent="0.25">
      <c r="B5124" s="115" t="s">
        <v>5100</v>
      </c>
      <c r="D5124" s="115" t="s">
        <v>11219</v>
      </c>
      <c r="E5124" s="115" t="s">
        <v>5101</v>
      </c>
      <c r="F5124" s="115">
        <v>0</v>
      </c>
      <c r="G5124" s="115">
        <v>-180</v>
      </c>
      <c r="H5124" s="115">
        <v>0</v>
      </c>
      <c r="I5124" s="115">
        <v>0</v>
      </c>
      <c r="J5124" s="115">
        <v>0</v>
      </c>
      <c r="K5124" s="115">
        <v>-983</v>
      </c>
    </row>
    <row r="5125" spans="1:11" x14ac:dyDescent="0.25">
      <c r="A5125" s="115">
        <v>1</v>
      </c>
      <c r="B5125" s="115" t="s">
        <v>1505</v>
      </c>
      <c r="D5125" s="115" t="s">
        <v>11220</v>
      </c>
      <c r="E5125" s="115" t="s">
        <v>5102</v>
      </c>
      <c r="F5125" s="115">
        <v>0</v>
      </c>
      <c r="G5125" s="115">
        <v>0</v>
      </c>
      <c r="H5125" s="115">
        <v>0</v>
      </c>
      <c r="I5125" s="115">
        <v>758</v>
      </c>
      <c r="J5125" s="115">
        <v>0</v>
      </c>
      <c r="K5125" s="115">
        <v>0</v>
      </c>
    </row>
    <row r="5126" spans="1:11" x14ac:dyDescent="0.25">
      <c r="A5126" s="115" t="s">
        <v>1239</v>
      </c>
      <c r="B5126" s="115" t="s">
        <v>5103</v>
      </c>
      <c r="D5126" s="115" t="s">
        <v>11221</v>
      </c>
      <c r="E5126" s="115" t="s">
        <v>5104</v>
      </c>
      <c r="F5126" s="115">
        <v>417</v>
      </c>
      <c r="G5126" s="115">
        <v>3605</v>
      </c>
      <c r="H5126" s="115">
        <v>1767</v>
      </c>
      <c r="I5126" s="115">
        <v>0</v>
      </c>
      <c r="J5126" s="115">
        <v>-1870</v>
      </c>
      <c r="K5126" s="115">
        <v>-1549</v>
      </c>
    </row>
    <row r="5127" spans="1:11" x14ac:dyDescent="0.25">
      <c r="B5127" s="115" t="s">
        <v>5105</v>
      </c>
      <c r="D5127" s="115" t="s">
        <v>11222</v>
      </c>
      <c r="E5127" s="115" t="s">
        <v>5106</v>
      </c>
      <c r="F5127" s="115">
        <v>0</v>
      </c>
      <c r="G5127" s="115">
        <v>-350</v>
      </c>
      <c r="H5127" s="115">
        <v>0</v>
      </c>
      <c r="I5127" s="115">
        <v>0</v>
      </c>
      <c r="J5127" s="115">
        <v>0</v>
      </c>
      <c r="K5127" s="115">
        <v>0</v>
      </c>
    </row>
    <row r="5128" spans="1:11" x14ac:dyDescent="0.25">
      <c r="B5128" s="115" t="s">
        <v>3357</v>
      </c>
      <c r="D5128" s="115" t="s">
        <v>11223</v>
      </c>
      <c r="E5128" s="115" t="s">
        <v>5107</v>
      </c>
      <c r="F5128" s="115">
        <v>0</v>
      </c>
      <c r="G5128" s="115">
        <v>780</v>
      </c>
      <c r="H5128" s="115">
        <v>0</v>
      </c>
      <c r="I5128" s="115">
        <v>284</v>
      </c>
      <c r="J5128" s="115">
        <v>0</v>
      </c>
      <c r="K5128" s="115">
        <v>0</v>
      </c>
    </row>
    <row r="5129" spans="1:11" x14ac:dyDescent="0.25">
      <c r="B5129" s="115" t="s">
        <v>1241</v>
      </c>
      <c r="D5129" s="115" t="s">
        <v>11224</v>
      </c>
      <c r="E5129" s="115" t="s">
        <v>5108</v>
      </c>
      <c r="F5129" s="115">
        <v>0</v>
      </c>
      <c r="G5129" s="115">
        <v>-2</v>
      </c>
      <c r="H5129" s="115">
        <v>345</v>
      </c>
      <c r="I5129" s="115">
        <v>0</v>
      </c>
      <c r="J5129" s="115">
        <v>0</v>
      </c>
      <c r="K5129" s="115">
        <v>5049</v>
      </c>
    </row>
    <row r="5130" spans="1:11" x14ac:dyDescent="0.25">
      <c r="A5130" s="115">
        <v>-2</v>
      </c>
      <c r="B5130" s="115" t="s">
        <v>5109</v>
      </c>
      <c r="C5130" s="115" t="s">
        <v>1239</v>
      </c>
      <c r="D5130" s="115" t="s">
        <v>11225</v>
      </c>
      <c r="E5130" s="115" t="s">
        <v>5110</v>
      </c>
      <c r="F5130" s="115">
        <v>0</v>
      </c>
      <c r="G5130" s="115">
        <v>0</v>
      </c>
      <c r="H5130" s="115">
        <v>0</v>
      </c>
      <c r="I5130" s="115">
        <v>88</v>
      </c>
      <c r="J5130" s="115">
        <v>-2010</v>
      </c>
      <c r="K5130" s="115">
        <v>-696</v>
      </c>
    </row>
    <row r="5131" spans="1:11" x14ac:dyDescent="0.25">
      <c r="B5131" s="115" t="s">
        <v>1241</v>
      </c>
      <c r="D5131" s="115" t="s">
        <v>11226</v>
      </c>
      <c r="E5131" s="115" t="s">
        <v>5111</v>
      </c>
      <c r="F5131" s="115">
        <v>0</v>
      </c>
      <c r="G5131" s="115">
        <v>-506</v>
      </c>
      <c r="H5131" s="115">
        <v>-1335</v>
      </c>
      <c r="I5131" s="115">
        <v>61</v>
      </c>
      <c r="J5131" s="115">
        <v>-1127</v>
      </c>
      <c r="K5131" s="115">
        <v>-1860</v>
      </c>
    </row>
    <row r="5132" spans="1:11" x14ac:dyDescent="0.25">
      <c r="A5132" s="115">
        <v>-1</v>
      </c>
      <c r="B5132" s="115" t="s">
        <v>5112</v>
      </c>
      <c r="D5132" s="115" t="s">
        <v>11227</v>
      </c>
      <c r="E5132" s="115" t="s">
        <v>5113</v>
      </c>
      <c r="F5132" s="115">
        <v>0</v>
      </c>
      <c r="G5132" s="115">
        <v>0</v>
      </c>
      <c r="H5132" s="115">
        <v>0</v>
      </c>
      <c r="I5132" s="115">
        <v>-3510</v>
      </c>
      <c r="J5132" s="115">
        <v>0</v>
      </c>
      <c r="K5132" s="115">
        <v>-3295</v>
      </c>
    </row>
    <row r="5133" spans="1:11" x14ac:dyDescent="0.25">
      <c r="A5133" s="115">
        <v>-2</v>
      </c>
      <c r="B5133" s="115" t="s">
        <v>5114</v>
      </c>
      <c r="D5133" s="115" t="s">
        <v>11228</v>
      </c>
      <c r="E5133" s="115" t="s">
        <v>5115</v>
      </c>
      <c r="F5133" s="115">
        <v>-21294</v>
      </c>
      <c r="G5133" s="115">
        <v>16908</v>
      </c>
      <c r="H5133" s="115">
        <v>41041</v>
      </c>
      <c r="I5133" s="115">
        <v>25908</v>
      </c>
      <c r="J5133" s="115">
        <v>0</v>
      </c>
      <c r="K5133" s="115">
        <v>19009</v>
      </c>
    </row>
    <row r="5134" spans="1:11" x14ac:dyDescent="0.25">
      <c r="A5134" s="115">
        <v>22</v>
      </c>
      <c r="B5134" s="115" t="s">
        <v>5116</v>
      </c>
      <c r="C5134" s="115">
        <v>1</v>
      </c>
      <c r="D5134" s="115" t="s">
        <v>11229</v>
      </c>
      <c r="E5134" s="115" t="s">
        <v>5117</v>
      </c>
      <c r="F5134" s="115">
        <v>11677</v>
      </c>
      <c r="G5134" s="115">
        <v>45065</v>
      </c>
      <c r="H5134" s="115">
        <v>0</v>
      </c>
      <c r="I5134" s="115">
        <v>0</v>
      </c>
      <c r="J5134" s="115">
        <v>0</v>
      </c>
      <c r="K5134" s="115">
        <v>2610</v>
      </c>
    </row>
    <row r="5135" spans="1:11" x14ac:dyDescent="0.25">
      <c r="A5135" s="115">
        <v>12</v>
      </c>
      <c r="B5135" s="115" t="s">
        <v>5118</v>
      </c>
      <c r="C5135" s="115">
        <v>1</v>
      </c>
      <c r="D5135" s="115" t="s">
        <v>11230</v>
      </c>
      <c r="E5135" s="115" t="s">
        <v>5119</v>
      </c>
      <c r="F5135" s="115">
        <v>17562</v>
      </c>
      <c r="G5135" s="115">
        <v>23251</v>
      </c>
      <c r="H5135" s="115">
        <v>0</v>
      </c>
      <c r="I5135" s="115">
        <v>0</v>
      </c>
      <c r="J5135" s="115">
        <v>0</v>
      </c>
      <c r="K5135" s="115">
        <v>0</v>
      </c>
    </row>
    <row r="5136" spans="1:11" x14ac:dyDescent="0.25">
      <c r="B5136" s="115" t="s">
        <v>5120</v>
      </c>
      <c r="D5136" s="115" t="s">
        <v>11231</v>
      </c>
      <c r="E5136" s="115" t="s">
        <v>5121</v>
      </c>
      <c r="F5136" s="115">
        <v>7459</v>
      </c>
      <c r="G5136" s="115">
        <v>15582</v>
      </c>
      <c r="H5136" s="115">
        <v>0</v>
      </c>
      <c r="I5136" s="115">
        <v>1315</v>
      </c>
      <c r="J5136" s="115">
        <v>-4553</v>
      </c>
      <c r="K5136" s="115">
        <v>-905</v>
      </c>
    </row>
    <row r="5137" spans="1:11" x14ac:dyDescent="0.25">
      <c r="A5137" s="115">
        <v>-3</v>
      </c>
      <c r="B5137" s="115" t="s">
        <v>5122</v>
      </c>
      <c r="D5137" s="115" t="s">
        <v>11232</v>
      </c>
      <c r="E5137" s="115" t="s">
        <v>5123</v>
      </c>
      <c r="F5137" s="115">
        <v>-844</v>
      </c>
      <c r="G5137" s="115">
        <v>0</v>
      </c>
      <c r="H5137" s="115">
        <v>-2694</v>
      </c>
      <c r="I5137" s="115">
        <v>0</v>
      </c>
      <c r="J5137" s="115">
        <v>0</v>
      </c>
      <c r="K5137" s="115">
        <v>6051</v>
      </c>
    </row>
    <row r="5138" spans="1:11" x14ac:dyDescent="0.25">
      <c r="B5138" s="115" t="s">
        <v>1430</v>
      </c>
      <c r="D5138" s="115" t="s">
        <v>11233</v>
      </c>
      <c r="E5138" s="115" t="s">
        <v>5124</v>
      </c>
      <c r="F5138" s="115">
        <v>0</v>
      </c>
      <c r="G5138" s="115">
        <v>70</v>
      </c>
      <c r="H5138" s="115">
        <v>0</v>
      </c>
      <c r="I5138" s="115">
        <v>-1827</v>
      </c>
      <c r="J5138" s="115">
        <v>-2349</v>
      </c>
      <c r="K5138" s="115">
        <v>-3187</v>
      </c>
    </row>
    <row r="5139" spans="1:11" x14ac:dyDescent="0.25">
      <c r="B5139" s="115" t="s">
        <v>1241</v>
      </c>
      <c r="D5139" s="115" t="s">
        <v>11234</v>
      </c>
      <c r="E5139" s="115" t="s">
        <v>5125</v>
      </c>
      <c r="F5139" s="115">
        <v>0</v>
      </c>
      <c r="G5139" s="115">
        <v>-557</v>
      </c>
      <c r="H5139" s="115">
        <v>0</v>
      </c>
      <c r="I5139" s="115">
        <v>-734</v>
      </c>
      <c r="J5139" s="115">
        <v>-2731</v>
      </c>
      <c r="K5139" s="115">
        <v>-3026</v>
      </c>
    </row>
    <row r="5140" spans="1:11" x14ac:dyDescent="0.25">
      <c r="B5140" s="115" t="s">
        <v>5126</v>
      </c>
      <c r="C5140" s="115" t="s">
        <v>1239</v>
      </c>
      <c r="D5140" s="115" t="s">
        <v>11235</v>
      </c>
      <c r="E5140" s="115" t="s">
        <v>5127</v>
      </c>
      <c r="F5140" s="115">
        <v>0</v>
      </c>
      <c r="G5140" s="115">
        <v>0</v>
      </c>
      <c r="H5140" s="115">
        <v>0</v>
      </c>
      <c r="I5140" s="115">
        <v>363</v>
      </c>
      <c r="J5140" s="115">
        <v>134</v>
      </c>
      <c r="K5140" s="115">
        <v>-574</v>
      </c>
    </row>
    <row r="5141" spans="1:11" x14ac:dyDescent="0.25">
      <c r="A5141" s="115">
        <v>-1</v>
      </c>
      <c r="B5141" s="115" t="s">
        <v>5128</v>
      </c>
      <c r="D5141" s="115" t="s">
        <v>11236</v>
      </c>
      <c r="E5141" s="115" t="s">
        <v>5129</v>
      </c>
      <c r="F5141" s="115">
        <v>0</v>
      </c>
      <c r="G5141" s="115">
        <v>0</v>
      </c>
      <c r="H5141" s="115">
        <v>-44</v>
      </c>
      <c r="I5141" s="115">
        <v>0</v>
      </c>
      <c r="J5141" s="115">
        <v>-68</v>
      </c>
      <c r="K5141" s="115">
        <v>0</v>
      </c>
    </row>
    <row r="5142" spans="1:11" x14ac:dyDescent="0.25">
      <c r="A5142" s="115" t="s">
        <v>1239</v>
      </c>
      <c r="B5142" s="115" t="s">
        <v>5130</v>
      </c>
      <c r="D5142" s="115" t="s">
        <v>11237</v>
      </c>
      <c r="E5142" s="115" t="s">
        <v>5131</v>
      </c>
      <c r="F5142" s="115">
        <v>0</v>
      </c>
      <c r="G5142" s="115">
        <v>0</v>
      </c>
      <c r="H5142" s="115">
        <v>0</v>
      </c>
      <c r="I5142" s="115">
        <v>0</v>
      </c>
      <c r="J5142" s="115">
        <v>0</v>
      </c>
      <c r="K5142" s="115">
        <v>-1241</v>
      </c>
    </row>
    <row r="5143" spans="1:11" x14ac:dyDescent="0.25">
      <c r="B5143" s="115" t="s">
        <v>5132</v>
      </c>
      <c r="C5143" s="115" t="s">
        <v>1239</v>
      </c>
      <c r="D5143" s="115" t="s">
        <v>11238</v>
      </c>
      <c r="E5143" s="115" t="s">
        <v>5133</v>
      </c>
      <c r="F5143" s="115">
        <v>0</v>
      </c>
      <c r="G5143" s="115">
        <v>3877</v>
      </c>
      <c r="H5143" s="115">
        <v>2504</v>
      </c>
      <c r="I5143" s="115">
        <v>0</v>
      </c>
      <c r="J5143" s="115">
        <v>0</v>
      </c>
      <c r="K5143" s="115">
        <v>0</v>
      </c>
    </row>
    <row r="5144" spans="1:11" x14ac:dyDescent="0.25">
      <c r="B5144" s="115" t="s">
        <v>1241</v>
      </c>
      <c r="C5144" s="115" t="s">
        <v>1239</v>
      </c>
      <c r="D5144" s="115" t="s">
        <v>11239</v>
      </c>
      <c r="E5144" s="115" t="s">
        <v>5134</v>
      </c>
      <c r="F5144" s="115">
        <v>-4807</v>
      </c>
      <c r="G5144" s="115">
        <v>-3427</v>
      </c>
      <c r="H5144" s="115">
        <v>-2513</v>
      </c>
      <c r="I5144" s="115">
        <v>4283</v>
      </c>
      <c r="J5144" s="115">
        <v>0</v>
      </c>
      <c r="K5144" s="115">
        <v>0</v>
      </c>
    </row>
    <row r="5145" spans="1:11" x14ac:dyDescent="0.25">
      <c r="B5145" s="115" t="s">
        <v>1241</v>
      </c>
      <c r="D5145" s="115" t="s">
        <v>11240</v>
      </c>
      <c r="E5145" s="115" t="s">
        <v>5135</v>
      </c>
      <c r="F5145" s="115">
        <v>694</v>
      </c>
      <c r="G5145" s="115">
        <v>0</v>
      </c>
      <c r="H5145" s="115">
        <v>0</v>
      </c>
      <c r="I5145" s="115">
        <v>-2030</v>
      </c>
      <c r="J5145" s="115">
        <v>-993</v>
      </c>
      <c r="K5145" s="115">
        <v>0</v>
      </c>
    </row>
    <row r="5146" spans="1:11" x14ac:dyDescent="0.25">
      <c r="B5146" s="115" t="s">
        <v>1241</v>
      </c>
      <c r="D5146" s="115" t="s">
        <v>11241</v>
      </c>
      <c r="E5146" s="115">
        <f>-719  -2779  -3941  -6389  -4935</f>
        <v>-18763</v>
      </c>
      <c r="F5146" s="115">
        <v>0</v>
      </c>
      <c r="G5146" s="115">
        <v>-719</v>
      </c>
      <c r="H5146" s="115">
        <v>-2779</v>
      </c>
      <c r="I5146" s="115">
        <v>-3941</v>
      </c>
      <c r="J5146" s="115">
        <v>-6389</v>
      </c>
      <c r="K5146" s="115">
        <v>-4935</v>
      </c>
    </row>
    <row r="5147" spans="1:11" x14ac:dyDescent="0.25">
      <c r="A5147" s="115">
        <v>-9</v>
      </c>
      <c r="B5147" s="115" t="s">
        <v>5136</v>
      </c>
      <c r="D5147" s="115" t="s">
        <v>11242</v>
      </c>
      <c r="E5147" s="115" t="s">
        <v>1242</v>
      </c>
      <c r="F5147" s="115">
        <v>-2466</v>
      </c>
      <c r="G5147" s="115">
        <v>0</v>
      </c>
      <c r="H5147" s="115">
        <v>0</v>
      </c>
      <c r="I5147" s="115">
        <v>0</v>
      </c>
      <c r="J5147" s="115">
        <v>0</v>
      </c>
      <c r="K5147" s="115">
        <v>0</v>
      </c>
    </row>
    <row r="5148" spans="1:11" x14ac:dyDescent="0.25">
      <c r="B5148" s="115" t="s">
        <v>1241</v>
      </c>
      <c r="D5148" s="115" t="s">
        <v>11243</v>
      </c>
      <c r="E5148" s="115" t="s">
        <v>5137</v>
      </c>
      <c r="F5148" s="115">
        <v>-1689</v>
      </c>
      <c r="G5148" s="115">
        <v>106</v>
      </c>
      <c r="H5148" s="115">
        <v>-2175</v>
      </c>
      <c r="I5148" s="115">
        <v>-1150</v>
      </c>
      <c r="J5148" s="115">
        <v>0</v>
      </c>
      <c r="K5148" s="115">
        <v>0</v>
      </c>
    </row>
    <row r="5149" spans="1:11" x14ac:dyDescent="0.25">
      <c r="A5149" s="115">
        <v>-2</v>
      </c>
      <c r="B5149" s="115" t="s">
        <v>2080</v>
      </c>
      <c r="D5149" s="115" t="s">
        <v>11244</v>
      </c>
      <c r="E5149" s="115" t="s">
        <v>5138</v>
      </c>
      <c r="F5149" s="115">
        <v>0</v>
      </c>
      <c r="G5149" s="115">
        <v>0</v>
      </c>
      <c r="H5149" s="115">
        <v>0</v>
      </c>
      <c r="I5149" s="115">
        <v>0</v>
      </c>
      <c r="J5149" s="115">
        <v>-4837</v>
      </c>
      <c r="K5149" s="115">
        <v>0</v>
      </c>
    </row>
    <row r="5150" spans="1:11" x14ac:dyDescent="0.25">
      <c r="A5150" s="115">
        <v>-2</v>
      </c>
      <c r="B5150" s="115" t="s">
        <v>5139</v>
      </c>
      <c r="D5150" s="115" t="s">
        <v>8710</v>
      </c>
      <c r="E5150" s="115" t="s">
        <v>1242</v>
      </c>
      <c r="F5150" s="115">
        <v>0</v>
      </c>
      <c r="G5150" s="115">
        <v>0</v>
      </c>
      <c r="H5150" s="115">
        <v>0</v>
      </c>
      <c r="I5150" s="115">
        <v>0</v>
      </c>
      <c r="J5150" s="115">
        <v>0</v>
      </c>
      <c r="K5150" s="115">
        <v>0</v>
      </c>
    </row>
    <row r="5151" spans="1:11" x14ac:dyDescent="0.25">
      <c r="B5151" s="115" t="s">
        <v>1241</v>
      </c>
      <c r="D5151" s="115" t="s">
        <v>11245</v>
      </c>
      <c r="E5151" s="115" t="s">
        <v>5140</v>
      </c>
      <c r="F5151" s="115">
        <v>0</v>
      </c>
      <c r="G5151" s="115">
        <v>0</v>
      </c>
      <c r="H5151" s="115">
        <v>0</v>
      </c>
      <c r="I5151" s="115">
        <v>782</v>
      </c>
      <c r="J5151" s="115">
        <v>0</v>
      </c>
      <c r="K5151" s="115">
        <v>0</v>
      </c>
    </row>
    <row r="5152" spans="1:11" x14ac:dyDescent="0.25">
      <c r="B5152" s="115" t="s">
        <v>1241</v>
      </c>
      <c r="D5152" s="115" t="s">
        <v>11246</v>
      </c>
      <c r="E5152" s="115" t="s">
        <v>5141</v>
      </c>
      <c r="F5152" s="115">
        <v>2910</v>
      </c>
      <c r="G5152" s="115">
        <v>2877</v>
      </c>
      <c r="H5152" s="115">
        <v>15774</v>
      </c>
      <c r="I5152" s="115">
        <v>49203</v>
      </c>
      <c r="J5152" s="115">
        <v>16588</v>
      </c>
      <c r="K5152" s="115">
        <v>18374</v>
      </c>
    </row>
    <row r="5153" spans="1:11" x14ac:dyDescent="0.25">
      <c r="A5153" s="115">
        <v>1</v>
      </c>
      <c r="B5153" s="115" t="s">
        <v>5142</v>
      </c>
      <c r="D5153" s="115" t="s">
        <v>11247</v>
      </c>
      <c r="E5153" s="115" t="s">
        <v>5143</v>
      </c>
      <c r="F5153" s="115">
        <v>3155</v>
      </c>
      <c r="G5153" s="115">
        <v>14703</v>
      </c>
      <c r="H5153" s="115">
        <v>27338</v>
      </c>
      <c r="I5153" s="115">
        <v>13286</v>
      </c>
      <c r="J5153" s="115">
        <v>13873</v>
      </c>
      <c r="K5153" s="115">
        <v>1506</v>
      </c>
    </row>
    <row r="5154" spans="1:11" x14ac:dyDescent="0.25">
      <c r="B5154" s="115" t="s">
        <v>5144</v>
      </c>
      <c r="C5154" s="115">
        <v>2</v>
      </c>
      <c r="D5154" s="115" t="s">
        <v>11248</v>
      </c>
      <c r="E5154" s="115" t="s">
        <v>5145</v>
      </c>
      <c r="F5154" s="115">
        <v>20661</v>
      </c>
      <c r="G5154" s="115">
        <v>15100</v>
      </c>
      <c r="H5154" s="115">
        <v>0</v>
      </c>
      <c r="I5154" s="115">
        <v>-2198</v>
      </c>
      <c r="J5154" s="115">
        <v>130</v>
      </c>
      <c r="K5154" s="115">
        <v>-10</v>
      </c>
    </row>
    <row r="5155" spans="1:11" x14ac:dyDescent="0.25">
      <c r="B5155" s="115" t="s">
        <v>3029</v>
      </c>
      <c r="D5155" s="115" t="s">
        <v>11249</v>
      </c>
      <c r="E5155" s="115" t="s">
        <v>5146</v>
      </c>
      <c r="F5155" s="115">
        <v>0</v>
      </c>
      <c r="G5155" s="115">
        <v>0</v>
      </c>
      <c r="H5155" s="115">
        <v>0</v>
      </c>
      <c r="I5155" s="115">
        <v>24</v>
      </c>
      <c r="J5155" s="115">
        <v>148</v>
      </c>
      <c r="K5155" s="115">
        <v>0</v>
      </c>
    </row>
    <row r="5156" spans="1:11" x14ac:dyDescent="0.25">
      <c r="B5156" s="115" t="s">
        <v>1241</v>
      </c>
      <c r="D5156" s="115" t="s">
        <v>11250</v>
      </c>
      <c r="E5156" s="115" t="s">
        <v>5147</v>
      </c>
      <c r="F5156" s="115">
        <v>0</v>
      </c>
      <c r="G5156" s="115">
        <v>592</v>
      </c>
      <c r="H5156" s="115">
        <v>0</v>
      </c>
      <c r="I5156" s="115">
        <v>0</v>
      </c>
      <c r="J5156" s="115">
        <v>42</v>
      </c>
      <c r="K5156" s="115">
        <v>0</v>
      </c>
    </row>
    <row r="5157" spans="1:11" x14ac:dyDescent="0.25">
      <c r="B5157" s="115" t="s">
        <v>5148</v>
      </c>
      <c r="D5157" s="115" t="s">
        <v>11251</v>
      </c>
      <c r="E5157" s="115" t="s">
        <v>5149</v>
      </c>
      <c r="F5157" s="115">
        <v>-222</v>
      </c>
      <c r="G5157" s="115">
        <v>0</v>
      </c>
      <c r="H5157" s="115">
        <v>-549</v>
      </c>
      <c r="I5157" s="115">
        <v>-2273</v>
      </c>
      <c r="J5157" s="115">
        <v>366</v>
      </c>
      <c r="K5157" s="115">
        <v>77</v>
      </c>
    </row>
    <row r="5158" spans="1:11" x14ac:dyDescent="0.25">
      <c r="B5158" s="115" t="s">
        <v>5150</v>
      </c>
      <c r="D5158" s="115" t="s">
        <v>11252</v>
      </c>
      <c r="E5158" s="115" t="s">
        <v>5151</v>
      </c>
      <c r="F5158" s="115">
        <v>0</v>
      </c>
      <c r="G5158" s="115">
        <v>0</v>
      </c>
      <c r="H5158" s="115">
        <v>0</v>
      </c>
      <c r="I5158" s="115">
        <v>0</v>
      </c>
      <c r="J5158" s="115">
        <v>0</v>
      </c>
      <c r="K5158" s="115">
        <v>-41</v>
      </c>
    </row>
    <row r="5159" spans="1:11" x14ac:dyDescent="0.25">
      <c r="B5159" s="115" t="s">
        <v>1241</v>
      </c>
      <c r="D5159" s="115" t="s">
        <v>11253</v>
      </c>
      <c r="E5159" s="115" t="s">
        <v>5152</v>
      </c>
      <c r="F5159" s="115">
        <v>0</v>
      </c>
      <c r="G5159" s="115">
        <v>-8</v>
      </c>
      <c r="H5159" s="115">
        <v>0</v>
      </c>
      <c r="I5159" s="115">
        <v>0</v>
      </c>
      <c r="J5159" s="115">
        <v>0</v>
      </c>
      <c r="K5159" s="115">
        <v>0</v>
      </c>
    </row>
    <row r="5160" spans="1:11" x14ac:dyDescent="0.25">
      <c r="B5160" s="115" t="s">
        <v>5153</v>
      </c>
      <c r="D5160" s="115" t="s">
        <v>11254</v>
      </c>
      <c r="E5160" s="115" t="s">
        <v>5154</v>
      </c>
      <c r="F5160" s="115">
        <v>192</v>
      </c>
      <c r="G5160" s="115">
        <v>0</v>
      </c>
      <c r="H5160" s="115">
        <v>0</v>
      </c>
      <c r="I5160" s="115">
        <v>1703</v>
      </c>
      <c r="J5160" s="115">
        <v>-7996</v>
      </c>
      <c r="K5160" s="115">
        <v>0</v>
      </c>
    </row>
    <row r="5161" spans="1:11" x14ac:dyDescent="0.25">
      <c r="B5161" s="115" t="s">
        <v>5155</v>
      </c>
      <c r="D5161" s="115" t="s">
        <v>11255</v>
      </c>
      <c r="E5161" s="115" t="s">
        <v>5156</v>
      </c>
      <c r="F5161" s="115">
        <v>0</v>
      </c>
      <c r="G5161" s="115">
        <v>49</v>
      </c>
      <c r="H5161" s="115">
        <v>54</v>
      </c>
      <c r="I5161" s="115">
        <v>76</v>
      </c>
      <c r="J5161" s="115">
        <v>0</v>
      </c>
      <c r="K5161" s="115">
        <v>0</v>
      </c>
    </row>
    <row r="5162" spans="1:11" x14ac:dyDescent="0.25">
      <c r="B5162" s="115" t="s">
        <v>5157</v>
      </c>
      <c r="D5162" s="115" t="s">
        <v>11256</v>
      </c>
      <c r="E5162" s="115" t="s">
        <v>5158</v>
      </c>
      <c r="F5162" s="115">
        <v>470</v>
      </c>
      <c r="G5162" s="115">
        <v>-109</v>
      </c>
      <c r="H5162" s="115">
        <v>278</v>
      </c>
      <c r="I5162" s="115">
        <v>138</v>
      </c>
      <c r="J5162" s="115">
        <v>173</v>
      </c>
      <c r="K5162" s="115">
        <v>719</v>
      </c>
    </row>
    <row r="5163" spans="1:11" x14ac:dyDescent="0.25">
      <c r="B5163" s="115" t="s">
        <v>1241</v>
      </c>
      <c r="D5163" s="115" t="s">
        <v>11257</v>
      </c>
      <c r="E5163" s="115" t="s">
        <v>5159</v>
      </c>
      <c r="F5163" s="115">
        <v>0</v>
      </c>
      <c r="G5163" s="115">
        <v>-116</v>
      </c>
      <c r="H5163" s="115">
        <v>0</v>
      </c>
      <c r="I5163" s="115">
        <v>45</v>
      </c>
      <c r="J5163" s="115">
        <v>-1230</v>
      </c>
      <c r="K5163" s="115">
        <v>-507</v>
      </c>
    </row>
    <row r="5164" spans="1:11" x14ac:dyDescent="0.25">
      <c r="B5164" s="115" t="s">
        <v>5160</v>
      </c>
      <c r="C5164" s="115" t="s">
        <v>1239</v>
      </c>
      <c r="D5164" s="115" t="s">
        <v>11258</v>
      </c>
      <c r="E5164" s="115" t="s">
        <v>5161</v>
      </c>
      <c r="F5164" s="115">
        <v>1722</v>
      </c>
      <c r="G5164" s="115">
        <v>634</v>
      </c>
      <c r="H5164" s="115">
        <v>0</v>
      </c>
      <c r="I5164" s="115">
        <v>-209</v>
      </c>
      <c r="J5164" s="115">
        <v>-635</v>
      </c>
      <c r="K5164" s="115">
        <v>321</v>
      </c>
    </row>
    <row r="5165" spans="1:11" x14ac:dyDescent="0.25">
      <c r="B5165" s="115" t="s">
        <v>5162</v>
      </c>
      <c r="D5165" s="115" t="s">
        <v>11259</v>
      </c>
      <c r="E5165" s="115" t="s">
        <v>5163</v>
      </c>
      <c r="F5165" s="115">
        <v>0</v>
      </c>
      <c r="G5165" s="115">
        <v>0</v>
      </c>
      <c r="H5165" s="115">
        <v>0</v>
      </c>
      <c r="I5165" s="115">
        <v>91</v>
      </c>
      <c r="J5165" s="115">
        <v>35</v>
      </c>
      <c r="K5165" s="115">
        <v>0</v>
      </c>
    </row>
    <row r="5166" spans="1:11" x14ac:dyDescent="0.25">
      <c r="B5166" s="115" t="s">
        <v>5164</v>
      </c>
      <c r="D5166" s="115" t="s">
        <v>11260</v>
      </c>
      <c r="E5166" s="115" t="s">
        <v>5165</v>
      </c>
      <c r="F5166" s="115">
        <v>0</v>
      </c>
      <c r="G5166" s="115">
        <v>0</v>
      </c>
      <c r="H5166" s="115">
        <v>0</v>
      </c>
      <c r="I5166" s="115">
        <v>0</v>
      </c>
      <c r="J5166" s="115">
        <v>0</v>
      </c>
      <c r="K5166" s="115">
        <v>517</v>
      </c>
    </row>
    <row r="5167" spans="1:11" x14ac:dyDescent="0.25">
      <c r="B5167" s="115" t="s">
        <v>4002</v>
      </c>
      <c r="D5167" s="115" t="s">
        <v>11261</v>
      </c>
      <c r="E5167" s="115" t="s">
        <v>5166</v>
      </c>
      <c r="F5167" s="115">
        <v>0</v>
      </c>
      <c r="G5167" s="115">
        <v>724</v>
      </c>
      <c r="H5167" s="115">
        <v>-13078</v>
      </c>
      <c r="I5167" s="115">
        <v>-3317</v>
      </c>
      <c r="J5167" s="115">
        <v>-6697</v>
      </c>
      <c r="K5167" s="115">
        <v>-3840</v>
      </c>
    </row>
    <row r="5168" spans="1:11" x14ac:dyDescent="0.25">
      <c r="A5168" s="115">
        <v>-1</v>
      </c>
      <c r="B5168" s="115" t="s">
        <v>5167</v>
      </c>
      <c r="C5168" s="115" t="s">
        <v>1239</v>
      </c>
      <c r="D5168" s="115" t="s">
        <v>11262</v>
      </c>
      <c r="E5168" s="115" t="s">
        <v>5168</v>
      </c>
      <c r="F5168" s="115">
        <v>121</v>
      </c>
      <c r="G5168" s="115">
        <v>0</v>
      </c>
      <c r="H5168" s="115">
        <v>0</v>
      </c>
      <c r="I5168" s="115">
        <v>-1069</v>
      </c>
      <c r="J5168" s="115">
        <v>-214</v>
      </c>
      <c r="K5168" s="115">
        <v>0</v>
      </c>
    </row>
    <row r="5169" spans="1:11" x14ac:dyDescent="0.25">
      <c r="A5169" s="115">
        <v>1</v>
      </c>
      <c r="B5169" s="115" t="s">
        <v>5169</v>
      </c>
      <c r="D5169" s="115" t="s">
        <v>11263</v>
      </c>
      <c r="E5169" s="115" t="s">
        <v>5170</v>
      </c>
      <c r="F5169" s="115">
        <v>0</v>
      </c>
      <c r="G5169" s="115">
        <v>-390</v>
      </c>
      <c r="H5169" s="115">
        <v>1088</v>
      </c>
      <c r="I5169" s="115">
        <v>-558</v>
      </c>
      <c r="J5169" s="115">
        <v>0</v>
      </c>
      <c r="K5169" s="115">
        <v>0</v>
      </c>
    </row>
    <row r="5170" spans="1:11" x14ac:dyDescent="0.25">
      <c r="B5170" s="115" t="s">
        <v>1241</v>
      </c>
      <c r="D5170" s="115" t="s">
        <v>11264</v>
      </c>
      <c r="E5170" s="115" t="s">
        <v>5171</v>
      </c>
      <c r="F5170" s="115">
        <v>0</v>
      </c>
      <c r="G5170" s="115">
        <v>-3145</v>
      </c>
      <c r="H5170" s="115">
        <v>1845</v>
      </c>
      <c r="I5170" s="115">
        <v>1025</v>
      </c>
      <c r="J5170" s="115">
        <v>0</v>
      </c>
      <c r="K5170" s="115">
        <v>2085</v>
      </c>
    </row>
    <row r="5171" spans="1:11" x14ac:dyDescent="0.25">
      <c r="A5171" s="115">
        <v>-10</v>
      </c>
      <c r="B5171" s="115" t="s">
        <v>5172</v>
      </c>
      <c r="D5171" s="115" t="s">
        <v>11265</v>
      </c>
      <c r="E5171" s="115" t="s">
        <v>5173</v>
      </c>
      <c r="F5171" s="115">
        <v>0</v>
      </c>
      <c r="G5171" s="115">
        <v>-617</v>
      </c>
      <c r="H5171" s="115">
        <v>-1082</v>
      </c>
      <c r="I5171" s="115">
        <v>-101</v>
      </c>
      <c r="J5171" s="115">
        <v>3</v>
      </c>
      <c r="K5171" s="115">
        <v>88</v>
      </c>
    </row>
    <row r="5172" spans="1:11" x14ac:dyDescent="0.25">
      <c r="B5172" s="115" t="s">
        <v>5174</v>
      </c>
      <c r="D5172" s="115" t="s">
        <v>11266</v>
      </c>
      <c r="E5172" s="115" t="s">
        <v>5175</v>
      </c>
      <c r="F5172" s="115">
        <v>330</v>
      </c>
      <c r="G5172" s="115">
        <v>0</v>
      </c>
      <c r="H5172" s="115">
        <v>148</v>
      </c>
      <c r="I5172" s="115">
        <v>0</v>
      </c>
      <c r="J5172" s="115">
        <v>54</v>
      </c>
      <c r="K5172" s="115">
        <v>0</v>
      </c>
    </row>
    <row r="5173" spans="1:11" x14ac:dyDescent="0.25">
      <c r="B5173" s="115" t="s">
        <v>1241</v>
      </c>
      <c r="D5173" s="115" t="s">
        <v>11267</v>
      </c>
      <c r="E5173" s="115" t="s">
        <v>5176</v>
      </c>
      <c r="F5173" s="115">
        <v>0</v>
      </c>
      <c r="G5173" s="115">
        <v>0</v>
      </c>
      <c r="H5173" s="115">
        <v>0</v>
      </c>
      <c r="I5173" s="115">
        <v>161</v>
      </c>
      <c r="J5173" s="115">
        <v>0</v>
      </c>
      <c r="K5173" s="115">
        <v>-378</v>
      </c>
    </row>
    <row r="5174" spans="1:11" x14ac:dyDescent="0.25">
      <c r="A5174" s="115" t="s">
        <v>1239</v>
      </c>
      <c r="B5174" s="115" t="s">
        <v>5177</v>
      </c>
      <c r="D5174" s="115" t="s">
        <v>11268</v>
      </c>
      <c r="E5174" s="115" t="s">
        <v>1242</v>
      </c>
      <c r="F5174" s="115">
        <v>2575</v>
      </c>
      <c r="G5174" s="115">
        <v>0</v>
      </c>
      <c r="H5174" s="115">
        <v>0</v>
      </c>
      <c r="I5174" s="115">
        <v>0</v>
      </c>
      <c r="J5174" s="115">
        <v>0</v>
      </c>
      <c r="K5174" s="115">
        <v>0</v>
      </c>
    </row>
    <row r="5175" spans="1:11" x14ac:dyDescent="0.25">
      <c r="A5175" s="115">
        <v>-4</v>
      </c>
      <c r="B5175" s="115" t="s">
        <v>5178</v>
      </c>
      <c r="C5175" s="115" t="s">
        <v>1239</v>
      </c>
      <c r="D5175" s="115" t="s">
        <v>11269</v>
      </c>
      <c r="E5175" s="115" t="s">
        <v>5179</v>
      </c>
      <c r="F5175" s="115">
        <v>-2061</v>
      </c>
      <c r="G5175" s="115">
        <v>-6896</v>
      </c>
      <c r="H5175" s="115">
        <v>0</v>
      </c>
      <c r="I5175" s="115">
        <v>0</v>
      </c>
      <c r="J5175" s="115">
        <v>0</v>
      </c>
      <c r="K5175" s="115">
        <v>0</v>
      </c>
    </row>
    <row r="5176" spans="1:11" x14ac:dyDescent="0.25">
      <c r="B5176" s="115" t="s">
        <v>5180</v>
      </c>
      <c r="D5176" s="115" t="s">
        <v>11270</v>
      </c>
      <c r="E5176" s="115" t="s">
        <v>5181</v>
      </c>
      <c r="F5176" s="115">
        <v>0</v>
      </c>
      <c r="G5176" s="115">
        <v>-1610</v>
      </c>
      <c r="H5176" s="115">
        <v>1092</v>
      </c>
      <c r="I5176" s="115">
        <v>0</v>
      </c>
      <c r="J5176" s="115">
        <v>0</v>
      </c>
      <c r="K5176" s="115">
        <v>0</v>
      </c>
    </row>
    <row r="5177" spans="1:11" x14ac:dyDescent="0.25">
      <c r="B5177" s="115" t="s">
        <v>5182</v>
      </c>
      <c r="D5177" s="115" t="s">
        <v>11271</v>
      </c>
      <c r="E5177" s="115">
        <f>-3791  -5165   -771   -445  -1474</f>
        <v>-11646</v>
      </c>
      <c r="F5177" s="115">
        <v>-3198</v>
      </c>
      <c r="G5177" s="115">
        <v>-3791</v>
      </c>
      <c r="H5177" s="115">
        <v>-5165</v>
      </c>
      <c r="I5177" s="115">
        <v>-771</v>
      </c>
      <c r="J5177" s="115">
        <v>-445</v>
      </c>
      <c r="K5177" s="115">
        <v>-1474</v>
      </c>
    </row>
    <row r="5178" spans="1:11" x14ac:dyDescent="0.25">
      <c r="B5178" s="115" t="s">
        <v>5183</v>
      </c>
      <c r="D5178" s="115" t="s">
        <v>11272</v>
      </c>
      <c r="E5178" s="115" t="s">
        <v>1242</v>
      </c>
      <c r="F5178" s="115">
        <v>0</v>
      </c>
      <c r="G5178" s="115">
        <v>0</v>
      </c>
      <c r="H5178" s="115">
        <v>0</v>
      </c>
      <c r="I5178" s="115">
        <v>0</v>
      </c>
      <c r="J5178" s="115">
        <v>0</v>
      </c>
      <c r="K5178" s="115">
        <v>0</v>
      </c>
    </row>
    <row r="5179" spans="1:11" x14ac:dyDescent="0.25">
      <c r="A5179" s="115">
        <v>-1</v>
      </c>
      <c r="B5179" s="115" t="s">
        <v>5184</v>
      </c>
      <c r="C5179" s="115" t="s">
        <v>1239</v>
      </c>
      <c r="D5179" s="115" t="s">
        <v>11273</v>
      </c>
      <c r="E5179" s="115" t="s">
        <v>5185</v>
      </c>
      <c r="F5179" s="115">
        <v>-1040</v>
      </c>
      <c r="G5179" s="115">
        <v>1576</v>
      </c>
      <c r="H5179" s="115">
        <v>0</v>
      </c>
      <c r="I5179" s="115">
        <v>0</v>
      </c>
      <c r="J5179" s="115">
        <v>-1148</v>
      </c>
      <c r="K5179" s="115">
        <v>0</v>
      </c>
    </row>
    <row r="5180" spans="1:11" x14ac:dyDescent="0.25">
      <c r="A5180" s="115" t="s">
        <v>1239</v>
      </c>
      <c r="B5180" s="115" t="s">
        <v>5186</v>
      </c>
      <c r="D5180" s="115" t="s">
        <v>11274</v>
      </c>
      <c r="E5180" s="115" t="s">
        <v>5187</v>
      </c>
      <c r="F5180" s="115">
        <v>0</v>
      </c>
      <c r="G5180" s="115">
        <v>0</v>
      </c>
      <c r="H5180" s="115">
        <v>261</v>
      </c>
      <c r="I5180" s="115">
        <v>0</v>
      </c>
      <c r="J5180" s="115">
        <v>1001</v>
      </c>
      <c r="K5180" s="115">
        <v>2082</v>
      </c>
    </row>
    <row r="5181" spans="1:11" x14ac:dyDescent="0.25">
      <c r="B5181" s="115" t="s">
        <v>1241</v>
      </c>
      <c r="D5181" s="115" t="s">
        <v>8710</v>
      </c>
      <c r="E5181" s="115" t="s">
        <v>1242</v>
      </c>
      <c r="F5181" s="115">
        <v>0</v>
      </c>
      <c r="G5181" s="115">
        <v>0</v>
      </c>
      <c r="H5181" s="115">
        <v>0</v>
      </c>
      <c r="I5181" s="115">
        <v>0</v>
      </c>
      <c r="J5181" s="115">
        <v>0</v>
      </c>
      <c r="K5181" s="115">
        <v>0</v>
      </c>
    </row>
    <row r="5182" spans="1:11" x14ac:dyDescent="0.25">
      <c r="B5182" s="115" t="s">
        <v>1241</v>
      </c>
      <c r="D5182" s="115" t="s">
        <v>11275</v>
      </c>
      <c r="E5182" s="115" t="s">
        <v>5188</v>
      </c>
      <c r="F5182" s="115">
        <v>0</v>
      </c>
      <c r="G5182" s="115">
        <v>-569</v>
      </c>
      <c r="H5182" s="115">
        <v>0</v>
      </c>
      <c r="I5182" s="115">
        <v>0</v>
      </c>
      <c r="J5182" s="115">
        <v>0</v>
      </c>
      <c r="K5182" s="115">
        <v>0</v>
      </c>
    </row>
    <row r="5183" spans="1:11" x14ac:dyDescent="0.25">
      <c r="B5183" s="115" t="s">
        <v>5189</v>
      </c>
      <c r="D5183" s="115" t="s">
        <v>11276</v>
      </c>
      <c r="E5183" s="115" t="s">
        <v>5190</v>
      </c>
      <c r="F5183" s="115">
        <v>24311</v>
      </c>
      <c r="G5183" s="115">
        <v>25198</v>
      </c>
      <c r="H5183" s="115">
        <v>50996</v>
      </c>
      <c r="I5183" s="115">
        <v>26685</v>
      </c>
      <c r="J5183" s="115">
        <v>1425</v>
      </c>
      <c r="K5183" s="115">
        <v>-137</v>
      </c>
    </row>
    <row r="5184" spans="1:11" x14ac:dyDescent="0.25">
      <c r="A5184" s="115" t="s">
        <v>1239</v>
      </c>
      <c r="B5184" s="115" t="s">
        <v>5191</v>
      </c>
      <c r="D5184" s="115" t="s">
        <v>11277</v>
      </c>
      <c r="E5184" s="115" t="s">
        <v>5192</v>
      </c>
      <c r="F5184" s="115">
        <v>19051</v>
      </c>
      <c r="G5184" s="115">
        <v>35623</v>
      </c>
      <c r="H5184" s="115">
        <v>19241</v>
      </c>
      <c r="I5184" s="115">
        <v>2372</v>
      </c>
      <c r="J5184" s="115">
        <v>0</v>
      </c>
      <c r="K5184" s="115">
        <v>26102</v>
      </c>
    </row>
    <row r="5185" spans="1:11" x14ac:dyDescent="0.25">
      <c r="A5185" s="115">
        <v>31</v>
      </c>
      <c r="B5185" s="115" t="s">
        <v>5193</v>
      </c>
      <c r="C5185" s="115">
        <v>2</v>
      </c>
      <c r="D5185" s="115" t="s">
        <v>11278</v>
      </c>
      <c r="E5185" s="115" t="s">
        <v>5194</v>
      </c>
      <c r="F5185" s="115">
        <v>17644</v>
      </c>
      <c r="G5185" s="115">
        <v>-198</v>
      </c>
      <c r="H5185" s="115">
        <v>41</v>
      </c>
      <c r="I5185" s="115">
        <v>323</v>
      </c>
      <c r="J5185" s="115">
        <v>107</v>
      </c>
      <c r="K5185" s="115">
        <v>30</v>
      </c>
    </row>
    <row r="5186" spans="1:11" x14ac:dyDescent="0.25">
      <c r="B5186" s="115" t="s">
        <v>1241</v>
      </c>
      <c r="D5186" s="115" t="s">
        <v>11279</v>
      </c>
      <c r="E5186" s="115" t="s">
        <v>5195</v>
      </c>
      <c r="F5186" s="115">
        <v>0</v>
      </c>
      <c r="G5186" s="115">
        <v>0</v>
      </c>
      <c r="H5186" s="115">
        <v>-317</v>
      </c>
      <c r="I5186" s="115">
        <v>94</v>
      </c>
      <c r="J5186" s="115">
        <v>0</v>
      </c>
      <c r="K5186" s="115">
        <v>0</v>
      </c>
    </row>
    <row r="5187" spans="1:11" x14ac:dyDescent="0.25">
      <c r="B5187" s="115" t="s">
        <v>1241</v>
      </c>
      <c r="D5187" s="115" t="s">
        <v>11280</v>
      </c>
      <c r="E5187" s="115" t="s">
        <v>5196</v>
      </c>
      <c r="F5187" s="115">
        <v>562</v>
      </c>
      <c r="G5187" s="115">
        <v>0</v>
      </c>
      <c r="H5187" s="115">
        <v>0</v>
      </c>
      <c r="I5187" s="115">
        <v>44</v>
      </c>
      <c r="J5187" s="115">
        <v>0</v>
      </c>
      <c r="K5187" s="115">
        <v>-32</v>
      </c>
    </row>
    <row r="5188" spans="1:11" x14ac:dyDescent="0.25">
      <c r="B5188" s="115" t="s">
        <v>5197</v>
      </c>
      <c r="D5188" s="115" t="s">
        <v>11281</v>
      </c>
      <c r="E5188" s="115" t="s">
        <v>5198</v>
      </c>
      <c r="F5188" s="115">
        <v>0</v>
      </c>
      <c r="G5188" s="115">
        <v>-649</v>
      </c>
      <c r="H5188" s="115">
        <v>186</v>
      </c>
      <c r="I5188" s="115">
        <v>324</v>
      </c>
      <c r="J5188" s="115">
        <v>210</v>
      </c>
      <c r="K5188" s="115">
        <v>160</v>
      </c>
    </row>
    <row r="5189" spans="1:11" x14ac:dyDescent="0.25">
      <c r="B5189" s="115" t="s">
        <v>5199</v>
      </c>
      <c r="D5189" s="115" t="s">
        <v>11282</v>
      </c>
      <c r="E5189" s="115" t="s">
        <v>5200</v>
      </c>
      <c r="F5189" s="115">
        <v>0</v>
      </c>
      <c r="G5189" s="115">
        <v>0</v>
      </c>
      <c r="H5189" s="115">
        <v>0</v>
      </c>
      <c r="I5189" s="115">
        <v>0</v>
      </c>
      <c r="J5189" s="115">
        <v>-7</v>
      </c>
      <c r="K5189" s="115">
        <v>0</v>
      </c>
    </row>
    <row r="5190" spans="1:11" x14ac:dyDescent="0.25">
      <c r="B5190" s="115" t="s">
        <v>1241</v>
      </c>
      <c r="D5190" s="115" t="s">
        <v>11283</v>
      </c>
      <c r="E5190" s="115" t="s">
        <v>1242</v>
      </c>
      <c r="F5190" s="115">
        <v>-11</v>
      </c>
      <c r="G5190" s="115">
        <v>0</v>
      </c>
      <c r="H5190" s="115">
        <v>0</v>
      </c>
      <c r="I5190" s="115">
        <v>0</v>
      </c>
      <c r="J5190" s="115">
        <v>0</v>
      </c>
      <c r="K5190" s="115">
        <v>0</v>
      </c>
    </row>
    <row r="5191" spans="1:11" x14ac:dyDescent="0.25">
      <c r="B5191" s="115" t="s">
        <v>5201</v>
      </c>
      <c r="D5191" s="115" t="s">
        <v>11284</v>
      </c>
      <c r="E5191" s="115" t="s">
        <v>5202</v>
      </c>
      <c r="F5191" s="115">
        <v>0</v>
      </c>
      <c r="G5191" s="115">
        <v>0</v>
      </c>
      <c r="H5191" s="115">
        <v>842</v>
      </c>
      <c r="I5191" s="115">
        <v>-4304</v>
      </c>
      <c r="J5191" s="115">
        <v>0</v>
      </c>
      <c r="K5191" s="115">
        <v>540</v>
      </c>
    </row>
    <row r="5192" spans="1:11" x14ac:dyDescent="0.25">
      <c r="B5192" s="115" t="s">
        <v>1241</v>
      </c>
      <c r="D5192" s="115" t="s">
        <v>11285</v>
      </c>
      <c r="E5192" s="115" t="s">
        <v>5203</v>
      </c>
      <c r="F5192" s="115">
        <v>329</v>
      </c>
      <c r="G5192" s="115">
        <v>82</v>
      </c>
      <c r="H5192" s="115">
        <v>74</v>
      </c>
      <c r="I5192" s="115">
        <v>0</v>
      </c>
      <c r="J5192" s="115">
        <v>0</v>
      </c>
      <c r="K5192" s="115">
        <v>-87</v>
      </c>
    </row>
    <row r="5193" spans="1:11" x14ac:dyDescent="0.25">
      <c r="B5193" s="115" t="s">
        <v>3330</v>
      </c>
      <c r="D5193" s="115" t="s">
        <v>11286</v>
      </c>
      <c r="E5193" s="115" t="s">
        <v>5204</v>
      </c>
      <c r="F5193" s="115">
        <v>61</v>
      </c>
      <c r="G5193" s="115">
        <v>-49</v>
      </c>
      <c r="H5193" s="115">
        <v>315</v>
      </c>
      <c r="I5193" s="115">
        <v>177</v>
      </c>
      <c r="J5193" s="115">
        <v>304</v>
      </c>
      <c r="K5193" s="115">
        <v>0</v>
      </c>
    </row>
    <row r="5194" spans="1:11" x14ac:dyDescent="0.25">
      <c r="B5194" s="115" t="s">
        <v>1241</v>
      </c>
      <c r="D5194" s="115" t="s">
        <v>11287</v>
      </c>
      <c r="E5194" s="115" t="s">
        <v>5205</v>
      </c>
      <c r="F5194" s="115">
        <v>-5</v>
      </c>
      <c r="G5194" s="115">
        <v>0</v>
      </c>
      <c r="H5194" s="115">
        <v>-139</v>
      </c>
      <c r="I5194" s="115">
        <v>-833</v>
      </c>
      <c r="J5194" s="115">
        <v>-307</v>
      </c>
      <c r="K5194" s="115">
        <v>0</v>
      </c>
    </row>
    <row r="5195" spans="1:11" x14ac:dyDescent="0.25">
      <c r="A5195" s="115">
        <v>-2</v>
      </c>
      <c r="B5195" s="115" t="s">
        <v>5206</v>
      </c>
      <c r="D5195" s="115" t="s">
        <v>11288</v>
      </c>
      <c r="E5195" s="115" t="s">
        <v>5207</v>
      </c>
      <c r="F5195" s="115">
        <v>696</v>
      </c>
      <c r="G5195" s="115">
        <v>0</v>
      </c>
      <c r="H5195" s="115">
        <v>-610</v>
      </c>
      <c r="I5195" s="115">
        <v>-392</v>
      </c>
      <c r="J5195" s="115">
        <v>230</v>
      </c>
      <c r="K5195" s="115">
        <v>556</v>
      </c>
    </row>
    <row r="5196" spans="1:11" x14ac:dyDescent="0.25">
      <c r="B5196" s="115" t="s">
        <v>3390</v>
      </c>
      <c r="C5196" s="115" t="s">
        <v>1239</v>
      </c>
      <c r="D5196" s="115" t="s">
        <v>11289</v>
      </c>
      <c r="E5196" s="115" t="s">
        <v>5208</v>
      </c>
      <c r="F5196" s="115">
        <v>0</v>
      </c>
      <c r="G5196" s="115">
        <v>0</v>
      </c>
      <c r="H5196" s="115">
        <v>-131</v>
      </c>
      <c r="I5196" s="115">
        <v>1097</v>
      </c>
      <c r="J5196" s="115">
        <v>0</v>
      </c>
      <c r="K5196" s="115">
        <v>719</v>
      </c>
    </row>
    <row r="5197" spans="1:11" x14ac:dyDescent="0.25">
      <c r="A5197" s="115" t="s">
        <v>1239</v>
      </c>
      <c r="B5197" s="115" t="s">
        <v>5209</v>
      </c>
      <c r="D5197" s="115" t="s">
        <v>11290</v>
      </c>
      <c r="E5197" s="115" t="s">
        <v>5210</v>
      </c>
      <c r="F5197" s="115">
        <v>0</v>
      </c>
      <c r="G5197" s="115">
        <v>0</v>
      </c>
      <c r="H5197" s="115">
        <v>0</v>
      </c>
      <c r="I5197" s="115">
        <v>0</v>
      </c>
      <c r="J5197" s="115">
        <v>1668</v>
      </c>
      <c r="K5197" s="115">
        <v>0</v>
      </c>
    </row>
    <row r="5198" spans="1:11" x14ac:dyDescent="0.25">
      <c r="A5198" s="115" t="s">
        <v>1239</v>
      </c>
      <c r="B5198" s="115" t="s">
        <v>5211</v>
      </c>
      <c r="D5198" s="115" t="s">
        <v>11291</v>
      </c>
      <c r="E5198" s="115" t="s">
        <v>5212</v>
      </c>
      <c r="F5198" s="115">
        <v>586</v>
      </c>
      <c r="G5198" s="115">
        <v>-3813</v>
      </c>
      <c r="H5198" s="115">
        <v>-192</v>
      </c>
      <c r="I5198" s="115">
        <v>37</v>
      </c>
      <c r="J5198" s="115">
        <v>134</v>
      </c>
      <c r="K5198" s="115">
        <v>64</v>
      </c>
    </row>
    <row r="5199" spans="1:11" x14ac:dyDescent="0.25">
      <c r="A5199" s="115" t="s">
        <v>1239</v>
      </c>
      <c r="B5199" s="115" t="s">
        <v>5213</v>
      </c>
      <c r="D5199" s="115" t="s">
        <v>11292</v>
      </c>
      <c r="E5199" s="115" t="s">
        <v>5214</v>
      </c>
      <c r="F5199" s="115">
        <v>0</v>
      </c>
      <c r="G5199" s="115">
        <v>0</v>
      </c>
      <c r="H5199" s="115">
        <v>-883</v>
      </c>
      <c r="I5199" s="115">
        <v>-41</v>
      </c>
      <c r="J5199" s="115">
        <v>0</v>
      </c>
      <c r="K5199" s="115">
        <v>-39</v>
      </c>
    </row>
    <row r="5200" spans="1:11" x14ac:dyDescent="0.25">
      <c r="B5200" s="115" t="s">
        <v>1241</v>
      </c>
      <c r="D5200" s="115" t="s">
        <v>11293</v>
      </c>
      <c r="E5200" s="115" t="s">
        <v>5215</v>
      </c>
      <c r="F5200" s="115">
        <v>37</v>
      </c>
      <c r="G5200" s="115">
        <v>9</v>
      </c>
      <c r="H5200" s="115">
        <v>63</v>
      </c>
      <c r="I5200" s="115">
        <v>0</v>
      </c>
      <c r="J5200" s="115">
        <v>0</v>
      </c>
      <c r="K5200" s="115">
        <v>0</v>
      </c>
    </row>
    <row r="5201" spans="1:11" x14ac:dyDescent="0.25">
      <c r="B5201" s="115" t="s">
        <v>1241</v>
      </c>
      <c r="D5201" s="115" t="s">
        <v>11294</v>
      </c>
      <c r="E5201" s="115" t="s">
        <v>5216</v>
      </c>
      <c r="F5201" s="115">
        <v>-583</v>
      </c>
      <c r="G5201" s="115">
        <v>-735</v>
      </c>
      <c r="H5201" s="115">
        <v>-15</v>
      </c>
      <c r="I5201" s="115">
        <v>0</v>
      </c>
      <c r="J5201" s="115">
        <v>457</v>
      </c>
      <c r="K5201" s="115">
        <v>-21796</v>
      </c>
    </row>
    <row r="5202" spans="1:11" x14ac:dyDescent="0.25">
      <c r="A5202" s="115">
        <v>-2</v>
      </c>
      <c r="B5202" s="115" t="s">
        <v>4540</v>
      </c>
      <c r="D5202" s="115" t="s">
        <v>11295</v>
      </c>
      <c r="E5202" s="115" t="s">
        <v>5217</v>
      </c>
      <c r="F5202" s="115">
        <v>-1030</v>
      </c>
      <c r="G5202" s="115">
        <v>1415</v>
      </c>
      <c r="H5202" s="115">
        <v>3102</v>
      </c>
      <c r="I5202" s="115">
        <v>-322</v>
      </c>
      <c r="J5202" s="115">
        <v>-214</v>
      </c>
      <c r="K5202" s="115">
        <v>0</v>
      </c>
    </row>
    <row r="5203" spans="1:11" x14ac:dyDescent="0.25">
      <c r="A5203" s="115" t="s">
        <v>1239</v>
      </c>
      <c r="B5203" s="115" t="s">
        <v>5218</v>
      </c>
      <c r="D5203" s="115" t="s">
        <v>11296</v>
      </c>
      <c r="E5203" s="115" t="s">
        <v>5219</v>
      </c>
      <c r="F5203" s="115">
        <v>0</v>
      </c>
      <c r="G5203" s="115">
        <v>-1273</v>
      </c>
      <c r="H5203" s="115">
        <v>0</v>
      </c>
      <c r="I5203" s="115">
        <v>-895</v>
      </c>
      <c r="J5203" s="115">
        <v>0</v>
      </c>
      <c r="K5203" s="115">
        <v>0</v>
      </c>
    </row>
    <row r="5204" spans="1:11" x14ac:dyDescent="0.25">
      <c r="B5204" s="115" t="s">
        <v>1241</v>
      </c>
      <c r="D5204" s="115" t="s">
        <v>11297</v>
      </c>
      <c r="E5204" s="115" t="s">
        <v>5220</v>
      </c>
      <c r="F5204" s="115">
        <v>0</v>
      </c>
      <c r="G5204" s="115">
        <v>0</v>
      </c>
      <c r="H5204" s="115">
        <v>-249</v>
      </c>
      <c r="I5204" s="115">
        <v>0</v>
      </c>
      <c r="J5204" s="115">
        <v>-2329</v>
      </c>
      <c r="K5204" s="115">
        <v>3450</v>
      </c>
    </row>
    <row r="5205" spans="1:11" x14ac:dyDescent="0.25">
      <c r="A5205" s="115">
        <v>1</v>
      </c>
      <c r="B5205" s="115" t="s">
        <v>5221</v>
      </c>
      <c r="D5205" s="115" t="s">
        <v>11298</v>
      </c>
      <c r="E5205" s="115" t="s">
        <v>5222</v>
      </c>
      <c r="F5205" s="115">
        <v>0</v>
      </c>
      <c r="G5205" s="115">
        <v>0</v>
      </c>
      <c r="H5205" s="115">
        <v>0</v>
      </c>
      <c r="I5205" s="115">
        <v>0</v>
      </c>
      <c r="J5205" s="115">
        <v>0</v>
      </c>
      <c r="K5205" s="115">
        <v>-3790</v>
      </c>
    </row>
    <row r="5206" spans="1:11" x14ac:dyDescent="0.25">
      <c r="A5206" s="115">
        <v>-1</v>
      </c>
      <c r="B5206" s="115" t="s">
        <v>5223</v>
      </c>
      <c r="C5206" s="115" t="s">
        <v>1239</v>
      </c>
      <c r="D5206" s="115" t="s">
        <v>11299</v>
      </c>
      <c r="E5206" s="115" t="s">
        <v>5224</v>
      </c>
      <c r="F5206" s="115">
        <v>-6260</v>
      </c>
      <c r="G5206" s="115">
        <v>0</v>
      </c>
      <c r="H5206" s="115">
        <v>0</v>
      </c>
      <c r="I5206" s="115">
        <v>0</v>
      </c>
      <c r="J5206" s="115">
        <v>0</v>
      </c>
      <c r="K5206" s="115">
        <v>-153</v>
      </c>
    </row>
    <row r="5207" spans="1:11" x14ac:dyDescent="0.25">
      <c r="B5207" s="115" t="s">
        <v>5225</v>
      </c>
      <c r="D5207" s="115" t="s">
        <v>11300</v>
      </c>
      <c r="E5207" s="115" t="s">
        <v>5226</v>
      </c>
      <c r="F5207" s="115">
        <v>-1767</v>
      </c>
      <c r="G5207" s="115">
        <v>701</v>
      </c>
      <c r="H5207" s="115">
        <v>0</v>
      </c>
      <c r="I5207" s="115">
        <v>0</v>
      </c>
      <c r="J5207" s="115">
        <v>0</v>
      </c>
      <c r="K5207" s="115">
        <v>0</v>
      </c>
    </row>
    <row r="5208" spans="1:11" x14ac:dyDescent="0.25">
      <c r="B5208" s="115" t="s">
        <v>3316</v>
      </c>
      <c r="D5208" s="115" t="s">
        <v>11301</v>
      </c>
      <c r="E5208" s="115" t="s">
        <v>5227</v>
      </c>
      <c r="F5208" s="115">
        <v>-3191</v>
      </c>
      <c r="G5208" s="115">
        <v>-3986</v>
      </c>
      <c r="H5208" s="115">
        <v>550</v>
      </c>
      <c r="I5208" s="115">
        <v>-1420</v>
      </c>
      <c r="J5208" s="115">
        <v>-1273</v>
      </c>
      <c r="K5208" s="115">
        <v>-116</v>
      </c>
    </row>
    <row r="5209" spans="1:11" x14ac:dyDescent="0.25">
      <c r="B5209" s="115" t="s">
        <v>5228</v>
      </c>
      <c r="D5209" s="115" t="s">
        <v>11302</v>
      </c>
      <c r="E5209" s="115" t="s">
        <v>5229</v>
      </c>
      <c r="F5209" s="115">
        <v>0</v>
      </c>
      <c r="G5209" s="115">
        <v>0</v>
      </c>
      <c r="H5209" s="115">
        <v>0</v>
      </c>
      <c r="I5209" s="115">
        <v>0</v>
      </c>
      <c r="J5209" s="115">
        <v>0</v>
      </c>
      <c r="K5209" s="115">
        <v>1017</v>
      </c>
    </row>
    <row r="5210" spans="1:11" x14ac:dyDescent="0.25">
      <c r="A5210" s="115" t="s">
        <v>1239</v>
      </c>
      <c r="B5210" s="115" t="s">
        <v>5230</v>
      </c>
      <c r="D5210" s="115" t="s">
        <v>11303</v>
      </c>
      <c r="E5210" s="115" t="s">
        <v>5231</v>
      </c>
      <c r="F5210" s="115">
        <v>766</v>
      </c>
      <c r="G5210" s="115">
        <v>0</v>
      </c>
      <c r="H5210" s="115">
        <v>0</v>
      </c>
      <c r="I5210" s="115">
        <v>-1193</v>
      </c>
      <c r="J5210" s="115">
        <v>0</v>
      </c>
      <c r="K5210" s="115">
        <v>240</v>
      </c>
    </row>
    <row r="5211" spans="1:11" x14ac:dyDescent="0.25">
      <c r="A5211" s="115">
        <v>-1</v>
      </c>
      <c r="B5211" s="115" t="s">
        <v>5232</v>
      </c>
      <c r="D5211" s="115" t="s">
        <v>11304</v>
      </c>
      <c r="E5211" s="115" t="s">
        <v>5233</v>
      </c>
      <c r="F5211" s="115">
        <v>0</v>
      </c>
      <c r="G5211" s="115">
        <v>-295</v>
      </c>
      <c r="H5211" s="115">
        <v>0</v>
      </c>
      <c r="I5211" s="115">
        <v>1200</v>
      </c>
      <c r="J5211" s="115">
        <v>2148</v>
      </c>
      <c r="K5211" s="115">
        <v>0</v>
      </c>
    </row>
    <row r="5212" spans="1:11" x14ac:dyDescent="0.25">
      <c r="B5212" s="115" t="s">
        <v>1241</v>
      </c>
      <c r="D5212" s="115" t="s">
        <v>8710</v>
      </c>
      <c r="E5212" s="115" t="s">
        <v>1242</v>
      </c>
      <c r="F5212" s="115">
        <v>0</v>
      </c>
      <c r="G5212" s="115">
        <v>0</v>
      </c>
      <c r="H5212" s="115">
        <v>0</v>
      </c>
      <c r="I5212" s="115">
        <v>0</v>
      </c>
      <c r="J5212" s="115">
        <v>0</v>
      </c>
      <c r="K5212" s="115">
        <v>0</v>
      </c>
    </row>
    <row r="5213" spans="1:11" x14ac:dyDescent="0.25">
      <c r="B5213" s="115" t="s">
        <v>1241</v>
      </c>
      <c r="D5213" s="115" t="s">
        <v>11305</v>
      </c>
      <c r="E5213" s="115" t="s">
        <v>1242</v>
      </c>
      <c r="F5213" s="115">
        <v>31</v>
      </c>
      <c r="G5213" s="115">
        <v>0</v>
      </c>
      <c r="H5213" s="115">
        <v>0</v>
      </c>
      <c r="I5213" s="115">
        <v>0</v>
      </c>
      <c r="J5213" s="115">
        <v>0</v>
      </c>
      <c r="K5213" s="115">
        <v>0</v>
      </c>
    </row>
    <row r="5214" spans="1:11" x14ac:dyDescent="0.25">
      <c r="A5214" s="115" t="s">
        <v>1239</v>
      </c>
      <c r="B5214" s="115" t="s">
        <v>5234</v>
      </c>
      <c r="D5214" s="115" t="s">
        <v>11306</v>
      </c>
      <c r="E5214" s="115" t="s">
        <v>5235</v>
      </c>
      <c r="F5214" s="115">
        <v>23863</v>
      </c>
      <c r="G5214" s="115">
        <v>23638</v>
      </c>
      <c r="H5214" s="115">
        <v>55905</v>
      </c>
      <c r="I5214" s="115">
        <v>1518</v>
      </c>
      <c r="J5214" s="115">
        <v>76</v>
      </c>
      <c r="K5214" s="115">
        <v>-226</v>
      </c>
    </row>
    <row r="5215" spans="1:11" x14ac:dyDescent="0.25">
      <c r="A5215" s="115">
        <v>5</v>
      </c>
      <c r="B5215" s="115" t="s">
        <v>5236</v>
      </c>
      <c r="C5215" s="115">
        <v>1</v>
      </c>
      <c r="D5215" s="115" t="s">
        <v>11307</v>
      </c>
      <c r="E5215" s="115" t="s">
        <v>5237</v>
      </c>
      <c r="F5215" s="115">
        <v>17345</v>
      </c>
      <c r="G5215" s="115">
        <v>36041</v>
      </c>
      <c r="H5215" s="115">
        <v>1937</v>
      </c>
      <c r="I5215" s="115">
        <v>0</v>
      </c>
      <c r="J5215" s="115">
        <v>22358</v>
      </c>
      <c r="K5215" s="115">
        <v>28130</v>
      </c>
    </row>
    <row r="5216" spans="1:11" x14ac:dyDescent="0.25">
      <c r="A5216" s="115">
        <v>28</v>
      </c>
      <c r="B5216" s="115" t="s">
        <v>5238</v>
      </c>
      <c r="C5216" s="115">
        <v>1</v>
      </c>
      <c r="D5216" s="115" t="s">
        <v>11308</v>
      </c>
      <c r="E5216" s="115" t="s">
        <v>5239</v>
      </c>
      <c r="F5216" s="115">
        <v>26449</v>
      </c>
      <c r="G5216" s="115">
        <v>114</v>
      </c>
      <c r="H5216" s="115">
        <v>-1522</v>
      </c>
      <c r="I5216" s="115">
        <v>197</v>
      </c>
      <c r="J5216" s="115">
        <v>-114</v>
      </c>
      <c r="K5216" s="115">
        <v>-13</v>
      </c>
    </row>
    <row r="5217" spans="1:11" x14ac:dyDescent="0.25">
      <c r="B5217" s="115" t="s">
        <v>1241</v>
      </c>
      <c r="D5217" s="115" t="s">
        <v>11309</v>
      </c>
      <c r="E5217" s="115" t="s">
        <v>5240</v>
      </c>
      <c r="F5217" s="115">
        <v>0</v>
      </c>
      <c r="G5217" s="115">
        <v>0</v>
      </c>
      <c r="H5217" s="115">
        <v>-625</v>
      </c>
      <c r="I5217" s="115">
        <v>1018</v>
      </c>
      <c r="J5217" s="115">
        <v>0</v>
      </c>
      <c r="K5217" s="115">
        <v>0</v>
      </c>
    </row>
    <row r="5218" spans="1:11" x14ac:dyDescent="0.25">
      <c r="B5218" s="115" t="s">
        <v>1241</v>
      </c>
      <c r="D5218" s="115" t="s">
        <v>11310</v>
      </c>
      <c r="E5218" s="115" t="s">
        <v>5241</v>
      </c>
      <c r="F5218" s="115">
        <v>415</v>
      </c>
      <c r="G5218" s="115">
        <v>0</v>
      </c>
      <c r="H5218" s="115">
        <v>0</v>
      </c>
      <c r="I5218" s="115">
        <v>133</v>
      </c>
      <c r="J5218" s="115">
        <v>0</v>
      </c>
      <c r="K5218" s="115">
        <v>-103</v>
      </c>
    </row>
    <row r="5219" spans="1:11" x14ac:dyDescent="0.25">
      <c r="B5219" s="115" t="s">
        <v>5242</v>
      </c>
      <c r="D5219" s="115" t="s">
        <v>11311</v>
      </c>
      <c r="E5219" s="115" t="s">
        <v>5243</v>
      </c>
      <c r="F5219" s="115">
        <v>0</v>
      </c>
      <c r="G5219" s="115">
        <v>-75</v>
      </c>
      <c r="H5219" s="115">
        <v>-1495</v>
      </c>
      <c r="I5219" s="115">
        <v>212</v>
      </c>
      <c r="J5219" s="115">
        <v>152</v>
      </c>
      <c r="K5219" s="115">
        <v>-59</v>
      </c>
    </row>
    <row r="5220" spans="1:11" x14ac:dyDescent="0.25">
      <c r="B5220" s="115" t="s">
        <v>1410</v>
      </c>
      <c r="D5220" s="115" t="s">
        <v>11312</v>
      </c>
      <c r="E5220" s="115" t="s">
        <v>5244</v>
      </c>
      <c r="F5220" s="115">
        <v>0</v>
      </c>
      <c r="G5220" s="115">
        <v>0</v>
      </c>
      <c r="H5220" s="115">
        <v>0</v>
      </c>
      <c r="I5220" s="115">
        <v>0</v>
      </c>
      <c r="J5220" s="115">
        <v>139</v>
      </c>
      <c r="K5220" s="115">
        <v>0</v>
      </c>
    </row>
    <row r="5221" spans="1:11" x14ac:dyDescent="0.25">
      <c r="B5221" s="115" t="s">
        <v>1241</v>
      </c>
      <c r="D5221" s="115" t="s">
        <v>11313</v>
      </c>
      <c r="E5221" s="115" t="s">
        <v>1242</v>
      </c>
      <c r="F5221" s="115">
        <v>-14</v>
      </c>
      <c r="G5221" s="115">
        <v>0</v>
      </c>
      <c r="H5221" s="115">
        <v>0</v>
      </c>
      <c r="I5221" s="115">
        <v>0</v>
      </c>
      <c r="J5221" s="115">
        <v>0</v>
      </c>
      <c r="K5221" s="115">
        <v>0</v>
      </c>
    </row>
    <row r="5222" spans="1:11" x14ac:dyDescent="0.25">
      <c r="B5222" s="115" t="s">
        <v>2592</v>
      </c>
      <c r="D5222" s="115" t="s">
        <v>11314</v>
      </c>
      <c r="E5222" s="115" t="s">
        <v>5245</v>
      </c>
      <c r="F5222" s="115">
        <v>0</v>
      </c>
      <c r="G5222" s="115">
        <v>0</v>
      </c>
      <c r="H5222" s="115">
        <v>2710</v>
      </c>
      <c r="I5222" s="115">
        <v>-14800</v>
      </c>
      <c r="J5222" s="115">
        <v>0</v>
      </c>
      <c r="K5222" s="115">
        <v>-2118</v>
      </c>
    </row>
    <row r="5223" spans="1:11" x14ac:dyDescent="0.25">
      <c r="B5223" s="115" t="s">
        <v>1241</v>
      </c>
      <c r="D5223" s="115" t="s">
        <v>11315</v>
      </c>
      <c r="E5223" s="115" t="s">
        <v>5246</v>
      </c>
      <c r="F5223" s="115">
        <v>-195</v>
      </c>
      <c r="G5223" s="115">
        <v>-262</v>
      </c>
      <c r="H5223" s="115">
        <v>-341</v>
      </c>
      <c r="I5223" s="115">
        <v>0</v>
      </c>
      <c r="J5223" s="115">
        <v>0</v>
      </c>
      <c r="K5223" s="115">
        <v>-1084</v>
      </c>
    </row>
    <row r="5224" spans="1:11" x14ac:dyDescent="0.25">
      <c r="A5224" s="115">
        <v>1</v>
      </c>
      <c r="B5224" s="115" t="s">
        <v>2651</v>
      </c>
      <c r="D5224" s="115" t="s">
        <v>11316</v>
      </c>
      <c r="E5224" s="115" t="s">
        <v>5247</v>
      </c>
      <c r="F5224" s="115">
        <v>1286</v>
      </c>
      <c r="G5224" s="115">
        <v>48</v>
      </c>
      <c r="H5224" s="115">
        <v>-1723</v>
      </c>
      <c r="I5224" s="115">
        <v>467</v>
      </c>
      <c r="J5224" s="115">
        <v>-1281</v>
      </c>
      <c r="K5224" s="115">
        <v>0</v>
      </c>
    </row>
    <row r="5225" spans="1:11" x14ac:dyDescent="0.25">
      <c r="B5225" s="115" t="s">
        <v>1241</v>
      </c>
      <c r="D5225" s="115" t="s">
        <v>11317</v>
      </c>
      <c r="E5225" s="115" t="s">
        <v>5248</v>
      </c>
      <c r="F5225" s="115">
        <v>-1530</v>
      </c>
      <c r="G5225" s="115">
        <v>0</v>
      </c>
      <c r="H5225" s="115">
        <v>2641</v>
      </c>
      <c r="I5225" s="115">
        <v>1802</v>
      </c>
      <c r="J5225" s="115">
        <v>1215</v>
      </c>
      <c r="K5225" s="115">
        <v>0</v>
      </c>
    </row>
    <row r="5226" spans="1:11" x14ac:dyDescent="0.25">
      <c r="B5226" s="115" t="s">
        <v>5249</v>
      </c>
      <c r="D5226" s="115" t="s">
        <v>11318</v>
      </c>
      <c r="E5226" s="115" t="s">
        <v>5250</v>
      </c>
      <c r="F5226" s="115">
        <v>357</v>
      </c>
      <c r="G5226" s="115">
        <v>0</v>
      </c>
      <c r="H5226" s="115">
        <v>-152</v>
      </c>
      <c r="I5226" s="115">
        <v>-997</v>
      </c>
      <c r="J5226" s="115">
        <v>302</v>
      </c>
      <c r="K5226" s="115">
        <v>-101</v>
      </c>
    </row>
    <row r="5227" spans="1:11" x14ac:dyDescent="0.25">
      <c r="B5227" s="115" t="s">
        <v>5251</v>
      </c>
      <c r="C5227" s="115" t="s">
        <v>1239</v>
      </c>
      <c r="D5227" s="115" t="s">
        <v>11319</v>
      </c>
      <c r="E5227" s="115" t="s">
        <v>5252</v>
      </c>
      <c r="F5227" s="115">
        <v>0</v>
      </c>
      <c r="G5227" s="115">
        <v>0</v>
      </c>
      <c r="H5227" s="115">
        <v>560</v>
      </c>
      <c r="I5227" s="115">
        <v>1566</v>
      </c>
      <c r="J5227" s="115">
        <v>0</v>
      </c>
      <c r="K5227" s="115">
        <v>975</v>
      </c>
    </row>
    <row r="5228" spans="1:11" x14ac:dyDescent="0.25">
      <c r="A5228" s="115" t="s">
        <v>1239</v>
      </c>
      <c r="B5228" s="115" t="s">
        <v>5253</v>
      </c>
      <c r="D5228" s="115" t="s">
        <v>11320</v>
      </c>
      <c r="E5228" s="115" t="s">
        <v>5254</v>
      </c>
      <c r="F5228" s="115">
        <v>0</v>
      </c>
      <c r="G5228" s="115">
        <v>0</v>
      </c>
      <c r="H5228" s="115">
        <v>0</v>
      </c>
      <c r="I5228" s="115">
        <v>0</v>
      </c>
      <c r="J5228" s="115">
        <v>-662</v>
      </c>
      <c r="K5228" s="115">
        <v>0</v>
      </c>
    </row>
    <row r="5229" spans="1:11" x14ac:dyDescent="0.25">
      <c r="A5229" s="115" t="s">
        <v>1239</v>
      </c>
      <c r="B5229" s="115" t="s">
        <v>5255</v>
      </c>
      <c r="D5229" s="115" t="s">
        <v>11321</v>
      </c>
      <c r="E5229" s="115" t="s">
        <v>5256</v>
      </c>
      <c r="F5229" s="115">
        <v>-1051</v>
      </c>
      <c r="G5229" s="115">
        <v>-5091</v>
      </c>
      <c r="H5229" s="115">
        <v>-475</v>
      </c>
      <c r="I5229" s="115">
        <v>1456</v>
      </c>
      <c r="J5229" s="115">
        <v>13</v>
      </c>
      <c r="K5229" s="115">
        <v>-171</v>
      </c>
    </row>
    <row r="5230" spans="1:11" x14ac:dyDescent="0.25">
      <c r="B5230" s="115" t="s">
        <v>5257</v>
      </c>
      <c r="D5230" s="115" t="s">
        <v>11322</v>
      </c>
      <c r="E5230" s="115" t="s">
        <v>5258</v>
      </c>
      <c r="F5230" s="115">
        <v>0</v>
      </c>
      <c r="G5230" s="115">
        <v>0</v>
      </c>
      <c r="H5230" s="115">
        <v>-1276</v>
      </c>
      <c r="I5230" s="115">
        <v>631</v>
      </c>
      <c r="J5230" s="115">
        <v>0</v>
      </c>
      <c r="K5230" s="115">
        <v>1427</v>
      </c>
    </row>
    <row r="5231" spans="1:11" x14ac:dyDescent="0.25">
      <c r="B5231" s="115" t="s">
        <v>1241</v>
      </c>
      <c r="D5231" s="115" t="s">
        <v>11323</v>
      </c>
      <c r="E5231" s="115" t="s">
        <v>5259</v>
      </c>
      <c r="F5231" s="115">
        <v>1303</v>
      </c>
      <c r="G5231" s="115">
        <v>599</v>
      </c>
      <c r="H5231" s="115">
        <v>2165</v>
      </c>
      <c r="I5231" s="115">
        <v>0</v>
      </c>
      <c r="J5231" s="115">
        <v>0</v>
      </c>
      <c r="K5231" s="115">
        <v>0</v>
      </c>
    </row>
    <row r="5232" spans="1:11" x14ac:dyDescent="0.25">
      <c r="B5232" s="115" t="s">
        <v>1241</v>
      </c>
      <c r="D5232" s="115" t="s">
        <v>11324</v>
      </c>
      <c r="E5232" s="115" t="s">
        <v>5260</v>
      </c>
      <c r="F5232" s="115">
        <v>-388</v>
      </c>
      <c r="G5232" s="115">
        <v>996</v>
      </c>
      <c r="H5232" s="115">
        <v>803</v>
      </c>
      <c r="I5232" s="115">
        <v>0</v>
      </c>
      <c r="J5232" s="115">
        <v>-6</v>
      </c>
      <c r="K5232" s="115">
        <v>-7114</v>
      </c>
    </row>
    <row r="5233" spans="1:11" x14ac:dyDescent="0.25">
      <c r="B5233" s="115" t="s">
        <v>5261</v>
      </c>
      <c r="D5233" s="115" t="s">
        <v>11325</v>
      </c>
      <c r="E5233" s="115" t="s">
        <v>5262</v>
      </c>
      <c r="F5233" s="115">
        <v>-154</v>
      </c>
      <c r="G5233" s="115">
        <v>-806</v>
      </c>
      <c r="H5233" s="115">
        <v>241</v>
      </c>
      <c r="I5233" s="115">
        <v>17</v>
      </c>
      <c r="J5233" s="115">
        <v>68</v>
      </c>
      <c r="K5233" s="115">
        <v>0</v>
      </c>
    </row>
    <row r="5234" spans="1:11" x14ac:dyDescent="0.25">
      <c r="A5234" s="115" t="s">
        <v>1239</v>
      </c>
      <c r="B5234" s="115" t="s">
        <v>5263</v>
      </c>
      <c r="D5234" s="115" t="s">
        <v>11326</v>
      </c>
      <c r="E5234" s="115" t="s">
        <v>5264</v>
      </c>
      <c r="F5234" s="115">
        <v>0</v>
      </c>
      <c r="G5234" s="115">
        <v>846</v>
      </c>
      <c r="H5234" s="115">
        <v>0</v>
      </c>
      <c r="I5234" s="115">
        <v>433</v>
      </c>
      <c r="J5234" s="115">
        <v>0</v>
      </c>
      <c r="K5234" s="115">
        <v>0</v>
      </c>
    </row>
    <row r="5235" spans="1:11" x14ac:dyDescent="0.25">
      <c r="B5235" s="115" t="s">
        <v>1241</v>
      </c>
      <c r="D5235" s="115" t="s">
        <v>11327</v>
      </c>
      <c r="E5235" s="115" t="s">
        <v>5265</v>
      </c>
      <c r="F5235" s="115">
        <v>0</v>
      </c>
      <c r="G5235" s="115">
        <v>0</v>
      </c>
      <c r="H5235" s="115">
        <v>-438</v>
      </c>
      <c r="I5235" s="115">
        <v>0</v>
      </c>
      <c r="J5235" s="115">
        <v>-322</v>
      </c>
      <c r="K5235" s="115">
        <v>-273</v>
      </c>
    </row>
    <row r="5236" spans="1:11" x14ac:dyDescent="0.25">
      <c r="B5236" s="115" t="s">
        <v>5266</v>
      </c>
      <c r="D5236" s="115" t="s">
        <v>11328</v>
      </c>
      <c r="E5236" s="115" t="s">
        <v>5267</v>
      </c>
      <c r="F5236" s="115">
        <v>0</v>
      </c>
      <c r="G5236" s="115">
        <v>0</v>
      </c>
      <c r="H5236" s="115">
        <v>0</v>
      </c>
      <c r="I5236" s="115">
        <v>0</v>
      </c>
      <c r="J5236" s="115">
        <v>0</v>
      </c>
      <c r="K5236" s="115">
        <v>-3111</v>
      </c>
    </row>
    <row r="5237" spans="1:11" x14ac:dyDescent="0.25">
      <c r="A5237" s="115" t="s">
        <v>1239</v>
      </c>
      <c r="B5237" s="115" t="s">
        <v>5268</v>
      </c>
      <c r="C5237" s="115" t="s">
        <v>1239</v>
      </c>
      <c r="D5237" s="115" t="s">
        <v>11329</v>
      </c>
      <c r="E5237" s="115" t="s">
        <v>5269</v>
      </c>
      <c r="F5237" s="115">
        <v>-4801</v>
      </c>
      <c r="G5237" s="115">
        <v>0</v>
      </c>
      <c r="H5237" s="115">
        <v>0</v>
      </c>
      <c r="I5237" s="115">
        <v>0</v>
      </c>
      <c r="J5237" s="115">
        <v>0</v>
      </c>
      <c r="K5237" s="115">
        <v>2171</v>
      </c>
    </row>
    <row r="5238" spans="1:11" x14ac:dyDescent="0.25">
      <c r="B5238" s="115" t="s">
        <v>5270</v>
      </c>
      <c r="D5238" s="115" t="s">
        <v>11330</v>
      </c>
      <c r="E5238" s="115" t="s">
        <v>5271</v>
      </c>
      <c r="F5238" s="115">
        <v>-1289</v>
      </c>
      <c r="G5238" s="115">
        <v>712</v>
      </c>
      <c r="H5238" s="115">
        <v>0</v>
      </c>
      <c r="I5238" s="115">
        <v>0</v>
      </c>
      <c r="J5238" s="115">
        <v>0</v>
      </c>
      <c r="K5238" s="115">
        <v>0</v>
      </c>
    </row>
    <row r="5239" spans="1:11" x14ac:dyDescent="0.25">
      <c r="A5239" s="115" t="s">
        <v>1239</v>
      </c>
      <c r="B5239" s="115" t="s">
        <v>5272</v>
      </c>
      <c r="D5239" s="115" t="s">
        <v>11331</v>
      </c>
      <c r="E5239" s="115" t="s">
        <v>5273</v>
      </c>
      <c r="F5239" s="115">
        <v>-2391</v>
      </c>
      <c r="G5239" s="115">
        <v>-3123</v>
      </c>
      <c r="H5239" s="115">
        <v>-840</v>
      </c>
      <c r="I5239" s="115">
        <v>-738</v>
      </c>
      <c r="J5239" s="115">
        <v>13</v>
      </c>
      <c r="K5239" s="115">
        <v>473</v>
      </c>
    </row>
    <row r="5240" spans="1:11" x14ac:dyDescent="0.25">
      <c r="B5240" s="115" t="s">
        <v>5274</v>
      </c>
      <c r="D5240" s="115" t="s">
        <v>11332</v>
      </c>
      <c r="E5240" s="115" t="s">
        <v>4443</v>
      </c>
      <c r="F5240" s="115">
        <v>0</v>
      </c>
      <c r="G5240" s="115">
        <v>0</v>
      </c>
      <c r="H5240" s="115">
        <v>0</v>
      </c>
      <c r="I5240" s="115">
        <v>0</v>
      </c>
      <c r="J5240" s="115">
        <v>0</v>
      </c>
      <c r="K5240" s="115">
        <v>-32</v>
      </c>
    </row>
    <row r="5241" spans="1:11" x14ac:dyDescent="0.25">
      <c r="A5241" s="115">
        <v>-2</v>
      </c>
      <c r="B5241" s="115" t="s">
        <v>5275</v>
      </c>
      <c r="C5241" s="115" t="s">
        <v>1239</v>
      </c>
      <c r="D5241" s="115" t="s">
        <v>11333</v>
      </c>
      <c r="E5241" s="115" t="s">
        <v>5276</v>
      </c>
      <c r="F5241" s="115">
        <v>1819</v>
      </c>
      <c r="G5241" s="115">
        <v>0</v>
      </c>
      <c r="H5241" s="115">
        <v>0</v>
      </c>
      <c r="I5241" s="115">
        <v>-270</v>
      </c>
      <c r="J5241" s="115">
        <v>0</v>
      </c>
      <c r="K5241" s="115">
        <v>-841</v>
      </c>
    </row>
    <row r="5242" spans="1:11" x14ac:dyDescent="0.25">
      <c r="B5242" s="115" t="s">
        <v>5277</v>
      </c>
      <c r="D5242" s="115" t="s">
        <v>11334</v>
      </c>
      <c r="E5242" s="115" t="s">
        <v>5278</v>
      </c>
      <c r="F5242" s="115">
        <v>0</v>
      </c>
      <c r="G5242" s="115">
        <v>-1358</v>
      </c>
      <c r="H5242" s="115">
        <v>0</v>
      </c>
      <c r="I5242" s="115">
        <v>524</v>
      </c>
      <c r="J5242" s="115">
        <v>2073</v>
      </c>
      <c r="K5242" s="115">
        <v>0</v>
      </c>
    </row>
    <row r="5243" spans="1:11" x14ac:dyDescent="0.25">
      <c r="B5243" s="115" t="s">
        <v>1241</v>
      </c>
      <c r="D5243" s="115" t="s">
        <v>8710</v>
      </c>
      <c r="E5243" s="115" t="s">
        <v>1242</v>
      </c>
      <c r="F5243" s="115">
        <v>0</v>
      </c>
      <c r="G5243" s="115">
        <v>0</v>
      </c>
      <c r="H5243" s="115">
        <v>0</v>
      </c>
      <c r="I5243" s="115">
        <v>0</v>
      </c>
      <c r="J5243" s="115">
        <v>0</v>
      </c>
      <c r="K5243" s="115">
        <v>0</v>
      </c>
    </row>
    <row r="5244" spans="1:11" x14ac:dyDescent="0.25">
      <c r="B5244" s="115" t="s">
        <v>1241</v>
      </c>
      <c r="D5244" s="115" t="s">
        <v>11335</v>
      </c>
      <c r="E5244" s="115" t="s">
        <v>1242</v>
      </c>
      <c r="F5244" s="115">
        <v>-517</v>
      </c>
      <c r="G5244" s="115">
        <v>0</v>
      </c>
      <c r="H5244" s="115">
        <v>0</v>
      </c>
      <c r="I5244" s="115">
        <v>0</v>
      </c>
      <c r="J5244" s="115">
        <v>0</v>
      </c>
      <c r="K5244" s="115">
        <v>0</v>
      </c>
    </row>
    <row r="5245" spans="1:11" x14ac:dyDescent="0.25">
      <c r="A5245" s="115" t="s">
        <v>1239</v>
      </c>
      <c r="B5245" s="115" t="s">
        <v>5279</v>
      </c>
      <c r="D5245" s="115" t="s">
        <v>11336</v>
      </c>
      <c r="E5245" s="115" t="s">
        <v>5280</v>
      </c>
      <c r="F5245" s="115">
        <v>18541</v>
      </c>
      <c r="G5245" s="115">
        <v>20071</v>
      </c>
      <c r="H5245" s="115">
        <v>17501</v>
      </c>
      <c r="I5245" s="115">
        <v>419</v>
      </c>
      <c r="J5245" s="115">
        <v>-47</v>
      </c>
      <c r="K5245" s="115">
        <v>-250</v>
      </c>
    </row>
    <row r="5246" spans="1:11" x14ac:dyDescent="0.25">
      <c r="A5246" s="115">
        <v>4</v>
      </c>
      <c r="B5246" s="115" t="s">
        <v>5281</v>
      </c>
      <c r="C5246" s="115">
        <v>2</v>
      </c>
      <c r="D5246" s="115" t="s">
        <v>11337</v>
      </c>
      <c r="E5246" s="115" t="s">
        <v>5282</v>
      </c>
      <c r="F5246" s="115">
        <v>14515</v>
      </c>
      <c r="G5246" s="115">
        <v>12417</v>
      </c>
      <c r="H5246" s="115">
        <v>970</v>
      </c>
      <c r="I5246" s="115">
        <v>0</v>
      </c>
      <c r="J5246" s="115">
        <v>27088</v>
      </c>
      <c r="K5246" s="115">
        <v>21879</v>
      </c>
    </row>
    <row r="5247" spans="1:11" x14ac:dyDescent="0.25">
      <c r="A5247" s="115">
        <v>24</v>
      </c>
      <c r="B5247" s="115" t="s">
        <v>5283</v>
      </c>
      <c r="C5247" s="115">
        <v>2</v>
      </c>
      <c r="D5247" s="115" t="s">
        <v>11338</v>
      </c>
      <c r="E5247" s="115" t="s">
        <v>5284</v>
      </c>
      <c r="F5247" s="115">
        <v>22702</v>
      </c>
      <c r="G5247" s="115">
        <v>19623</v>
      </c>
      <c r="H5247" s="115">
        <v>29</v>
      </c>
      <c r="I5247" s="115">
        <v>-2221</v>
      </c>
      <c r="J5247" s="115">
        <v>354</v>
      </c>
      <c r="K5247" s="115">
        <v>52</v>
      </c>
    </row>
    <row r="5248" spans="1:11" x14ac:dyDescent="0.25">
      <c r="B5248" s="115" t="s">
        <v>5285</v>
      </c>
      <c r="D5248" s="115" t="s">
        <v>11339</v>
      </c>
      <c r="E5248" s="115" t="s">
        <v>5286</v>
      </c>
      <c r="F5248" s="115">
        <v>0</v>
      </c>
      <c r="G5248" s="115">
        <v>0</v>
      </c>
      <c r="H5248" s="115">
        <v>0</v>
      </c>
      <c r="I5248" s="115">
        <v>-86</v>
      </c>
      <c r="J5248" s="115">
        <v>130</v>
      </c>
      <c r="K5248" s="115">
        <v>0</v>
      </c>
    </row>
    <row r="5249" spans="1:11" x14ac:dyDescent="0.25">
      <c r="B5249" s="115" t="s">
        <v>1241</v>
      </c>
      <c r="D5249" s="115" t="s">
        <v>11340</v>
      </c>
      <c r="E5249" s="115" t="s">
        <v>5287</v>
      </c>
      <c r="F5249" s="115">
        <v>0</v>
      </c>
      <c r="G5249" s="115">
        <v>635</v>
      </c>
      <c r="H5249" s="115">
        <v>0</v>
      </c>
      <c r="I5249" s="115">
        <v>0</v>
      </c>
      <c r="J5249" s="115">
        <v>4</v>
      </c>
      <c r="K5249" s="115">
        <v>0</v>
      </c>
    </row>
    <row r="5250" spans="1:11" x14ac:dyDescent="0.25">
      <c r="B5250" s="115" t="s">
        <v>5288</v>
      </c>
      <c r="D5250" s="115" t="s">
        <v>11341</v>
      </c>
      <c r="E5250" s="115" t="s">
        <v>5289</v>
      </c>
      <c r="F5250" s="115">
        <v>-202</v>
      </c>
      <c r="G5250" s="115">
        <v>0</v>
      </c>
      <c r="H5250" s="115">
        <v>-623</v>
      </c>
      <c r="I5250" s="115">
        <v>-2147</v>
      </c>
      <c r="J5250" s="115">
        <v>449</v>
      </c>
      <c r="K5250" s="115">
        <v>389</v>
      </c>
    </row>
    <row r="5251" spans="1:11" x14ac:dyDescent="0.25">
      <c r="B5251" s="115" t="s">
        <v>5290</v>
      </c>
      <c r="D5251" s="115" t="s">
        <v>11342</v>
      </c>
      <c r="E5251" s="115" t="s">
        <v>5291</v>
      </c>
      <c r="F5251" s="115">
        <v>0</v>
      </c>
      <c r="G5251" s="115">
        <v>0</v>
      </c>
      <c r="H5251" s="115">
        <v>0</v>
      </c>
      <c r="I5251" s="115">
        <v>0</v>
      </c>
      <c r="J5251" s="115">
        <v>0</v>
      </c>
      <c r="K5251" s="115">
        <v>15</v>
      </c>
    </row>
    <row r="5252" spans="1:11" x14ac:dyDescent="0.25">
      <c r="B5252" s="115" t="s">
        <v>1241</v>
      </c>
      <c r="D5252" s="115" t="s">
        <v>11343</v>
      </c>
      <c r="E5252" s="115" t="s">
        <v>5292</v>
      </c>
      <c r="F5252" s="115">
        <v>0</v>
      </c>
      <c r="G5252" s="115">
        <v>-13</v>
      </c>
      <c r="H5252" s="115">
        <v>0</v>
      </c>
      <c r="I5252" s="115">
        <v>0</v>
      </c>
      <c r="J5252" s="115">
        <v>0</v>
      </c>
      <c r="K5252" s="115">
        <v>0</v>
      </c>
    </row>
    <row r="5253" spans="1:11" x14ac:dyDescent="0.25">
      <c r="B5253" s="115" t="s">
        <v>5293</v>
      </c>
      <c r="D5253" s="115" t="s">
        <v>11344</v>
      </c>
      <c r="E5253" s="115" t="s">
        <v>5294</v>
      </c>
      <c r="F5253" s="115">
        <v>43</v>
      </c>
      <c r="G5253" s="115">
        <v>0</v>
      </c>
      <c r="H5253" s="115">
        <v>0</v>
      </c>
      <c r="I5253" s="115">
        <v>1428</v>
      </c>
      <c r="J5253" s="115">
        <v>-7460</v>
      </c>
      <c r="K5253" s="115">
        <v>0</v>
      </c>
    </row>
    <row r="5254" spans="1:11" x14ac:dyDescent="0.25">
      <c r="A5254" s="115">
        <v>1</v>
      </c>
      <c r="B5254" s="115" t="s">
        <v>5295</v>
      </c>
      <c r="D5254" s="115" t="s">
        <v>11345</v>
      </c>
      <c r="E5254" s="115" t="s">
        <v>5296</v>
      </c>
      <c r="F5254" s="115">
        <v>0</v>
      </c>
      <c r="G5254" s="115">
        <v>6</v>
      </c>
      <c r="H5254" s="115">
        <v>85</v>
      </c>
      <c r="I5254" s="115">
        <v>80</v>
      </c>
      <c r="J5254" s="115">
        <v>0</v>
      </c>
      <c r="K5254" s="115">
        <v>0</v>
      </c>
    </row>
    <row r="5255" spans="1:11" x14ac:dyDescent="0.25">
      <c r="B5255" s="115">
        <f>-26   -201</f>
        <v>-227</v>
      </c>
      <c r="D5255" s="115" t="s">
        <v>11346</v>
      </c>
      <c r="E5255" s="115" t="s">
        <v>5297</v>
      </c>
      <c r="F5255" s="115">
        <v>187</v>
      </c>
      <c r="G5255" s="115">
        <v>59</v>
      </c>
      <c r="H5255" s="115">
        <v>-106</v>
      </c>
      <c r="I5255" s="115">
        <v>144</v>
      </c>
      <c r="J5255" s="115">
        <v>133</v>
      </c>
      <c r="K5255" s="115">
        <v>697</v>
      </c>
    </row>
    <row r="5256" spans="1:11" x14ac:dyDescent="0.25">
      <c r="B5256" s="115" t="s">
        <v>1241</v>
      </c>
      <c r="D5256" s="115" t="s">
        <v>11347</v>
      </c>
      <c r="E5256" s="115" t="s">
        <v>5298</v>
      </c>
      <c r="F5256" s="115">
        <v>0</v>
      </c>
      <c r="G5256" s="115">
        <v>-184</v>
      </c>
      <c r="H5256" s="115">
        <v>0</v>
      </c>
      <c r="I5256" s="115">
        <v>-199</v>
      </c>
      <c r="J5256" s="115">
        <v>-1284</v>
      </c>
      <c r="K5256" s="115">
        <v>-498</v>
      </c>
    </row>
    <row r="5257" spans="1:11" x14ac:dyDescent="0.25">
      <c r="B5257" s="115" t="s">
        <v>5299</v>
      </c>
      <c r="C5257" s="115">
        <v>-1</v>
      </c>
      <c r="D5257" s="115" t="s">
        <v>11348</v>
      </c>
      <c r="E5257" s="115" t="s">
        <v>5300</v>
      </c>
      <c r="F5257" s="115">
        <v>-4257</v>
      </c>
      <c r="G5257" s="115">
        <v>-3393</v>
      </c>
      <c r="H5257" s="115">
        <v>0</v>
      </c>
      <c r="I5257" s="115">
        <v>-713</v>
      </c>
      <c r="J5257" s="115">
        <v>416</v>
      </c>
      <c r="K5257" s="115">
        <v>194</v>
      </c>
    </row>
    <row r="5258" spans="1:11" x14ac:dyDescent="0.25">
      <c r="A5258" s="115" t="s">
        <v>1239</v>
      </c>
      <c r="B5258" s="115" t="s">
        <v>4385</v>
      </c>
      <c r="D5258" s="115" t="s">
        <v>11349</v>
      </c>
      <c r="E5258" s="115" t="s">
        <v>5301</v>
      </c>
      <c r="F5258" s="115">
        <v>0</v>
      </c>
      <c r="G5258" s="115">
        <v>0</v>
      </c>
      <c r="H5258" s="115">
        <v>0</v>
      </c>
      <c r="I5258" s="115">
        <v>2035</v>
      </c>
      <c r="J5258" s="115">
        <v>-1849</v>
      </c>
      <c r="K5258" s="115">
        <v>0</v>
      </c>
    </row>
    <row r="5259" spans="1:11" x14ac:dyDescent="0.25">
      <c r="A5259" s="115">
        <v>-1</v>
      </c>
      <c r="B5259" s="115" t="s">
        <v>5302</v>
      </c>
      <c r="D5259" s="115" t="s">
        <v>11350</v>
      </c>
      <c r="E5259" s="115" t="s">
        <v>5303</v>
      </c>
      <c r="F5259" s="115">
        <v>0</v>
      </c>
      <c r="G5259" s="115">
        <v>0</v>
      </c>
      <c r="H5259" s="115">
        <v>0</v>
      </c>
      <c r="I5259" s="115">
        <v>0</v>
      </c>
      <c r="J5259" s="115">
        <v>0</v>
      </c>
      <c r="K5259" s="115">
        <v>-385</v>
      </c>
    </row>
    <row r="5260" spans="1:11" x14ac:dyDescent="0.25">
      <c r="B5260" s="115" t="s">
        <v>5304</v>
      </c>
      <c r="D5260" s="115" t="s">
        <v>11351</v>
      </c>
      <c r="E5260" s="115" t="s">
        <v>5305</v>
      </c>
      <c r="F5260" s="115">
        <v>0</v>
      </c>
      <c r="G5260" s="115">
        <v>-2453</v>
      </c>
      <c r="H5260" s="115">
        <v>-6557</v>
      </c>
      <c r="I5260" s="115">
        <v>104</v>
      </c>
      <c r="J5260" s="115">
        <v>-19</v>
      </c>
      <c r="K5260" s="115">
        <v>683</v>
      </c>
    </row>
    <row r="5261" spans="1:11" x14ac:dyDescent="0.25">
      <c r="A5261" s="115" t="s">
        <v>1239</v>
      </c>
      <c r="B5261" s="115" t="s">
        <v>5306</v>
      </c>
      <c r="C5261" s="115" t="s">
        <v>1239</v>
      </c>
      <c r="D5261" s="115" t="s">
        <v>11352</v>
      </c>
      <c r="E5261" s="115" t="s">
        <v>5307</v>
      </c>
      <c r="F5261" s="115">
        <v>737</v>
      </c>
      <c r="G5261" s="115">
        <v>0</v>
      </c>
      <c r="H5261" s="115">
        <v>0</v>
      </c>
      <c r="I5261" s="115">
        <v>-2117</v>
      </c>
      <c r="J5261" s="115">
        <v>-104</v>
      </c>
      <c r="K5261" s="115">
        <v>0</v>
      </c>
    </row>
    <row r="5262" spans="1:11" x14ac:dyDescent="0.25">
      <c r="A5262" s="115" t="s">
        <v>1239</v>
      </c>
      <c r="B5262" s="115" t="s">
        <v>1400</v>
      </c>
      <c r="D5262" s="115" t="s">
        <v>11353</v>
      </c>
      <c r="E5262" s="115" t="s">
        <v>5308</v>
      </c>
      <c r="F5262" s="115">
        <v>0</v>
      </c>
      <c r="G5262" s="115">
        <v>181</v>
      </c>
      <c r="H5262" s="115">
        <v>196</v>
      </c>
      <c r="I5262" s="115">
        <v>-659</v>
      </c>
      <c r="J5262" s="115">
        <v>0</v>
      </c>
      <c r="K5262" s="115">
        <v>0</v>
      </c>
    </row>
    <row r="5263" spans="1:11" x14ac:dyDescent="0.25">
      <c r="B5263" s="115" t="s">
        <v>1241</v>
      </c>
      <c r="D5263" s="115" t="s">
        <v>11354</v>
      </c>
      <c r="E5263" s="115" t="s">
        <v>5309</v>
      </c>
      <c r="F5263" s="115">
        <v>0</v>
      </c>
      <c r="G5263" s="115">
        <v>176</v>
      </c>
      <c r="H5263" s="115">
        <v>3712</v>
      </c>
      <c r="I5263" s="115">
        <v>1267</v>
      </c>
      <c r="J5263" s="115">
        <v>0</v>
      </c>
      <c r="K5263" s="115">
        <v>1744</v>
      </c>
    </row>
    <row r="5264" spans="1:11" x14ac:dyDescent="0.25">
      <c r="A5264" s="115">
        <v>-11</v>
      </c>
      <c r="B5264" s="115" t="s">
        <v>5310</v>
      </c>
      <c r="D5264" s="115" t="s">
        <v>11355</v>
      </c>
      <c r="E5264" s="115" t="s">
        <v>5311</v>
      </c>
      <c r="F5264" s="115">
        <v>0</v>
      </c>
      <c r="G5264" s="115">
        <v>-535</v>
      </c>
      <c r="H5264" s="115">
        <v>-1134</v>
      </c>
      <c r="I5264" s="115">
        <v>-284</v>
      </c>
      <c r="J5264" s="115">
        <v>144</v>
      </c>
      <c r="K5264" s="115">
        <v>197</v>
      </c>
    </row>
    <row r="5265" spans="1:11" x14ac:dyDescent="0.25">
      <c r="B5265" s="115" t="s">
        <v>5312</v>
      </c>
      <c r="D5265" s="115" t="s">
        <v>11356</v>
      </c>
      <c r="E5265" s="115" t="s">
        <v>5313</v>
      </c>
      <c r="F5265" s="115">
        <v>266</v>
      </c>
      <c r="G5265" s="115">
        <v>0</v>
      </c>
      <c r="H5265" s="115">
        <v>-66</v>
      </c>
      <c r="I5265" s="115">
        <v>0</v>
      </c>
      <c r="J5265" s="115">
        <v>-119</v>
      </c>
      <c r="K5265" s="115">
        <v>0</v>
      </c>
    </row>
    <row r="5266" spans="1:11" x14ac:dyDescent="0.25">
      <c r="B5266" s="115" t="s">
        <v>1241</v>
      </c>
      <c r="D5266" s="115" t="s">
        <v>11357</v>
      </c>
      <c r="E5266" s="115" t="s">
        <v>5314</v>
      </c>
      <c r="F5266" s="115">
        <v>0</v>
      </c>
      <c r="G5266" s="115">
        <v>0</v>
      </c>
      <c r="H5266" s="115">
        <v>0</v>
      </c>
      <c r="I5266" s="115">
        <v>-272</v>
      </c>
      <c r="J5266" s="115">
        <v>0</v>
      </c>
      <c r="K5266" s="115">
        <v>-466</v>
      </c>
    </row>
    <row r="5267" spans="1:11" x14ac:dyDescent="0.25">
      <c r="A5267" s="115" t="s">
        <v>1239</v>
      </c>
      <c r="B5267" s="115" t="s">
        <v>5315</v>
      </c>
      <c r="D5267" s="115" t="s">
        <v>11358</v>
      </c>
      <c r="E5267" s="115" t="s">
        <v>1242</v>
      </c>
      <c r="F5267" s="115">
        <v>2363</v>
      </c>
      <c r="G5267" s="115">
        <v>0</v>
      </c>
      <c r="H5267" s="115">
        <v>0</v>
      </c>
      <c r="I5267" s="115">
        <v>0</v>
      </c>
      <c r="J5267" s="115">
        <v>0</v>
      </c>
      <c r="K5267" s="115">
        <v>0</v>
      </c>
    </row>
    <row r="5268" spans="1:11" x14ac:dyDescent="0.25">
      <c r="A5268" s="115">
        <v>-4</v>
      </c>
      <c r="B5268" s="115" t="s">
        <v>5316</v>
      </c>
      <c r="C5268" s="115" t="s">
        <v>1239</v>
      </c>
      <c r="D5268" s="115" t="s">
        <v>11359</v>
      </c>
      <c r="E5268" s="115" t="s">
        <v>5317</v>
      </c>
      <c r="F5268" s="115">
        <v>-2027</v>
      </c>
      <c r="G5268" s="115">
        <v>-6545</v>
      </c>
      <c r="H5268" s="115">
        <v>0</v>
      </c>
      <c r="I5268" s="115">
        <v>0</v>
      </c>
      <c r="J5268" s="115">
        <v>0</v>
      </c>
      <c r="K5268" s="115">
        <v>0</v>
      </c>
    </row>
    <row r="5269" spans="1:11" x14ac:dyDescent="0.25">
      <c r="B5269" s="115" t="s">
        <v>3336</v>
      </c>
      <c r="D5269" s="115" t="s">
        <v>11360</v>
      </c>
      <c r="E5269" s="115" t="s">
        <v>5318</v>
      </c>
      <c r="F5269" s="115">
        <v>0</v>
      </c>
      <c r="G5269" s="115">
        <v>-1828</v>
      </c>
      <c r="H5269" s="115">
        <v>1115</v>
      </c>
      <c r="I5269" s="115">
        <v>0</v>
      </c>
      <c r="J5269" s="115">
        <v>0</v>
      </c>
      <c r="K5269" s="115">
        <v>0</v>
      </c>
    </row>
    <row r="5270" spans="1:11" x14ac:dyDescent="0.25">
      <c r="B5270" s="115" t="s">
        <v>5319</v>
      </c>
      <c r="D5270" s="115" t="s">
        <v>11361</v>
      </c>
      <c r="E5270" s="115">
        <f>-3699  -5305  -1678  -1554  -1646</f>
        <v>-13882</v>
      </c>
      <c r="F5270" s="115">
        <v>-3232</v>
      </c>
      <c r="G5270" s="115">
        <v>-3699</v>
      </c>
      <c r="H5270" s="115">
        <v>-5305</v>
      </c>
      <c r="I5270" s="115">
        <v>-1678</v>
      </c>
      <c r="J5270" s="115">
        <v>-1554</v>
      </c>
      <c r="K5270" s="115">
        <v>-1646</v>
      </c>
    </row>
    <row r="5271" spans="1:11" x14ac:dyDescent="0.25">
      <c r="A5271" s="115" t="s">
        <v>1239</v>
      </c>
      <c r="B5271" s="115" t="s">
        <v>5320</v>
      </c>
      <c r="D5271" s="115" t="s">
        <v>11362</v>
      </c>
      <c r="E5271" s="115" t="s">
        <v>1242</v>
      </c>
      <c r="F5271" s="115">
        <v>0</v>
      </c>
      <c r="G5271" s="115">
        <v>0</v>
      </c>
      <c r="H5271" s="115">
        <v>0</v>
      </c>
      <c r="I5271" s="115">
        <v>0</v>
      </c>
      <c r="J5271" s="115">
        <v>0</v>
      </c>
      <c r="K5271" s="115">
        <v>0</v>
      </c>
    </row>
    <row r="5272" spans="1:11" x14ac:dyDescent="0.25">
      <c r="A5272" s="115" t="s">
        <v>1239</v>
      </c>
      <c r="B5272" s="115" t="s">
        <v>5321</v>
      </c>
      <c r="D5272" s="115" t="s">
        <v>11363</v>
      </c>
      <c r="E5272" s="115" t="s">
        <v>5322</v>
      </c>
      <c r="F5272" s="115">
        <v>890</v>
      </c>
      <c r="G5272" s="115">
        <v>1894</v>
      </c>
      <c r="H5272" s="115">
        <v>0</v>
      </c>
      <c r="I5272" s="115">
        <v>0</v>
      </c>
      <c r="J5272" s="115">
        <v>-1379</v>
      </c>
      <c r="K5272" s="115">
        <v>0</v>
      </c>
    </row>
    <row r="5273" spans="1:11" x14ac:dyDescent="0.25">
      <c r="B5273" s="115" t="s">
        <v>5323</v>
      </c>
      <c r="D5273" s="115" t="s">
        <v>11364</v>
      </c>
      <c r="E5273" s="115" t="s">
        <v>5324</v>
      </c>
      <c r="F5273" s="115">
        <v>0</v>
      </c>
      <c r="G5273" s="115">
        <v>0</v>
      </c>
      <c r="H5273" s="115">
        <v>-73</v>
      </c>
      <c r="I5273" s="115">
        <v>0</v>
      </c>
      <c r="J5273" s="115">
        <v>777</v>
      </c>
      <c r="K5273" s="115">
        <v>2034</v>
      </c>
    </row>
    <row r="5274" spans="1:11" x14ac:dyDescent="0.25">
      <c r="B5274" s="115" t="s">
        <v>1241</v>
      </c>
      <c r="D5274" s="115" t="s">
        <v>8710</v>
      </c>
      <c r="E5274" s="115" t="s">
        <v>1242</v>
      </c>
      <c r="F5274" s="115">
        <v>0</v>
      </c>
      <c r="G5274" s="115">
        <v>0</v>
      </c>
      <c r="H5274" s="115">
        <v>0</v>
      </c>
      <c r="I5274" s="115">
        <v>0</v>
      </c>
      <c r="J5274" s="115">
        <v>0</v>
      </c>
      <c r="K5274" s="115">
        <v>0</v>
      </c>
    </row>
    <row r="5275" spans="1:11" x14ac:dyDescent="0.25">
      <c r="B5275" s="115" t="s">
        <v>1241</v>
      </c>
      <c r="D5275" s="115" t="s">
        <v>11365</v>
      </c>
      <c r="E5275" s="115" t="s">
        <v>5325</v>
      </c>
      <c r="F5275" s="115">
        <v>0</v>
      </c>
      <c r="G5275" s="115">
        <v>-534</v>
      </c>
      <c r="H5275" s="115">
        <v>0</v>
      </c>
      <c r="I5275" s="115">
        <v>0</v>
      </c>
      <c r="J5275" s="115">
        <v>0</v>
      </c>
      <c r="K5275" s="115">
        <v>0</v>
      </c>
    </row>
    <row r="5276" spans="1:11" x14ac:dyDescent="0.25">
      <c r="B5276" s="115" t="s">
        <v>5326</v>
      </c>
      <c r="D5276" s="115" t="s">
        <v>11366</v>
      </c>
      <c r="E5276" s="115" t="s">
        <v>5327</v>
      </c>
      <c r="F5276" s="115">
        <v>23249</v>
      </c>
      <c r="G5276" s="115">
        <v>49641</v>
      </c>
      <c r="H5276" s="115">
        <v>24579</v>
      </c>
      <c r="I5276" s="115">
        <v>26412</v>
      </c>
      <c r="J5276" s="115">
        <v>1466</v>
      </c>
      <c r="K5276" s="115">
        <v>-102</v>
      </c>
    </row>
    <row r="5277" spans="1:11" x14ac:dyDescent="0.25">
      <c r="A5277" s="115" t="s">
        <v>1239</v>
      </c>
      <c r="B5277" s="115" t="s">
        <v>5328</v>
      </c>
      <c r="D5277" s="115" t="s">
        <v>11367</v>
      </c>
      <c r="E5277" s="115" t="s">
        <v>5329</v>
      </c>
      <c r="F5277" s="115">
        <v>36624</v>
      </c>
      <c r="G5277" s="115">
        <v>17812</v>
      </c>
      <c r="H5277" s="115">
        <v>19185</v>
      </c>
      <c r="I5277" s="115">
        <v>2276</v>
      </c>
      <c r="J5277" s="115">
        <v>0</v>
      </c>
      <c r="K5277" s="115">
        <v>25238</v>
      </c>
    </row>
    <row r="5278" spans="1:11" x14ac:dyDescent="0.25">
      <c r="A5278" s="115">
        <v>44</v>
      </c>
      <c r="B5278" s="115" t="s">
        <v>5330</v>
      </c>
      <c r="C5278" s="115">
        <v>2</v>
      </c>
      <c r="D5278" s="115" t="s">
        <v>11368</v>
      </c>
      <c r="E5278" s="115" t="s">
        <v>5331</v>
      </c>
      <c r="F5278" s="115">
        <v>34834</v>
      </c>
      <c r="G5278" s="115">
        <v>32706</v>
      </c>
      <c r="H5278" s="115">
        <v>29343</v>
      </c>
      <c r="I5278" s="115">
        <v>20988</v>
      </c>
      <c r="J5278" s="115">
        <v>-4811</v>
      </c>
      <c r="K5278" s="115">
        <v>-1819</v>
      </c>
    </row>
    <row r="5279" spans="1:11" x14ac:dyDescent="0.25">
      <c r="A5279" s="115">
        <v>1</v>
      </c>
      <c r="B5279" s="115" t="s">
        <v>5332</v>
      </c>
      <c r="D5279" s="115" t="s">
        <v>11369</v>
      </c>
      <c r="E5279" s="115" t="s">
        <v>5333</v>
      </c>
      <c r="F5279" s="115">
        <v>0</v>
      </c>
      <c r="G5279" s="115">
        <v>-183</v>
      </c>
      <c r="H5279" s="115">
        <v>0</v>
      </c>
      <c r="I5279" s="115">
        <v>0</v>
      </c>
      <c r="J5279" s="115">
        <v>0</v>
      </c>
      <c r="K5279" s="115">
        <v>-275</v>
      </c>
    </row>
    <row r="5280" spans="1:11" x14ac:dyDescent="0.25">
      <c r="B5280" s="115" t="s">
        <v>4530</v>
      </c>
      <c r="D5280" s="115" t="s">
        <v>11370</v>
      </c>
      <c r="E5280" s="115" t="s">
        <v>5334</v>
      </c>
      <c r="F5280" s="115">
        <v>0</v>
      </c>
      <c r="G5280" s="115">
        <v>0</v>
      </c>
      <c r="H5280" s="115">
        <v>0</v>
      </c>
      <c r="I5280" s="115">
        <v>717</v>
      </c>
      <c r="J5280" s="115">
        <v>0</v>
      </c>
      <c r="K5280" s="115">
        <v>0</v>
      </c>
    </row>
    <row r="5281" spans="1:11" x14ac:dyDescent="0.25">
      <c r="A5281" s="115" t="s">
        <v>1239</v>
      </c>
      <c r="B5281" s="115" t="s">
        <v>2809</v>
      </c>
      <c r="D5281" s="115" t="s">
        <v>11371</v>
      </c>
      <c r="E5281" s="115" t="s">
        <v>5335</v>
      </c>
      <c r="F5281" s="115">
        <v>255</v>
      </c>
      <c r="G5281" s="115">
        <v>2546</v>
      </c>
      <c r="H5281" s="115">
        <v>1350</v>
      </c>
      <c r="I5281" s="115">
        <v>0</v>
      </c>
      <c r="J5281" s="115">
        <v>-1671</v>
      </c>
      <c r="K5281" s="115">
        <v>-1921</v>
      </c>
    </row>
    <row r="5282" spans="1:11" x14ac:dyDescent="0.25">
      <c r="A5282" s="115">
        <v>1</v>
      </c>
      <c r="B5282" s="115" t="s">
        <v>5336</v>
      </c>
      <c r="D5282" s="115" t="s">
        <v>11372</v>
      </c>
      <c r="E5282" s="115" t="s">
        <v>5337</v>
      </c>
      <c r="F5282" s="115">
        <v>0</v>
      </c>
      <c r="G5282" s="115">
        <v>-257</v>
      </c>
      <c r="H5282" s="115">
        <v>0</v>
      </c>
      <c r="I5282" s="115">
        <v>0</v>
      </c>
      <c r="J5282" s="115">
        <v>0</v>
      </c>
      <c r="K5282" s="115">
        <v>0</v>
      </c>
    </row>
    <row r="5283" spans="1:11" x14ac:dyDescent="0.25">
      <c r="B5283" s="115" t="s">
        <v>2363</v>
      </c>
      <c r="D5283" s="115" t="s">
        <v>11373</v>
      </c>
      <c r="E5283" s="115" t="s">
        <v>5338</v>
      </c>
      <c r="F5283" s="115">
        <v>0</v>
      </c>
      <c r="G5283" s="115">
        <v>162</v>
      </c>
      <c r="H5283" s="115">
        <v>0</v>
      </c>
      <c r="I5283" s="115">
        <v>289</v>
      </c>
      <c r="J5283" s="115">
        <v>0</v>
      </c>
      <c r="K5283" s="115">
        <v>0</v>
      </c>
    </row>
    <row r="5284" spans="1:11" x14ac:dyDescent="0.25">
      <c r="B5284" s="115" t="s">
        <v>1241</v>
      </c>
      <c r="D5284" s="115" t="s">
        <v>11374</v>
      </c>
      <c r="E5284" s="115" t="s">
        <v>5339</v>
      </c>
      <c r="F5284" s="115">
        <v>0</v>
      </c>
      <c r="G5284" s="115">
        <v>-93</v>
      </c>
      <c r="H5284" s="115">
        <v>-19</v>
      </c>
      <c r="I5284" s="115">
        <v>0</v>
      </c>
      <c r="J5284" s="115">
        <v>0</v>
      </c>
      <c r="K5284" s="115">
        <v>4231</v>
      </c>
    </row>
    <row r="5285" spans="1:11" x14ac:dyDescent="0.25">
      <c r="A5285" s="115">
        <v>-3</v>
      </c>
      <c r="B5285" s="115" t="s">
        <v>5340</v>
      </c>
      <c r="C5285" s="115" t="s">
        <v>1239</v>
      </c>
      <c r="D5285" s="115" t="s">
        <v>11375</v>
      </c>
      <c r="E5285" s="115" t="s">
        <v>5341</v>
      </c>
      <c r="F5285" s="115">
        <v>0</v>
      </c>
      <c r="G5285" s="115">
        <v>0</v>
      </c>
      <c r="H5285" s="115">
        <v>0</v>
      </c>
      <c r="I5285" s="115">
        <v>1857</v>
      </c>
      <c r="J5285" s="115">
        <v>-1474</v>
      </c>
      <c r="K5285" s="115">
        <v>-928</v>
      </c>
    </row>
    <row r="5286" spans="1:11" x14ac:dyDescent="0.25">
      <c r="B5286" s="115" t="s">
        <v>1241</v>
      </c>
      <c r="D5286" s="115" t="s">
        <v>11376</v>
      </c>
      <c r="E5286" s="115" t="s">
        <v>5342</v>
      </c>
      <c r="F5286" s="115">
        <v>0</v>
      </c>
      <c r="G5286" s="115">
        <v>-35</v>
      </c>
      <c r="H5286" s="115">
        <v>-621</v>
      </c>
      <c r="I5286" s="115">
        <v>95</v>
      </c>
      <c r="J5286" s="115">
        <v>-545</v>
      </c>
      <c r="K5286" s="115">
        <v>-1164</v>
      </c>
    </row>
    <row r="5287" spans="1:11" x14ac:dyDescent="0.25">
      <c r="A5287" s="115" t="s">
        <v>1239</v>
      </c>
      <c r="B5287" s="115" t="s">
        <v>5343</v>
      </c>
      <c r="D5287" s="115" t="s">
        <v>11377</v>
      </c>
      <c r="E5287" s="115" t="s">
        <v>5344</v>
      </c>
      <c r="F5287" s="115">
        <v>0</v>
      </c>
      <c r="G5287" s="115">
        <v>0</v>
      </c>
      <c r="H5287" s="115">
        <v>0</v>
      </c>
      <c r="I5287" s="115">
        <v>-3474</v>
      </c>
      <c r="J5287" s="115">
        <v>0</v>
      </c>
      <c r="K5287" s="115">
        <v>-3610</v>
      </c>
    </row>
    <row r="5288" spans="1:11" x14ac:dyDescent="0.25">
      <c r="A5288" s="115">
        <v>-1</v>
      </c>
      <c r="B5288" s="115" t="s">
        <v>5345</v>
      </c>
      <c r="D5288" s="115" t="s">
        <v>11378</v>
      </c>
      <c r="E5288" s="115" t="s">
        <v>5346</v>
      </c>
      <c r="F5288" s="115">
        <v>-5153</v>
      </c>
      <c r="G5288" s="115">
        <v>-1018</v>
      </c>
      <c r="H5288" s="115">
        <v>-3019</v>
      </c>
      <c r="I5288" s="115">
        <v>107</v>
      </c>
      <c r="J5288" s="115">
        <v>0</v>
      </c>
      <c r="K5288" s="115">
        <v>-707</v>
      </c>
    </row>
    <row r="5289" spans="1:11" x14ac:dyDescent="0.25">
      <c r="A5289" s="115">
        <v>-1</v>
      </c>
      <c r="B5289" s="115" t="s">
        <v>5347</v>
      </c>
      <c r="C5289" s="115" t="s">
        <v>1239</v>
      </c>
      <c r="D5289" s="115" t="s">
        <v>11379</v>
      </c>
      <c r="E5289" s="115" t="s">
        <v>5348</v>
      </c>
      <c r="F5289" s="115">
        <v>272</v>
      </c>
      <c r="G5289" s="115">
        <v>6298</v>
      </c>
      <c r="H5289" s="115">
        <v>0</v>
      </c>
      <c r="I5289" s="115">
        <v>0</v>
      </c>
      <c r="J5289" s="115">
        <v>0</v>
      </c>
      <c r="K5289" s="115">
        <v>446</v>
      </c>
    </row>
    <row r="5290" spans="1:11" x14ac:dyDescent="0.25">
      <c r="B5290" s="115" t="s">
        <v>1408</v>
      </c>
      <c r="D5290" s="115" t="s">
        <v>11380</v>
      </c>
      <c r="E5290" s="115" t="s">
        <v>5349</v>
      </c>
      <c r="F5290" s="115">
        <v>-2225</v>
      </c>
      <c r="G5290" s="115">
        <v>-2649</v>
      </c>
      <c r="H5290" s="115">
        <v>0</v>
      </c>
      <c r="I5290" s="115">
        <v>0</v>
      </c>
      <c r="J5290" s="115">
        <v>0</v>
      </c>
      <c r="K5290" s="115">
        <v>0</v>
      </c>
    </row>
    <row r="5291" spans="1:11" x14ac:dyDescent="0.25">
      <c r="B5291" s="115" t="s">
        <v>5350</v>
      </c>
      <c r="D5291" s="115" t="s">
        <v>11381</v>
      </c>
      <c r="E5291" s="115" t="s">
        <v>5351</v>
      </c>
      <c r="F5291" s="115">
        <v>-2869</v>
      </c>
      <c r="G5291" s="115">
        <v>-3612</v>
      </c>
      <c r="H5291" s="115">
        <v>0</v>
      </c>
      <c r="I5291" s="115">
        <v>-8378</v>
      </c>
      <c r="J5291" s="115">
        <v>-16659</v>
      </c>
      <c r="K5291" s="115">
        <v>15540</v>
      </c>
    </row>
    <row r="5292" spans="1:11" x14ac:dyDescent="0.25">
      <c r="A5292" s="115">
        <v>32</v>
      </c>
      <c r="B5292" s="115" t="s">
        <v>5352</v>
      </c>
      <c r="C5292" s="115">
        <v>1</v>
      </c>
      <c r="D5292" s="115" t="s">
        <v>11382</v>
      </c>
      <c r="E5292" s="115" t="s">
        <v>5353</v>
      </c>
      <c r="F5292" s="115">
        <v>13256</v>
      </c>
      <c r="G5292" s="115">
        <v>0</v>
      </c>
      <c r="H5292" s="115">
        <v>9436</v>
      </c>
      <c r="I5292" s="115">
        <v>0</v>
      </c>
      <c r="J5292" s="115">
        <v>0</v>
      </c>
      <c r="K5292" s="115">
        <v>47087</v>
      </c>
    </row>
    <row r="5293" spans="1:11" x14ac:dyDescent="0.25">
      <c r="A5293" s="115">
        <v>6</v>
      </c>
      <c r="B5293" s="115" t="s">
        <v>3456</v>
      </c>
      <c r="C5293" s="115">
        <v>1</v>
      </c>
      <c r="D5293" s="115" t="s">
        <v>11383</v>
      </c>
      <c r="E5293" s="115" t="s">
        <v>5354</v>
      </c>
      <c r="F5293" s="115">
        <v>0</v>
      </c>
      <c r="G5293" s="115">
        <v>5853</v>
      </c>
      <c r="H5293" s="115">
        <v>0</v>
      </c>
      <c r="I5293" s="115">
        <v>8663</v>
      </c>
      <c r="J5293" s="115">
        <v>13622</v>
      </c>
      <c r="K5293" s="115">
        <v>15928</v>
      </c>
    </row>
    <row r="5294" spans="1:11" x14ac:dyDescent="0.25">
      <c r="B5294" s="115" t="s">
        <v>1241</v>
      </c>
      <c r="D5294" s="115" t="s">
        <v>11384</v>
      </c>
      <c r="E5294" s="115" t="s">
        <v>5355</v>
      </c>
      <c r="F5294" s="115">
        <v>0</v>
      </c>
      <c r="G5294" s="115">
        <v>-9204</v>
      </c>
      <c r="H5294" s="115">
        <v>0</v>
      </c>
      <c r="I5294" s="115">
        <v>-10951</v>
      </c>
      <c r="J5294" s="115">
        <v>7538</v>
      </c>
      <c r="K5294" s="115">
        <v>21638</v>
      </c>
    </row>
    <row r="5295" spans="1:11" x14ac:dyDescent="0.25">
      <c r="B5295" s="115" t="s">
        <v>5356</v>
      </c>
      <c r="C5295" s="115" t="s">
        <v>1239</v>
      </c>
      <c r="D5295" s="115" t="s">
        <v>11385</v>
      </c>
      <c r="E5295" s="115" t="s">
        <v>5357</v>
      </c>
      <c r="F5295" s="115">
        <v>0</v>
      </c>
      <c r="G5295" s="115">
        <v>0</v>
      </c>
      <c r="H5295" s="115">
        <v>0</v>
      </c>
      <c r="I5295" s="115">
        <v>456</v>
      </c>
      <c r="J5295" s="115">
        <v>4</v>
      </c>
      <c r="K5295" s="115">
        <v>506</v>
      </c>
    </row>
    <row r="5296" spans="1:11" x14ac:dyDescent="0.25">
      <c r="A5296" s="115" t="s">
        <v>1239</v>
      </c>
      <c r="B5296" s="115" t="s">
        <v>5358</v>
      </c>
      <c r="D5296" s="115" t="s">
        <v>11386</v>
      </c>
      <c r="E5296" s="115" t="s">
        <v>5359</v>
      </c>
      <c r="F5296" s="115">
        <v>0</v>
      </c>
      <c r="G5296" s="115">
        <v>0</v>
      </c>
      <c r="H5296" s="115">
        <v>-112</v>
      </c>
      <c r="I5296" s="115">
        <v>0</v>
      </c>
      <c r="J5296" s="115">
        <v>180</v>
      </c>
      <c r="K5296" s="115">
        <v>0</v>
      </c>
    </row>
    <row r="5297" spans="1:11" x14ac:dyDescent="0.25">
      <c r="B5297" s="115" t="s">
        <v>5360</v>
      </c>
      <c r="D5297" s="115" t="s">
        <v>11387</v>
      </c>
      <c r="E5297" s="115" t="s">
        <v>5361</v>
      </c>
      <c r="F5297" s="115">
        <v>0</v>
      </c>
      <c r="G5297" s="115">
        <v>0</v>
      </c>
      <c r="H5297" s="115">
        <v>0</v>
      </c>
      <c r="I5297" s="115">
        <v>0</v>
      </c>
      <c r="J5297" s="115">
        <v>0</v>
      </c>
      <c r="K5297" s="115">
        <v>-1314</v>
      </c>
    </row>
    <row r="5298" spans="1:11" x14ac:dyDescent="0.25">
      <c r="B5298" s="115" t="s">
        <v>5362</v>
      </c>
      <c r="D5298" s="115" t="s">
        <v>11388</v>
      </c>
      <c r="E5298" s="115" t="s">
        <v>5363</v>
      </c>
      <c r="F5298" s="115">
        <v>0</v>
      </c>
      <c r="G5298" s="115">
        <v>3550</v>
      </c>
      <c r="H5298" s="115">
        <v>2233</v>
      </c>
      <c r="I5298" s="115">
        <v>0</v>
      </c>
      <c r="J5298" s="115">
        <v>0</v>
      </c>
      <c r="K5298" s="115">
        <v>0</v>
      </c>
    </row>
    <row r="5299" spans="1:11" x14ac:dyDescent="0.25">
      <c r="B5299" s="115" t="s">
        <v>1241</v>
      </c>
      <c r="C5299" s="115" t="s">
        <v>1239</v>
      </c>
      <c r="D5299" s="115" t="s">
        <v>11389</v>
      </c>
      <c r="E5299" s="115" t="s">
        <v>5364</v>
      </c>
      <c r="F5299" s="115">
        <v>-4807</v>
      </c>
      <c r="G5299" s="115">
        <v>-3400</v>
      </c>
      <c r="H5299" s="115">
        <v>-2070</v>
      </c>
      <c r="I5299" s="115">
        <v>3215</v>
      </c>
      <c r="J5299" s="115">
        <v>0</v>
      </c>
      <c r="K5299" s="115">
        <v>0</v>
      </c>
    </row>
    <row r="5300" spans="1:11" x14ac:dyDescent="0.25">
      <c r="B5300" s="115" t="s">
        <v>1241</v>
      </c>
      <c r="D5300" s="115" t="s">
        <v>11390</v>
      </c>
      <c r="E5300" s="115" t="s">
        <v>5365</v>
      </c>
      <c r="F5300" s="115">
        <v>145</v>
      </c>
      <c r="G5300" s="115">
        <v>0</v>
      </c>
      <c r="H5300" s="115">
        <v>0</v>
      </c>
      <c r="I5300" s="115">
        <v>-1996</v>
      </c>
      <c r="J5300" s="115">
        <v>-378</v>
      </c>
      <c r="K5300" s="115">
        <v>0</v>
      </c>
    </row>
    <row r="5301" spans="1:11" x14ac:dyDescent="0.25">
      <c r="B5301" s="115" t="s">
        <v>1241</v>
      </c>
      <c r="D5301" s="115" t="s">
        <v>11391</v>
      </c>
      <c r="E5301" s="115">
        <f>-409  -3119  -4633  -5630  -4461</f>
        <v>-18252</v>
      </c>
      <c r="F5301" s="115">
        <v>0</v>
      </c>
      <c r="G5301" s="115">
        <v>-409</v>
      </c>
      <c r="H5301" s="115">
        <v>-3119</v>
      </c>
      <c r="I5301" s="115">
        <v>-4633</v>
      </c>
      <c r="J5301" s="115">
        <v>-5630</v>
      </c>
      <c r="K5301" s="115">
        <v>-4461</v>
      </c>
    </row>
    <row r="5302" spans="1:11" x14ac:dyDescent="0.25">
      <c r="A5302" s="115">
        <v>-7</v>
      </c>
      <c r="B5302" s="115" t="s">
        <v>5366</v>
      </c>
      <c r="C5302" s="115" t="s">
        <v>1239</v>
      </c>
      <c r="D5302" s="115" t="s">
        <v>11392</v>
      </c>
      <c r="E5302" s="115" t="s">
        <v>1242</v>
      </c>
      <c r="F5302" s="115">
        <v>-2350</v>
      </c>
      <c r="G5302" s="115">
        <v>0</v>
      </c>
      <c r="H5302" s="115">
        <v>0</v>
      </c>
      <c r="I5302" s="115">
        <v>0</v>
      </c>
      <c r="J5302" s="115">
        <v>0</v>
      </c>
      <c r="K5302" s="115">
        <v>0</v>
      </c>
    </row>
    <row r="5303" spans="1:11" x14ac:dyDescent="0.25">
      <c r="B5303" s="115" t="s">
        <v>1241</v>
      </c>
      <c r="C5303" s="115" t="s">
        <v>1239</v>
      </c>
      <c r="D5303" s="115" t="s">
        <v>11393</v>
      </c>
      <c r="E5303" s="115" t="s">
        <v>5367</v>
      </c>
      <c r="F5303" s="115">
        <v>353</v>
      </c>
      <c r="G5303" s="115">
        <v>-1208</v>
      </c>
      <c r="H5303" s="115">
        <v>168</v>
      </c>
      <c r="I5303" s="115">
        <v>444</v>
      </c>
      <c r="J5303" s="115">
        <v>0</v>
      </c>
      <c r="K5303" s="115">
        <v>0</v>
      </c>
    </row>
    <row r="5304" spans="1:11" x14ac:dyDescent="0.25">
      <c r="A5304" s="115">
        <v>-2</v>
      </c>
      <c r="B5304" s="115" t="s">
        <v>3534</v>
      </c>
      <c r="D5304" s="115" t="s">
        <v>11394</v>
      </c>
      <c r="E5304" s="115" t="s">
        <v>5368</v>
      </c>
      <c r="F5304" s="115">
        <v>0</v>
      </c>
      <c r="G5304" s="115">
        <v>0</v>
      </c>
      <c r="H5304" s="115">
        <v>0</v>
      </c>
      <c r="I5304" s="115">
        <v>0</v>
      </c>
      <c r="J5304" s="115">
        <v>-4634</v>
      </c>
      <c r="K5304" s="115">
        <v>0</v>
      </c>
    </row>
    <row r="5305" spans="1:11" x14ac:dyDescent="0.25">
      <c r="A5305" s="115">
        <v>-1</v>
      </c>
      <c r="B5305" s="115" t="s">
        <v>5369</v>
      </c>
      <c r="D5305" s="115" t="s">
        <v>8710</v>
      </c>
      <c r="E5305" s="115" t="s">
        <v>1242</v>
      </c>
      <c r="F5305" s="115">
        <v>0</v>
      </c>
      <c r="G5305" s="115">
        <v>0</v>
      </c>
      <c r="H5305" s="115">
        <v>0</v>
      </c>
      <c r="I5305" s="115">
        <v>0</v>
      </c>
      <c r="J5305" s="115">
        <v>0</v>
      </c>
      <c r="K5305" s="115">
        <v>0</v>
      </c>
    </row>
    <row r="5306" spans="1:11" x14ac:dyDescent="0.25">
      <c r="B5306" s="115" t="s">
        <v>1241</v>
      </c>
      <c r="D5306" s="115" t="s">
        <v>11395</v>
      </c>
      <c r="E5306" s="115" t="s">
        <v>5370</v>
      </c>
      <c r="F5306" s="115">
        <v>0</v>
      </c>
      <c r="G5306" s="115">
        <v>0</v>
      </c>
      <c r="H5306" s="115">
        <v>0</v>
      </c>
      <c r="I5306" s="115">
        <v>569</v>
      </c>
      <c r="J5306" s="115">
        <v>0</v>
      </c>
      <c r="K5306" s="115">
        <v>0</v>
      </c>
    </row>
    <row r="5307" spans="1:11" x14ac:dyDescent="0.25">
      <c r="B5307" s="115" t="s">
        <v>1241</v>
      </c>
      <c r="D5307" s="115" t="s">
        <v>11396</v>
      </c>
      <c r="E5307" s="115" t="s">
        <v>5371</v>
      </c>
      <c r="F5307" s="115">
        <v>3035</v>
      </c>
      <c r="G5307" s="115">
        <v>3415</v>
      </c>
      <c r="H5307" s="115">
        <v>16862</v>
      </c>
      <c r="I5307" s="115">
        <v>17407</v>
      </c>
      <c r="J5307" s="115">
        <v>47862</v>
      </c>
      <c r="K5307" s="115">
        <v>19170</v>
      </c>
    </row>
    <row r="5308" spans="1:11" x14ac:dyDescent="0.25">
      <c r="A5308" s="115">
        <v>1</v>
      </c>
      <c r="B5308" s="115" t="s">
        <v>5372</v>
      </c>
      <c r="D5308" s="115" t="s">
        <v>11397</v>
      </c>
      <c r="E5308" s="115" t="s">
        <v>5373</v>
      </c>
      <c r="F5308" s="115">
        <v>3474</v>
      </c>
      <c r="G5308" s="115">
        <v>15340</v>
      </c>
      <c r="H5308" s="115">
        <v>14477</v>
      </c>
      <c r="I5308" s="115">
        <v>24838</v>
      </c>
      <c r="J5308" s="115">
        <v>14057</v>
      </c>
      <c r="K5308" s="115">
        <v>1073</v>
      </c>
    </row>
    <row r="5309" spans="1:11" x14ac:dyDescent="0.25">
      <c r="B5309" s="115" t="s">
        <v>5374</v>
      </c>
      <c r="C5309" s="115">
        <v>2</v>
      </c>
      <c r="D5309" s="115" t="s">
        <v>11398</v>
      </c>
      <c r="E5309" s="115" t="s">
        <v>5375</v>
      </c>
      <c r="F5309" s="115">
        <v>20769</v>
      </c>
      <c r="G5309" s="115">
        <v>16892</v>
      </c>
      <c r="H5309" s="115">
        <v>18775</v>
      </c>
      <c r="I5309" s="115">
        <v>35629</v>
      </c>
      <c r="J5309" s="115">
        <v>21942</v>
      </c>
      <c r="K5309" s="115">
        <v>17528</v>
      </c>
    </row>
    <row r="5310" spans="1:11" x14ac:dyDescent="0.25">
      <c r="A5310" s="115">
        <v>17</v>
      </c>
      <c r="B5310" s="115" t="s">
        <v>5376</v>
      </c>
      <c r="D5310" s="115" t="s">
        <v>11399</v>
      </c>
      <c r="E5310" s="115" t="s">
        <v>5377</v>
      </c>
      <c r="F5310" s="115">
        <v>89</v>
      </c>
      <c r="G5310" s="115">
        <v>37</v>
      </c>
      <c r="H5310" s="115">
        <v>0</v>
      </c>
      <c r="I5310" s="115">
        <v>0</v>
      </c>
      <c r="J5310" s="115">
        <v>-15</v>
      </c>
      <c r="K5310" s="115">
        <v>0</v>
      </c>
    </row>
    <row r="5311" spans="1:11" x14ac:dyDescent="0.25">
      <c r="B5311" s="115" t="s">
        <v>1241</v>
      </c>
      <c r="D5311" s="115" t="s">
        <v>11400</v>
      </c>
      <c r="E5311" s="115" t="s">
        <v>1242</v>
      </c>
      <c r="F5311" s="115">
        <v>0</v>
      </c>
      <c r="G5311" s="115">
        <v>0</v>
      </c>
      <c r="H5311" s="115">
        <v>0</v>
      </c>
      <c r="I5311" s="115">
        <v>0</v>
      </c>
      <c r="J5311" s="115">
        <v>0</v>
      </c>
      <c r="K5311" s="115">
        <v>0</v>
      </c>
    </row>
    <row r="5312" spans="1:11" x14ac:dyDescent="0.25">
      <c r="B5312" s="115" t="s">
        <v>3720</v>
      </c>
      <c r="D5312" s="115" t="s">
        <v>11401</v>
      </c>
      <c r="E5312" s="115" t="s">
        <v>5378</v>
      </c>
      <c r="F5312" s="115">
        <v>0</v>
      </c>
      <c r="G5312" s="115">
        <v>-35</v>
      </c>
      <c r="H5312" s="115">
        <v>0</v>
      </c>
      <c r="I5312" s="115">
        <v>341</v>
      </c>
      <c r="J5312" s="115">
        <v>-185</v>
      </c>
      <c r="K5312" s="115">
        <v>-135</v>
      </c>
    </row>
    <row r="5313" spans="1:11" x14ac:dyDescent="0.25">
      <c r="B5313" s="115" t="s">
        <v>5379</v>
      </c>
      <c r="D5313" s="115" t="s">
        <v>11402</v>
      </c>
      <c r="E5313" s="115" t="s">
        <v>5380</v>
      </c>
      <c r="F5313" s="115">
        <v>228</v>
      </c>
      <c r="G5313" s="115">
        <v>165</v>
      </c>
      <c r="H5313" s="115">
        <v>351</v>
      </c>
      <c r="I5313" s="115">
        <v>0</v>
      </c>
      <c r="J5313" s="115">
        <v>-26</v>
      </c>
      <c r="K5313" s="115">
        <v>0</v>
      </c>
    </row>
    <row r="5314" spans="1:11" x14ac:dyDescent="0.25">
      <c r="B5314" s="115" t="s">
        <v>1241</v>
      </c>
      <c r="D5314" s="115" t="s">
        <v>11403</v>
      </c>
      <c r="E5314" s="115" t="s">
        <v>5381</v>
      </c>
      <c r="F5314" s="115">
        <v>-5</v>
      </c>
      <c r="G5314" s="115">
        <v>0</v>
      </c>
      <c r="H5314" s="115">
        <v>0</v>
      </c>
      <c r="I5314" s="115">
        <v>0</v>
      </c>
      <c r="J5314" s="115">
        <v>-34</v>
      </c>
      <c r="K5314" s="115">
        <v>0</v>
      </c>
    </row>
    <row r="5315" spans="1:11" x14ac:dyDescent="0.25">
      <c r="B5315" s="115" t="s">
        <v>3046</v>
      </c>
      <c r="D5315" s="115" t="s">
        <v>11404</v>
      </c>
      <c r="E5315" s="115" t="s">
        <v>5382</v>
      </c>
      <c r="F5315" s="115">
        <v>0</v>
      </c>
      <c r="G5315" s="115">
        <v>0</v>
      </c>
      <c r="H5315" s="115">
        <v>17</v>
      </c>
      <c r="I5315" s="115">
        <v>0</v>
      </c>
      <c r="J5315" s="115">
        <v>244</v>
      </c>
      <c r="K5315" s="115">
        <v>224</v>
      </c>
    </row>
    <row r="5316" spans="1:11" x14ac:dyDescent="0.25">
      <c r="B5316" s="115" t="s">
        <v>1241</v>
      </c>
      <c r="D5316" s="115" t="s">
        <v>11405</v>
      </c>
      <c r="E5316" s="115" t="s">
        <v>5383</v>
      </c>
      <c r="F5316" s="115">
        <v>0</v>
      </c>
      <c r="G5316" s="115">
        <v>547</v>
      </c>
      <c r="H5316" s="115">
        <v>0</v>
      </c>
      <c r="I5316" s="115">
        <v>0</v>
      </c>
      <c r="J5316" s="115">
        <v>0</v>
      </c>
      <c r="K5316" s="115">
        <v>0</v>
      </c>
    </row>
    <row r="5317" spans="1:11" x14ac:dyDescent="0.25">
      <c r="B5317" s="115" t="s">
        <v>5384</v>
      </c>
      <c r="D5317" s="115" t="s">
        <v>11406</v>
      </c>
      <c r="E5317" s="115" t="s">
        <v>5385</v>
      </c>
      <c r="F5317" s="115">
        <v>0</v>
      </c>
      <c r="G5317" s="115">
        <v>-136</v>
      </c>
      <c r="H5317" s="115">
        <v>48</v>
      </c>
      <c r="I5317" s="115">
        <v>0</v>
      </c>
      <c r="J5317" s="115">
        <v>89</v>
      </c>
      <c r="K5317" s="115">
        <v>-300</v>
      </c>
    </row>
    <row r="5318" spans="1:11" x14ac:dyDescent="0.25">
      <c r="B5318" s="115" t="s">
        <v>5386</v>
      </c>
      <c r="D5318" s="115" t="s">
        <v>11407</v>
      </c>
      <c r="E5318" s="115" t="s">
        <v>1242</v>
      </c>
      <c r="F5318" s="115">
        <v>343</v>
      </c>
      <c r="G5318" s="115">
        <v>0</v>
      </c>
      <c r="H5318" s="115">
        <v>0</v>
      </c>
      <c r="I5318" s="115">
        <v>0</v>
      </c>
      <c r="J5318" s="115">
        <v>0</v>
      </c>
      <c r="K5318" s="115">
        <v>0</v>
      </c>
    </row>
    <row r="5319" spans="1:11" x14ac:dyDescent="0.25">
      <c r="B5319" s="115" t="s">
        <v>5387</v>
      </c>
      <c r="D5319" s="115" t="s">
        <v>11408</v>
      </c>
      <c r="E5319" s="115" t="s">
        <v>5388</v>
      </c>
      <c r="F5319" s="115">
        <v>-256</v>
      </c>
      <c r="G5319" s="115">
        <v>0</v>
      </c>
      <c r="H5319" s="115">
        <v>875</v>
      </c>
      <c r="I5319" s="115">
        <v>-3464</v>
      </c>
      <c r="J5319" s="115">
        <v>-3</v>
      </c>
      <c r="K5319" s="115">
        <v>41</v>
      </c>
    </row>
    <row r="5320" spans="1:11" x14ac:dyDescent="0.25">
      <c r="B5320" s="115" t="s">
        <v>2279</v>
      </c>
      <c r="D5320" s="115" t="s">
        <v>11409</v>
      </c>
      <c r="E5320" s="115" t="s">
        <v>5389</v>
      </c>
      <c r="F5320" s="115">
        <v>69</v>
      </c>
      <c r="G5320" s="115">
        <v>-68</v>
      </c>
      <c r="H5320" s="115">
        <v>0</v>
      </c>
      <c r="I5320" s="115">
        <v>269</v>
      </c>
      <c r="J5320" s="115">
        <v>-882</v>
      </c>
      <c r="K5320" s="115">
        <v>0</v>
      </c>
    </row>
    <row r="5321" spans="1:11" x14ac:dyDescent="0.25">
      <c r="B5321" s="115" t="s">
        <v>1241</v>
      </c>
      <c r="D5321" s="115" t="s">
        <v>11410</v>
      </c>
      <c r="E5321" s="115" t="s">
        <v>5390</v>
      </c>
      <c r="F5321" s="115">
        <v>0</v>
      </c>
      <c r="G5321" s="115">
        <v>-237</v>
      </c>
      <c r="H5321" s="115">
        <v>35</v>
      </c>
      <c r="I5321" s="115">
        <v>21</v>
      </c>
      <c r="J5321" s="115">
        <v>-135</v>
      </c>
      <c r="K5321" s="115">
        <v>0</v>
      </c>
    </row>
    <row r="5322" spans="1:11" x14ac:dyDescent="0.25">
      <c r="B5322" s="115" t="s">
        <v>1241</v>
      </c>
      <c r="D5322" s="115" t="s">
        <v>11411</v>
      </c>
      <c r="E5322" s="115" t="s">
        <v>5391</v>
      </c>
      <c r="F5322" s="115">
        <v>-465</v>
      </c>
      <c r="G5322" s="115">
        <v>0</v>
      </c>
      <c r="H5322" s="115">
        <v>-513</v>
      </c>
      <c r="I5322" s="115">
        <v>-1008</v>
      </c>
      <c r="J5322" s="115">
        <v>-187</v>
      </c>
      <c r="K5322" s="115">
        <v>0</v>
      </c>
    </row>
    <row r="5323" spans="1:11" x14ac:dyDescent="0.25">
      <c r="A5323" s="115">
        <v>-1</v>
      </c>
      <c r="B5323" s="115" t="s">
        <v>5392</v>
      </c>
      <c r="D5323" s="115" t="s">
        <v>11412</v>
      </c>
      <c r="E5323" s="115" t="s">
        <v>5393</v>
      </c>
      <c r="F5323" s="115">
        <v>766</v>
      </c>
      <c r="G5323" s="115">
        <v>-184</v>
      </c>
      <c r="H5323" s="115">
        <v>-775</v>
      </c>
      <c r="I5323" s="115">
        <v>-529</v>
      </c>
      <c r="J5323" s="115">
        <v>0</v>
      </c>
      <c r="K5323" s="115">
        <v>538</v>
      </c>
    </row>
    <row r="5324" spans="1:11" x14ac:dyDescent="0.25">
      <c r="B5324" s="115" t="s">
        <v>1241</v>
      </c>
      <c r="C5324" s="115" t="s">
        <v>1239</v>
      </c>
      <c r="D5324" s="115" t="s">
        <v>11413</v>
      </c>
      <c r="E5324" s="115" t="s">
        <v>5394</v>
      </c>
      <c r="F5324" s="115">
        <v>0</v>
      </c>
      <c r="G5324" s="115">
        <v>205</v>
      </c>
      <c r="H5324" s="115">
        <v>0</v>
      </c>
      <c r="I5324" s="115">
        <v>0</v>
      </c>
      <c r="J5324" s="115">
        <v>-37</v>
      </c>
      <c r="K5324" s="115">
        <v>0</v>
      </c>
    </row>
    <row r="5325" spans="1:11" x14ac:dyDescent="0.25">
      <c r="A5325" s="115" t="s">
        <v>1239</v>
      </c>
      <c r="B5325" s="115" t="s">
        <v>5395</v>
      </c>
      <c r="D5325" s="115" t="s">
        <v>11414</v>
      </c>
      <c r="E5325" s="115" t="s">
        <v>5396</v>
      </c>
      <c r="F5325" s="115">
        <v>0</v>
      </c>
      <c r="G5325" s="115">
        <v>0</v>
      </c>
      <c r="H5325" s="115">
        <v>0</v>
      </c>
      <c r="I5325" s="115">
        <v>0</v>
      </c>
      <c r="J5325" s="115">
        <v>362</v>
      </c>
      <c r="K5325" s="115">
        <v>0</v>
      </c>
    </row>
    <row r="5326" spans="1:11" x14ac:dyDescent="0.25">
      <c r="B5326" s="115" t="s">
        <v>5397</v>
      </c>
      <c r="D5326" s="115" t="s">
        <v>11415</v>
      </c>
      <c r="E5326" s="115" t="s">
        <v>5398</v>
      </c>
      <c r="F5326" s="115">
        <v>329</v>
      </c>
      <c r="G5326" s="115">
        <v>-18378</v>
      </c>
      <c r="H5326" s="115">
        <v>-2242</v>
      </c>
      <c r="I5326" s="115">
        <v>0</v>
      </c>
      <c r="J5326" s="115">
        <v>0</v>
      </c>
      <c r="K5326" s="115">
        <v>0</v>
      </c>
    </row>
    <row r="5327" spans="1:11" x14ac:dyDescent="0.25">
      <c r="A5327" s="115" t="s">
        <v>1239</v>
      </c>
      <c r="B5327" s="115" t="s">
        <v>5399</v>
      </c>
      <c r="D5327" s="115" t="s">
        <v>11416</v>
      </c>
      <c r="E5327" s="115" t="s">
        <v>5400</v>
      </c>
      <c r="F5327" s="115">
        <v>-363</v>
      </c>
      <c r="G5327" s="115">
        <v>0</v>
      </c>
      <c r="H5327" s="115">
        <v>-743</v>
      </c>
      <c r="I5327" s="115">
        <v>0</v>
      </c>
      <c r="J5327" s="115">
        <v>0</v>
      </c>
      <c r="K5327" s="115">
        <v>-853</v>
      </c>
    </row>
    <row r="5328" spans="1:11" x14ac:dyDescent="0.25">
      <c r="B5328" s="115" t="s">
        <v>5401</v>
      </c>
      <c r="D5328" s="115" t="s">
        <v>11417</v>
      </c>
      <c r="E5328" s="115" t="s">
        <v>1242</v>
      </c>
      <c r="F5328" s="115">
        <v>0</v>
      </c>
      <c r="G5328" s="115">
        <v>0</v>
      </c>
      <c r="H5328" s="115">
        <v>0</v>
      </c>
      <c r="I5328" s="115">
        <v>0</v>
      </c>
      <c r="J5328" s="115">
        <v>0</v>
      </c>
      <c r="K5328" s="115">
        <v>0</v>
      </c>
    </row>
    <row r="5329" spans="1:11" x14ac:dyDescent="0.25">
      <c r="B5329" s="115" t="s">
        <v>1241</v>
      </c>
      <c r="D5329" s="115" t="s">
        <v>11418</v>
      </c>
      <c r="E5329" s="115" t="s">
        <v>5402</v>
      </c>
      <c r="F5329" s="115">
        <v>-1767</v>
      </c>
      <c r="G5329" s="115">
        <v>2773</v>
      </c>
      <c r="H5329" s="115">
        <v>1757</v>
      </c>
      <c r="I5329" s="115">
        <v>0</v>
      </c>
      <c r="J5329" s="115">
        <v>2480</v>
      </c>
      <c r="K5329" s="115">
        <v>4297</v>
      </c>
    </row>
    <row r="5330" spans="1:11" x14ac:dyDescent="0.25">
      <c r="B5330" s="115" t="s">
        <v>1241</v>
      </c>
      <c r="D5330" s="115" t="s">
        <v>11419</v>
      </c>
      <c r="E5330" s="115">
        <f>-3454  -1283  -3201  -2578  -1627</f>
        <v>-12143</v>
      </c>
      <c r="F5330" s="115">
        <v>0</v>
      </c>
      <c r="G5330" s="115">
        <v>-3454</v>
      </c>
      <c r="H5330" s="115">
        <v>-1283</v>
      </c>
      <c r="I5330" s="115">
        <v>-3201</v>
      </c>
      <c r="J5330" s="115">
        <v>-2578</v>
      </c>
      <c r="K5330" s="115">
        <v>-1627</v>
      </c>
    </row>
    <row r="5331" spans="1:11" x14ac:dyDescent="0.25">
      <c r="A5331" s="115">
        <v>-5</v>
      </c>
      <c r="B5331" s="115" t="s">
        <v>1338</v>
      </c>
      <c r="D5331" s="115" t="s">
        <v>11420</v>
      </c>
      <c r="E5331" s="115" t="s">
        <v>5403</v>
      </c>
      <c r="F5331" s="115">
        <v>0</v>
      </c>
      <c r="G5331" s="115">
        <v>-261</v>
      </c>
      <c r="H5331" s="115">
        <v>0</v>
      </c>
      <c r="I5331" s="115">
        <v>209</v>
      </c>
      <c r="J5331" s="115">
        <v>0</v>
      </c>
      <c r="K5331" s="115">
        <v>0</v>
      </c>
    </row>
    <row r="5332" spans="1:11" x14ac:dyDescent="0.25">
      <c r="A5332" s="115">
        <v>-1</v>
      </c>
      <c r="B5332" s="115" t="s">
        <v>5404</v>
      </c>
      <c r="D5332" s="115" t="s">
        <v>11421</v>
      </c>
      <c r="E5332" s="115" t="s">
        <v>5405</v>
      </c>
      <c r="F5332" s="115">
        <v>0</v>
      </c>
      <c r="G5332" s="115">
        <v>0</v>
      </c>
      <c r="H5332" s="115">
        <v>-178</v>
      </c>
      <c r="I5332" s="115">
        <v>0</v>
      </c>
      <c r="J5332" s="115">
        <v>1049</v>
      </c>
      <c r="K5332" s="115">
        <v>-2368</v>
      </c>
    </row>
    <row r="5333" spans="1:11" x14ac:dyDescent="0.25">
      <c r="A5333" s="115">
        <v>-2</v>
      </c>
      <c r="B5333" s="115" t="s">
        <v>5406</v>
      </c>
      <c r="D5333" s="115" t="s">
        <v>11422</v>
      </c>
      <c r="E5333" s="115" t="s">
        <v>5407</v>
      </c>
      <c r="F5333" s="115">
        <v>-1324</v>
      </c>
      <c r="G5333" s="115">
        <v>-140</v>
      </c>
      <c r="H5333" s="115">
        <v>447</v>
      </c>
      <c r="I5333" s="115">
        <v>1184</v>
      </c>
      <c r="J5333" s="115">
        <v>0</v>
      </c>
      <c r="K5333" s="115">
        <v>0</v>
      </c>
    </row>
    <row r="5334" spans="1:11" x14ac:dyDescent="0.25">
      <c r="B5334" s="115" t="s">
        <v>1241</v>
      </c>
      <c r="D5334" s="115" t="s">
        <v>11423</v>
      </c>
      <c r="E5334" s="115" t="s">
        <v>5408</v>
      </c>
      <c r="F5334" s="115">
        <v>0</v>
      </c>
      <c r="G5334" s="115">
        <v>938</v>
      </c>
      <c r="H5334" s="115">
        <v>-196</v>
      </c>
      <c r="I5334" s="115">
        <v>2402</v>
      </c>
      <c r="J5334" s="115">
        <v>-30</v>
      </c>
      <c r="K5334" s="115">
        <v>1337</v>
      </c>
    </row>
    <row r="5335" spans="1:11" x14ac:dyDescent="0.25">
      <c r="B5335" s="115" t="s">
        <v>3479</v>
      </c>
      <c r="D5335" s="115" t="s">
        <v>11424</v>
      </c>
      <c r="E5335" s="115" t="s">
        <v>5409</v>
      </c>
      <c r="F5335" s="115">
        <v>0</v>
      </c>
      <c r="G5335" s="115">
        <v>437</v>
      </c>
      <c r="H5335" s="115">
        <v>-856</v>
      </c>
      <c r="I5335" s="115">
        <v>0</v>
      </c>
      <c r="J5335" s="115">
        <v>0</v>
      </c>
      <c r="K5335" s="115">
        <v>0</v>
      </c>
    </row>
    <row r="5336" spans="1:11" x14ac:dyDescent="0.25">
      <c r="B5336" s="115" t="s">
        <v>5410</v>
      </c>
      <c r="D5336" s="115" t="s">
        <v>11425</v>
      </c>
      <c r="E5336" s="115" t="s">
        <v>1242</v>
      </c>
      <c r="F5336" s="115">
        <v>2007</v>
      </c>
      <c r="G5336" s="115">
        <v>0</v>
      </c>
      <c r="H5336" s="115">
        <v>0</v>
      </c>
      <c r="I5336" s="115">
        <v>0</v>
      </c>
      <c r="J5336" s="115">
        <v>0</v>
      </c>
      <c r="K5336" s="115">
        <v>0</v>
      </c>
    </row>
    <row r="5337" spans="1:11" x14ac:dyDescent="0.25">
      <c r="B5337" s="115" t="s">
        <v>1241</v>
      </c>
      <c r="D5337" s="115" t="s">
        <v>8710</v>
      </c>
      <c r="E5337" s="115" t="s">
        <v>1242</v>
      </c>
      <c r="F5337" s="115">
        <v>0</v>
      </c>
      <c r="G5337" s="115">
        <v>0</v>
      </c>
      <c r="H5337" s="115">
        <v>0</v>
      </c>
      <c r="I5337" s="115">
        <v>0</v>
      </c>
      <c r="J5337" s="115">
        <v>0</v>
      </c>
      <c r="K5337" s="115">
        <v>0</v>
      </c>
    </row>
    <row r="5338" spans="1:11" x14ac:dyDescent="0.25">
      <c r="B5338" s="115" t="s">
        <v>5411</v>
      </c>
      <c r="D5338" s="115" t="s">
        <v>11426</v>
      </c>
      <c r="E5338" s="115" t="s">
        <v>5412</v>
      </c>
      <c r="F5338" s="115">
        <v>0</v>
      </c>
      <c r="G5338" s="115">
        <v>0</v>
      </c>
      <c r="H5338" s="115">
        <v>-84</v>
      </c>
      <c r="I5338" s="115">
        <v>3104</v>
      </c>
      <c r="J5338" s="115">
        <v>2860</v>
      </c>
      <c r="K5338" s="115">
        <v>18270</v>
      </c>
    </row>
    <row r="5339" spans="1:11" x14ac:dyDescent="0.25">
      <c r="A5339" s="115">
        <v>21</v>
      </c>
      <c r="B5339" s="115" t="s">
        <v>5413</v>
      </c>
      <c r="C5339" s="115">
        <v>4</v>
      </c>
      <c r="D5339" s="115" t="s">
        <v>11427</v>
      </c>
      <c r="E5339" s="115" t="s">
        <v>5414</v>
      </c>
      <c r="F5339" s="115">
        <v>15</v>
      </c>
      <c r="G5339" s="115">
        <v>-168</v>
      </c>
      <c r="H5339" s="115">
        <v>4678</v>
      </c>
      <c r="I5339" s="115">
        <v>2707</v>
      </c>
      <c r="J5339" s="115">
        <v>14751</v>
      </c>
      <c r="K5339" s="115">
        <v>16653</v>
      </c>
    </row>
    <row r="5340" spans="1:11" x14ac:dyDescent="0.25">
      <c r="A5340" s="115">
        <v>15</v>
      </c>
      <c r="B5340" s="115" t="s">
        <v>5415</v>
      </c>
      <c r="D5340" s="115" t="s">
        <v>11428</v>
      </c>
      <c r="E5340" s="115" t="s">
        <v>5416</v>
      </c>
      <c r="F5340" s="115">
        <v>20087</v>
      </c>
      <c r="G5340" s="115">
        <v>25371</v>
      </c>
      <c r="H5340" s="115">
        <v>25395</v>
      </c>
      <c r="I5340" s="115">
        <v>36468</v>
      </c>
      <c r="J5340" s="115">
        <v>17906</v>
      </c>
      <c r="K5340" s="115">
        <v>19415</v>
      </c>
    </row>
    <row r="5341" spans="1:11" x14ac:dyDescent="0.25">
      <c r="A5341" s="115">
        <v>27</v>
      </c>
      <c r="B5341" s="115" t="s">
        <v>5417</v>
      </c>
      <c r="C5341" s="115">
        <v>1</v>
      </c>
      <c r="D5341" s="115" t="s">
        <v>11429</v>
      </c>
      <c r="E5341" s="115" t="s">
        <v>5418</v>
      </c>
      <c r="F5341" s="115">
        <v>17350</v>
      </c>
      <c r="G5341" s="115">
        <v>336</v>
      </c>
      <c r="H5341" s="115">
        <v>-1099</v>
      </c>
      <c r="I5341" s="115">
        <v>261</v>
      </c>
      <c r="J5341" s="115">
        <v>-147</v>
      </c>
      <c r="K5341" s="115">
        <v>31</v>
      </c>
    </row>
    <row r="5342" spans="1:11" x14ac:dyDescent="0.25">
      <c r="B5342" s="115" t="s">
        <v>1241</v>
      </c>
      <c r="D5342" s="115" t="s">
        <v>11430</v>
      </c>
      <c r="E5342" s="115" t="s">
        <v>5419</v>
      </c>
      <c r="F5342" s="115">
        <v>0</v>
      </c>
      <c r="G5342" s="115">
        <v>0</v>
      </c>
      <c r="H5342" s="115">
        <v>-691</v>
      </c>
      <c r="I5342" s="115">
        <v>777</v>
      </c>
      <c r="J5342" s="115">
        <v>0</v>
      </c>
      <c r="K5342" s="115">
        <v>0</v>
      </c>
    </row>
    <row r="5343" spans="1:11" x14ac:dyDescent="0.25">
      <c r="B5343" s="115" t="s">
        <v>1241</v>
      </c>
      <c r="D5343" s="115" t="s">
        <v>11431</v>
      </c>
      <c r="E5343" s="115" t="s">
        <v>5420</v>
      </c>
      <c r="F5343" s="115">
        <v>300</v>
      </c>
      <c r="G5343" s="115">
        <v>0</v>
      </c>
      <c r="H5343" s="115">
        <v>0</v>
      </c>
      <c r="I5343" s="115">
        <v>117</v>
      </c>
      <c r="J5343" s="115">
        <v>0</v>
      </c>
      <c r="K5343" s="115">
        <v>-115</v>
      </c>
    </row>
    <row r="5344" spans="1:11" x14ac:dyDescent="0.25">
      <c r="B5344" s="115" t="s">
        <v>5421</v>
      </c>
      <c r="D5344" s="115" t="s">
        <v>11432</v>
      </c>
      <c r="E5344" s="115" t="s">
        <v>5422</v>
      </c>
      <c r="F5344" s="115">
        <v>0</v>
      </c>
      <c r="G5344" s="115">
        <v>-35</v>
      </c>
      <c r="H5344" s="115">
        <v>-1088</v>
      </c>
      <c r="I5344" s="115">
        <v>165</v>
      </c>
      <c r="J5344" s="115">
        <v>116</v>
      </c>
      <c r="K5344" s="115">
        <v>-50</v>
      </c>
    </row>
    <row r="5345" spans="1:11" x14ac:dyDescent="0.25">
      <c r="B5345" s="115" t="s">
        <v>1373</v>
      </c>
      <c r="D5345" s="115" t="s">
        <v>11433</v>
      </c>
      <c r="E5345" s="115" t="s">
        <v>5423</v>
      </c>
      <c r="F5345" s="115">
        <v>0</v>
      </c>
      <c r="G5345" s="115">
        <v>0</v>
      </c>
      <c r="H5345" s="115">
        <v>0</v>
      </c>
      <c r="I5345" s="115">
        <v>0</v>
      </c>
      <c r="J5345" s="115">
        <v>147</v>
      </c>
      <c r="K5345" s="115">
        <v>0</v>
      </c>
    </row>
    <row r="5346" spans="1:11" x14ac:dyDescent="0.25">
      <c r="B5346" s="115" t="s">
        <v>1241</v>
      </c>
      <c r="D5346" s="115" t="s">
        <v>11434</v>
      </c>
      <c r="E5346" s="115" t="s">
        <v>1242</v>
      </c>
      <c r="F5346" s="115">
        <v>-52</v>
      </c>
      <c r="G5346" s="115">
        <v>0</v>
      </c>
      <c r="H5346" s="115">
        <v>0</v>
      </c>
      <c r="I5346" s="115">
        <v>0</v>
      </c>
      <c r="J5346" s="115">
        <v>0</v>
      </c>
      <c r="K5346" s="115">
        <v>0</v>
      </c>
    </row>
    <row r="5347" spans="1:11" x14ac:dyDescent="0.25">
      <c r="B5347" s="115" t="s">
        <v>5424</v>
      </c>
      <c r="D5347" s="115" t="s">
        <v>11435</v>
      </c>
      <c r="E5347" s="115" t="s">
        <v>5425</v>
      </c>
      <c r="F5347" s="115">
        <v>0</v>
      </c>
      <c r="G5347" s="115">
        <v>0</v>
      </c>
      <c r="H5347" s="115">
        <v>1759</v>
      </c>
      <c r="I5347" s="115">
        <v>-10300</v>
      </c>
      <c r="J5347" s="115">
        <v>0</v>
      </c>
      <c r="K5347" s="115">
        <v>-1245</v>
      </c>
    </row>
    <row r="5348" spans="1:11" x14ac:dyDescent="0.25">
      <c r="B5348" s="115" t="s">
        <v>1241</v>
      </c>
      <c r="D5348" s="115" t="s">
        <v>11436</v>
      </c>
      <c r="E5348" s="115" t="s">
        <v>5426</v>
      </c>
      <c r="F5348" s="115">
        <v>8</v>
      </c>
      <c r="G5348" s="115">
        <v>14</v>
      </c>
      <c r="H5348" s="115">
        <v>217</v>
      </c>
      <c r="I5348" s="115">
        <v>0</v>
      </c>
      <c r="J5348" s="115">
        <v>0</v>
      </c>
      <c r="K5348" s="115">
        <v>-411</v>
      </c>
    </row>
    <row r="5349" spans="1:11" x14ac:dyDescent="0.25">
      <c r="B5349" s="115" t="s">
        <v>5427</v>
      </c>
      <c r="D5349" s="115" t="s">
        <v>11437</v>
      </c>
      <c r="E5349" s="115" t="s">
        <v>5428</v>
      </c>
      <c r="F5349" s="115">
        <v>694</v>
      </c>
      <c r="G5349" s="115">
        <v>1276</v>
      </c>
      <c r="H5349" s="115">
        <v>-1735</v>
      </c>
      <c r="I5349" s="115">
        <v>-178</v>
      </c>
      <c r="J5349" s="115">
        <v>-622</v>
      </c>
      <c r="K5349" s="115">
        <v>0</v>
      </c>
    </row>
    <row r="5350" spans="1:11" x14ac:dyDescent="0.25">
      <c r="B5350" s="115" t="s">
        <v>1241</v>
      </c>
      <c r="D5350" s="115" t="s">
        <v>11438</v>
      </c>
      <c r="E5350" s="115" t="s">
        <v>5429</v>
      </c>
      <c r="F5350" s="115">
        <v>-629</v>
      </c>
      <c r="G5350" s="115">
        <v>0</v>
      </c>
      <c r="H5350" s="115">
        <v>1422</v>
      </c>
      <c r="I5350" s="115">
        <v>1628</v>
      </c>
      <c r="J5350" s="115">
        <v>623</v>
      </c>
      <c r="K5350" s="115">
        <v>0</v>
      </c>
    </row>
    <row r="5351" spans="1:11" x14ac:dyDescent="0.25">
      <c r="B5351" s="115" t="s">
        <v>5430</v>
      </c>
      <c r="D5351" s="115" t="s">
        <v>11439</v>
      </c>
      <c r="E5351" s="115" t="s">
        <v>5431</v>
      </c>
      <c r="F5351" s="115">
        <v>136</v>
      </c>
      <c r="G5351" s="115">
        <v>0</v>
      </c>
      <c r="H5351" s="115">
        <v>-4</v>
      </c>
      <c r="I5351" s="115">
        <v>-701</v>
      </c>
      <c r="J5351" s="115">
        <v>377</v>
      </c>
      <c r="K5351" s="115">
        <v>-44</v>
      </c>
    </row>
    <row r="5352" spans="1:11" x14ac:dyDescent="0.25">
      <c r="B5352" s="115" t="s">
        <v>5432</v>
      </c>
      <c r="D5352" s="115" t="s">
        <v>11440</v>
      </c>
      <c r="E5352" s="115" t="s">
        <v>5433</v>
      </c>
      <c r="F5352" s="115">
        <v>0</v>
      </c>
      <c r="G5352" s="115">
        <v>0</v>
      </c>
      <c r="H5352" s="115">
        <v>460</v>
      </c>
      <c r="I5352" s="115">
        <v>1346</v>
      </c>
      <c r="J5352" s="115">
        <v>0</v>
      </c>
      <c r="K5352" s="115">
        <v>1061</v>
      </c>
    </row>
    <row r="5353" spans="1:11" x14ac:dyDescent="0.25">
      <c r="A5353" s="115" t="s">
        <v>1239</v>
      </c>
      <c r="B5353" s="115" t="s">
        <v>5434</v>
      </c>
      <c r="D5353" s="115" t="s">
        <v>11441</v>
      </c>
      <c r="E5353" s="115" t="s">
        <v>5435</v>
      </c>
      <c r="F5353" s="115">
        <v>0</v>
      </c>
      <c r="G5353" s="115">
        <v>0</v>
      </c>
      <c r="H5353" s="115">
        <v>0</v>
      </c>
      <c r="I5353" s="115">
        <v>0</v>
      </c>
      <c r="J5353" s="115">
        <v>-205</v>
      </c>
      <c r="K5353" s="115">
        <v>0</v>
      </c>
    </row>
    <row r="5354" spans="1:11" x14ac:dyDescent="0.25">
      <c r="A5354" s="115" t="s">
        <v>1239</v>
      </c>
      <c r="B5354" s="115" t="s">
        <v>5436</v>
      </c>
      <c r="D5354" s="115" t="s">
        <v>11442</v>
      </c>
      <c r="E5354" s="115" t="s">
        <v>5437</v>
      </c>
      <c r="F5354" s="115">
        <v>684</v>
      </c>
      <c r="G5354" s="115">
        <v>-3794</v>
      </c>
      <c r="H5354" s="115">
        <v>259</v>
      </c>
      <c r="I5354" s="115">
        <v>-188</v>
      </c>
      <c r="J5354" s="115">
        <v>228</v>
      </c>
      <c r="K5354" s="115">
        <v>-38</v>
      </c>
    </row>
    <row r="5355" spans="1:11" x14ac:dyDescent="0.25">
      <c r="A5355" s="115" t="s">
        <v>1239</v>
      </c>
      <c r="B5355" s="115" t="s">
        <v>5438</v>
      </c>
      <c r="D5355" s="115" t="s">
        <v>11443</v>
      </c>
      <c r="E5355" s="115" t="s">
        <v>5439</v>
      </c>
      <c r="F5355" s="115">
        <v>0</v>
      </c>
      <c r="G5355" s="115">
        <v>0</v>
      </c>
      <c r="H5355" s="115">
        <v>-646</v>
      </c>
      <c r="I5355" s="115">
        <v>-75</v>
      </c>
      <c r="J5355" s="115">
        <v>0</v>
      </c>
      <c r="K5355" s="115">
        <v>-453</v>
      </c>
    </row>
    <row r="5356" spans="1:11" x14ac:dyDescent="0.25">
      <c r="B5356" s="115" t="s">
        <v>1241</v>
      </c>
      <c r="D5356" s="115" t="s">
        <v>11444</v>
      </c>
      <c r="E5356" s="115" t="s">
        <v>5440</v>
      </c>
      <c r="F5356" s="115">
        <v>-435</v>
      </c>
      <c r="G5356" s="115">
        <v>63</v>
      </c>
      <c r="H5356" s="115">
        <v>-310</v>
      </c>
      <c r="I5356" s="115">
        <v>0</v>
      </c>
      <c r="J5356" s="115">
        <v>0</v>
      </c>
      <c r="K5356" s="115">
        <v>0</v>
      </c>
    </row>
    <row r="5357" spans="1:11" x14ac:dyDescent="0.25">
      <c r="B5357" s="115" t="s">
        <v>1241</v>
      </c>
      <c r="D5357" s="115" t="s">
        <v>11445</v>
      </c>
      <c r="E5357" s="115" t="s">
        <v>5441</v>
      </c>
      <c r="F5357" s="115">
        <v>-186</v>
      </c>
      <c r="G5357" s="115">
        <v>-206</v>
      </c>
      <c r="H5357" s="115">
        <v>-70</v>
      </c>
      <c r="I5357" s="115">
        <v>0</v>
      </c>
      <c r="J5357" s="115">
        <v>-882</v>
      </c>
      <c r="K5357" s="115">
        <v>-5417</v>
      </c>
    </row>
    <row r="5358" spans="1:11" x14ac:dyDescent="0.25">
      <c r="A5358" s="115" t="s">
        <v>1239</v>
      </c>
      <c r="B5358" s="115" t="s">
        <v>5442</v>
      </c>
      <c r="D5358" s="115" t="s">
        <v>11446</v>
      </c>
      <c r="E5358" s="115" t="s">
        <v>5443</v>
      </c>
      <c r="F5358" s="115">
        <v>-637</v>
      </c>
      <c r="G5358" s="115">
        <v>-1907</v>
      </c>
      <c r="H5358" s="115">
        <v>-2399</v>
      </c>
      <c r="I5358" s="115">
        <v>924</v>
      </c>
      <c r="J5358" s="115">
        <v>658</v>
      </c>
      <c r="K5358" s="115">
        <v>0</v>
      </c>
    </row>
    <row r="5359" spans="1:11" x14ac:dyDescent="0.25">
      <c r="A5359" s="115" t="s">
        <v>1239</v>
      </c>
      <c r="B5359" s="115" t="s">
        <v>1870</v>
      </c>
      <c r="D5359" s="115" t="s">
        <v>11447</v>
      </c>
      <c r="E5359" s="115" t="s">
        <v>5444</v>
      </c>
      <c r="F5359" s="115">
        <v>0</v>
      </c>
      <c r="G5359" s="115">
        <v>-6246</v>
      </c>
      <c r="H5359" s="115">
        <v>0</v>
      </c>
      <c r="I5359" s="115">
        <v>-3884</v>
      </c>
      <c r="J5359" s="115">
        <v>0</v>
      </c>
      <c r="K5359" s="115">
        <v>0</v>
      </c>
    </row>
    <row r="5360" spans="1:11" x14ac:dyDescent="0.25">
      <c r="B5360" s="115" t="s">
        <v>1241</v>
      </c>
      <c r="D5360" s="115" t="s">
        <v>11448</v>
      </c>
      <c r="E5360" s="115" t="s">
        <v>5445</v>
      </c>
      <c r="F5360" s="115">
        <v>0</v>
      </c>
      <c r="G5360" s="115">
        <v>0</v>
      </c>
      <c r="H5360" s="115">
        <v>-658</v>
      </c>
      <c r="I5360" s="115">
        <v>0</v>
      </c>
      <c r="J5360" s="115">
        <v>-524</v>
      </c>
      <c r="K5360" s="115">
        <v>1217</v>
      </c>
    </row>
    <row r="5361" spans="1:11" x14ac:dyDescent="0.25">
      <c r="B5361" s="115" t="s">
        <v>5446</v>
      </c>
      <c r="D5361" s="115" t="s">
        <v>11449</v>
      </c>
      <c r="E5361" s="115" t="s">
        <v>5447</v>
      </c>
      <c r="F5361" s="115">
        <v>0</v>
      </c>
      <c r="G5361" s="115">
        <v>0</v>
      </c>
      <c r="H5361" s="115">
        <v>0</v>
      </c>
      <c r="I5361" s="115">
        <v>0</v>
      </c>
      <c r="J5361" s="115">
        <v>0</v>
      </c>
      <c r="K5361" s="115">
        <v>-2375</v>
      </c>
    </row>
    <row r="5362" spans="1:11" x14ac:dyDescent="0.25">
      <c r="A5362" s="115" t="s">
        <v>1239</v>
      </c>
      <c r="B5362" s="115" t="s">
        <v>5448</v>
      </c>
      <c r="C5362" s="115" t="s">
        <v>1239</v>
      </c>
      <c r="D5362" s="115" t="s">
        <v>11450</v>
      </c>
      <c r="E5362" s="115" t="s">
        <v>5449</v>
      </c>
      <c r="F5362" s="115">
        <v>-3683</v>
      </c>
      <c r="G5362" s="115">
        <v>0</v>
      </c>
      <c r="H5362" s="115">
        <v>0</v>
      </c>
      <c r="I5362" s="115">
        <v>0</v>
      </c>
      <c r="J5362" s="115">
        <v>0</v>
      </c>
      <c r="K5362" s="115">
        <v>1996</v>
      </c>
    </row>
    <row r="5363" spans="1:11" x14ac:dyDescent="0.25">
      <c r="B5363" s="115" t="s">
        <v>5450</v>
      </c>
      <c r="D5363" s="115" t="s">
        <v>11451</v>
      </c>
      <c r="E5363" s="115" t="s">
        <v>5451</v>
      </c>
      <c r="F5363" s="115">
        <v>-955</v>
      </c>
      <c r="G5363" s="115">
        <v>560</v>
      </c>
      <c r="H5363" s="115">
        <v>0</v>
      </c>
      <c r="I5363" s="115">
        <v>0</v>
      </c>
      <c r="J5363" s="115">
        <v>0</v>
      </c>
      <c r="K5363" s="115">
        <v>0</v>
      </c>
    </row>
    <row r="5364" spans="1:11" x14ac:dyDescent="0.25">
      <c r="B5364" s="115" t="s">
        <v>4701</v>
      </c>
      <c r="D5364" s="115" t="s">
        <v>11452</v>
      </c>
      <c r="E5364" s="115" t="s">
        <v>5452</v>
      </c>
      <c r="F5364" s="115">
        <v>-2005</v>
      </c>
      <c r="G5364" s="115">
        <v>-2569</v>
      </c>
      <c r="H5364" s="115">
        <v>-860</v>
      </c>
      <c r="I5364" s="115">
        <v>-608</v>
      </c>
      <c r="J5364" s="115">
        <v>-234</v>
      </c>
      <c r="K5364" s="115">
        <v>329</v>
      </c>
    </row>
    <row r="5365" spans="1:11" x14ac:dyDescent="0.25">
      <c r="B5365" s="115" t="s">
        <v>5453</v>
      </c>
      <c r="D5365" s="115" t="s">
        <v>11453</v>
      </c>
      <c r="E5365" s="115" t="s">
        <v>5454</v>
      </c>
      <c r="F5365" s="115">
        <v>0</v>
      </c>
      <c r="G5365" s="115">
        <v>0</v>
      </c>
      <c r="H5365" s="115">
        <v>0</v>
      </c>
      <c r="I5365" s="115">
        <v>0</v>
      </c>
      <c r="J5365" s="115">
        <v>0</v>
      </c>
      <c r="K5365" s="115">
        <v>179</v>
      </c>
    </row>
    <row r="5366" spans="1:11" x14ac:dyDescent="0.25">
      <c r="A5366" s="115">
        <v>-2</v>
      </c>
      <c r="B5366" s="115" t="s">
        <v>5455</v>
      </c>
      <c r="C5366" s="115" t="s">
        <v>1239</v>
      </c>
      <c r="D5366" s="115" t="s">
        <v>11454</v>
      </c>
      <c r="E5366" s="115" t="s">
        <v>5456</v>
      </c>
      <c r="F5366" s="115">
        <v>1965</v>
      </c>
      <c r="G5366" s="115">
        <v>0</v>
      </c>
      <c r="H5366" s="115">
        <v>0</v>
      </c>
      <c r="I5366" s="115">
        <v>-205</v>
      </c>
      <c r="J5366" s="115">
        <v>0</v>
      </c>
      <c r="K5366" s="115">
        <v>-596</v>
      </c>
    </row>
    <row r="5367" spans="1:11" x14ac:dyDescent="0.25">
      <c r="A5367" s="115">
        <v>1</v>
      </c>
      <c r="B5367" s="115" t="s">
        <v>2299</v>
      </c>
      <c r="D5367" s="115" t="s">
        <v>11455</v>
      </c>
      <c r="E5367" s="115" t="s">
        <v>5457</v>
      </c>
      <c r="F5367" s="115">
        <v>0</v>
      </c>
      <c r="G5367" s="115">
        <v>-375</v>
      </c>
      <c r="H5367" s="115">
        <v>0</v>
      </c>
      <c r="I5367" s="115">
        <v>176</v>
      </c>
      <c r="J5367" s="115">
        <v>1715</v>
      </c>
      <c r="K5367" s="115">
        <v>0</v>
      </c>
    </row>
    <row r="5368" spans="1:11" x14ac:dyDescent="0.25">
      <c r="B5368" s="115" t="s">
        <v>1241</v>
      </c>
      <c r="D5368" s="115" t="s">
        <v>8710</v>
      </c>
      <c r="E5368" s="115" t="s">
        <v>1242</v>
      </c>
      <c r="F5368" s="115">
        <v>0</v>
      </c>
      <c r="G5368" s="115">
        <v>0</v>
      </c>
      <c r="H5368" s="115">
        <v>0</v>
      </c>
      <c r="I5368" s="115">
        <v>0</v>
      </c>
      <c r="J5368" s="115">
        <v>0</v>
      </c>
      <c r="K5368" s="115">
        <v>0</v>
      </c>
    </row>
    <row r="5369" spans="1:11" x14ac:dyDescent="0.25">
      <c r="B5369" s="115" t="s">
        <v>1241</v>
      </c>
      <c r="D5369" s="115" t="s">
        <v>11456</v>
      </c>
      <c r="E5369" s="115" t="s">
        <v>1242</v>
      </c>
      <c r="F5369" s="115">
        <v>-235</v>
      </c>
      <c r="G5369" s="115">
        <v>0</v>
      </c>
      <c r="H5369" s="115">
        <v>0</v>
      </c>
      <c r="I5369" s="115">
        <v>0</v>
      </c>
      <c r="J5369" s="115">
        <v>0</v>
      </c>
      <c r="K5369" s="115">
        <v>0</v>
      </c>
    </row>
    <row r="5370" spans="1:11" x14ac:dyDescent="0.25">
      <c r="B5370" s="115" t="s">
        <v>5458</v>
      </c>
      <c r="D5370" s="115" t="s">
        <v>11457</v>
      </c>
      <c r="E5370" s="115" t="s">
        <v>5459</v>
      </c>
      <c r="F5370" s="115">
        <v>14870</v>
      </c>
      <c r="G5370" s="115">
        <v>15441</v>
      </c>
      <c r="H5370" s="115">
        <v>14803</v>
      </c>
      <c r="I5370" s="115">
        <v>148</v>
      </c>
      <c r="J5370" s="115">
        <v>-31</v>
      </c>
      <c r="K5370" s="115">
        <v>-166</v>
      </c>
    </row>
    <row r="5371" spans="1:11" x14ac:dyDescent="0.25">
      <c r="A5371" s="115">
        <v>3</v>
      </c>
      <c r="B5371" s="115" t="s">
        <v>5460</v>
      </c>
      <c r="C5371" s="115">
        <v>2</v>
      </c>
      <c r="D5371" s="115" t="s">
        <v>11458</v>
      </c>
      <c r="E5371" s="115" t="s">
        <v>5461</v>
      </c>
      <c r="F5371" s="115">
        <v>11328</v>
      </c>
      <c r="G5371" s="115">
        <v>10591</v>
      </c>
      <c r="H5371" s="115">
        <v>728</v>
      </c>
      <c r="I5371" s="115">
        <v>0</v>
      </c>
      <c r="J5371" s="115">
        <v>21592</v>
      </c>
      <c r="K5371" s="115">
        <v>17217</v>
      </c>
    </row>
    <row r="5372" spans="1:11" x14ac:dyDescent="0.25">
      <c r="A5372" s="115">
        <v>17</v>
      </c>
      <c r="B5372" s="115" t="s">
        <v>5462</v>
      </c>
      <c r="C5372" s="115">
        <v>1</v>
      </c>
      <c r="D5372" s="115" t="s">
        <v>11459</v>
      </c>
      <c r="E5372" s="115" t="s">
        <v>5463</v>
      </c>
      <c r="F5372" s="115">
        <v>18076</v>
      </c>
      <c r="G5372" s="115">
        <v>15548</v>
      </c>
      <c r="H5372" s="115">
        <v>19166</v>
      </c>
      <c r="I5372" s="115">
        <v>17423</v>
      </c>
      <c r="J5372" s="115">
        <v>13192</v>
      </c>
      <c r="K5372" s="115">
        <v>13997</v>
      </c>
    </row>
    <row r="5373" spans="1:11" x14ac:dyDescent="0.25">
      <c r="A5373" s="115" t="s">
        <v>1239</v>
      </c>
      <c r="B5373" s="115" t="s">
        <v>5464</v>
      </c>
      <c r="D5373" s="115" t="s">
        <v>11460</v>
      </c>
      <c r="E5373" s="115" t="s">
        <v>5465</v>
      </c>
      <c r="F5373" s="115">
        <v>191</v>
      </c>
      <c r="G5373" s="115">
        <v>0</v>
      </c>
      <c r="H5373" s="115">
        <v>0</v>
      </c>
      <c r="I5373" s="115">
        <v>77</v>
      </c>
      <c r="J5373" s="115">
        <v>0</v>
      </c>
      <c r="K5373" s="115">
        <v>0</v>
      </c>
    </row>
    <row r="5374" spans="1:11" x14ac:dyDescent="0.25">
      <c r="B5374" s="115" t="s">
        <v>5466</v>
      </c>
      <c r="D5374" s="115" t="s">
        <v>11461</v>
      </c>
      <c r="E5374" s="115" t="s">
        <v>5467</v>
      </c>
      <c r="F5374" s="115">
        <v>0</v>
      </c>
      <c r="G5374" s="115">
        <v>0</v>
      </c>
      <c r="H5374" s="115">
        <v>0</v>
      </c>
      <c r="I5374" s="115">
        <v>0</v>
      </c>
      <c r="J5374" s="115">
        <v>0</v>
      </c>
      <c r="K5374" s="115">
        <v>543</v>
      </c>
    </row>
    <row r="5375" spans="1:11" x14ac:dyDescent="0.25">
      <c r="B5375" s="115" t="s">
        <v>1241</v>
      </c>
      <c r="D5375" s="115" t="s">
        <v>11462</v>
      </c>
      <c r="E5375" s="115" t="s">
        <v>5468</v>
      </c>
      <c r="F5375" s="115">
        <v>-8</v>
      </c>
      <c r="G5375" s="115">
        <v>0</v>
      </c>
      <c r="H5375" s="115">
        <v>326</v>
      </c>
      <c r="I5375" s="115">
        <v>-567</v>
      </c>
      <c r="J5375" s="115">
        <v>-317</v>
      </c>
      <c r="K5375" s="115">
        <v>0</v>
      </c>
    </row>
    <row r="5376" spans="1:11" x14ac:dyDescent="0.25">
      <c r="A5376" s="115" t="s">
        <v>1239</v>
      </c>
      <c r="B5376" s="115" t="s">
        <v>5469</v>
      </c>
      <c r="D5376" s="115" t="s">
        <v>11463</v>
      </c>
      <c r="E5376" s="115" t="s">
        <v>5470</v>
      </c>
      <c r="F5376" s="115">
        <v>275</v>
      </c>
      <c r="G5376" s="115">
        <v>313</v>
      </c>
      <c r="H5376" s="115">
        <v>0</v>
      </c>
      <c r="I5376" s="115">
        <v>-10</v>
      </c>
      <c r="J5376" s="115">
        <v>0</v>
      </c>
      <c r="K5376" s="115">
        <v>0</v>
      </c>
    </row>
    <row r="5377" spans="1:11" x14ac:dyDescent="0.25">
      <c r="B5377" s="115" t="s">
        <v>1241</v>
      </c>
      <c r="D5377" s="115" t="s">
        <v>11464</v>
      </c>
      <c r="E5377" s="115" t="s">
        <v>5471</v>
      </c>
      <c r="F5377" s="115">
        <v>0</v>
      </c>
      <c r="G5377" s="115">
        <v>0</v>
      </c>
      <c r="H5377" s="115">
        <v>0</v>
      </c>
      <c r="I5377" s="115">
        <v>-335</v>
      </c>
      <c r="J5377" s="115">
        <v>0</v>
      </c>
      <c r="K5377" s="115">
        <v>3</v>
      </c>
    </row>
    <row r="5378" spans="1:11" x14ac:dyDescent="0.25">
      <c r="B5378" s="115" t="s">
        <v>1241</v>
      </c>
      <c r="D5378" s="115" t="s">
        <v>11465</v>
      </c>
      <c r="E5378" s="115" t="s">
        <v>5472</v>
      </c>
      <c r="F5378" s="115">
        <v>0</v>
      </c>
      <c r="G5378" s="115">
        <v>29</v>
      </c>
      <c r="H5378" s="115">
        <v>0</v>
      </c>
      <c r="I5378" s="115">
        <v>186</v>
      </c>
      <c r="J5378" s="115">
        <v>32</v>
      </c>
      <c r="K5378" s="115">
        <v>0</v>
      </c>
    </row>
    <row r="5379" spans="1:11" x14ac:dyDescent="0.25">
      <c r="B5379" s="115" t="s">
        <v>5473</v>
      </c>
      <c r="C5379" s="115" t="s">
        <v>1239</v>
      </c>
      <c r="D5379" s="115" t="s">
        <v>11466</v>
      </c>
      <c r="E5379" s="115" t="s">
        <v>5474</v>
      </c>
      <c r="F5379" s="115">
        <v>1037</v>
      </c>
      <c r="G5379" s="115">
        <v>0</v>
      </c>
      <c r="H5379" s="115">
        <v>0</v>
      </c>
      <c r="I5379" s="115">
        <v>0</v>
      </c>
      <c r="J5379" s="115">
        <v>0</v>
      </c>
      <c r="K5379" s="115">
        <v>-91</v>
      </c>
    </row>
    <row r="5380" spans="1:11" x14ac:dyDescent="0.25">
      <c r="B5380" s="115" t="s">
        <v>5475</v>
      </c>
      <c r="D5380" s="115" t="s">
        <v>11467</v>
      </c>
      <c r="E5380" s="115" t="s">
        <v>5476</v>
      </c>
      <c r="F5380" s="115">
        <v>17</v>
      </c>
      <c r="G5380" s="115">
        <v>-136</v>
      </c>
      <c r="H5380" s="115">
        <v>0</v>
      </c>
      <c r="I5380" s="115">
        <v>-371</v>
      </c>
      <c r="J5380" s="115">
        <v>84</v>
      </c>
      <c r="K5380" s="115">
        <v>29</v>
      </c>
    </row>
    <row r="5381" spans="1:11" x14ac:dyDescent="0.25">
      <c r="A5381" s="115" t="s">
        <v>1239</v>
      </c>
      <c r="B5381" s="115" t="s">
        <v>5477</v>
      </c>
      <c r="D5381" s="115" t="s">
        <v>11468</v>
      </c>
      <c r="E5381" s="115" t="s">
        <v>5478</v>
      </c>
      <c r="F5381" s="115">
        <v>0</v>
      </c>
      <c r="G5381" s="115">
        <v>0</v>
      </c>
      <c r="H5381" s="115">
        <v>0</v>
      </c>
      <c r="I5381" s="115">
        <v>0</v>
      </c>
      <c r="J5381" s="115">
        <v>0</v>
      </c>
      <c r="K5381" s="115">
        <v>-73</v>
      </c>
    </row>
    <row r="5382" spans="1:11" x14ac:dyDescent="0.25">
      <c r="B5382" s="115" t="s">
        <v>5479</v>
      </c>
      <c r="C5382" s="115" t="s">
        <v>1239</v>
      </c>
      <c r="D5382" s="115" t="s">
        <v>11469</v>
      </c>
      <c r="E5382" s="115" t="s">
        <v>5480</v>
      </c>
      <c r="F5382" s="115">
        <v>0</v>
      </c>
      <c r="G5382" s="115">
        <v>1362</v>
      </c>
      <c r="H5382" s="115">
        <v>-9957</v>
      </c>
      <c r="I5382" s="115">
        <v>-685</v>
      </c>
      <c r="J5382" s="115">
        <v>-2353</v>
      </c>
      <c r="K5382" s="115">
        <v>-1047</v>
      </c>
    </row>
    <row r="5383" spans="1:11" x14ac:dyDescent="0.25">
      <c r="B5383" s="115" t="s">
        <v>2048</v>
      </c>
      <c r="D5383" s="115" t="s">
        <v>11470</v>
      </c>
      <c r="E5383" s="115" t="s">
        <v>5481</v>
      </c>
      <c r="F5383" s="115">
        <v>-59</v>
      </c>
      <c r="G5383" s="115">
        <v>0</v>
      </c>
      <c r="H5383" s="115">
        <v>279</v>
      </c>
      <c r="I5383" s="115">
        <v>-1073</v>
      </c>
      <c r="J5383" s="115">
        <v>0</v>
      </c>
      <c r="K5383" s="115">
        <v>0</v>
      </c>
    </row>
    <row r="5384" spans="1:11" x14ac:dyDescent="0.25">
      <c r="B5384" s="115" t="s">
        <v>5482</v>
      </c>
      <c r="D5384" s="115" t="s">
        <v>11471</v>
      </c>
      <c r="E5384" s="115" t="s">
        <v>5483</v>
      </c>
      <c r="F5384" s="115">
        <v>-477</v>
      </c>
      <c r="G5384" s="115">
        <v>-1562</v>
      </c>
      <c r="H5384" s="115">
        <v>35</v>
      </c>
      <c r="I5384" s="115">
        <v>-256</v>
      </c>
      <c r="J5384" s="115">
        <v>0</v>
      </c>
      <c r="K5384" s="115">
        <v>0</v>
      </c>
    </row>
    <row r="5385" spans="1:11" x14ac:dyDescent="0.25">
      <c r="B5385" s="115" t="s">
        <v>1241</v>
      </c>
      <c r="D5385" s="115" t="s">
        <v>11472</v>
      </c>
      <c r="E5385" s="115" t="s">
        <v>5484</v>
      </c>
      <c r="F5385" s="115">
        <v>0</v>
      </c>
      <c r="G5385" s="115">
        <v>-2401</v>
      </c>
      <c r="H5385" s="115">
        <v>1284</v>
      </c>
      <c r="I5385" s="115">
        <v>259</v>
      </c>
      <c r="J5385" s="115">
        <v>0</v>
      </c>
      <c r="K5385" s="115">
        <v>592</v>
      </c>
    </row>
    <row r="5386" spans="1:11" x14ac:dyDescent="0.25">
      <c r="A5386" s="115">
        <v>-5</v>
      </c>
      <c r="B5386" s="115" t="s">
        <v>5485</v>
      </c>
      <c r="D5386" s="115" t="s">
        <v>11473</v>
      </c>
      <c r="E5386" s="115" t="s">
        <v>5486</v>
      </c>
      <c r="F5386" s="115">
        <v>-30</v>
      </c>
      <c r="G5386" s="115">
        <v>-270</v>
      </c>
      <c r="H5386" s="115">
        <v>-823</v>
      </c>
      <c r="I5386" s="115">
        <v>0</v>
      </c>
      <c r="J5386" s="115">
        <v>-37</v>
      </c>
      <c r="K5386" s="115">
        <v>0</v>
      </c>
    </row>
    <row r="5387" spans="1:11" x14ac:dyDescent="0.25">
      <c r="B5387" s="115" t="s">
        <v>5487</v>
      </c>
      <c r="D5387" s="115" t="s">
        <v>11474</v>
      </c>
      <c r="E5387" s="115" t="s">
        <v>5488</v>
      </c>
      <c r="F5387" s="115">
        <v>208</v>
      </c>
      <c r="G5387" s="115">
        <v>0</v>
      </c>
      <c r="H5387" s="115">
        <v>0</v>
      </c>
      <c r="I5387" s="115">
        <v>-19</v>
      </c>
      <c r="J5387" s="115">
        <v>0</v>
      </c>
      <c r="K5387" s="115">
        <v>-151</v>
      </c>
    </row>
    <row r="5388" spans="1:11" x14ac:dyDescent="0.25">
      <c r="B5388" s="115">
        <f>-74     -5</f>
        <v>-79</v>
      </c>
      <c r="D5388" s="115" t="s">
        <v>11475</v>
      </c>
      <c r="E5388" s="115" t="s">
        <v>5489</v>
      </c>
      <c r="F5388" s="115">
        <v>0</v>
      </c>
      <c r="G5388" s="115">
        <v>0</v>
      </c>
      <c r="H5388" s="115">
        <v>0</v>
      </c>
      <c r="I5388" s="115">
        <v>193</v>
      </c>
      <c r="J5388" s="115">
        <v>0</v>
      </c>
      <c r="K5388" s="115">
        <v>-171</v>
      </c>
    </row>
    <row r="5389" spans="1:11" x14ac:dyDescent="0.25">
      <c r="A5389" s="115">
        <v>-1</v>
      </c>
      <c r="B5389" s="115" t="s">
        <v>5490</v>
      </c>
      <c r="D5389" s="115" t="s">
        <v>11476</v>
      </c>
      <c r="E5389" s="115" t="s">
        <v>5491</v>
      </c>
      <c r="F5389" s="115">
        <v>-9383</v>
      </c>
      <c r="G5389" s="115">
        <v>-290</v>
      </c>
      <c r="H5389" s="115">
        <v>0</v>
      </c>
      <c r="I5389" s="115">
        <v>0</v>
      </c>
      <c r="J5389" s="115">
        <v>0</v>
      </c>
      <c r="K5389" s="115">
        <v>-384</v>
      </c>
    </row>
    <row r="5390" spans="1:11" x14ac:dyDescent="0.25">
      <c r="B5390" s="115" t="s">
        <v>5492</v>
      </c>
      <c r="D5390" s="115" t="s">
        <v>11477</v>
      </c>
      <c r="E5390" s="115" t="s">
        <v>5493</v>
      </c>
      <c r="F5390" s="115">
        <v>0</v>
      </c>
      <c r="G5390" s="115">
        <v>-1778</v>
      </c>
      <c r="H5390" s="115">
        <v>0</v>
      </c>
      <c r="I5390" s="115">
        <v>0</v>
      </c>
      <c r="J5390" s="115">
        <v>-286</v>
      </c>
      <c r="K5390" s="115">
        <v>0</v>
      </c>
    </row>
    <row r="5391" spans="1:11" x14ac:dyDescent="0.25">
      <c r="B5391" s="115" t="s">
        <v>4264</v>
      </c>
      <c r="D5391" s="115" t="s">
        <v>11478</v>
      </c>
      <c r="E5391" s="115" t="s">
        <v>1242</v>
      </c>
      <c r="F5391" s="115">
        <v>0</v>
      </c>
      <c r="G5391" s="115">
        <v>0</v>
      </c>
      <c r="H5391" s="115">
        <v>0</v>
      </c>
      <c r="I5391" s="115">
        <v>0</v>
      </c>
      <c r="J5391" s="115">
        <v>0</v>
      </c>
      <c r="K5391" s="115">
        <v>0</v>
      </c>
    </row>
    <row r="5392" spans="1:11" x14ac:dyDescent="0.25">
      <c r="B5392" s="115" t="s">
        <v>5494</v>
      </c>
      <c r="D5392" s="115" t="s">
        <v>11479</v>
      </c>
      <c r="E5392" s="115" t="s">
        <v>5495</v>
      </c>
      <c r="F5392" s="115">
        <v>5176</v>
      </c>
      <c r="G5392" s="115">
        <v>2077</v>
      </c>
      <c r="H5392" s="115">
        <v>0</v>
      </c>
      <c r="I5392" s="115">
        <v>2644</v>
      </c>
      <c r="J5392" s="115">
        <v>2052</v>
      </c>
      <c r="K5392" s="115">
        <v>0</v>
      </c>
    </row>
    <row r="5393" spans="1:11" x14ac:dyDescent="0.25">
      <c r="B5393" s="115" t="s">
        <v>1241</v>
      </c>
      <c r="D5393" s="115" t="s">
        <v>11480</v>
      </c>
      <c r="E5393" s="115">
        <f>-1763  -3301  -2583  -1634  -5260</f>
        <v>-14541</v>
      </c>
      <c r="F5393" s="115">
        <v>-3676</v>
      </c>
      <c r="G5393" s="115">
        <v>-1763</v>
      </c>
      <c r="H5393" s="115">
        <v>-3301</v>
      </c>
      <c r="I5393" s="115">
        <v>-2583</v>
      </c>
      <c r="J5393" s="115">
        <v>-1634</v>
      </c>
      <c r="K5393" s="115">
        <v>-5260</v>
      </c>
    </row>
    <row r="5394" spans="1:11" x14ac:dyDescent="0.25">
      <c r="B5394" s="115" t="s">
        <v>1241</v>
      </c>
      <c r="D5394" s="115" t="s">
        <v>11481</v>
      </c>
      <c r="E5394" s="115" t="s">
        <v>5496</v>
      </c>
      <c r="F5394" s="115">
        <v>181</v>
      </c>
      <c r="G5394" s="115">
        <v>0</v>
      </c>
      <c r="H5394" s="115">
        <v>278</v>
      </c>
      <c r="I5394" s="115">
        <v>0</v>
      </c>
      <c r="J5394" s="115">
        <v>0</v>
      </c>
      <c r="K5394" s="115">
        <v>-1449</v>
      </c>
    </row>
    <row r="5395" spans="1:11" x14ac:dyDescent="0.25">
      <c r="B5395" s="115" t="s">
        <v>5497</v>
      </c>
      <c r="D5395" s="115" t="s">
        <v>11482</v>
      </c>
      <c r="E5395" s="115" t="s">
        <v>5498</v>
      </c>
      <c r="F5395" s="115">
        <v>0</v>
      </c>
      <c r="G5395" s="115">
        <v>148</v>
      </c>
      <c r="H5395" s="115">
        <v>0</v>
      </c>
      <c r="I5395" s="115">
        <v>1154</v>
      </c>
      <c r="J5395" s="115">
        <v>-2745</v>
      </c>
      <c r="K5395" s="115">
        <v>-3148</v>
      </c>
    </row>
    <row r="5396" spans="1:11" x14ac:dyDescent="0.25">
      <c r="A5396" s="115">
        <v>-4</v>
      </c>
      <c r="B5396" s="115" t="s">
        <v>5499</v>
      </c>
      <c r="C5396" s="115" t="s">
        <v>1239</v>
      </c>
      <c r="D5396" s="115" t="s">
        <v>11483</v>
      </c>
      <c r="E5396" s="115" t="s">
        <v>5500</v>
      </c>
      <c r="F5396" s="115">
        <v>-203</v>
      </c>
      <c r="G5396" s="115">
        <v>28</v>
      </c>
      <c r="H5396" s="115">
        <v>417</v>
      </c>
      <c r="I5396" s="115">
        <v>0</v>
      </c>
      <c r="J5396" s="115">
        <v>0</v>
      </c>
      <c r="K5396" s="115">
        <v>0</v>
      </c>
    </row>
    <row r="5397" spans="1:11" x14ac:dyDescent="0.25">
      <c r="B5397" s="115" t="s">
        <v>1241</v>
      </c>
      <c r="D5397" s="115" t="s">
        <v>11484</v>
      </c>
      <c r="E5397" s="115" t="s">
        <v>5501</v>
      </c>
      <c r="F5397" s="115">
        <v>-155</v>
      </c>
      <c r="G5397" s="115">
        <v>534</v>
      </c>
      <c r="H5397" s="115">
        <v>-203</v>
      </c>
      <c r="I5397" s="115">
        <v>121</v>
      </c>
      <c r="J5397" s="115">
        <v>387</v>
      </c>
      <c r="K5397" s="115">
        <v>1855</v>
      </c>
    </row>
    <row r="5398" spans="1:11" x14ac:dyDescent="0.25">
      <c r="B5398" s="115" t="s">
        <v>1241</v>
      </c>
      <c r="C5398" s="115" t="s">
        <v>1239</v>
      </c>
      <c r="D5398" s="115" t="s">
        <v>11485</v>
      </c>
      <c r="E5398" s="115" t="s">
        <v>5502</v>
      </c>
      <c r="F5398" s="115">
        <v>66</v>
      </c>
      <c r="G5398" s="115">
        <v>-1246</v>
      </c>
      <c r="H5398" s="115">
        <v>0</v>
      </c>
      <c r="I5398" s="115">
        <v>0</v>
      </c>
      <c r="J5398" s="115">
        <v>0</v>
      </c>
      <c r="K5398" s="115">
        <v>0</v>
      </c>
    </row>
    <row r="5399" spans="1:11" x14ac:dyDescent="0.25">
      <c r="B5399" s="115" t="s">
        <v>1241</v>
      </c>
      <c r="D5399" s="115" t="s">
        <v>11486</v>
      </c>
      <c r="E5399" s="115" t="s">
        <v>1242</v>
      </c>
      <c r="F5399" s="115">
        <v>0</v>
      </c>
      <c r="G5399" s="115">
        <v>0</v>
      </c>
      <c r="H5399" s="115">
        <v>0</v>
      </c>
      <c r="I5399" s="115">
        <v>0</v>
      </c>
      <c r="J5399" s="115">
        <v>0</v>
      </c>
      <c r="K5399" s="115">
        <v>0</v>
      </c>
    </row>
    <row r="5400" spans="1:11" x14ac:dyDescent="0.25">
      <c r="B5400" s="115" t="s">
        <v>1241</v>
      </c>
      <c r="D5400" s="115" t="s">
        <v>11487</v>
      </c>
      <c r="E5400" s="115" t="s">
        <v>5503</v>
      </c>
      <c r="F5400" s="115">
        <v>0</v>
      </c>
      <c r="G5400" s="115">
        <v>0</v>
      </c>
      <c r="H5400" s="115">
        <v>0</v>
      </c>
      <c r="I5400" s="115">
        <v>0</v>
      </c>
      <c r="J5400" s="115">
        <v>0</v>
      </c>
      <c r="K5400" s="115">
        <v>-138</v>
      </c>
    </row>
    <row r="5401" spans="1:11" x14ac:dyDescent="0.25">
      <c r="B5401" s="115" t="s">
        <v>1241</v>
      </c>
      <c r="D5401" s="115" t="s">
        <v>11488</v>
      </c>
      <c r="E5401" s="115" t="s">
        <v>5504</v>
      </c>
      <c r="F5401" s="115">
        <v>0</v>
      </c>
      <c r="G5401" s="115">
        <v>-20</v>
      </c>
      <c r="H5401" s="115">
        <v>3334</v>
      </c>
      <c r="I5401" s="115">
        <v>3578</v>
      </c>
      <c r="J5401" s="115">
        <v>19362</v>
      </c>
      <c r="K5401" s="115">
        <v>36995</v>
      </c>
    </row>
    <row r="5402" spans="1:11" x14ac:dyDescent="0.25">
      <c r="A5402" s="115">
        <v>21</v>
      </c>
      <c r="B5402" s="115" t="s">
        <v>5505</v>
      </c>
      <c r="D5402" s="115" t="s">
        <v>11489</v>
      </c>
      <c r="E5402" s="115" t="s">
        <v>5506</v>
      </c>
      <c r="F5402" s="115">
        <v>-171</v>
      </c>
      <c r="G5402" s="115">
        <v>4958</v>
      </c>
      <c r="H5402" s="115">
        <v>3241</v>
      </c>
      <c r="I5402" s="115">
        <v>15483</v>
      </c>
      <c r="J5402" s="115">
        <v>27851</v>
      </c>
      <c r="K5402" s="115">
        <v>15635</v>
      </c>
    </row>
    <row r="5403" spans="1:11" x14ac:dyDescent="0.25">
      <c r="A5403" s="115">
        <v>15</v>
      </c>
      <c r="B5403" s="115" t="s">
        <v>5507</v>
      </c>
      <c r="D5403" s="115" t="s">
        <v>11490</v>
      </c>
      <c r="E5403" s="115" t="s">
        <v>5508</v>
      </c>
      <c r="F5403" s="115">
        <v>35203</v>
      </c>
      <c r="G5403" s="115">
        <v>25100</v>
      </c>
      <c r="H5403" s="115">
        <v>22578</v>
      </c>
      <c r="I5403" s="115">
        <v>18537</v>
      </c>
      <c r="J5403" s="115">
        <v>26403</v>
      </c>
      <c r="K5403" s="115">
        <v>27523</v>
      </c>
    </row>
    <row r="5404" spans="1:11" x14ac:dyDescent="0.25">
      <c r="A5404" s="115">
        <v>24</v>
      </c>
      <c r="B5404" s="115" t="s">
        <v>5509</v>
      </c>
      <c r="C5404" s="115">
        <v>4</v>
      </c>
      <c r="D5404" s="115" t="s">
        <v>11491</v>
      </c>
      <c r="E5404" s="115" t="s">
        <v>5510</v>
      </c>
      <c r="F5404" s="115">
        <v>21917</v>
      </c>
      <c r="G5404" s="115">
        <v>13218</v>
      </c>
      <c r="H5404" s="115">
        <v>30</v>
      </c>
      <c r="I5404" s="115">
        <v>-1734</v>
      </c>
      <c r="J5404" s="115">
        <v>309</v>
      </c>
      <c r="K5404" s="115">
        <v>-60</v>
      </c>
    </row>
    <row r="5405" spans="1:11" x14ac:dyDescent="0.25">
      <c r="B5405" s="115" t="s">
        <v>5511</v>
      </c>
      <c r="D5405" s="115" t="s">
        <v>11492</v>
      </c>
      <c r="E5405" s="115" t="s">
        <v>5512</v>
      </c>
      <c r="F5405" s="115">
        <v>0</v>
      </c>
      <c r="G5405" s="115">
        <v>0</v>
      </c>
      <c r="H5405" s="115">
        <v>0</v>
      </c>
      <c r="I5405" s="115">
        <v>127</v>
      </c>
      <c r="J5405" s="115">
        <v>44</v>
      </c>
      <c r="K5405" s="115">
        <v>0</v>
      </c>
    </row>
    <row r="5406" spans="1:11" x14ac:dyDescent="0.25">
      <c r="B5406" s="115" t="s">
        <v>1241</v>
      </c>
      <c r="D5406" s="115" t="s">
        <v>11493</v>
      </c>
      <c r="E5406" s="115" t="s">
        <v>5513</v>
      </c>
      <c r="F5406" s="115">
        <v>0</v>
      </c>
      <c r="G5406" s="115">
        <v>528</v>
      </c>
      <c r="H5406" s="115">
        <v>0</v>
      </c>
      <c r="I5406" s="115">
        <v>0</v>
      </c>
      <c r="J5406" s="115">
        <v>37</v>
      </c>
      <c r="K5406" s="115">
        <v>0</v>
      </c>
    </row>
    <row r="5407" spans="1:11" x14ac:dyDescent="0.25">
      <c r="B5407" s="115" t="s">
        <v>5148</v>
      </c>
      <c r="D5407" s="115" t="s">
        <v>11494</v>
      </c>
      <c r="E5407" s="115" t="s">
        <v>5514</v>
      </c>
      <c r="F5407" s="115">
        <v>-386</v>
      </c>
      <c r="G5407" s="115">
        <v>0</v>
      </c>
      <c r="H5407" s="115">
        <v>-518</v>
      </c>
      <c r="I5407" s="115">
        <v>-1781</v>
      </c>
      <c r="J5407" s="115">
        <v>311</v>
      </c>
      <c r="K5407" s="115">
        <v>111</v>
      </c>
    </row>
    <row r="5408" spans="1:11" x14ac:dyDescent="0.25">
      <c r="B5408" s="115" t="s">
        <v>5515</v>
      </c>
      <c r="D5408" s="115" t="s">
        <v>11495</v>
      </c>
      <c r="E5408" s="115" t="s">
        <v>5516</v>
      </c>
      <c r="F5408" s="115">
        <v>0</v>
      </c>
      <c r="G5408" s="115">
        <v>0</v>
      </c>
      <c r="H5408" s="115">
        <v>0</v>
      </c>
      <c r="I5408" s="115">
        <v>0</v>
      </c>
      <c r="J5408" s="115">
        <v>0</v>
      </c>
      <c r="K5408" s="115">
        <v>-53</v>
      </c>
    </row>
    <row r="5409" spans="1:11" x14ac:dyDescent="0.25">
      <c r="B5409" s="115" t="s">
        <v>1241</v>
      </c>
      <c r="D5409" s="115" t="s">
        <v>11496</v>
      </c>
      <c r="E5409" s="115" t="s">
        <v>5517</v>
      </c>
      <c r="F5409" s="115">
        <v>0</v>
      </c>
      <c r="G5409" s="115">
        <v>10</v>
      </c>
      <c r="H5409" s="115">
        <v>0</v>
      </c>
      <c r="I5409" s="115">
        <v>0</v>
      </c>
      <c r="J5409" s="115">
        <v>0</v>
      </c>
      <c r="K5409" s="115">
        <v>0</v>
      </c>
    </row>
    <row r="5410" spans="1:11" x14ac:dyDescent="0.25">
      <c r="B5410" s="115" t="s">
        <v>5518</v>
      </c>
      <c r="D5410" s="115" t="s">
        <v>11497</v>
      </c>
      <c r="E5410" s="115" t="s">
        <v>5519</v>
      </c>
      <c r="F5410" s="115">
        <v>56</v>
      </c>
      <c r="G5410" s="115">
        <v>0</v>
      </c>
      <c r="H5410" s="115">
        <v>0</v>
      </c>
      <c r="I5410" s="115">
        <v>872</v>
      </c>
      <c r="J5410" s="115">
        <v>-6366</v>
      </c>
      <c r="K5410" s="115">
        <v>0</v>
      </c>
    </row>
    <row r="5411" spans="1:11" x14ac:dyDescent="0.25">
      <c r="B5411" s="115" t="s">
        <v>3951</v>
      </c>
      <c r="D5411" s="115" t="s">
        <v>11498</v>
      </c>
      <c r="E5411" s="115" t="s">
        <v>5520</v>
      </c>
      <c r="F5411" s="115">
        <v>0</v>
      </c>
      <c r="G5411" s="115">
        <v>-2</v>
      </c>
      <c r="H5411" s="115">
        <v>63</v>
      </c>
      <c r="I5411" s="115">
        <v>82</v>
      </c>
      <c r="J5411" s="115">
        <v>0</v>
      </c>
      <c r="K5411" s="115">
        <v>0</v>
      </c>
    </row>
    <row r="5412" spans="1:11" x14ac:dyDescent="0.25">
      <c r="B5412" s="115" t="s">
        <v>5521</v>
      </c>
      <c r="D5412" s="115" t="s">
        <v>11499</v>
      </c>
      <c r="E5412" s="115" t="s">
        <v>5522</v>
      </c>
      <c r="F5412" s="115">
        <v>380</v>
      </c>
      <c r="G5412" s="115">
        <v>-153</v>
      </c>
      <c r="H5412" s="115">
        <v>218</v>
      </c>
      <c r="I5412" s="115">
        <v>12</v>
      </c>
      <c r="J5412" s="115">
        <v>186</v>
      </c>
      <c r="K5412" s="115">
        <v>576</v>
      </c>
    </row>
    <row r="5413" spans="1:11" x14ac:dyDescent="0.25">
      <c r="B5413" s="115" t="s">
        <v>1241</v>
      </c>
      <c r="D5413" s="115" t="s">
        <v>11500</v>
      </c>
      <c r="E5413" s="115" t="s">
        <v>5523</v>
      </c>
      <c r="F5413" s="115">
        <v>0</v>
      </c>
      <c r="G5413" s="115">
        <v>-74</v>
      </c>
      <c r="H5413" s="115">
        <v>0</v>
      </c>
      <c r="I5413" s="115">
        <v>57</v>
      </c>
      <c r="J5413" s="115">
        <v>-895</v>
      </c>
      <c r="K5413" s="115">
        <v>-423</v>
      </c>
    </row>
    <row r="5414" spans="1:11" x14ac:dyDescent="0.25">
      <c r="B5414" s="115" t="s">
        <v>5524</v>
      </c>
      <c r="C5414" s="115" t="s">
        <v>1239</v>
      </c>
      <c r="D5414" s="115" t="s">
        <v>11501</v>
      </c>
      <c r="E5414" s="115" t="s">
        <v>5525</v>
      </c>
      <c r="F5414" s="115">
        <v>717</v>
      </c>
      <c r="G5414" s="115">
        <v>949</v>
      </c>
      <c r="H5414" s="115">
        <v>0</v>
      </c>
      <c r="I5414" s="115">
        <v>-467</v>
      </c>
      <c r="J5414" s="115">
        <v>-1087</v>
      </c>
      <c r="K5414" s="115">
        <v>-15</v>
      </c>
    </row>
    <row r="5415" spans="1:11" x14ac:dyDescent="0.25">
      <c r="B5415" s="115" t="s">
        <v>5526</v>
      </c>
      <c r="D5415" s="115" t="s">
        <v>11502</v>
      </c>
      <c r="E5415" s="115" t="s">
        <v>5527</v>
      </c>
      <c r="F5415" s="115">
        <v>0</v>
      </c>
      <c r="G5415" s="115">
        <v>0</v>
      </c>
      <c r="H5415" s="115">
        <v>0</v>
      </c>
      <c r="I5415" s="115">
        <v>23</v>
      </c>
      <c r="J5415" s="115">
        <v>85</v>
      </c>
      <c r="K5415" s="115">
        <v>0</v>
      </c>
    </row>
    <row r="5416" spans="1:11" x14ac:dyDescent="0.25">
      <c r="B5416" s="115">
        <f>-11   -123</f>
        <v>-134</v>
      </c>
      <c r="D5416" s="115" t="s">
        <v>11503</v>
      </c>
      <c r="E5416" s="115" t="s">
        <v>5528</v>
      </c>
      <c r="F5416" s="115">
        <v>0</v>
      </c>
      <c r="G5416" s="115">
        <v>0</v>
      </c>
      <c r="H5416" s="115">
        <v>0</v>
      </c>
      <c r="I5416" s="115">
        <v>0</v>
      </c>
      <c r="J5416" s="115">
        <v>0</v>
      </c>
      <c r="K5416" s="115">
        <v>144</v>
      </c>
    </row>
    <row r="5417" spans="1:11" x14ac:dyDescent="0.25">
      <c r="B5417" s="115" t="s">
        <v>5529</v>
      </c>
      <c r="C5417" s="115" t="s">
        <v>1239</v>
      </c>
      <c r="D5417" s="115" t="s">
        <v>11504</v>
      </c>
      <c r="E5417" s="115">
        <f>-13  -9599  -1086  -3541  -1522</f>
        <v>-15761</v>
      </c>
      <c r="F5417" s="115">
        <v>0</v>
      </c>
      <c r="G5417" s="115">
        <v>-13</v>
      </c>
      <c r="H5417" s="115">
        <v>-9599</v>
      </c>
      <c r="I5417" s="115">
        <v>-1086</v>
      </c>
      <c r="J5417" s="115">
        <v>-3541</v>
      </c>
      <c r="K5417" s="115">
        <v>-1522</v>
      </c>
    </row>
    <row r="5418" spans="1:11" x14ac:dyDescent="0.25">
      <c r="A5418" s="115" t="s">
        <v>1239</v>
      </c>
      <c r="B5418" s="115" t="s">
        <v>5530</v>
      </c>
      <c r="D5418" s="115" t="s">
        <v>11505</v>
      </c>
      <c r="E5418" s="115" t="s">
        <v>5531</v>
      </c>
      <c r="F5418" s="115">
        <v>55</v>
      </c>
      <c r="G5418" s="115">
        <v>0</v>
      </c>
      <c r="H5418" s="115">
        <v>0</v>
      </c>
      <c r="I5418" s="115">
        <v>-1271</v>
      </c>
      <c r="J5418" s="115">
        <v>-259</v>
      </c>
      <c r="K5418" s="115">
        <v>0</v>
      </c>
    </row>
    <row r="5419" spans="1:11" x14ac:dyDescent="0.25">
      <c r="A5419" s="115">
        <v>1</v>
      </c>
      <c r="B5419" s="115" t="s">
        <v>2438</v>
      </c>
      <c r="D5419" s="115" t="s">
        <v>11506</v>
      </c>
      <c r="E5419" s="115" t="s">
        <v>5532</v>
      </c>
      <c r="F5419" s="115">
        <v>0</v>
      </c>
      <c r="G5419" s="115">
        <v>-1185</v>
      </c>
      <c r="H5419" s="115">
        <v>408</v>
      </c>
      <c r="I5419" s="115">
        <v>-631</v>
      </c>
      <c r="J5419" s="115">
        <v>0</v>
      </c>
      <c r="K5419" s="115">
        <v>0</v>
      </c>
    </row>
    <row r="5420" spans="1:11" x14ac:dyDescent="0.25">
      <c r="B5420" s="115" t="s">
        <v>1241</v>
      </c>
      <c r="D5420" s="115" t="s">
        <v>11507</v>
      </c>
      <c r="E5420" s="115" t="s">
        <v>5533</v>
      </c>
      <c r="F5420" s="115">
        <v>0</v>
      </c>
      <c r="G5420" s="115">
        <v>-2404</v>
      </c>
      <c r="H5420" s="115">
        <v>1855</v>
      </c>
      <c r="I5420" s="115">
        <v>356</v>
      </c>
      <c r="J5420" s="115">
        <v>0</v>
      </c>
      <c r="K5420" s="115">
        <v>-7164</v>
      </c>
    </row>
    <row r="5421" spans="1:11" x14ac:dyDescent="0.25">
      <c r="A5421" s="115">
        <v>-9</v>
      </c>
      <c r="B5421" s="115" t="s">
        <v>5534</v>
      </c>
      <c r="D5421" s="115" t="s">
        <v>11508</v>
      </c>
      <c r="E5421" s="115" t="s">
        <v>5535</v>
      </c>
      <c r="F5421" s="115">
        <v>0</v>
      </c>
      <c r="G5421" s="115">
        <v>-11</v>
      </c>
      <c r="H5421" s="115">
        <v>395</v>
      </c>
      <c r="I5421" s="115">
        <v>260</v>
      </c>
      <c r="J5421" s="115">
        <v>806</v>
      </c>
      <c r="K5421" s="115">
        <v>50</v>
      </c>
    </row>
    <row r="5422" spans="1:11" x14ac:dyDescent="0.25">
      <c r="B5422" s="115" t="s">
        <v>5536</v>
      </c>
      <c r="D5422" s="115" t="s">
        <v>11509</v>
      </c>
      <c r="E5422" s="115" t="s">
        <v>5537</v>
      </c>
      <c r="F5422" s="115">
        <v>-1343</v>
      </c>
      <c r="G5422" s="115">
        <v>0</v>
      </c>
      <c r="H5422" s="115">
        <v>-381</v>
      </c>
      <c r="I5422" s="115">
        <v>0</v>
      </c>
      <c r="J5422" s="115">
        <v>-53</v>
      </c>
      <c r="K5422" s="115">
        <v>0</v>
      </c>
    </row>
    <row r="5423" spans="1:11" x14ac:dyDescent="0.25">
      <c r="B5423" s="115" t="s">
        <v>1241</v>
      </c>
      <c r="D5423" s="115" t="s">
        <v>11510</v>
      </c>
      <c r="E5423" s="115" t="s">
        <v>5538</v>
      </c>
      <c r="F5423" s="115">
        <v>0</v>
      </c>
      <c r="G5423" s="115">
        <v>0</v>
      </c>
      <c r="H5423" s="115">
        <v>0</v>
      </c>
      <c r="I5423" s="115">
        <v>199</v>
      </c>
      <c r="J5423" s="115">
        <v>0</v>
      </c>
      <c r="K5423" s="115">
        <v>1</v>
      </c>
    </row>
    <row r="5424" spans="1:11" x14ac:dyDescent="0.25">
      <c r="A5424" s="115">
        <v>5</v>
      </c>
      <c r="B5424" s="115" t="s">
        <v>5539</v>
      </c>
      <c r="D5424" s="115" t="s">
        <v>11511</v>
      </c>
      <c r="E5424" s="115" t="s">
        <v>1242</v>
      </c>
      <c r="F5424" s="115">
        <v>2144</v>
      </c>
      <c r="G5424" s="115">
        <v>0</v>
      </c>
      <c r="H5424" s="115">
        <v>0</v>
      </c>
      <c r="I5424" s="115">
        <v>0</v>
      </c>
      <c r="J5424" s="115">
        <v>0</v>
      </c>
      <c r="K5424" s="115">
        <v>0</v>
      </c>
    </row>
    <row r="5425" spans="1:11" x14ac:dyDescent="0.25">
      <c r="A5425" s="115">
        <v>-3</v>
      </c>
      <c r="B5425" s="115" t="s">
        <v>5540</v>
      </c>
      <c r="C5425" s="115" t="s">
        <v>1239</v>
      </c>
      <c r="D5425" s="115" t="s">
        <v>11512</v>
      </c>
      <c r="E5425" s="115" t="s">
        <v>5541</v>
      </c>
      <c r="F5425" s="115">
        <v>-1632</v>
      </c>
      <c r="G5425" s="115">
        <v>-5356</v>
      </c>
      <c r="H5425" s="115">
        <v>0</v>
      </c>
      <c r="I5425" s="115">
        <v>0</v>
      </c>
      <c r="J5425" s="115">
        <v>0</v>
      </c>
      <c r="K5425" s="115">
        <v>0</v>
      </c>
    </row>
    <row r="5426" spans="1:11" x14ac:dyDescent="0.25">
      <c r="B5426" s="115" t="s">
        <v>5542</v>
      </c>
      <c r="D5426" s="115" t="s">
        <v>11513</v>
      </c>
      <c r="E5426" s="115" t="s">
        <v>5543</v>
      </c>
      <c r="F5426" s="115">
        <v>0</v>
      </c>
      <c r="G5426" s="115">
        <v>-1222</v>
      </c>
      <c r="H5426" s="115">
        <v>805</v>
      </c>
      <c r="I5426" s="115">
        <v>0</v>
      </c>
      <c r="J5426" s="115">
        <v>0</v>
      </c>
      <c r="K5426" s="115">
        <v>0</v>
      </c>
    </row>
    <row r="5427" spans="1:11" x14ac:dyDescent="0.25">
      <c r="B5427" s="115" t="s">
        <v>5544</v>
      </c>
      <c r="D5427" s="115" t="s">
        <v>11514</v>
      </c>
      <c r="E5427" s="115">
        <f>-3231  -4246  -1002   -748  -1873</f>
        <v>-11100</v>
      </c>
      <c r="F5427" s="115">
        <v>-2755</v>
      </c>
      <c r="G5427" s="115">
        <v>-3231</v>
      </c>
      <c r="H5427" s="115">
        <v>-4246</v>
      </c>
      <c r="I5427" s="115">
        <v>-1002</v>
      </c>
      <c r="J5427" s="115">
        <v>-748</v>
      </c>
      <c r="K5427" s="115">
        <v>-1873</v>
      </c>
    </row>
    <row r="5428" spans="1:11" x14ac:dyDescent="0.25">
      <c r="B5428" s="115" t="s">
        <v>5545</v>
      </c>
      <c r="D5428" s="115" t="s">
        <v>11515</v>
      </c>
      <c r="E5428" s="115" t="s">
        <v>1242</v>
      </c>
      <c r="F5428" s="115">
        <v>0</v>
      </c>
      <c r="G5428" s="115">
        <v>0</v>
      </c>
      <c r="H5428" s="115">
        <v>0</v>
      </c>
      <c r="I5428" s="115">
        <v>0</v>
      </c>
      <c r="J5428" s="115">
        <v>0</v>
      </c>
      <c r="K5428" s="115">
        <v>0</v>
      </c>
    </row>
    <row r="5429" spans="1:11" x14ac:dyDescent="0.25">
      <c r="A5429" s="115">
        <v>-1</v>
      </c>
      <c r="B5429" s="115" t="s">
        <v>5546</v>
      </c>
      <c r="D5429" s="115" t="s">
        <v>11516</v>
      </c>
      <c r="E5429" s="115" t="s">
        <v>5547</v>
      </c>
      <c r="F5429" s="115">
        <v>-803</v>
      </c>
      <c r="G5429" s="115">
        <v>1673</v>
      </c>
      <c r="H5429" s="115">
        <v>0</v>
      </c>
      <c r="I5429" s="115">
        <v>0</v>
      </c>
      <c r="J5429" s="115">
        <v>-975</v>
      </c>
      <c r="K5429" s="115">
        <v>0</v>
      </c>
    </row>
    <row r="5430" spans="1:11" x14ac:dyDescent="0.25">
      <c r="A5430" s="115" t="s">
        <v>1239</v>
      </c>
      <c r="B5430" s="115" t="s">
        <v>5548</v>
      </c>
      <c r="D5430" s="115" t="s">
        <v>11517</v>
      </c>
      <c r="E5430" s="115" t="s">
        <v>5549</v>
      </c>
      <c r="F5430" s="115">
        <v>0</v>
      </c>
      <c r="G5430" s="115">
        <v>0</v>
      </c>
      <c r="H5430" s="115">
        <v>-120</v>
      </c>
      <c r="I5430" s="115">
        <v>0</v>
      </c>
      <c r="J5430" s="115">
        <v>648</v>
      </c>
      <c r="K5430" s="115">
        <v>1560</v>
      </c>
    </row>
    <row r="5431" spans="1:11" x14ac:dyDescent="0.25">
      <c r="B5431" s="115" t="s">
        <v>1241</v>
      </c>
      <c r="D5431" s="115" t="s">
        <v>8710</v>
      </c>
      <c r="E5431" s="115" t="s">
        <v>1242</v>
      </c>
      <c r="F5431" s="115">
        <v>0</v>
      </c>
      <c r="G5431" s="115">
        <v>0</v>
      </c>
      <c r="H5431" s="115">
        <v>0</v>
      </c>
      <c r="I5431" s="115">
        <v>0</v>
      </c>
      <c r="J5431" s="115">
        <v>0</v>
      </c>
      <c r="K5431" s="115">
        <v>0</v>
      </c>
    </row>
    <row r="5432" spans="1:11" x14ac:dyDescent="0.25">
      <c r="B5432" s="115" t="s">
        <v>1241</v>
      </c>
      <c r="D5432" s="115" t="s">
        <v>11518</v>
      </c>
      <c r="E5432" s="115" t="s">
        <v>5550</v>
      </c>
      <c r="F5432" s="115">
        <v>0</v>
      </c>
      <c r="G5432" s="115">
        <v>-210</v>
      </c>
      <c r="H5432" s="115">
        <v>0</v>
      </c>
      <c r="I5432" s="115">
        <v>0</v>
      </c>
      <c r="J5432" s="115">
        <v>0</v>
      </c>
      <c r="K5432" s="115">
        <v>0</v>
      </c>
    </row>
    <row r="5433" spans="1:11" x14ac:dyDescent="0.25">
      <c r="B5433" s="115" t="s">
        <v>5551</v>
      </c>
      <c r="D5433" s="115" t="s">
        <v>11519</v>
      </c>
      <c r="E5433" s="115" t="s">
        <v>5552</v>
      </c>
      <c r="F5433" s="115">
        <v>19893</v>
      </c>
      <c r="G5433" s="115">
        <v>21408</v>
      </c>
      <c r="H5433" s="115">
        <v>36779</v>
      </c>
      <c r="I5433" s="115">
        <v>22595</v>
      </c>
      <c r="J5433" s="115">
        <v>730</v>
      </c>
      <c r="K5433" s="115">
        <v>-80</v>
      </c>
    </row>
    <row r="5434" spans="1:11" x14ac:dyDescent="0.25">
      <c r="A5434" s="115" t="s">
        <v>1239</v>
      </c>
      <c r="B5434" s="115" t="s">
        <v>5553</v>
      </c>
      <c r="D5434" s="115" t="s">
        <v>11520</v>
      </c>
      <c r="E5434" s="115" t="s">
        <v>5554</v>
      </c>
      <c r="F5434" s="115">
        <v>16634</v>
      </c>
      <c r="G5434" s="115">
        <v>26168</v>
      </c>
      <c r="H5434" s="115">
        <v>15150</v>
      </c>
      <c r="I5434" s="115">
        <v>1630</v>
      </c>
      <c r="J5434" s="115">
        <v>0</v>
      </c>
      <c r="K5434" s="115">
        <v>21190</v>
      </c>
    </row>
    <row r="5435" spans="1:11" x14ac:dyDescent="0.25">
      <c r="A5435" s="115">
        <v>24</v>
      </c>
      <c r="B5435" s="115" t="s">
        <v>5555</v>
      </c>
      <c r="C5435" s="115">
        <v>2</v>
      </c>
      <c r="D5435" s="115" t="s">
        <v>11521</v>
      </c>
      <c r="E5435" s="115" t="s">
        <v>5556</v>
      </c>
      <c r="F5435" s="115">
        <v>19951</v>
      </c>
      <c r="G5435" s="115">
        <v>37222</v>
      </c>
      <c r="H5435" s="115">
        <v>24750</v>
      </c>
      <c r="I5435" s="115">
        <v>18519</v>
      </c>
      <c r="J5435" s="115">
        <v>26540</v>
      </c>
      <c r="K5435" s="115">
        <v>29571</v>
      </c>
    </row>
    <row r="5436" spans="1:11" x14ac:dyDescent="0.25">
      <c r="A5436" s="115">
        <v>21</v>
      </c>
      <c r="B5436" s="115" t="s">
        <v>5557</v>
      </c>
      <c r="D5436" s="115" t="s">
        <v>11522</v>
      </c>
      <c r="E5436" s="115" t="s">
        <v>5558</v>
      </c>
      <c r="F5436" s="115">
        <v>94</v>
      </c>
      <c r="G5436" s="115">
        <v>45</v>
      </c>
      <c r="H5436" s="115">
        <v>-102</v>
      </c>
      <c r="I5436" s="115">
        <v>112</v>
      </c>
      <c r="J5436" s="115">
        <v>0</v>
      </c>
      <c r="K5436" s="115">
        <v>0</v>
      </c>
    </row>
    <row r="5437" spans="1:11" x14ac:dyDescent="0.25">
      <c r="B5437" s="115" t="s">
        <v>5559</v>
      </c>
      <c r="D5437" s="115" t="s">
        <v>11523</v>
      </c>
      <c r="E5437" s="115" t="s">
        <v>4311</v>
      </c>
      <c r="F5437" s="115">
        <v>-509</v>
      </c>
      <c r="G5437" s="115">
        <v>74</v>
      </c>
      <c r="H5437" s="115">
        <v>0</v>
      </c>
      <c r="I5437" s="115">
        <v>0</v>
      </c>
      <c r="J5437" s="115">
        <v>0</v>
      </c>
      <c r="K5437" s="115">
        <v>0</v>
      </c>
    </row>
    <row r="5438" spans="1:11" x14ac:dyDescent="0.25">
      <c r="B5438" s="115" t="s">
        <v>1241</v>
      </c>
      <c r="D5438" s="115" t="s">
        <v>11524</v>
      </c>
      <c r="E5438" s="115" t="s">
        <v>5560</v>
      </c>
      <c r="F5438" s="115">
        <v>0</v>
      </c>
      <c r="G5438" s="115">
        <v>42</v>
      </c>
      <c r="H5438" s="115">
        <v>0</v>
      </c>
      <c r="I5438" s="115">
        <v>-20</v>
      </c>
      <c r="J5438" s="115">
        <v>0</v>
      </c>
      <c r="K5438" s="115">
        <v>263</v>
      </c>
    </row>
    <row r="5439" spans="1:11" x14ac:dyDescent="0.25">
      <c r="A5439" s="115" t="s">
        <v>1239</v>
      </c>
      <c r="B5439" s="115" t="s">
        <v>5561</v>
      </c>
      <c r="D5439" s="115" t="s">
        <v>11525</v>
      </c>
      <c r="E5439" s="115" t="s">
        <v>5562</v>
      </c>
      <c r="F5439" s="115">
        <v>-47</v>
      </c>
      <c r="G5439" s="115">
        <v>221</v>
      </c>
      <c r="H5439" s="115">
        <v>523</v>
      </c>
      <c r="I5439" s="115">
        <v>248</v>
      </c>
      <c r="J5439" s="115">
        <v>209</v>
      </c>
      <c r="K5439" s="115">
        <v>0</v>
      </c>
    </row>
    <row r="5440" spans="1:11" x14ac:dyDescent="0.25">
      <c r="B5440" s="115" t="s">
        <v>1500</v>
      </c>
      <c r="D5440" s="115" t="s">
        <v>11526</v>
      </c>
      <c r="E5440" s="115" t="s">
        <v>5563</v>
      </c>
      <c r="F5440" s="115">
        <v>0</v>
      </c>
      <c r="G5440" s="115">
        <v>0</v>
      </c>
      <c r="H5440" s="115">
        <v>-79</v>
      </c>
      <c r="I5440" s="115">
        <v>0</v>
      </c>
      <c r="J5440" s="115">
        <v>0</v>
      </c>
      <c r="K5440" s="115">
        <v>0</v>
      </c>
    </row>
    <row r="5441" spans="1:11" x14ac:dyDescent="0.25">
      <c r="B5441" s="115" t="s">
        <v>2592</v>
      </c>
      <c r="D5441" s="115" t="s">
        <v>11527</v>
      </c>
      <c r="E5441" s="115" t="s">
        <v>1927</v>
      </c>
      <c r="F5441" s="115">
        <v>0</v>
      </c>
      <c r="G5441" s="115">
        <v>0</v>
      </c>
      <c r="H5441" s="115">
        <v>0</v>
      </c>
      <c r="I5441" s="115">
        <v>0</v>
      </c>
      <c r="J5441" s="115">
        <v>5</v>
      </c>
      <c r="K5441" s="115">
        <v>0</v>
      </c>
    </row>
    <row r="5442" spans="1:11" x14ac:dyDescent="0.25">
      <c r="B5442" s="115">
        <f>-14   -147</f>
        <v>-161</v>
      </c>
      <c r="D5442" s="115" t="s">
        <v>11528</v>
      </c>
      <c r="E5442" s="115" t="s">
        <v>5564</v>
      </c>
      <c r="F5442" s="115">
        <v>1798</v>
      </c>
      <c r="G5442" s="115">
        <v>-1492</v>
      </c>
      <c r="H5442" s="115">
        <v>0</v>
      </c>
      <c r="I5442" s="115">
        <v>-138</v>
      </c>
      <c r="J5442" s="115">
        <v>0</v>
      </c>
      <c r="K5442" s="115">
        <v>0</v>
      </c>
    </row>
    <row r="5443" spans="1:11" x14ac:dyDescent="0.25">
      <c r="B5443" s="115" t="s">
        <v>1241</v>
      </c>
      <c r="D5443" s="115" t="s">
        <v>11529</v>
      </c>
      <c r="E5443" s="115" t="s">
        <v>5565</v>
      </c>
      <c r="F5443" s="115">
        <v>-1494</v>
      </c>
      <c r="G5443" s="115">
        <v>0</v>
      </c>
      <c r="H5443" s="115">
        <v>0</v>
      </c>
      <c r="I5443" s="115">
        <v>85</v>
      </c>
      <c r="J5443" s="115">
        <v>70</v>
      </c>
      <c r="K5443" s="115">
        <v>0</v>
      </c>
    </row>
    <row r="5444" spans="1:11" x14ac:dyDescent="0.25">
      <c r="B5444" s="115" t="s">
        <v>5566</v>
      </c>
      <c r="D5444" s="115" t="s">
        <v>11530</v>
      </c>
      <c r="E5444" s="115" t="s">
        <v>5567</v>
      </c>
      <c r="F5444" s="115">
        <v>-562</v>
      </c>
      <c r="G5444" s="115">
        <v>-161</v>
      </c>
      <c r="H5444" s="115">
        <v>-310</v>
      </c>
      <c r="I5444" s="115">
        <v>0</v>
      </c>
      <c r="J5444" s="115">
        <v>0</v>
      </c>
      <c r="K5444" s="115">
        <v>0</v>
      </c>
    </row>
    <row r="5445" spans="1:11" x14ac:dyDescent="0.25">
      <c r="B5445" s="115" t="s">
        <v>1241</v>
      </c>
      <c r="C5445" s="115" t="s">
        <v>1239</v>
      </c>
      <c r="D5445" s="115" t="s">
        <v>11531</v>
      </c>
      <c r="E5445" s="115" t="s">
        <v>5568</v>
      </c>
      <c r="F5445" s="115">
        <v>-1551</v>
      </c>
      <c r="G5445" s="115">
        <v>-1069</v>
      </c>
      <c r="H5445" s="115">
        <v>-998</v>
      </c>
      <c r="I5445" s="115">
        <v>0</v>
      </c>
      <c r="J5445" s="115">
        <v>560</v>
      </c>
      <c r="K5445" s="115">
        <v>-2445</v>
      </c>
    </row>
    <row r="5446" spans="1:11" x14ac:dyDescent="0.25">
      <c r="A5446" s="115" t="s">
        <v>1239</v>
      </c>
      <c r="B5446" s="115" t="s">
        <v>5569</v>
      </c>
      <c r="D5446" s="115" t="s">
        <v>11532</v>
      </c>
      <c r="E5446" s="115" t="s">
        <v>5570</v>
      </c>
      <c r="F5446" s="115">
        <v>148</v>
      </c>
      <c r="G5446" s="115">
        <v>-35</v>
      </c>
      <c r="H5446" s="115">
        <v>17</v>
      </c>
      <c r="I5446" s="115">
        <v>-1421</v>
      </c>
      <c r="J5446" s="115">
        <v>0</v>
      </c>
      <c r="K5446" s="115">
        <v>505</v>
      </c>
    </row>
    <row r="5447" spans="1:11" x14ac:dyDescent="0.25">
      <c r="A5447" s="115">
        <v>3</v>
      </c>
      <c r="B5447" s="115" t="s">
        <v>5571</v>
      </c>
      <c r="D5447" s="115" t="s">
        <v>11533</v>
      </c>
      <c r="E5447" s="115" t="s">
        <v>5572</v>
      </c>
      <c r="F5447" s="115">
        <v>222</v>
      </c>
      <c r="G5447" s="115">
        <v>-500</v>
      </c>
      <c r="H5447" s="115">
        <v>0</v>
      </c>
      <c r="I5447" s="115">
        <v>-249</v>
      </c>
      <c r="J5447" s="115">
        <v>-73</v>
      </c>
      <c r="K5447" s="115">
        <v>-10</v>
      </c>
    </row>
    <row r="5448" spans="1:11" x14ac:dyDescent="0.25">
      <c r="B5448" s="115" t="s">
        <v>4725</v>
      </c>
      <c r="D5448" s="115" t="s">
        <v>11534</v>
      </c>
      <c r="E5448" s="115" t="s">
        <v>5573</v>
      </c>
      <c r="F5448" s="115">
        <v>0</v>
      </c>
      <c r="G5448" s="115">
        <v>0</v>
      </c>
      <c r="H5448" s="115">
        <v>-1072</v>
      </c>
      <c r="I5448" s="115">
        <v>0</v>
      </c>
      <c r="J5448" s="115">
        <v>-1081</v>
      </c>
      <c r="K5448" s="115">
        <v>-1194</v>
      </c>
    </row>
    <row r="5449" spans="1:11" x14ac:dyDescent="0.25">
      <c r="A5449" s="115">
        <v>-1</v>
      </c>
      <c r="B5449" s="115" t="s">
        <v>5574</v>
      </c>
      <c r="D5449" s="115" t="s">
        <v>11535</v>
      </c>
      <c r="E5449" s="115" t="s">
        <v>5575</v>
      </c>
      <c r="F5449" s="115">
        <v>81</v>
      </c>
      <c r="G5449" s="115">
        <v>121</v>
      </c>
      <c r="H5449" s="115">
        <v>-39</v>
      </c>
      <c r="I5449" s="115">
        <v>-24</v>
      </c>
      <c r="J5449" s="115">
        <v>506</v>
      </c>
      <c r="K5449" s="115">
        <v>-232</v>
      </c>
    </row>
    <row r="5450" spans="1:11" x14ac:dyDescent="0.25">
      <c r="B5450" s="115" t="s">
        <v>5576</v>
      </c>
      <c r="D5450" s="115" t="s">
        <v>11536</v>
      </c>
      <c r="E5450" s="115" t="s">
        <v>5577</v>
      </c>
      <c r="F5450" s="115">
        <v>5144</v>
      </c>
      <c r="G5450" s="115">
        <v>-197</v>
      </c>
      <c r="H5450" s="115">
        <v>0</v>
      </c>
      <c r="I5450" s="115">
        <v>-625</v>
      </c>
      <c r="J5450" s="115">
        <v>0</v>
      </c>
      <c r="K5450" s="115">
        <v>0</v>
      </c>
    </row>
    <row r="5451" spans="1:11" x14ac:dyDescent="0.25">
      <c r="B5451" s="115" t="s">
        <v>2624</v>
      </c>
      <c r="D5451" s="115" t="s">
        <v>11537</v>
      </c>
      <c r="E5451" s="115" t="s">
        <v>1242</v>
      </c>
      <c r="F5451" s="115">
        <v>162</v>
      </c>
      <c r="G5451" s="115">
        <v>0</v>
      </c>
      <c r="H5451" s="115">
        <v>0</v>
      </c>
      <c r="I5451" s="115">
        <v>0</v>
      </c>
      <c r="J5451" s="115">
        <v>0</v>
      </c>
      <c r="K5451" s="115">
        <v>0</v>
      </c>
    </row>
    <row r="5452" spans="1:11" x14ac:dyDescent="0.25">
      <c r="A5452" s="115" t="s">
        <v>1239</v>
      </c>
      <c r="B5452" s="115" t="s">
        <v>2544</v>
      </c>
      <c r="C5452" s="115" t="s">
        <v>1239</v>
      </c>
      <c r="D5452" s="115" t="s">
        <v>11538</v>
      </c>
      <c r="E5452" s="115" t="s">
        <v>5578</v>
      </c>
      <c r="F5452" s="115">
        <v>-762</v>
      </c>
      <c r="G5452" s="115">
        <v>0</v>
      </c>
      <c r="H5452" s="115">
        <v>-18700</v>
      </c>
      <c r="I5452" s="115">
        <v>-22382</v>
      </c>
      <c r="J5452" s="115">
        <v>3797</v>
      </c>
      <c r="K5452" s="115">
        <v>0</v>
      </c>
    </row>
    <row r="5453" spans="1:11" x14ac:dyDescent="0.25">
      <c r="B5453" s="115" t="s">
        <v>1241</v>
      </c>
      <c r="D5453" s="115" t="s">
        <v>11539</v>
      </c>
      <c r="E5453" s="115" t="s">
        <v>5579</v>
      </c>
      <c r="F5453" s="115">
        <v>5405</v>
      </c>
      <c r="G5453" s="115">
        <v>16359</v>
      </c>
      <c r="H5453" s="115">
        <v>13182</v>
      </c>
      <c r="I5453" s="115">
        <v>0</v>
      </c>
      <c r="J5453" s="115">
        <v>38758</v>
      </c>
      <c r="K5453" s="115">
        <v>0</v>
      </c>
    </row>
    <row r="5454" spans="1:11" x14ac:dyDescent="0.25">
      <c r="B5454" s="115" t="s">
        <v>5580</v>
      </c>
      <c r="D5454" s="115" t="s">
        <v>11540</v>
      </c>
      <c r="E5454" s="115" t="s">
        <v>5581</v>
      </c>
      <c r="F5454" s="115">
        <v>0</v>
      </c>
      <c r="G5454" s="115">
        <v>8770</v>
      </c>
      <c r="H5454" s="115">
        <v>0</v>
      </c>
      <c r="I5454" s="115">
        <v>0</v>
      </c>
      <c r="J5454" s="115">
        <v>0</v>
      </c>
      <c r="K5454" s="115">
        <v>0</v>
      </c>
    </row>
    <row r="5455" spans="1:11" x14ac:dyDescent="0.25">
      <c r="B5455" s="115" t="s">
        <v>1241</v>
      </c>
      <c r="D5455" s="115" t="s">
        <v>11541</v>
      </c>
      <c r="E5455" s="115" t="s">
        <v>5582</v>
      </c>
      <c r="F5455" s="115">
        <v>-1295</v>
      </c>
      <c r="G5455" s="115">
        <v>0</v>
      </c>
      <c r="H5455" s="115">
        <v>-4549</v>
      </c>
      <c r="I5455" s="115">
        <v>6587</v>
      </c>
      <c r="J5455" s="115">
        <v>16225</v>
      </c>
      <c r="K5455" s="115">
        <v>0</v>
      </c>
    </row>
    <row r="5456" spans="1:11" x14ac:dyDescent="0.25">
      <c r="A5456" s="115">
        <v>1</v>
      </c>
      <c r="B5456" s="115" t="s">
        <v>5583</v>
      </c>
      <c r="D5456" s="115" t="s">
        <v>11542</v>
      </c>
      <c r="E5456" s="115" t="s">
        <v>5584</v>
      </c>
      <c r="F5456" s="115">
        <v>0</v>
      </c>
      <c r="G5456" s="115">
        <v>0</v>
      </c>
      <c r="H5456" s="115">
        <v>0</v>
      </c>
      <c r="I5456" s="115">
        <v>-2018</v>
      </c>
      <c r="J5456" s="115">
        <v>-1211</v>
      </c>
      <c r="K5456" s="115">
        <v>-4064</v>
      </c>
    </row>
    <row r="5457" spans="1:11" x14ac:dyDescent="0.25">
      <c r="A5457" s="115">
        <v>-3</v>
      </c>
      <c r="B5457" s="115" t="s">
        <v>5585</v>
      </c>
      <c r="D5457" s="115" t="s">
        <v>11543</v>
      </c>
      <c r="E5457" s="115" t="s">
        <v>5586</v>
      </c>
      <c r="F5457" s="115">
        <v>0</v>
      </c>
      <c r="G5457" s="115">
        <v>0</v>
      </c>
      <c r="H5457" s="115">
        <v>0</v>
      </c>
      <c r="I5457" s="115">
        <v>-331</v>
      </c>
      <c r="J5457" s="115">
        <v>0</v>
      </c>
      <c r="K5457" s="115">
        <v>110</v>
      </c>
    </row>
    <row r="5458" spans="1:11" x14ac:dyDescent="0.25">
      <c r="B5458" s="115" t="s">
        <v>1241</v>
      </c>
      <c r="C5458" s="115" t="s">
        <v>1239</v>
      </c>
      <c r="D5458" s="115" t="s">
        <v>11544</v>
      </c>
      <c r="E5458" s="115" t="s">
        <v>5587</v>
      </c>
      <c r="F5458" s="115">
        <v>0</v>
      </c>
      <c r="G5458" s="115">
        <v>0</v>
      </c>
      <c r="H5458" s="115">
        <v>0</v>
      </c>
      <c r="I5458" s="115">
        <v>0</v>
      </c>
      <c r="J5458" s="115">
        <v>-918</v>
      </c>
      <c r="K5458" s="115">
        <v>0</v>
      </c>
    </row>
    <row r="5459" spans="1:11" x14ac:dyDescent="0.25">
      <c r="A5459" s="115" t="s">
        <v>1239</v>
      </c>
      <c r="B5459" s="115" t="s">
        <v>5588</v>
      </c>
      <c r="C5459" s="115" t="s">
        <v>1239</v>
      </c>
      <c r="D5459" s="115" t="s">
        <v>11545</v>
      </c>
      <c r="E5459" s="115" t="s">
        <v>5589</v>
      </c>
      <c r="F5459" s="115">
        <v>-758</v>
      </c>
      <c r="G5459" s="115">
        <v>-167</v>
      </c>
      <c r="H5459" s="115">
        <v>-83</v>
      </c>
      <c r="I5459" s="115">
        <v>55</v>
      </c>
      <c r="J5459" s="115">
        <v>-1837</v>
      </c>
      <c r="K5459" s="115">
        <v>-419</v>
      </c>
    </row>
    <row r="5460" spans="1:11" x14ac:dyDescent="0.25">
      <c r="B5460" s="115" t="s">
        <v>1241</v>
      </c>
      <c r="D5460" s="115" t="s">
        <v>11546</v>
      </c>
      <c r="E5460" s="115" t="s">
        <v>5590</v>
      </c>
      <c r="F5460" s="115">
        <v>0</v>
      </c>
      <c r="G5460" s="115">
        <v>0</v>
      </c>
      <c r="H5460" s="115">
        <v>0</v>
      </c>
      <c r="I5460" s="115">
        <v>-3143</v>
      </c>
      <c r="J5460" s="115">
        <v>-164</v>
      </c>
      <c r="K5460" s="115">
        <v>-1145</v>
      </c>
    </row>
    <row r="5461" spans="1:11" x14ac:dyDescent="0.25">
      <c r="A5461" s="115" t="s">
        <v>1239</v>
      </c>
      <c r="B5461" s="115" t="s">
        <v>5591</v>
      </c>
      <c r="D5461" s="115" t="s">
        <v>11547</v>
      </c>
      <c r="E5461" s="115" t="s">
        <v>5592</v>
      </c>
      <c r="F5461" s="115">
        <v>0</v>
      </c>
      <c r="G5461" s="115">
        <v>-504</v>
      </c>
      <c r="H5461" s="115">
        <v>0</v>
      </c>
      <c r="I5461" s="115">
        <v>579</v>
      </c>
      <c r="J5461" s="115">
        <v>-330</v>
      </c>
      <c r="K5461" s="115">
        <v>0</v>
      </c>
    </row>
    <row r="5462" spans="1:11" x14ac:dyDescent="0.25">
      <c r="B5462" s="115" t="s">
        <v>1241</v>
      </c>
      <c r="D5462" s="115" t="s">
        <v>11548</v>
      </c>
      <c r="E5462" s="115" t="s">
        <v>5593</v>
      </c>
      <c r="F5462" s="115">
        <v>0</v>
      </c>
      <c r="G5462" s="115">
        <v>-1232</v>
      </c>
      <c r="H5462" s="115">
        <v>40</v>
      </c>
      <c r="I5462" s="115">
        <v>0</v>
      </c>
      <c r="J5462" s="115">
        <v>0</v>
      </c>
      <c r="K5462" s="115">
        <v>0</v>
      </c>
    </row>
    <row r="5463" spans="1:11" x14ac:dyDescent="0.25">
      <c r="B5463" s="115" t="s">
        <v>1241</v>
      </c>
      <c r="D5463" s="115" t="s">
        <v>8710</v>
      </c>
      <c r="E5463" s="115" t="s">
        <v>1242</v>
      </c>
      <c r="F5463" s="115">
        <v>0</v>
      </c>
      <c r="G5463" s="115">
        <v>0</v>
      </c>
      <c r="H5463" s="115">
        <v>0</v>
      </c>
      <c r="I5463" s="115">
        <v>0</v>
      </c>
      <c r="J5463" s="115">
        <v>0</v>
      </c>
      <c r="K5463" s="115">
        <v>0</v>
      </c>
    </row>
    <row r="5464" spans="1:11" x14ac:dyDescent="0.25">
      <c r="B5464" s="115" t="s">
        <v>1241</v>
      </c>
      <c r="D5464" s="115" t="s">
        <v>11549</v>
      </c>
      <c r="E5464" s="115" t="s">
        <v>5594</v>
      </c>
      <c r="F5464" s="115">
        <v>0</v>
      </c>
      <c r="G5464" s="115">
        <v>0</v>
      </c>
      <c r="H5464" s="115">
        <v>0</v>
      </c>
      <c r="I5464" s="115">
        <v>0</v>
      </c>
      <c r="J5464" s="115">
        <v>-421</v>
      </c>
      <c r="K5464" s="115">
        <v>2203</v>
      </c>
    </row>
    <row r="5465" spans="1:11" x14ac:dyDescent="0.25">
      <c r="A5465" s="115">
        <v>2</v>
      </c>
      <c r="B5465" s="115" t="s">
        <v>5595</v>
      </c>
      <c r="C5465" s="115">
        <v>1</v>
      </c>
      <c r="D5465" s="115" t="s">
        <v>11550</v>
      </c>
      <c r="E5465" s="115" t="s">
        <v>5596</v>
      </c>
      <c r="F5465" s="115">
        <v>31054</v>
      </c>
      <c r="G5465" s="115">
        <v>970</v>
      </c>
      <c r="H5465" s="115">
        <v>285</v>
      </c>
      <c r="I5465" s="115">
        <v>135</v>
      </c>
      <c r="J5465" s="115">
        <v>3648</v>
      </c>
      <c r="K5465" s="115">
        <v>2382</v>
      </c>
    </row>
    <row r="5466" spans="1:11" x14ac:dyDescent="0.25">
      <c r="A5466" s="115">
        <v>12</v>
      </c>
      <c r="B5466" s="115" t="s">
        <v>5597</v>
      </c>
      <c r="C5466" s="115">
        <v>1</v>
      </c>
      <c r="D5466" s="115" t="s">
        <v>11551</v>
      </c>
      <c r="E5466" s="115" t="s">
        <v>5598</v>
      </c>
      <c r="F5466" s="115">
        <v>543</v>
      </c>
      <c r="G5466" s="115">
        <v>0</v>
      </c>
      <c r="H5466" s="115">
        <v>14087</v>
      </c>
      <c r="I5466" s="115">
        <v>18566</v>
      </c>
      <c r="J5466" s="115">
        <v>18564</v>
      </c>
      <c r="K5466" s="115">
        <v>25022</v>
      </c>
    </row>
    <row r="5467" spans="1:11" x14ac:dyDescent="0.25">
      <c r="A5467" s="115">
        <v>13</v>
      </c>
      <c r="B5467" s="115" t="s">
        <v>5599</v>
      </c>
      <c r="C5467" s="115">
        <v>2</v>
      </c>
      <c r="D5467" s="115" t="s">
        <v>11552</v>
      </c>
      <c r="E5467" s="115" t="s">
        <v>5600</v>
      </c>
      <c r="F5467" s="115">
        <v>13086</v>
      </c>
      <c r="G5467" s="115">
        <v>19380</v>
      </c>
      <c r="H5467" s="115">
        <v>16885</v>
      </c>
      <c r="I5467" s="115">
        <v>25813</v>
      </c>
      <c r="J5467" s="115">
        <v>8633</v>
      </c>
      <c r="K5467" s="115">
        <v>13442</v>
      </c>
    </row>
    <row r="5468" spans="1:11" x14ac:dyDescent="0.25">
      <c r="A5468" s="115">
        <v>13</v>
      </c>
      <c r="B5468" s="115" t="s">
        <v>5601</v>
      </c>
      <c r="C5468" s="115" t="s">
        <v>1239</v>
      </c>
      <c r="D5468" s="115" t="s">
        <v>11553</v>
      </c>
      <c r="E5468" s="115" t="s">
        <v>5602</v>
      </c>
      <c r="F5468" s="115">
        <v>-182</v>
      </c>
      <c r="G5468" s="115">
        <v>203</v>
      </c>
      <c r="H5468" s="115">
        <v>0</v>
      </c>
      <c r="I5468" s="115">
        <v>0</v>
      </c>
      <c r="J5468" s="115">
        <v>-43</v>
      </c>
      <c r="K5468" s="115">
        <v>0</v>
      </c>
    </row>
    <row r="5469" spans="1:11" x14ac:dyDescent="0.25">
      <c r="B5469" s="115" t="s">
        <v>1241</v>
      </c>
      <c r="D5469" s="115" t="s">
        <v>11554</v>
      </c>
      <c r="E5469" s="115" t="s">
        <v>1242</v>
      </c>
      <c r="F5469" s="115">
        <v>0</v>
      </c>
      <c r="G5469" s="115">
        <v>0</v>
      </c>
      <c r="H5469" s="115">
        <v>0</v>
      </c>
      <c r="I5469" s="115">
        <v>0</v>
      </c>
      <c r="J5469" s="115">
        <v>0</v>
      </c>
      <c r="K5469" s="115">
        <v>0</v>
      </c>
    </row>
    <row r="5470" spans="1:11" x14ac:dyDescent="0.25">
      <c r="B5470" s="115" t="s">
        <v>5603</v>
      </c>
      <c r="D5470" s="115" t="s">
        <v>11555</v>
      </c>
      <c r="E5470" s="115" t="s">
        <v>5604</v>
      </c>
      <c r="F5470" s="115">
        <v>0</v>
      </c>
      <c r="G5470" s="115">
        <v>-103</v>
      </c>
      <c r="H5470" s="115">
        <v>0</v>
      </c>
      <c r="I5470" s="115">
        <v>272</v>
      </c>
      <c r="J5470" s="115">
        <v>-118</v>
      </c>
      <c r="K5470" s="115">
        <v>-64</v>
      </c>
    </row>
    <row r="5471" spans="1:11" x14ac:dyDescent="0.25">
      <c r="B5471" s="115" t="s">
        <v>5605</v>
      </c>
      <c r="C5471" s="115" t="s">
        <v>1239</v>
      </c>
      <c r="D5471" s="115" t="s">
        <v>11556</v>
      </c>
      <c r="E5471" s="115" t="s">
        <v>5606</v>
      </c>
      <c r="F5471" s="115">
        <v>211</v>
      </c>
      <c r="G5471" s="115">
        <v>360</v>
      </c>
      <c r="H5471" s="115">
        <v>394</v>
      </c>
      <c r="I5471" s="115">
        <v>0</v>
      </c>
      <c r="J5471" s="115">
        <v>-59</v>
      </c>
      <c r="K5471" s="115">
        <v>0</v>
      </c>
    </row>
    <row r="5472" spans="1:11" x14ac:dyDescent="0.25">
      <c r="B5472" s="115" t="s">
        <v>1241</v>
      </c>
      <c r="D5472" s="115" t="s">
        <v>11557</v>
      </c>
      <c r="E5472" s="115" t="s">
        <v>5607</v>
      </c>
      <c r="F5472" s="115">
        <v>210</v>
      </c>
      <c r="G5472" s="115">
        <v>0</v>
      </c>
      <c r="H5472" s="115">
        <v>0</v>
      </c>
      <c r="I5472" s="115">
        <v>0</v>
      </c>
      <c r="J5472" s="115">
        <v>-308</v>
      </c>
      <c r="K5472" s="115">
        <v>0</v>
      </c>
    </row>
    <row r="5473" spans="1:11" x14ac:dyDescent="0.25">
      <c r="B5473" s="115" t="s">
        <v>5608</v>
      </c>
      <c r="D5473" s="115" t="s">
        <v>11558</v>
      </c>
      <c r="E5473" s="115" t="s">
        <v>5609</v>
      </c>
      <c r="F5473" s="115">
        <v>0</v>
      </c>
      <c r="G5473" s="115">
        <v>0</v>
      </c>
      <c r="H5473" s="115">
        <v>-43</v>
      </c>
      <c r="I5473" s="115">
        <v>0</v>
      </c>
      <c r="J5473" s="115">
        <v>88</v>
      </c>
      <c r="K5473" s="115">
        <v>-172</v>
      </c>
    </row>
    <row r="5474" spans="1:11" x14ac:dyDescent="0.25">
      <c r="B5474" s="115" t="s">
        <v>1241</v>
      </c>
      <c r="D5474" s="115" t="s">
        <v>11559</v>
      </c>
      <c r="E5474" s="115" t="s">
        <v>5610</v>
      </c>
      <c r="F5474" s="115">
        <v>0</v>
      </c>
      <c r="G5474" s="115">
        <v>-864</v>
      </c>
      <c r="H5474" s="115">
        <v>0</v>
      </c>
      <c r="I5474" s="115">
        <v>0</v>
      </c>
      <c r="J5474" s="115">
        <v>0</v>
      </c>
      <c r="K5474" s="115">
        <v>0</v>
      </c>
    </row>
    <row r="5475" spans="1:11" x14ac:dyDescent="0.25">
      <c r="A5475" s="115" t="s">
        <v>1239</v>
      </c>
      <c r="B5475" s="115" t="s">
        <v>5611</v>
      </c>
      <c r="D5475" s="115" t="s">
        <v>11560</v>
      </c>
      <c r="E5475" s="115" t="s">
        <v>5612</v>
      </c>
      <c r="F5475" s="115">
        <v>0</v>
      </c>
      <c r="G5475" s="115">
        <v>-463</v>
      </c>
      <c r="H5475" s="115">
        <v>1116</v>
      </c>
      <c r="I5475" s="115">
        <v>0</v>
      </c>
      <c r="J5475" s="115">
        <v>1345</v>
      </c>
      <c r="K5475" s="115">
        <v>560</v>
      </c>
    </row>
    <row r="5476" spans="1:11" x14ac:dyDescent="0.25">
      <c r="B5476" s="115" t="s">
        <v>5613</v>
      </c>
      <c r="C5476" s="115" t="s">
        <v>1239</v>
      </c>
      <c r="D5476" s="115" t="s">
        <v>11561</v>
      </c>
      <c r="E5476" s="115" t="s">
        <v>1242</v>
      </c>
      <c r="F5476" s="115">
        <v>495</v>
      </c>
      <c r="G5476" s="115">
        <v>0</v>
      </c>
      <c r="H5476" s="115">
        <v>0</v>
      </c>
      <c r="I5476" s="115">
        <v>0</v>
      </c>
      <c r="J5476" s="115">
        <v>0</v>
      </c>
      <c r="K5476" s="115">
        <v>0</v>
      </c>
    </row>
    <row r="5477" spans="1:11" x14ac:dyDescent="0.25">
      <c r="A5477" s="115" t="s">
        <v>1239</v>
      </c>
      <c r="B5477" s="115" t="s">
        <v>5614</v>
      </c>
      <c r="D5477" s="115" t="s">
        <v>11562</v>
      </c>
      <c r="E5477" s="115" t="s">
        <v>5615</v>
      </c>
      <c r="F5477" s="115">
        <v>702</v>
      </c>
      <c r="G5477" s="115">
        <v>0</v>
      </c>
      <c r="H5477" s="115">
        <v>190</v>
      </c>
      <c r="I5477" s="115">
        <v>-4796</v>
      </c>
      <c r="J5477" s="115">
        <v>193</v>
      </c>
      <c r="K5477" s="115">
        <v>146</v>
      </c>
    </row>
    <row r="5478" spans="1:11" x14ac:dyDescent="0.25">
      <c r="B5478" s="115" t="s">
        <v>2517</v>
      </c>
      <c r="D5478" s="115" t="s">
        <v>11563</v>
      </c>
      <c r="E5478" s="115" t="s">
        <v>5616</v>
      </c>
      <c r="F5478" s="115">
        <v>449</v>
      </c>
      <c r="G5478" s="115">
        <v>-48</v>
      </c>
      <c r="H5478" s="115">
        <v>0</v>
      </c>
      <c r="I5478" s="115">
        <v>262</v>
      </c>
      <c r="J5478" s="115">
        <v>-218</v>
      </c>
      <c r="K5478" s="115">
        <v>0</v>
      </c>
    </row>
    <row r="5479" spans="1:11" x14ac:dyDescent="0.25">
      <c r="B5479" s="115" t="s">
        <v>1241</v>
      </c>
      <c r="D5479" s="115" t="s">
        <v>11564</v>
      </c>
      <c r="E5479" s="115" t="s">
        <v>5617</v>
      </c>
      <c r="F5479" s="115">
        <v>0</v>
      </c>
      <c r="G5479" s="115">
        <v>602</v>
      </c>
      <c r="H5479" s="115">
        <v>-497</v>
      </c>
      <c r="I5479" s="115">
        <v>2</v>
      </c>
      <c r="J5479" s="115">
        <v>-109</v>
      </c>
      <c r="K5479" s="115">
        <v>0</v>
      </c>
    </row>
    <row r="5480" spans="1:11" x14ac:dyDescent="0.25">
      <c r="B5480" s="115" t="s">
        <v>1241</v>
      </c>
      <c r="D5480" s="115" t="s">
        <v>11565</v>
      </c>
      <c r="E5480" s="115" t="s">
        <v>5618</v>
      </c>
      <c r="F5480" s="115">
        <v>-752</v>
      </c>
      <c r="G5480" s="115">
        <v>0</v>
      </c>
      <c r="H5480" s="115">
        <v>-583</v>
      </c>
      <c r="I5480" s="115">
        <v>-328</v>
      </c>
      <c r="J5480" s="115">
        <v>-104</v>
      </c>
      <c r="K5480" s="115">
        <v>0</v>
      </c>
    </row>
    <row r="5481" spans="1:11" x14ac:dyDescent="0.25">
      <c r="B5481" s="115" t="s">
        <v>5619</v>
      </c>
      <c r="D5481" s="115" t="s">
        <v>11566</v>
      </c>
      <c r="E5481" s="115" t="s">
        <v>5620</v>
      </c>
      <c r="F5481" s="115">
        <v>272</v>
      </c>
      <c r="G5481" s="115">
        <v>-180</v>
      </c>
      <c r="H5481" s="115">
        <v>-209</v>
      </c>
      <c r="I5481" s="115">
        <v>-644</v>
      </c>
      <c r="J5481" s="115">
        <v>0</v>
      </c>
      <c r="K5481" s="115">
        <v>-83</v>
      </c>
    </row>
    <row r="5482" spans="1:11" x14ac:dyDescent="0.25">
      <c r="B5482" s="115" t="s">
        <v>1241</v>
      </c>
      <c r="D5482" s="115" t="s">
        <v>11567</v>
      </c>
      <c r="E5482" s="115" t="s">
        <v>5621</v>
      </c>
      <c r="F5482" s="115">
        <v>0</v>
      </c>
      <c r="G5482" s="115">
        <v>-449</v>
      </c>
      <c r="H5482" s="115">
        <v>0</v>
      </c>
      <c r="I5482" s="115">
        <v>0</v>
      </c>
      <c r="J5482" s="115">
        <v>176</v>
      </c>
      <c r="K5482" s="115">
        <v>0</v>
      </c>
    </row>
    <row r="5483" spans="1:11" x14ac:dyDescent="0.25">
      <c r="A5483" s="115" t="s">
        <v>1239</v>
      </c>
      <c r="B5483" s="115" t="s">
        <v>5622</v>
      </c>
      <c r="D5483" s="115" t="s">
        <v>11568</v>
      </c>
      <c r="E5483" s="115" t="s">
        <v>5623</v>
      </c>
      <c r="F5483" s="115">
        <v>0</v>
      </c>
      <c r="G5483" s="115">
        <v>0</v>
      </c>
      <c r="H5483" s="115">
        <v>0</v>
      </c>
      <c r="I5483" s="115">
        <v>0</v>
      </c>
      <c r="J5483" s="115">
        <v>-696</v>
      </c>
      <c r="K5483" s="115">
        <v>0</v>
      </c>
    </row>
    <row r="5484" spans="1:11" x14ac:dyDescent="0.25">
      <c r="A5484" s="115" t="s">
        <v>1239</v>
      </c>
      <c r="B5484" s="115" t="s">
        <v>5624</v>
      </c>
      <c r="D5484" s="115" t="s">
        <v>11569</v>
      </c>
      <c r="E5484" s="115" t="s">
        <v>5625</v>
      </c>
      <c r="F5484" s="115">
        <v>-9</v>
      </c>
      <c r="G5484" s="115">
        <v>-7193</v>
      </c>
      <c r="H5484" s="115">
        <v>24</v>
      </c>
      <c r="I5484" s="115">
        <v>0</v>
      </c>
      <c r="J5484" s="115">
        <v>0</v>
      </c>
      <c r="K5484" s="115">
        <v>0</v>
      </c>
    </row>
    <row r="5485" spans="1:11" x14ac:dyDescent="0.25">
      <c r="B5485" s="115" t="s">
        <v>5626</v>
      </c>
      <c r="D5485" s="115" t="s">
        <v>11570</v>
      </c>
      <c r="E5485" s="115" t="s">
        <v>5627</v>
      </c>
      <c r="F5485" s="115">
        <v>-83</v>
      </c>
      <c r="G5485" s="115">
        <v>0</v>
      </c>
      <c r="H5485" s="115">
        <v>21</v>
      </c>
      <c r="I5485" s="115">
        <v>0</v>
      </c>
      <c r="J5485" s="115">
        <v>0</v>
      </c>
      <c r="K5485" s="115">
        <v>5</v>
      </c>
    </row>
    <row r="5486" spans="1:11" x14ac:dyDescent="0.25">
      <c r="B5486" s="115" t="s">
        <v>5628</v>
      </c>
      <c r="D5486" s="115" t="s">
        <v>11571</v>
      </c>
      <c r="E5486" s="115" t="s">
        <v>1242</v>
      </c>
      <c r="F5486" s="115">
        <v>0</v>
      </c>
      <c r="G5486" s="115">
        <v>0</v>
      </c>
      <c r="H5486" s="115">
        <v>0</v>
      </c>
      <c r="I5486" s="115">
        <v>0</v>
      </c>
      <c r="J5486" s="115">
        <v>0</v>
      </c>
      <c r="K5486" s="115">
        <v>0</v>
      </c>
    </row>
    <row r="5487" spans="1:11" x14ac:dyDescent="0.25">
      <c r="B5487" s="115" t="s">
        <v>1241</v>
      </c>
      <c r="D5487" s="115" t="s">
        <v>11572</v>
      </c>
      <c r="E5487" s="115" t="s">
        <v>5629</v>
      </c>
      <c r="F5487" s="115">
        <v>-376</v>
      </c>
      <c r="G5487" s="115">
        <v>-433</v>
      </c>
      <c r="H5487" s="115">
        <v>-129</v>
      </c>
      <c r="I5487" s="115">
        <v>0</v>
      </c>
      <c r="J5487" s="115">
        <v>684</v>
      </c>
      <c r="K5487" s="115">
        <v>2061</v>
      </c>
    </row>
    <row r="5488" spans="1:11" x14ac:dyDescent="0.25">
      <c r="B5488" s="115" t="s">
        <v>1241</v>
      </c>
      <c r="D5488" s="115" t="s">
        <v>11573</v>
      </c>
      <c r="E5488" s="115">
        <f>-2872  -2974   -829   -747  -1053</f>
        <v>-8475</v>
      </c>
      <c r="F5488" s="115">
        <v>0</v>
      </c>
      <c r="G5488" s="115">
        <v>-2872</v>
      </c>
      <c r="H5488" s="115">
        <v>-2974</v>
      </c>
      <c r="I5488" s="115">
        <v>-829</v>
      </c>
      <c r="J5488" s="115">
        <v>-747</v>
      </c>
      <c r="K5488" s="115">
        <v>-1053</v>
      </c>
    </row>
    <row r="5489" spans="1:11" x14ac:dyDescent="0.25">
      <c r="A5489" s="115">
        <v>-2</v>
      </c>
      <c r="B5489" s="115" t="s">
        <v>5630</v>
      </c>
      <c r="D5489" s="115" t="s">
        <v>11574</v>
      </c>
      <c r="E5489" s="115" t="s">
        <v>5631</v>
      </c>
      <c r="F5489" s="115">
        <v>0</v>
      </c>
      <c r="G5489" s="115">
        <v>-4970</v>
      </c>
      <c r="H5489" s="115">
        <v>0</v>
      </c>
      <c r="I5489" s="115">
        <v>-2481</v>
      </c>
      <c r="J5489" s="115">
        <v>0</v>
      </c>
      <c r="K5489" s="115">
        <v>0</v>
      </c>
    </row>
    <row r="5490" spans="1:11" x14ac:dyDescent="0.25">
      <c r="B5490" s="115" t="s">
        <v>5632</v>
      </c>
      <c r="D5490" s="115" t="s">
        <v>11575</v>
      </c>
      <c r="E5490" s="115" t="s">
        <v>5633</v>
      </c>
      <c r="F5490" s="115">
        <v>0</v>
      </c>
      <c r="G5490" s="115">
        <v>0</v>
      </c>
      <c r="H5490" s="115">
        <v>-1219</v>
      </c>
      <c r="I5490" s="115">
        <v>0</v>
      </c>
      <c r="J5490" s="115">
        <v>276</v>
      </c>
      <c r="K5490" s="115">
        <v>-140</v>
      </c>
    </row>
    <row r="5491" spans="1:11" x14ac:dyDescent="0.25">
      <c r="A5491" s="115" t="s">
        <v>1239</v>
      </c>
      <c r="B5491" s="115" t="s">
        <v>5634</v>
      </c>
      <c r="D5491" s="115" t="s">
        <v>11576</v>
      </c>
      <c r="E5491" s="115" t="s">
        <v>5635</v>
      </c>
      <c r="F5491" s="115">
        <v>-24</v>
      </c>
      <c r="G5491" s="115">
        <v>759</v>
      </c>
      <c r="H5491" s="115">
        <v>388</v>
      </c>
      <c r="I5491" s="115">
        <v>147</v>
      </c>
      <c r="J5491" s="115">
        <v>0</v>
      </c>
      <c r="K5491" s="115">
        <v>0</v>
      </c>
    </row>
    <row r="5492" spans="1:11" x14ac:dyDescent="0.25">
      <c r="B5492" s="115" t="s">
        <v>1241</v>
      </c>
      <c r="D5492" s="115" t="s">
        <v>11577</v>
      </c>
      <c r="E5492" s="115" t="s">
        <v>5636</v>
      </c>
      <c r="F5492" s="115">
        <v>0</v>
      </c>
      <c r="G5492" s="115">
        <v>272</v>
      </c>
      <c r="H5492" s="115">
        <v>-2390</v>
      </c>
      <c r="I5492" s="115">
        <v>-4083</v>
      </c>
      <c r="J5492" s="115">
        <v>-1318</v>
      </c>
      <c r="K5492" s="115">
        <v>-3206</v>
      </c>
    </row>
    <row r="5493" spans="1:11" x14ac:dyDescent="0.25">
      <c r="A5493" s="115">
        <v>2</v>
      </c>
      <c r="B5493" s="115" t="s">
        <v>5637</v>
      </c>
      <c r="D5493" s="115" t="s">
        <v>11578</v>
      </c>
      <c r="E5493" s="115" t="s">
        <v>5638</v>
      </c>
      <c r="F5493" s="115">
        <v>0</v>
      </c>
      <c r="G5493" s="115">
        <v>-933</v>
      </c>
      <c r="H5493" s="115">
        <v>1574</v>
      </c>
      <c r="I5493" s="115">
        <v>0</v>
      </c>
      <c r="J5493" s="115">
        <v>0</v>
      </c>
      <c r="K5493" s="115">
        <v>0</v>
      </c>
    </row>
    <row r="5494" spans="1:11" x14ac:dyDescent="0.25">
      <c r="B5494" s="115" t="s">
        <v>5639</v>
      </c>
      <c r="D5494" s="115" t="s">
        <v>11579</v>
      </c>
      <c r="E5494" s="115" t="s">
        <v>1242</v>
      </c>
      <c r="F5494" s="115">
        <v>834</v>
      </c>
      <c r="G5494" s="115">
        <v>0</v>
      </c>
      <c r="H5494" s="115">
        <v>0</v>
      </c>
      <c r="I5494" s="115">
        <v>0</v>
      </c>
      <c r="J5494" s="115">
        <v>0</v>
      </c>
      <c r="K5494" s="115">
        <v>0</v>
      </c>
    </row>
    <row r="5495" spans="1:11" x14ac:dyDescent="0.25">
      <c r="B5495" s="115" t="s">
        <v>1241</v>
      </c>
      <c r="D5495" s="115" t="s">
        <v>8710</v>
      </c>
      <c r="E5495" s="115" t="s">
        <v>1242</v>
      </c>
      <c r="F5495" s="115">
        <v>0</v>
      </c>
      <c r="G5495" s="115">
        <v>0</v>
      </c>
      <c r="H5495" s="115">
        <v>0</v>
      </c>
      <c r="I5495" s="115">
        <v>0</v>
      </c>
      <c r="J5495" s="115">
        <v>0</v>
      </c>
      <c r="K5495" s="115">
        <v>0</v>
      </c>
    </row>
    <row r="5496" spans="1:11" x14ac:dyDescent="0.25">
      <c r="B5496" s="115" t="s">
        <v>3779</v>
      </c>
      <c r="D5496" s="115" t="s">
        <v>11580</v>
      </c>
      <c r="E5496" s="115" t="s">
        <v>5640</v>
      </c>
      <c r="F5496" s="115">
        <v>0</v>
      </c>
      <c r="G5496" s="115">
        <v>0</v>
      </c>
      <c r="H5496" s="115">
        <v>-4</v>
      </c>
      <c r="I5496" s="115">
        <v>3027</v>
      </c>
      <c r="J5496" s="115">
        <v>3085</v>
      </c>
      <c r="K5496" s="115">
        <v>30693</v>
      </c>
    </row>
    <row r="5497" spans="1:11" x14ac:dyDescent="0.25">
      <c r="A5497" s="115">
        <v>18</v>
      </c>
      <c r="B5497" s="115" t="s">
        <v>5641</v>
      </c>
      <c r="C5497" s="115">
        <v>1</v>
      </c>
      <c r="D5497" s="115" t="s">
        <v>11581</v>
      </c>
      <c r="E5497" s="115" t="s">
        <v>5642</v>
      </c>
      <c r="F5497" s="115">
        <v>-49</v>
      </c>
      <c r="G5497" s="115">
        <v>-70</v>
      </c>
      <c r="H5497" s="115">
        <v>4481</v>
      </c>
      <c r="I5497" s="115">
        <v>2799</v>
      </c>
      <c r="J5497" s="115">
        <v>23725</v>
      </c>
      <c r="K5497" s="115">
        <v>14825</v>
      </c>
    </row>
    <row r="5498" spans="1:11" x14ac:dyDescent="0.25">
      <c r="A5498" s="115">
        <v>14</v>
      </c>
      <c r="B5498" s="115" t="s">
        <v>5643</v>
      </c>
      <c r="D5498" s="115" t="s">
        <v>11582</v>
      </c>
      <c r="E5498" s="115" t="s">
        <v>5644</v>
      </c>
      <c r="F5498" s="115">
        <v>23842</v>
      </c>
      <c r="G5498" s="115">
        <v>21513</v>
      </c>
      <c r="H5498" s="115">
        <v>22514</v>
      </c>
      <c r="I5498" s="115">
        <v>20045</v>
      </c>
      <c r="J5498" s="115">
        <v>23492</v>
      </c>
      <c r="K5498" s="115">
        <v>17103</v>
      </c>
    </row>
    <row r="5499" spans="1:11" x14ac:dyDescent="0.25">
      <c r="A5499" s="115">
        <v>23</v>
      </c>
      <c r="B5499" s="115" t="s">
        <v>5645</v>
      </c>
      <c r="C5499" s="115">
        <v>2</v>
      </c>
      <c r="D5499" s="115" t="s">
        <v>11583</v>
      </c>
      <c r="E5499" s="115" t="s">
        <v>5646</v>
      </c>
      <c r="F5499" s="115">
        <v>17525</v>
      </c>
      <c r="G5499" s="115">
        <v>17907</v>
      </c>
      <c r="H5499" s="115">
        <v>16797</v>
      </c>
      <c r="I5499" s="115">
        <v>18704</v>
      </c>
      <c r="J5499" s="115">
        <v>19054</v>
      </c>
      <c r="K5499" s="115">
        <v>13544</v>
      </c>
    </row>
    <row r="5500" spans="1:11" x14ac:dyDescent="0.25">
      <c r="B5500" s="115" t="s">
        <v>5647</v>
      </c>
      <c r="D5500" s="115" t="s">
        <v>11584</v>
      </c>
      <c r="E5500" s="115" t="s">
        <v>5648</v>
      </c>
      <c r="F5500" s="115">
        <v>132</v>
      </c>
      <c r="G5500" s="115">
        <v>0</v>
      </c>
      <c r="H5500" s="115">
        <v>0</v>
      </c>
      <c r="I5500" s="115">
        <v>-29</v>
      </c>
      <c r="J5500" s="115">
        <v>0</v>
      </c>
      <c r="K5500" s="115">
        <v>0</v>
      </c>
    </row>
    <row r="5501" spans="1:11" x14ac:dyDescent="0.25">
      <c r="B5501" s="115" t="s">
        <v>5649</v>
      </c>
      <c r="D5501" s="115" t="s">
        <v>11585</v>
      </c>
      <c r="E5501" s="115" t="s">
        <v>5650</v>
      </c>
      <c r="F5501" s="115">
        <v>0</v>
      </c>
      <c r="G5501" s="115">
        <v>0</v>
      </c>
      <c r="H5501" s="115">
        <v>0</v>
      </c>
      <c r="I5501" s="115">
        <v>0</v>
      </c>
      <c r="J5501" s="115">
        <v>0</v>
      </c>
      <c r="K5501" s="115">
        <v>354</v>
      </c>
    </row>
    <row r="5502" spans="1:11" x14ac:dyDescent="0.25">
      <c r="B5502" s="115" t="s">
        <v>1241</v>
      </c>
      <c r="D5502" s="115" t="s">
        <v>11586</v>
      </c>
      <c r="E5502" s="115" t="s">
        <v>5651</v>
      </c>
      <c r="F5502" s="115">
        <v>-42</v>
      </c>
      <c r="G5502" s="115">
        <v>0</v>
      </c>
      <c r="H5502" s="115">
        <v>428</v>
      </c>
      <c r="I5502" s="115">
        <v>-441</v>
      </c>
      <c r="J5502" s="115">
        <v>-241</v>
      </c>
      <c r="K5502" s="115">
        <v>0</v>
      </c>
    </row>
    <row r="5503" spans="1:11" x14ac:dyDescent="0.25">
      <c r="A5503" s="115" t="s">
        <v>1239</v>
      </c>
      <c r="B5503" s="115" t="s">
        <v>5652</v>
      </c>
      <c r="D5503" s="115" t="s">
        <v>11587</v>
      </c>
      <c r="E5503" s="115" t="s">
        <v>5653</v>
      </c>
      <c r="F5503" s="115">
        <v>182</v>
      </c>
      <c r="G5503" s="115">
        <v>54</v>
      </c>
      <c r="H5503" s="115">
        <v>0</v>
      </c>
      <c r="I5503" s="115">
        <v>17</v>
      </c>
      <c r="J5503" s="115">
        <v>0</v>
      </c>
      <c r="K5503" s="115">
        <v>0</v>
      </c>
    </row>
    <row r="5504" spans="1:11" x14ac:dyDescent="0.25">
      <c r="B5504" s="115" t="s">
        <v>1241</v>
      </c>
      <c r="D5504" s="115" t="s">
        <v>11588</v>
      </c>
      <c r="E5504" s="115" t="s">
        <v>5654</v>
      </c>
      <c r="F5504" s="115">
        <v>0</v>
      </c>
      <c r="G5504" s="115">
        <v>0</v>
      </c>
      <c r="H5504" s="115">
        <v>0</v>
      </c>
      <c r="I5504" s="115">
        <v>-381</v>
      </c>
      <c r="J5504" s="115">
        <v>0</v>
      </c>
      <c r="K5504" s="115">
        <v>42</v>
      </c>
    </row>
    <row r="5505" spans="1:11" x14ac:dyDescent="0.25">
      <c r="B5505" s="115" t="s">
        <v>1241</v>
      </c>
      <c r="D5505" s="115" t="s">
        <v>11589</v>
      </c>
      <c r="E5505" s="115" t="s">
        <v>5655</v>
      </c>
      <c r="F5505" s="115">
        <v>0</v>
      </c>
      <c r="G5505" s="115">
        <v>97</v>
      </c>
      <c r="H5505" s="115">
        <v>0</v>
      </c>
      <c r="I5505" s="115">
        <v>169</v>
      </c>
      <c r="J5505" s="115">
        <v>27</v>
      </c>
      <c r="K5505" s="115">
        <v>0</v>
      </c>
    </row>
    <row r="5506" spans="1:11" x14ac:dyDescent="0.25">
      <c r="B5506" s="115" t="s">
        <v>5656</v>
      </c>
      <c r="C5506" s="115" t="s">
        <v>1239</v>
      </c>
      <c r="D5506" s="115" t="s">
        <v>11590</v>
      </c>
      <c r="E5506" s="115" t="s">
        <v>5657</v>
      </c>
      <c r="F5506" s="115">
        <v>1343</v>
      </c>
      <c r="G5506" s="115">
        <v>0</v>
      </c>
      <c r="H5506" s="115">
        <v>0</v>
      </c>
      <c r="I5506" s="115">
        <v>0</v>
      </c>
      <c r="J5506" s="115">
        <v>0</v>
      </c>
      <c r="K5506" s="115">
        <v>-207</v>
      </c>
    </row>
    <row r="5507" spans="1:11" x14ac:dyDescent="0.25">
      <c r="B5507" s="115" t="s">
        <v>5658</v>
      </c>
      <c r="D5507" s="115" t="s">
        <v>11591</v>
      </c>
      <c r="E5507" s="115" t="s">
        <v>5659</v>
      </c>
      <c r="F5507" s="115">
        <v>-20</v>
      </c>
      <c r="G5507" s="115">
        <v>-180</v>
      </c>
      <c r="H5507" s="115">
        <v>0</v>
      </c>
      <c r="I5507" s="115">
        <v>-516</v>
      </c>
      <c r="J5507" s="115">
        <v>147</v>
      </c>
      <c r="K5507" s="115">
        <v>32</v>
      </c>
    </row>
    <row r="5508" spans="1:11" x14ac:dyDescent="0.25">
      <c r="A5508" s="115" t="s">
        <v>1239</v>
      </c>
      <c r="B5508" s="115" t="s">
        <v>5660</v>
      </c>
      <c r="D5508" s="115" t="s">
        <v>11592</v>
      </c>
      <c r="E5508" s="115" t="s">
        <v>5661</v>
      </c>
      <c r="F5508" s="115">
        <v>0</v>
      </c>
      <c r="G5508" s="115">
        <v>0</v>
      </c>
      <c r="H5508" s="115">
        <v>0</v>
      </c>
      <c r="I5508" s="115">
        <v>0</v>
      </c>
      <c r="J5508" s="115">
        <v>0</v>
      </c>
      <c r="K5508" s="115">
        <v>154</v>
      </c>
    </row>
    <row r="5509" spans="1:11" x14ac:dyDescent="0.25">
      <c r="B5509" s="115" t="s">
        <v>2909</v>
      </c>
      <c r="C5509" s="115" t="s">
        <v>1239</v>
      </c>
      <c r="D5509" s="115" t="s">
        <v>11593</v>
      </c>
      <c r="E5509" s="115" t="s">
        <v>5662</v>
      </c>
      <c r="F5509" s="115">
        <v>0</v>
      </c>
      <c r="G5509" s="115">
        <v>1506</v>
      </c>
      <c r="H5509" s="115">
        <v>-12177</v>
      </c>
      <c r="I5509" s="115">
        <v>-2723</v>
      </c>
      <c r="J5509" s="115">
        <v>-4064</v>
      </c>
      <c r="K5509" s="115">
        <v>-2415</v>
      </c>
    </row>
    <row r="5510" spans="1:11" x14ac:dyDescent="0.25">
      <c r="B5510" s="115" t="s">
        <v>5663</v>
      </c>
      <c r="C5510" s="115" t="s">
        <v>1239</v>
      </c>
      <c r="D5510" s="115" t="s">
        <v>11594</v>
      </c>
      <c r="E5510" s="115" t="s">
        <v>5664</v>
      </c>
      <c r="F5510" s="115">
        <v>647</v>
      </c>
      <c r="G5510" s="115">
        <v>0</v>
      </c>
      <c r="H5510" s="115">
        <v>-1330</v>
      </c>
      <c r="I5510" s="115">
        <v>-1688</v>
      </c>
      <c r="J5510" s="115">
        <v>0</v>
      </c>
      <c r="K5510" s="115">
        <v>0</v>
      </c>
    </row>
    <row r="5511" spans="1:11" x14ac:dyDescent="0.25">
      <c r="B5511" s="115" t="s">
        <v>5665</v>
      </c>
      <c r="D5511" s="115" t="s">
        <v>11595</v>
      </c>
      <c r="E5511" s="115" t="s">
        <v>5666</v>
      </c>
      <c r="F5511" s="115">
        <v>-594</v>
      </c>
      <c r="G5511" s="115">
        <v>-2252</v>
      </c>
      <c r="H5511" s="115">
        <v>6</v>
      </c>
      <c r="I5511" s="115">
        <v>1424</v>
      </c>
      <c r="J5511" s="115">
        <v>0</v>
      </c>
      <c r="K5511" s="115">
        <v>0</v>
      </c>
    </row>
    <row r="5512" spans="1:11" x14ac:dyDescent="0.25">
      <c r="B5512" s="115" t="s">
        <v>1241</v>
      </c>
      <c r="D5512" s="115" t="s">
        <v>11596</v>
      </c>
      <c r="E5512" s="115" t="s">
        <v>5667</v>
      </c>
      <c r="F5512" s="115">
        <v>0</v>
      </c>
      <c r="G5512" s="115">
        <v>-2118</v>
      </c>
      <c r="H5512" s="115">
        <v>2001</v>
      </c>
      <c r="I5512" s="115">
        <v>695</v>
      </c>
      <c r="J5512" s="115">
        <v>0</v>
      </c>
      <c r="K5512" s="115">
        <v>679</v>
      </c>
    </row>
    <row r="5513" spans="1:11" x14ac:dyDescent="0.25">
      <c r="A5513" s="115">
        <v>-6</v>
      </c>
      <c r="B5513" s="115" t="s">
        <v>5668</v>
      </c>
      <c r="D5513" s="115" t="s">
        <v>11597</v>
      </c>
      <c r="E5513" s="115" t="s">
        <v>5669</v>
      </c>
      <c r="F5513" s="115">
        <v>-19</v>
      </c>
      <c r="G5513" s="115">
        <v>-175</v>
      </c>
      <c r="H5513" s="115">
        <v>-414</v>
      </c>
      <c r="I5513" s="115">
        <v>0</v>
      </c>
      <c r="J5513" s="115">
        <v>-217</v>
      </c>
      <c r="K5513" s="115">
        <v>0</v>
      </c>
    </row>
    <row r="5514" spans="1:11" x14ac:dyDescent="0.25">
      <c r="B5514" s="115" t="s">
        <v>5670</v>
      </c>
      <c r="D5514" s="115" t="s">
        <v>11598</v>
      </c>
      <c r="E5514" s="115" t="s">
        <v>5671</v>
      </c>
      <c r="F5514" s="115">
        <v>161</v>
      </c>
      <c r="G5514" s="115">
        <v>0</v>
      </c>
      <c r="H5514" s="115">
        <v>0</v>
      </c>
      <c r="I5514" s="115">
        <v>-33</v>
      </c>
      <c r="J5514" s="115">
        <v>0</v>
      </c>
      <c r="K5514" s="115">
        <v>-143</v>
      </c>
    </row>
    <row r="5515" spans="1:11" x14ac:dyDescent="0.25">
      <c r="A5515" s="115" t="s">
        <v>1239</v>
      </c>
      <c r="B5515" s="115" t="s">
        <v>5672</v>
      </c>
      <c r="D5515" s="115" t="s">
        <v>11599</v>
      </c>
      <c r="E5515" s="115" t="s">
        <v>5673</v>
      </c>
      <c r="F5515" s="115">
        <v>0</v>
      </c>
      <c r="G5515" s="115">
        <v>0</v>
      </c>
      <c r="H5515" s="115">
        <v>0</v>
      </c>
      <c r="I5515" s="115">
        <v>87</v>
      </c>
      <c r="J5515" s="115">
        <v>0</v>
      </c>
      <c r="K5515" s="115">
        <v>-633</v>
      </c>
    </row>
    <row r="5516" spans="1:11" x14ac:dyDescent="0.25">
      <c r="A5516" s="115">
        <v>-1</v>
      </c>
      <c r="B5516" s="115" t="s">
        <v>5674</v>
      </c>
      <c r="D5516" s="115" t="s">
        <v>11600</v>
      </c>
      <c r="E5516" s="115" t="s">
        <v>5675</v>
      </c>
      <c r="F5516" s="115">
        <v>-10139</v>
      </c>
      <c r="G5516" s="115">
        <v>53</v>
      </c>
      <c r="H5516" s="115">
        <v>0</v>
      </c>
      <c r="I5516" s="115">
        <v>0</v>
      </c>
      <c r="J5516" s="115">
        <v>0</v>
      </c>
      <c r="K5516" s="115">
        <v>-337</v>
      </c>
    </row>
    <row r="5517" spans="1:11" x14ac:dyDescent="0.25">
      <c r="A5517" s="115" t="s">
        <v>1239</v>
      </c>
      <c r="B5517" s="115" t="s">
        <v>5676</v>
      </c>
      <c r="D5517" s="115" t="s">
        <v>11601</v>
      </c>
      <c r="E5517" s="115" t="s">
        <v>5677</v>
      </c>
      <c r="F5517" s="115">
        <v>0</v>
      </c>
      <c r="G5517" s="115">
        <v>-302</v>
      </c>
      <c r="H5517" s="115">
        <v>0</v>
      </c>
      <c r="I5517" s="115">
        <v>0</v>
      </c>
      <c r="J5517" s="115">
        <v>254</v>
      </c>
      <c r="K5517" s="115">
        <v>0</v>
      </c>
    </row>
    <row r="5518" spans="1:11" x14ac:dyDescent="0.25">
      <c r="A5518" s="115" t="s">
        <v>1239</v>
      </c>
      <c r="B5518" s="115" t="s">
        <v>4884</v>
      </c>
      <c r="D5518" s="115" t="s">
        <v>11602</v>
      </c>
      <c r="E5518" s="115" t="s">
        <v>1242</v>
      </c>
      <c r="F5518" s="115">
        <v>0</v>
      </c>
      <c r="G5518" s="115">
        <v>0</v>
      </c>
      <c r="H5518" s="115">
        <v>0</v>
      </c>
      <c r="I5518" s="115">
        <v>0</v>
      </c>
      <c r="J5518" s="115">
        <v>0</v>
      </c>
      <c r="K5518" s="115">
        <v>0</v>
      </c>
    </row>
    <row r="5519" spans="1:11" x14ac:dyDescent="0.25">
      <c r="B5519" s="115" t="s">
        <v>1791</v>
      </c>
      <c r="D5519" s="115" t="s">
        <v>11603</v>
      </c>
      <c r="E5519" s="115" t="s">
        <v>5678</v>
      </c>
      <c r="F5519" s="115">
        <v>-971</v>
      </c>
      <c r="G5519" s="115">
        <v>-86</v>
      </c>
      <c r="H5519" s="115">
        <v>0</v>
      </c>
      <c r="I5519" s="115">
        <v>-2563</v>
      </c>
      <c r="J5519" s="115">
        <v>1944</v>
      </c>
      <c r="K5519" s="115">
        <v>0</v>
      </c>
    </row>
    <row r="5520" spans="1:11" x14ac:dyDescent="0.25">
      <c r="B5520" s="115" t="s">
        <v>1241</v>
      </c>
      <c r="D5520" s="115" t="s">
        <v>11604</v>
      </c>
      <c r="E5520" s="115" t="s">
        <v>5679</v>
      </c>
      <c r="F5520" s="115">
        <v>-2402</v>
      </c>
      <c r="G5520" s="115">
        <v>998</v>
      </c>
      <c r="H5520" s="115">
        <v>-3187</v>
      </c>
      <c r="I5520" s="115">
        <v>-3051</v>
      </c>
      <c r="J5520" s="115">
        <v>-2645</v>
      </c>
      <c r="K5520" s="115">
        <v>-8246</v>
      </c>
    </row>
    <row r="5521" spans="1:11" x14ac:dyDescent="0.25">
      <c r="B5521" s="115" t="s">
        <v>1241</v>
      </c>
      <c r="D5521" s="115" t="s">
        <v>11605</v>
      </c>
      <c r="E5521" s="115" t="s">
        <v>5680</v>
      </c>
      <c r="F5521" s="115">
        <v>1564</v>
      </c>
      <c r="G5521" s="115">
        <v>0</v>
      </c>
      <c r="H5521" s="115">
        <v>1923</v>
      </c>
      <c r="I5521" s="115">
        <v>0</v>
      </c>
      <c r="J5521" s="115">
        <v>0</v>
      </c>
      <c r="K5521" s="115">
        <v>-2840</v>
      </c>
    </row>
    <row r="5522" spans="1:11" x14ac:dyDescent="0.25">
      <c r="B5522" s="115" t="s">
        <v>5017</v>
      </c>
      <c r="D5522" s="115" t="s">
        <v>11606</v>
      </c>
      <c r="E5522" s="115" t="s">
        <v>5681</v>
      </c>
      <c r="F5522" s="115">
        <v>0</v>
      </c>
      <c r="G5522" s="115">
        <v>1191</v>
      </c>
      <c r="H5522" s="115">
        <v>0</v>
      </c>
      <c r="I5522" s="115">
        <v>2156</v>
      </c>
      <c r="J5522" s="115">
        <v>3090</v>
      </c>
      <c r="K5522" s="115">
        <v>-1212</v>
      </c>
    </row>
    <row r="5523" spans="1:11" x14ac:dyDescent="0.25">
      <c r="A5523" s="115">
        <v>-3</v>
      </c>
      <c r="B5523" s="115" t="s">
        <v>5682</v>
      </c>
      <c r="C5523" s="115" t="s">
        <v>1239</v>
      </c>
      <c r="D5523" s="115" t="s">
        <v>11607</v>
      </c>
      <c r="E5523" s="115" t="s">
        <v>5683</v>
      </c>
      <c r="F5523" s="115">
        <v>-21</v>
      </c>
      <c r="G5523" s="115">
        <v>366</v>
      </c>
      <c r="H5523" s="115">
        <v>436</v>
      </c>
      <c r="I5523" s="115">
        <v>0</v>
      </c>
      <c r="J5523" s="115">
        <v>0</v>
      </c>
      <c r="K5523" s="115">
        <v>0</v>
      </c>
    </row>
    <row r="5524" spans="1:11" x14ac:dyDescent="0.25">
      <c r="B5524" s="115" t="s">
        <v>1241</v>
      </c>
      <c r="D5524" s="115" t="s">
        <v>11608</v>
      </c>
      <c r="E5524" s="115" t="s">
        <v>5684</v>
      </c>
      <c r="F5524" s="115">
        <v>-377</v>
      </c>
      <c r="G5524" s="115">
        <v>694</v>
      </c>
      <c r="H5524" s="115">
        <v>-146</v>
      </c>
      <c r="I5524" s="115">
        <v>84</v>
      </c>
      <c r="J5524" s="115">
        <v>186</v>
      </c>
      <c r="K5524" s="115">
        <v>2221</v>
      </c>
    </row>
    <row r="5525" spans="1:11" x14ac:dyDescent="0.25">
      <c r="B5525" s="115" t="s">
        <v>1241</v>
      </c>
      <c r="C5525" s="115" t="s">
        <v>1239</v>
      </c>
      <c r="D5525" s="115" t="s">
        <v>11609</v>
      </c>
      <c r="E5525" s="115" t="s">
        <v>5685</v>
      </c>
      <c r="F5525" s="115">
        <v>199</v>
      </c>
      <c r="G5525" s="115">
        <v>-2111</v>
      </c>
      <c r="H5525" s="115">
        <v>0</v>
      </c>
      <c r="I5525" s="115">
        <v>0</v>
      </c>
      <c r="J5525" s="115">
        <v>0</v>
      </c>
      <c r="K5525" s="115">
        <v>0</v>
      </c>
    </row>
    <row r="5526" spans="1:11" x14ac:dyDescent="0.25">
      <c r="B5526" s="115" t="s">
        <v>5686</v>
      </c>
      <c r="D5526" s="115" t="s">
        <v>11610</v>
      </c>
      <c r="E5526" s="115" t="s">
        <v>1242</v>
      </c>
      <c r="F5526" s="115">
        <v>0</v>
      </c>
      <c r="G5526" s="115">
        <v>0</v>
      </c>
      <c r="H5526" s="115">
        <v>0</v>
      </c>
      <c r="I5526" s="115">
        <v>0</v>
      </c>
      <c r="J5526" s="115">
        <v>0</v>
      </c>
      <c r="K5526" s="115">
        <v>0</v>
      </c>
    </row>
    <row r="5527" spans="1:11" x14ac:dyDescent="0.25">
      <c r="B5527" s="115" t="s">
        <v>1241</v>
      </c>
      <c r="D5527" s="115" t="s">
        <v>11611</v>
      </c>
      <c r="E5527" s="115" t="s">
        <v>5687</v>
      </c>
      <c r="F5527" s="115">
        <v>0</v>
      </c>
      <c r="G5527" s="115">
        <v>0</v>
      </c>
      <c r="H5527" s="115">
        <v>0</v>
      </c>
      <c r="I5527" s="115">
        <v>0</v>
      </c>
      <c r="J5527" s="115">
        <v>0</v>
      </c>
      <c r="K5527" s="115">
        <v>556</v>
      </c>
    </row>
    <row r="5528" spans="1:11" x14ac:dyDescent="0.25">
      <c r="B5528" s="115" t="s">
        <v>1241</v>
      </c>
      <c r="D5528" s="115" t="s">
        <v>11612</v>
      </c>
      <c r="E5528" s="115" t="s">
        <v>5688</v>
      </c>
      <c r="F5528" s="115">
        <v>0</v>
      </c>
      <c r="G5528" s="115">
        <v>24</v>
      </c>
      <c r="H5528" s="115">
        <v>4016</v>
      </c>
      <c r="I5528" s="115">
        <v>4241</v>
      </c>
      <c r="J5528" s="115">
        <v>23229</v>
      </c>
      <c r="K5528" s="115">
        <v>44741</v>
      </c>
    </row>
    <row r="5529" spans="1:11" x14ac:dyDescent="0.25">
      <c r="A5529" s="115">
        <v>25</v>
      </c>
      <c r="B5529" s="115" t="s">
        <v>5689</v>
      </c>
      <c r="D5529" s="115" t="s">
        <v>11613</v>
      </c>
      <c r="E5529" s="115" t="s">
        <v>5690</v>
      </c>
      <c r="F5529" s="115">
        <v>-364</v>
      </c>
      <c r="G5529" s="115">
        <v>6045</v>
      </c>
      <c r="H5529" s="115">
        <v>3894</v>
      </c>
      <c r="I5529" s="115">
        <v>19160</v>
      </c>
      <c r="J5529" s="115">
        <v>33453</v>
      </c>
      <c r="K5529" s="115">
        <v>19297</v>
      </c>
    </row>
    <row r="5530" spans="1:11" x14ac:dyDescent="0.25">
      <c r="A5530" s="115">
        <v>19</v>
      </c>
      <c r="B5530" s="115" t="s">
        <v>5691</v>
      </c>
      <c r="D5530" s="115" t="s">
        <v>11614</v>
      </c>
      <c r="E5530" s="115" t="s">
        <v>5692</v>
      </c>
      <c r="F5530" s="115">
        <v>39853</v>
      </c>
      <c r="G5530" s="115">
        <v>30261</v>
      </c>
      <c r="H5530" s="115">
        <v>27644</v>
      </c>
      <c r="I5530" s="115">
        <v>21932</v>
      </c>
      <c r="J5530" s="115">
        <v>33130</v>
      </c>
      <c r="K5530" s="115">
        <v>32037</v>
      </c>
    </row>
    <row r="5531" spans="1:11" x14ac:dyDescent="0.25">
      <c r="A5531" s="115">
        <v>29</v>
      </c>
      <c r="B5531" s="115" t="s">
        <v>5693</v>
      </c>
      <c r="C5531" s="115">
        <v>4</v>
      </c>
      <c r="D5531" s="115" t="s">
        <v>11615</v>
      </c>
      <c r="E5531" s="115" t="s">
        <v>5694</v>
      </c>
      <c r="F5531" s="115">
        <v>26325</v>
      </c>
      <c r="G5531" s="115">
        <v>17139</v>
      </c>
      <c r="H5531" s="115">
        <v>36109</v>
      </c>
      <c r="I5531" s="115">
        <v>26335</v>
      </c>
      <c r="J5531" s="115">
        <v>19393</v>
      </c>
      <c r="K5531" s="115">
        <v>21638</v>
      </c>
    </row>
    <row r="5532" spans="1:11" x14ac:dyDescent="0.25">
      <c r="B5532" s="115">
        <f>-66  -1990</f>
        <v>-2056</v>
      </c>
      <c r="D5532" s="115" t="s">
        <v>11616</v>
      </c>
      <c r="E5532" s="115" t="s">
        <v>5695</v>
      </c>
      <c r="F5532" s="115">
        <v>4</v>
      </c>
      <c r="G5532" s="115">
        <v>0</v>
      </c>
      <c r="H5532" s="115">
        <v>0</v>
      </c>
      <c r="I5532" s="115">
        <v>-10</v>
      </c>
      <c r="J5532" s="115">
        <v>0</v>
      </c>
      <c r="K5532" s="115">
        <v>0</v>
      </c>
    </row>
    <row r="5533" spans="1:11" x14ac:dyDescent="0.25">
      <c r="B5533" s="115" t="s">
        <v>5696</v>
      </c>
      <c r="D5533" s="115" t="s">
        <v>11617</v>
      </c>
      <c r="E5533" s="115" t="s">
        <v>5697</v>
      </c>
      <c r="F5533" s="115">
        <v>0</v>
      </c>
      <c r="G5533" s="115">
        <v>0</v>
      </c>
      <c r="H5533" s="115">
        <v>0</v>
      </c>
      <c r="I5533" s="115">
        <v>0</v>
      </c>
      <c r="J5533" s="115">
        <v>0</v>
      </c>
      <c r="K5533" s="115">
        <v>309</v>
      </c>
    </row>
    <row r="5534" spans="1:11" x14ac:dyDescent="0.25">
      <c r="B5534" s="115" t="s">
        <v>1241</v>
      </c>
      <c r="D5534" s="115" t="s">
        <v>11618</v>
      </c>
      <c r="E5534" s="115" t="s">
        <v>5698</v>
      </c>
      <c r="F5534" s="115">
        <v>-70</v>
      </c>
      <c r="G5534" s="115">
        <v>0</v>
      </c>
      <c r="H5534" s="115">
        <v>404</v>
      </c>
      <c r="I5534" s="115">
        <v>-407</v>
      </c>
      <c r="J5534" s="115">
        <v>-233</v>
      </c>
      <c r="K5534" s="115">
        <v>0</v>
      </c>
    </row>
    <row r="5535" spans="1:11" x14ac:dyDescent="0.25">
      <c r="A5535" s="115" t="s">
        <v>1239</v>
      </c>
      <c r="B5535" s="115" t="s">
        <v>5699</v>
      </c>
      <c r="D5535" s="115" t="s">
        <v>11619</v>
      </c>
      <c r="E5535" s="115" t="s">
        <v>5700</v>
      </c>
      <c r="F5535" s="115">
        <v>20</v>
      </c>
      <c r="G5535" s="115">
        <v>190</v>
      </c>
      <c r="H5535" s="115">
        <v>0</v>
      </c>
      <c r="I5535" s="115">
        <v>14</v>
      </c>
      <c r="J5535" s="115">
        <v>0</v>
      </c>
      <c r="K5535" s="115">
        <v>0</v>
      </c>
    </row>
    <row r="5536" spans="1:11" x14ac:dyDescent="0.25">
      <c r="B5536" s="115" t="s">
        <v>1241</v>
      </c>
      <c r="D5536" s="115" t="s">
        <v>11620</v>
      </c>
      <c r="E5536" s="115" t="s">
        <v>5701</v>
      </c>
      <c r="F5536" s="115">
        <v>0</v>
      </c>
      <c r="G5536" s="115">
        <v>0</v>
      </c>
      <c r="H5536" s="115">
        <v>0</v>
      </c>
      <c r="I5536" s="115">
        <v>-275</v>
      </c>
      <c r="J5536" s="115">
        <v>0</v>
      </c>
      <c r="K5536" s="115">
        <v>40</v>
      </c>
    </row>
    <row r="5537" spans="1:11" x14ac:dyDescent="0.25">
      <c r="B5537" s="115" t="s">
        <v>1241</v>
      </c>
      <c r="D5537" s="115" t="s">
        <v>11621</v>
      </c>
      <c r="E5537" s="115" t="s">
        <v>5702</v>
      </c>
      <c r="F5537" s="115">
        <v>0</v>
      </c>
      <c r="G5537" s="115">
        <v>139</v>
      </c>
      <c r="H5537" s="115">
        <v>0</v>
      </c>
      <c r="I5537" s="115">
        <v>190</v>
      </c>
      <c r="J5537" s="115">
        <v>96</v>
      </c>
      <c r="K5537" s="115">
        <v>0</v>
      </c>
    </row>
    <row r="5538" spans="1:11" x14ac:dyDescent="0.25">
      <c r="B5538" s="115" t="s">
        <v>5703</v>
      </c>
      <c r="C5538" s="115" t="s">
        <v>1239</v>
      </c>
      <c r="D5538" s="115" t="s">
        <v>11622</v>
      </c>
      <c r="E5538" s="115" t="s">
        <v>2302</v>
      </c>
      <c r="F5538" s="115">
        <v>613</v>
      </c>
      <c r="G5538" s="115">
        <v>0</v>
      </c>
      <c r="H5538" s="115">
        <v>0</v>
      </c>
      <c r="I5538" s="115">
        <v>0</v>
      </c>
      <c r="J5538" s="115">
        <v>0</v>
      </c>
      <c r="K5538" s="115">
        <v>-8</v>
      </c>
    </row>
    <row r="5539" spans="1:11" x14ac:dyDescent="0.25">
      <c r="B5539" s="115" t="s">
        <v>5704</v>
      </c>
      <c r="D5539" s="115" t="s">
        <v>11623</v>
      </c>
      <c r="E5539" s="115" t="s">
        <v>5705</v>
      </c>
      <c r="F5539" s="115">
        <v>12</v>
      </c>
      <c r="G5539" s="115">
        <v>-129</v>
      </c>
      <c r="H5539" s="115">
        <v>0</v>
      </c>
      <c r="I5539" s="115">
        <v>-14</v>
      </c>
      <c r="J5539" s="115">
        <v>359</v>
      </c>
      <c r="K5539" s="115">
        <v>-155</v>
      </c>
    </row>
    <row r="5540" spans="1:11" x14ac:dyDescent="0.25">
      <c r="B5540" s="115" t="s">
        <v>5706</v>
      </c>
      <c r="D5540" s="115" t="s">
        <v>11624</v>
      </c>
      <c r="E5540" s="115" t="s">
        <v>5707</v>
      </c>
      <c r="F5540" s="115">
        <v>0</v>
      </c>
      <c r="G5540" s="115">
        <v>0</v>
      </c>
      <c r="H5540" s="115">
        <v>0</v>
      </c>
      <c r="I5540" s="115">
        <v>0</v>
      </c>
      <c r="J5540" s="115">
        <v>0</v>
      </c>
      <c r="K5540" s="115">
        <v>44</v>
      </c>
    </row>
    <row r="5541" spans="1:11" x14ac:dyDescent="0.25">
      <c r="B5541" s="115" t="s">
        <v>5708</v>
      </c>
      <c r="D5541" s="115" t="s">
        <v>11625</v>
      </c>
      <c r="E5541" s="115" t="s">
        <v>5709</v>
      </c>
      <c r="F5541" s="115">
        <v>0</v>
      </c>
      <c r="G5541" s="115">
        <v>688</v>
      </c>
      <c r="H5541" s="115">
        <v>-6375</v>
      </c>
      <c r="I5541" s="115">
        <v>602</v>
      </c>
      <c r="J5541" s="115">
        <v>888</v>
      </c>
      <c r="K5541" s="115">
        <v>1129</v>
      </c>
    </row>
    <row r="5542" spans="1:11" x14ac:dyDescent="0.25">
      <c r="B5542" s="115" t="s">
        <v>5710</v>
      </c>
      <c r="D5542" s="115" t="s">
        <v>11626</v>
      </c>
      <c r="E5542" s="115" t="s">
        <v>5711</v>
      </c>
      <c r="F5542" s="115">
        <v>-227</v>
      </c>
      <c r="G5542" s="115">
        <v>0</v>
      </c>
      <c r="H5542" s="115">
        <v>406</v>
      </c>
      <c r="I5542" s="115">
        <v>-993</v>
      </c>
      <c r="J5542" s="115">
        <v>0</v>
      </c>
      <c r="K5542" s="115">
        <v>0</v>
      </c>
    </row>
    <row r="5543" spans="1:11" x14ac:dyDescent="0.25">
      <c r="B5543" s="115" t="s">
        <v>5712</v>
      </c>
      <c r="D5543" s="115" t="s">
        <v>11627</v>
      </c>
      <c r="E5543" s="115" t="s">
        <v>5713</v>
      </c>
      <c r="F5543" s="115">
        <v>5</v>
      </c>
      <c r="G5543" s="115">
        <v>-114</v>
      </c>
      <c r="H5543" s="115">
        <v>-124</v>
      </c>
      <c r="I5543" s="115">
        <v>-491</v>
      </c>
      <c r="J5543" s="115">
        <v>0</v>
      </c>
      <c r="K5543" s="115">
        <v>0</v>
      </c>
    </row>
    <row r="5544" spans="1:11" x14ac:dyDescent="0.25">
      <c r="B5544" s="115" t="s">
        <v>1241</v>
      </c>
      <c r="D5544" s="115" t="s">
        <v>11628</v>
      </c>
      <c r="E5544" s="115" t="s">
        <v>5714</v>
      </c>
      <c r="F5544" s="115">
        <v>0</v>
      </c>
      <c r="G5544" s="115">
        <v>-576</v>
      </c>
      <c r="H5544" s="115">
        <v>-1388</v>
      </c>
      <c r="I5544" s="115">
        <v>-208</v>
      </c>
      <c r="J5544" s="115">
        <v>0</v>
      </c>
      <c r="K5544" s="115">
        <v>721</v>
      </c>
    </row>
    <row r="5545" spans="1:11" x14ac:dyDescent="0.25">
      <c r="A5545" s="115">
        <v>-13</v>
      </c>
      <c r="B5545" s="115" t="s">
        <v>5715</v>
      </c>
      <c r="C5545" s="115" t="s">
        <v>1239</v>
      </c>
      <c r="D5545" s="115" t="s">
        <v>11629</v>
      </c>
      <c r="E5545" s="115" t="s">
        <v>5716</v>
      </c>
      <c r="F5545" s="115">
        <v>-1397</v>
      </c>
      <c r="G5545" s="115">
        <v>-2231</v>
      </c>
      <c r="H5545" s="115">
        <v>-2008</v>
      </c>
      <c r="I5545" s="115">
        <v>0</v>
      </c>
      <c r="J5545" s="115">
        <v>976</v>
      </c>
      <c r="K5545" s="115">
        <v>0</v>
      </c>
    </row>
    <row r="5546" spans="1:11" x14ac:dyDescent="0.25">
      <c r="B5546" s="115" t="s">
        <v>5717</v>
      </c>
      <c r="D5546" s="115" t="s">
        <v>11630</v>
      </c>
      <c r="E5546" s="115" t="s">
        <v>5718</v>
      </c>
      <c r="F5546" s="115">
        <v>1256</v>
      </c>
      <c r="G5546" s="115">
        <v>0</v>
      </c>
      <c r="H5546" s="115">
        <v>0</v>
      </c>
      <c r="I5546" s="115">
        <v>347</v>
      </c>
      <c r="J5546" s="115">
        <v>0</v>
      </c>
      <c r="K5546" s="115">
        <v>-1038</v>
      </c>
    </row>
    <row r="5547" spans="1:11" x14ac:dyDescent="0.25">
      <c r="B5547" s="115" t="s">
        <v>5719</v>
      </c>
      <c r="D5547" s="115" t="s">
        <v>11631</v>
      </c>
      <c r="E5547" s="115" t="s">
        <v>5720</v>
      </c>
      <c r="F5547" s="115">
        <v>0</v>
      </c>
      <c r="G5547" s="115">
        <v>0</v>
      </c>
      <c r="H5547" s="115">
        <v>0</v>
      </c>
      <c r="I5547" s="115">
        <v>676</v>
      </c>
      <c r="J5547" s="115">
        <v>0</v>
      </c>
      <c r="K5547" s="115">
        <v>-933</v>
      </c>
    </row>
    <row r="5548" spans="1:11" x14ac:dyDescent="0.25">
      <c r="A5548" s="115">
        <v>1</v>
      </c>
      <c r="B5548" s="115" t="s">
        <v>5721</v>
      </c>
      <c r="D5548" s="115" t="s">
        <v>11632</v>
      </c>
      <c r="E5548" s="115" t="s">
        <v>5722</v>
      </c>
      <c r="F5548" s="115">
        <v>-10292</v>
      </c>
      <c r="G5548" s="115">
        <v>-79</v>
      </c>
      <c r="H5548" s="115">
        <v>0</v>
      </c>
      <c r="I5548" s="115">
        <v>0</v>
      </c>
      <c r="J5548" s="115">
        <v>0</v>
      </c>
      <c r="K5548" s="115">
        <v>-583</v>
      </c>
    </row>
    <row r="5549" spans="1:11" x14ac:dyDescent="0.25">
      <c r="A5549" s="115" t="s">
        <v>1239</v>
      </c>
      <c r="B5549" s="115" t="s">
        <v>5723</v>
      </c>
      <c r="D5549" s="115" t="s">
        <v>11633</v>
      </c>
      <c r="E5549" s="115" t="s">
        <v>5724</v>
      </c>
      <c r="F5549" s="115">
        <v>0</v>
      </c>
      <c r="G5549" s="115">
        <v>-262</v>
      </c>
      <c r="H5549" s="115">
        <v>0</v>
      </c>
      <c r="I5549" s="115">
        <v>0</v>
      </c>
      <c r="J5549" s="115">
        <v>348</v>
      </c>
      <c r="K5549" s="115">
        <v>0</v>
      </c>
    </row>
    <row r="5550" spans="1:11" x14ac:dyDescent="0.25">
      <c r="B5550" s="115" t="s">
        <v>5725</v>
      </c>
      <c r="D5550" s="115" t="s">
        <v>11634</v>
      </c>
      <c r="E5550" s="115" t="s">
        <v>1242</v>
      </c>
      <c r="F5550" s="115">
        <v>0</v>
      </c>
      <c r="G5550" s="115">
        <v>0</v>
      </c>
      <c r="H5550" s="115">
        <v>0</v>
      </c>
      <c r="I5550" s="115">
        <v>0</v>
      </c>
      <c r="J5550" s="115">
        <v>0</v>
      </c>
      <c r="K5550" s="115">
        <v>0</v>
      </c>
    </row>
    <row r="5551" spans="1:11" x14ac:dyDescent="0.25">
      <c r="B5551" s="115" t="s">
        <v>5726</v>
      </c>
      <c r="D5551" s="115" t="s">
        <v>11635</v>
      </c>
      <c r="E5551" s="115" t="s">
        <v>5727</v>
      </c>
      <c r="F5551" s="115">
        <v>-841</v>
      </c>
      <c r="G5551" s="115">
        <v>-68</v>
      </c>
      <c r="H5551" s="115">
        <v>0</v>
      </c>
      <c r="I5551" s="115">
        <v>-1009</v>
      </c>
      <c r="J5551" s="115">
        <v>2151</v>
      </c>
      <c r="K5551" s="115">
        <v>0</v>
      </c>
    </row>
    <row r="5552" spans="1:11" x14ac:dyDescent="0.25">
      <c r="B5552" s="115" t="s">
        <v>1241</v>
      </c>
      <c r="D5552" s="115" t="s">
        <v>11636</v>
      </c>
      <c r="E5552" s="115">
        <f>-1133  -2998  -2891  -1721  -8033</f>
        <v>-16776</v>
      </c>
      <c r="F5552" s="115">
        <v>-2988</v>
      </c>
      <c r="G5552" s="115">
        <v>-1133</v>
      </c>
      <c r="H5552" s="115">
        <v>-2998</v>
      </c>
      <c r="I5552" s="115">
        <v>-2891</v>
      </c>
      <c r="J5552" s="115">
        <v>-1721</v>
      </c>
      <c r="K5552" s="115">
        <v>-8033</v>
      </c>
    </row>
    <row r="5553" spans="1:11" x14ac:dyDescent="0.25">
      <c r="B5553" s="115" t="s">
        <v>1241</v>
      </c>
      <c r="D5553" s="115" t="s">
        <v>11637</v>
      </c>
      <c r="E5553" s="115" t="s">
        <v>5728</v>
      </c>
      <c r="F5553" s="115">
        <v>324</v>
      </c>
      <c r="G5553" s="115">
        <v>0</v>
      </c>
      <c r="H5553" s="115">
        <v>839</v>
      </c>
      <c r="I5553" s="115">
        <v>0</v>
      </c>
      <c r="J5553" s="115">
        <v>0</v>
      </c>
      <c r="K5553" s="115">
        <v>-3213</v>
      </c>
    </row>
    <row r="5554" spans="1:11" x14ac:dyDescent="0.25">
      <c r="B5554" s="115" t="s">
        <v>5729</v>
      </c>
      <c r="D5554" s="115" t="s">
        <v>11638</v>
      </c>
      <c r="E5554" s="115" t="s">
        <v>5730</v>
      </c>
      <c r="F5554" s="115">
        <v>0</v>
      </c>
      <c r="G5554" s="115">
        <v>-238</v>
      </c>
      <c r="H5554" s="115">
        <v>0</v>
      </c>
      <c r="I5554" s="115">
        <v>1930</v>
      </c>
      <c r="J5554" s="115">
        <v>2546</v>
      </c>
      <c r="K5554" s="115">
        <v>-854</v>
      </c>
    </row>
    <row r="5555" spans="1:11" x14ac:dyDescent="0.25">
      <c r="A5555" s="115">
        <v>-3</v>
      </c>
      <c r="B5555" s="115" t="s">
        <v>5731</v>
      </c>
      <c r="D5555" s="115" t="s">
        <v>11639</v>
      </c>
      <c r="E5555" s="115" t="s">
        <v>5732</v>
      </c>
      <c r="F5555" s="115">
        <v>484</v>
      </c>
      <c r="G5555" s="115">
        <v>1503</v>
      </c>
      <c r="H5555" s="115">
        <v>1269</v>
      </c>
      <c r="I5555" s="115">
        <v>0</v>
      </c>
      <c r="J5555" s="115">
        <v>0</v>
      </c>
      <c r="K5555" s="115">
        <v>0</v>
      </c>
    </row>
    <row r="5556" spans="1:11" x14ac:dyDescent="0.25">
      <c r="B5556" s="115" t="s">
        <v>1241</v>
      </c>
      <c r="D5556" s="115" t="s">
        <v>11640</v>
      </c>
      <c r="E5556" s="115" t="s">
        <v>5733</v>
      </c>
      <c r="F5556" s="115">
        <v>-1311</v>
      </c>
      <c r="G5556" s="115">
        <v>111</v>
      </c>
      <c r="H5556" s="115">
        <v>-1069</v>
      </c>
      <c r="I5556" s="115">
        <v>870</v>
      </c>
      <c r="J5556" s="115">
        <v>-1024</v>
      </c>
      <c r="K5556" s="115">
        <v>1834</v>
      </c>
    </row>
    <row r="5557" spans="1:11" x14ac:dyDescent="0.25">
      <c r="B5557" s="115" t="s">
        <v>1241</v>
      </c>
      <c r="C5557" s="115" t="s">
        <v>1239</v>
      </c>
      <c r="D5557" s="115" t="s">
        <v>11641</v>
      </c>
      <c r="E5557" s="115" t="s">
        <v>5734</v>
      </c>
      <c r="F5557" s="115">
        <v>-172</v>
      </c>
      <c r="G5557" s="115">
        <v>-2598</v>
      </c>
      <c r="H5557" s="115">
        <v>0</v>
      </c>
      <c r="I5557" s="115">
        <v>0</v>
      </c>
      <c r="J5557" s="115">
        <v>0</v>
      </c>
      <c r="K5557" s="115">
        <v>0</v>
      </c>
    </row>
    <row r="5558" spans="1:11" x14ac:dyDescent="0.25">
      <c r="B5558" s="115" t="s">
        <v>5735</v>
      </c>
      <c r="D5558" s="115" t="s">
        <v>11642</v>
      </c>
      <c r="E5558" s="115" t="s">
        <v>1242</v>
      </c>
      <c r="F5558" s="115">
        <v>0</v>
      </c>
      <c r="G5558" s="115">
        <v>0</v>
      </c>
      <c r="H5558" s="115">
        <v>0</v>
      </c>
      <c r="I5558" s="115">
        <v>0</v>
      </c>
      <c r="J5558" s="115">
        <v>0</v>
      </c>
      <c r="K5558" s="115">
        <v>0</v>
      </c>
    </row>
    <row r="5559" spans="1:11" x14ac:dyDescent="0.25">
      <c r="B5559" s="115" t="s">
        <v>1241</v>
      </c>
      <c r="D5559" s="115" t="s">
        <v>11643</v>
      </c>
      <c r="E5559" s="115" t="s">
        <v>5736</v>
      </c>
      <c r="F5559" s="115">
        <v>0</v>
      </c>
      <c r="G5559" s="115">
        <v>0</v>
      </c>
      <c r="H5559" s="115">
        <v>0</v>
      </c>
      <c r="I5559" s="115">
        <v>0</v>
      </c>
      <c r="J5559" s="115">
        <v>0</v>
      </c>
      <c r="K5559" s="115">
        <v>396</v>
      </c>
    </row>
    <row r="5560" spans="1:11" x14ac:dyDescent="0.25">
      <c r="B5560" s="115" t="s">
        <v>1241</v>
      </c>
      <c r="D5560" s="115" t="s">
        <v>11644</v>
      </c>
      <c r="E5560" s="115" t="s">
        <v>5737</v>
      </c>
      <c r="F5560" s="115">
        <v>0</v>
      </c>
      <c r="G5560" s="115">
        <v>-6</v>
      </c>
      <c r="H5560" s="115">
        <v>4102</v>
      </c>
      <c r="I5560" s="115">
        <v>4423</v>
      </c>
      <c r="J5560" s="115">
        <v>23969</v>
      </c>
      <c r="K5560" s="115">
        <v>25908</v>
      </c>
    </row>
    <row r="5561" spans="1:11" x14ac:dyDescent="0.25">
      <c r="A5561" s="115">
        <v>45</v>
      </c>
      <c r="B5561" s="115" t="s">
        <v>5738</v>
      </c>
      <c r="D5561" s="115" t="s">
        <v>11645</v>
      </c>
      <c r="E5561" s="115" t="s">
        <v>5739</v>
      </c>
      <c r="F5561" s="115">
        <v>-337</v>
      </c>
      <c r="G5561" s="115">
        <v>6149</v>
      </c>
      <c r="H5561" s="115">
        <v>4013</v>
      </c>
      <c r="I5561" s="115">
        <v>19831</v>
      </c>
      <c r="J5561" s="115">
        <v>20595</v>
      </c>
      <c r="K5561" s="115">
        <v>32011</v>
      </c>
    </row>
    <row r="5562" spans="1:11" x14ac:dyDescent="0.25">
      <c r="A5562" s="115">
        <v>19</v>
      </c>
      <c r="B5562" s="115" t="s">
        <v>5740</v>
      </c>
      <c r="D5562" s="115" t="s">
        <v>11646</v>
      </c>
      <c r="E5562" s="115" t="s">
        <v>5741</v>
      </c>
      <c r="F5562" s="115">
        <v>30292</v>
      </c>
      <c r="G5562" s="115">
        <v>40410</v>
      </c>
      <c r="H5562" s="115">
        <v>27840</v>
      </c>
      <c r="I5562" s="115">
        <v>22683</v>
      </c>
      <c r="J5562" s="115">
        <v>23564</v>
      </c>
      <c r="K5562" s="115">
        <v>48243</v>
      </c>
    </row>
    <row r="5563" spans="1:11" x14ac:dyDescent="0.25">
      <c r="A5563" s="115">
        <v>29</v>
      </c>
      <c r="B5563" s="115" t="s">
        <v>5742</v>
      </c>
      <c r="C5563" s="115">
        <v>3</v>
      </c>
      <c r="D5563" s="115" t="s">
        <v>11647</v>
      </c>
      <c r="E5563" s="115" t="s">
        <v>5743</v>
      </c>
      <c r="F5563" s="115">
        <v>26781</v>
      </c>
      <c r="G5563" s="115">
        <v>17635</v>
      </c>
      <c r="H5563" s="115">
        <v>26581</v>
      </c>
      <c r="I5563" s="115">
        <v>36372</v>
      </c>
      <c r="J5563" s="115">
        <v>19684</v>
      </c>
      <c r="K5563" s="115">
        <v>23468</v>
      </c>
    </row>
    <row r="5564" spans="1:11" x14ac:dyDescent="0.25">
      <c r="A5564" s="115">
        <v>22</v>
      </c>
      <c r="B5564" s="115" t="s">
        <v>5744</v>
      </c>
      <c r="D5564" s="115" t="s">
        <v>11648</v>
      </c>
      <c r="E5564" s="115" t="s">
        <v>5745</v>
      </c>
      <c r="F5564" s="115">
        <v>122</v>
      </c>
      <c r="G5564" s="115">
        <v>129</v>
      </c>
      <c r="H5564" s="115">
        <v>0</v>
      </c>
      <c r="I5564" s="115">
        <v>0</v>
      </c>
      <c r="J5564" s="115">
        <v>1</v>
      </c>
      <c r="K5564" s="115">
        <v>0</v>
      </c>
    </row>
    <row r="5565" spans="1:11" x14ac:dyDescent="0.25">
      <c r="B5565" s="115" t="s">
        <v>1241</v>
      </c>
      <c r="D5565" s="115" t="s">
        <v>11649</v>
      </c>
      <c r="E5565" s="115" t="s">
        <v>1242</v>
      </c>
      <c r="F5565" s="115">
        <v>0</v>
      </c>
      <c r="G5565" s="115">
        <v>0</v>
      </c>
      <c r="H5565" s="115">
        <v>0</v>
      </c>
      <c r="I5565" s="115">
        <v>0</v>
      </c>
      <c r="J5565" s="115">
        <v>0</v>
      </c>
      <c r="K5565" s="115">
        <v>0</v>
      </c>
    </row>
    <row r="5566" spans="1:11" x14ac:dyDescent="0.25">
      <c r="B5566" s="115" t="s">
        <v>5746</v>
      </c>
      <c r="D5566" s="115" t="s">
        <v>11650</v>
      </c>
      <c r="E5566" s="115" t="s">
        <v>5747</v>
      </c>
      <c r="F5566" s="115">
        <v>0</v>
      </c>
      <c r="G5566" s="115">
        <v>-14</v>
      </c>
      <c r="H5566" s="115">
        <v>0</v>
      </c>
      <c r="I5566" s="115">
        <v>436</v>
      </c>
      <c r="J5566" s="115">
        <v>-311</v>
      </c>
      <c r="K5566" s="115">
        <v>-111</v>
      </c>
    </row>
    <row r="5567" spans="1:11" x14ac:dyDescent="0.25">
      <c r="B5567" s="115" t="s">
        <v>1588</v>
      </c>
      <c r="D5567" s="115" t="s">
        <v>11651</v>
      </c>
      <c r="E5567" s="115" t="s">
        <v>5748</v>
      </c>
      <c r="F5567" s="115">
        <v>184</v>
      </c>
      <c r="G5567" s="115">
        <v>99</v>
      </c>
      <c r="H5567" s="115">
        <v>280</v>
      </c>
      <c r="I5567" s="115">
        <v>0</v>
      </c>
      <c r="J5567" s="115">
        <v>10</v>
      </c>
      <c r="K5567" s="115">
        <v>0</v>
      </c>
    </row>
    <row r="5568" spans="1:11" x14ac:dyDescent="0.25">
      <c r="B5568" s="115" t="s">
        <v>1241</v>
      </c>
      <c r="D5568" s="115" t="s">
        <v>11652</v>
      </c>
      <c r="E5568" s="115" t="s">
        <v>5749</v>
      </c>
      <c r="F5568" s="115">
        <v>-5</v>
      </c>
      <c r="G5568" s="115">
        <v>0</v>
      </c>
      <c r="H5568" s="115">
        <v>0</v>
      </c>
      <c r="I5568" s="115">
        <v>0</v>
      </c>
      <c r="J5568" s="115">
        <v>-44</v>
      </c>
      <c r="K5568" s="115">
        <v>0</v>
      </c>
    </row>
    <row r="5569" spans="1:11" x14ac:dyDescent="0.25">
      <c r="B5569" s="115" t="s">
        <v>5387</v>
      </c>
      <c r="D5569" s="115" t="s">
        <v>11653</v>
      </c>
      <c r="E5569" s="115" t="s">
        <v>5750</v>
      </c>
      <c r="F5569" s="115">
        <v>0</v>
      </c>
      <c r="G5569" s="115">
        <v>0</v>
      </c>
      <c r="H5569" s="115">
        <v>27</v>
      </c>
      <c r="I5569" s="115">
        <v>0</v>
      </c>
      <c r="J5569" s="115">
        <v>229</v>
      </c>
      <c r="K5569" s="115">
        <v>118</v>
      </c>
    </row>
    <row r="5570" spans="1:11" x14ac:dyDescent="0.25">
      <c r="B5570" s="115" t="s">
        <v>1241</v>
      </c>
      <c r="D5570" s="115" t="s">
        <v>11654</v>
      </c>
      <c r="E5570" s="115" t="s">
        <v>5751</v>
      </c>
      <c r="F5570" s="115">
        <v>0</v>
      </c>
      <c r="G5570" s="115">
        <v>608</v>
      </c>
      <c r="H5570" s="115">
        <v>0</v>
      </c>
      <c r="I5570" s="115">
        <v>0</v>
      </c>
      <c r="J5570" s="115">
        <v>0</v>
      </c>
      <c r="K5570" s="115">
        <v>0</v>
      </c>
    </row>
    <row r="5571" spans="1:11" x14ac:dyDescent="0.25">
      <c r="B5571" s="115" t="s">
        <v>5752</v>
      </c>
      <c r="D5571" s="115" t="s">
        <v>11655</v>
      </c>
      <c r="E5571" s="115" t="s">
        <v>5753</v>
      </c>
      <c r="F5571" s="115">
        <v>0</v>
      </c>
      <c r="G5571" s="115">
        <v>-48</v>
      </c>
      <c r="H5571" s="115">
        <v>28</v>
      </c>
      <c r="I5571" s="115">
        <v>0</v>
      </c>
      <c r="J5571" s="115">
        <v>41</v>
      </c>
      <c r="K5571" s="115">
        <v>-267</v>
      </c>
    </row>
    <row r="5572" spans="1:11" x14ac:dyDescent="0.25">
      <c r="B5572" s="115" t="s">
        <v>5754</v>
      </c>
      <c r="D5572" s="115" t="s">
        <v>11656</v>
      </c>
      <c r="E5572" s="115" t="s">
        <v>1242</v>
      </c>
      <c r="F5572" s="115">
        <v>220</v>
      </c>
      <c r="G5572" s="115">
        <v>0</v>
      </c>
      <c r="H5572" s="115">
        <v>0</v>
      </c>
      <c r="I5572" s="115">
        <v>0</v>
      </c>
      <c r="J5572" s="115">
        <v>0</v>
      </c>
      <c r="K5572" s="115">
        <v>0</v>
      </c>
    </row>
    <row r="5573" spans="1:11" x14ac:dyDescent="0.25">
      <c r="A5573" s="115" t="s">
        <v>1239</v>
      </c>
      <c r="B5573" s="115" t="s">
        <v>5755</v>
      </c>
      <c r="D5573" s="115" t="s">
        <v>11657</v>
      </c>
      <c r="E5573" s="115" t="s">
        <v>5756</v>
      </c>
      <c r="F5573" s="115">
        <v>-236</v>
      </c>
      <c r="G5573" s="115">
        <v>0</v>
      </c>
      <c r="H5573" s="115">
        <v>962</v>
      </c>
      <c r="I5573" s="115">
        <v>-5362</v>
      </c>
      <c r="J5573" s="115">
        <v>2</v>
      </c>
      <c r="K5573" s="115">
        <v>107</v>
      </c>
    </row>
    <row r="5574" spans="1:11" x14ac:dyDescent="0.25">
      <c r="B5574" s="115" t="s">
        <v>5757</v>
      </c>
      <c r="D5574" s="115" t="s">
        <v>11658</v>
      </c>
      <c r="E5574" s="115" t="s">
        <v>5758</v>
      </c>
      <c r="F5574" s="115">
        <v>316</v>
      </c>
      <c r="G5574" s="115">
        <v>-143</v>
      </c>
      <c r="H5574" s="115">
        <v>0</v>
      </c>
      <c r="I5574" s="115">
        <v>324</v>
      </c>
      <c r="J5574" s="115">
        <v>-469</v>
      </c>
      <c r="K5574" s="115">
        <v>0</v>
      </c>
    </row>
    <row r="5575" spans="1:11" x14ac:dyDescent="0.25">
      <c r="B5575" s="115" t="s">
        <v>1241</v>
      </c>
      <c r="D5575" s="115" t="s">
        <v>11659</v>
      </c>
      <c r="E5575" s="115" t="s">
        <v>5759</v>
      </c>
      <c r="F5575" s="115">
        <v>0</v>
      </c>
      <c r="G5575" s="115">
        <v>-148</v>
      </c>
      <c r="H5575" s="115">
        <v>38</v>
      </c>
      <c r="I5575" s="115">
        <v>-2</v>
      </c>
      <c r="J5575" s="115">
        <v>-197</v>
      </c>
      <c r="K5575" s="115">
        <v>0</v>
      </c>
    </row>
    <row r="5576" spans="1:11" x14ac:dyDescent="0.25">
      <c r="B5576" s="115" t="s">
        <v>1241</v>
      </c>
      <c r="D5576" s="115" t="s">
        <v>11660</v>
      </c>
      <c r="E5576" s="115" t="s">
        <v>5760</v>
      </c>
      <c r="F5576" s="115">
        <v>-373</v>
      </c>
      <c r="G5576" s="115">
        <v>0</v>
      </c>
      <c r="H5576" s="115">
        <v>-544</v>
      </c>
      <c r="I5576" s="115">
        <v>-900</v>
      </c>
      <c r="J5576" s="115">
        <v>-126</v>
      </c>
      <c r="K5576" s="115">
        <v>0</v>
      </c>
    </row>
    <row r="5577" spans="1:11" x14ac:dyDescent="0.25">
      <c r="B5577" s="115" t="s">
        <v>5761</v>
      </c>
      <c r="D5577" s="115" t="s">
        <v>11661</v>
      </c>
      <c r="E5577" s="115" t="s">
        <v>5762</v>
      </c>
      <c r="F5577" s="115">
        <v>132</v>
      </c>
      <c r="G5577" s="115">
        <v>162</v>
      </c>
      <c r="H5577" s="115">
        <v>-322</v>
      </c>
      <c r="I5577" s="115">
        <v>-840</v>
      </c>
      <c r="J5577" s="115">
        <v>0</v>
      </c>
      <c r="K5577" s="115">
        <v>-65</v>
      </c>
    </row>
    <row r="5578" spans="1:11" x14ac:dyDescent="0.25">
      <c r="B5578" s="115" t="s">
        <v>1241</v>
      </c>
      <c r="D5578" s="115" t="s">
        <v>11662</v>
      </c>
      <c r="E5578" s="115" t="s">
        <v>5763</v>
      </c>
      <c r="F5578" s="115">
        <v>0</v>
      </c>
      <c r="G5578" s="115">
        <v>-135</v>
      </c>
      <c r="H5578" s="115">
        <v>0</v>
      </c>
      <c r="I5578" s="115">
        <v>0</v>
      </c>
      <c r="J5578" s="115">
        <v>8</v>
      </c>
      <c r="K5578" s="115">
        <v>0</v>
      </c>
    </row>
    <row r="5579" spans="1:11" x14ac:dyDescent="0.25">
      <c r="B5579" s="115">
        <f>-14    -24</f>
        <v>-38</v>
      </c>
      <c r="D5579" s="115" t="s">
        <v>11663</v>
      </c>
      <c r="E5579" s="115" t="s">
        <v>5764</v>
      </c>
      <c r="F5579" s="115">
        <v>0</v>
      </c>
      <c r="G5579" s="115">
        <v>0</v>
      </c>
      <c r="H5579" s="115">
        <v>0</v>
      </c>
      <c r="I5579" s="115">
        <v>0</v>
      </c>
      <c r="J5579" s="115">
        <v>-206</v>
      </c>
      <c r="K5579" s="115">
        <v>0</v>
      </c>
    </row>
    <row r="5580" spans="1:11" x14ac:dyDescent="0.25">
      <c r="A5580" s="115" t="s">
        <v>1239</v>
      </c>
      <c r="B5580" s="115" t="s">
        <v>5765</v>
      </c>
      <c r="D5580" s="115" t="s">
        <v>11664</v>
      </c>
      <c r="E5580" s="115" t="s">
        <v>5766</v>
      </c>
      <c r="F5580" s="115">
        <v>869</v>
      </c>
      <c r="G5580" s="115">
        <v>-21164</v>
      </c>
      <c r="H5580" s="115">
        <v>-3026</v>
      </c>
      <c r="I5580" s="115">
        <v>0</v>
      </c>
      <c r="J5580" s="115">
        <v>0</v>
      </c>
      <c r="K5580" s="115">
        <v>0</v>
      </c>
    </row>
    <row r="5581" spans="1:11" x14ac:dyDescent="0.25">
      <c r="A5581" s="115">
        <v>-2</v>
      </c>
      <c r="B5581" s="115" t="s">
        <v>5767</v>
      </c>
      <c r="D5581" s="115" t="s">
        <v>11665</v>
      </c>
      <c r="E5581" s="115" t="s">
        <v>5768</v>
      </c>
      <c r="F5581" s="115">
        <v>1043</v>
      </c>
      <c r="G5581" s="115">
        <v>0</v>
      </c>
      <c r="H5581" s="115">
        <v>-461</v>
      </c>
      <c r="I5581" s="115">
        <v>0</v>
      </c>
      <c r="J5581" s="115">
        <v>0</v>
      </c>
      <c r="K5581" s="115">
        <v>227</v>
      </c>
    </row>
    <row r="5582" spans="1:11" x14ac:dyDescent="0.25">
      <c r="B5582" s="115" t="s">
        <v>5769</v>
      </c>
      <c r="D5582" s="115" t="s">
        <v>11666</v>
      </c>
      <c r="E5582" s="115" t="s">
        <v>1242</v>
      </c>
      <c r="F5582" s="115">
        <v>0</v>
      </c>
      <c r="G5582" s="115">
        <v>0</v>
      </c>
      <c r="H5582" s="115">
        <v>0</v>
      </c>
      <c r="I5582" s="115">
        <v>0</v>
      </c>
      <c r="J5582" s="115">
        <v>0</v>
      </c>
      <c r="K5582" s="115">
        <v>0</v>
      </c>
    </row>
    <row r="5583" spans="1:11" x14ac:dyDescent="0.25">
      <c r="B5583" s="115" t="s">
        <v>1241</v>
      </c>
      <c r="D5583" s="115" t="s">
        <v>11667</v>
      </c>
      <c r="E5583" s="115" t="s">
        <v>5770</v>
      </c>
      <c r="F5583" s="115">
        <v>-2302</v>
      </c>
      <c r="G5583" s="115">
        <v>2885</v>
      </c>
      <c r="H5583" s="115">
        <v>989</v>
      </c>
      <c r="I5583" s="115">
        <v>0</v>
      </c>
      <c r="J5583" s="115">
        <v>-1668</v>
      </c>
      <c r="K5583" s="115">
        <v>2682</v>
      </c>
    </row>
    <row r="5584" spans="1:11" x14ac:dyDescent="0.25">
      <c r="B5584" s="115" t="s">
        <v>1241</v>
      </c>
      <c r="D5584" s="115" t="s">
        <v>11668</v>
      </c>
      <c r="E5584" s="115">
        <f>-1874   -195  -1251   -851   -915</f>
        <v>-5086</v>
      </c>
      <c r="F5584" s="115">
        <v>0</v>
      </c>
      <c r="G5584" s="115">
        <v>-1874</v>
      </c>
      <c r="H5584" s="115">
        <v>-195</v>
      </c>
      <c r="I5584" s="115">
        <v>-1251</v>
      </c>
      <c r="J5584" s="115">
        <v>-851</v>
      </c>
      <c r="K5584" s="115">
        <v>-915</v>
      </c>
    </row>
    <row r="5585" spans="1:11" x14ac:dyDescent="0.25">
      <c r="A5585" s="115">
        <v>-4</v>
      </c>
      <c r="B5585" s="115" t="s">
        <v>5771</v>
      </c>
      <c r="D5585" s="115" t="s">
        <v>11669</v>
      </c>
      <c r="E5585" s="115" t="s">
        <v>5772</v>
      </c>
      <c r="F5585" s="115">
        <v>0</v>
      </c>
      <c r="G5585" s="115">
        <v>3348</v>
      </c>
      <c r="H5585" s="115">
        <v>0</v>
      </c>
      <c r="I5585" s="115">
        <v>2217</v>
      </c>
      <c r="J5585" s="115">
        <v>0</v>
      </c>
      <c r="K5585" s="115">
        <v>0</v>
      </c>
    </row>
    <row r="5586" spans="1:11" x14ac:dyDescent="0.25">
      <c r="A5586" s="115" t="s">
        <v>1239</v>
      </c>
      <c r="B5586" s="115" t="s">
        <v>5773</v>
      </c>
      <c r="D5586" s="115" t="s">
        <v>11670</v>
      </c>
      <c r="E5586" s="115" t="s">
        <v>5774</v>
      </c>
      <c r="F5586" s="115">
        <v>0</v>
      </c>
      <c r="G5586" s="115">
        <v>0</v>
      </c>
      <c r="H5586" s="115">
        <v>996</v>
      </c>
      <c r="I5586" s="115">
        <v>0</v>
      </c>
      <c r="J5586" s="115">
        <v>1509</v>
      </c>
      <c r="K5586" s="115">
        <v>1615</v>
      </c>
    </row>
    <row r="5587" spans="1:11" x14ac:dyDescent="0.25">
      <c r="A5587" s="115">
        <v>-1</v>
      </c>
      <c r="B5587" s="115" t="s">
        <v>5775</v>
      </c>
      <c r="D5587" s="115" t="s">
        <v>11671</v>
      </c>
      <c r="E5587" s="115" t="s">
        <v>5776</v>
      </c>
      <c r="F5587" s="115">
        <v>-1224</v>
      </c>
      <c r="G5587" s="115">
        <v>-322</v>
      </c>
      <c r="H5587" s="115">
        <v>556</v>
      </c>
      <c r="I5587" s="115">
        <v>1385</v>
      </c>
      <c r="J5587" s="115">
        <v>0</v>
      </c>
      <c r="K5587" s="115">
        <v>0</v>
      </c>
    </row>
    <row r="5588" spans="1:11" x14ac:dyDescent="0.25">
      <c r="B5588" s="115" t="s">
        <v>1241</v>
      </c>
      <c r="D5588" s="115" t="s">
        <v>11672</v>
      </c>
      <c r="E5588" s="115" t="s">
        <v>5777</v>
      </c>
      <c r="F5588" s="115">
        <v>0</v>
      </c>
      <c r="G5588" s="115">
        <v>960</v>
      </c>
      <c r="H5588" s="115">
        <v>-239</v>
      </c>
      <c r="I5588" s="115">
        <v>1466</v>
      </c>
      <c r="J5588" s="115">
        <v>-97</v>
      </c>
      <c r="K5588" s="115">
        <v>718</v>
      </c>
    </row>
    <row r="5589" spans="1:11" x14ac:dyDescent="0.25">
      <c r="B5589" s="115" t="s">
        <v>5778</v>
      </c>
      <c r="D5589" s="115" t="s">
        <v>11673</v>
      </c>
      <c r="E5589" s="115" t="s">
        <v>5779</v>
      </c>
      <c r="F5589" s="115">
        <v>0</v>
      </c>
      <c r="G5589" s="115">
        <v>144</v>
      </c>
      <c r="H5589" s="115">
        <v>-178</v>
      </c>
      <c r="I5589" s="115">
        <v>0</v>
      </c>
      <c r="J5589" s="115">
        <v>0</v>
      </c>
      <c r="K5589" s="115">
        <v>0</v>
      </c>
    </row>
    <row r="5590" spans="1:11" x14ac:dyDescent="0.25">
      <c r="B5590" s="115" t="s">
        <v>5780</v>
      </c>
      <c r="D5590" s="115" t="s">
        <v>11674</v>
      </c>
      <c r="E5590" s="115" t="s">
        <v>1242</v>
      </c>
      <c r="F5590" s="115">
        <v>1646</v>
      </c>
      <c r="G5590" s="115">
        <v>0</v>
      </c>
      <c r="H5590" s="115">
        <v>0</v>
      </c>
      <c r="I5590" s="115">
        <v>0</v>
      </c>
      <c r="J5590" s="115">
        <v>0</v>
      </c>
      <c r="K5590" s="115">
        <v>0</v>
      </c>
    </row>
    <row r="5591" spans="1:11" x14ac:dyDescent="0.25">
      <c r="B5591" s="115" t="s">
        <v>1241</v>
      </c>
      <c r="D5591" s="115" t="s">
        <v>8710</v>
      </c>
      <c r="E5591" s="115" t="s">
        <v>1242</v>
      </c>
      <c r="F5591" s="115">
        <v>0</v>
      </c>
      <c r="G5591" s="115">
        <v>0</v>
      </c>
      <c r="H5591" s="115">
        <v>0</v>
      </c>
      <c r="I5591" s="115">
        <v>0</v>
      </c>
      <c r="J5591" s="115">
        <v>0</v>
      </c>
      <c r="K5591" s="115">
        <v>0</v>
      </c>
    </row>
    <row r="5592" spans="1:11" x14ac:dyDescent="0.25">
      <c r="B5592" s="115" t="s">
        <v>2760</v>
      </c>
      <c r="D5592" s="115" t="s">
        <v>11675</v>
      </c>
      <c r="E5592" s="115" t="s">
        <v>5781</v>
      </c>
      <c r="F5592" s="115">
        <v>0</v>
      </c>
      <c r="G5592" s="115">
        <v>0</v>
      </c>
      <c r="H5592" s="115">
        <v>-173</v>
      </c>
      <c r="I5592" s="115">
        <v>3532</v>
      </c>
      <c r="J5592" s="115">
        <v>3417</v>
      </c>
      <c r="K5592" s="115">
        <v>20661</v>
      </c>
    </row>
    <row r="5593" spans="1:11" x14ac:dyDescent="0.25">
      <c r="A5593" s="115">
        <v>24</v>
      </c>
      <c r="B5593" s="115" t="s">
        <v>5782</v>
      </c>
      <c r="C5593" s="115">
        <v>4</v>
      </c>
      <c r="D5593" s="115" t="s">
        <v>11676</v>
      </c>
      <c r="E5593" s="115" t="s">
        <v>5783</v>
      </c>
      <c r="F5593" s="115">
        <v>135</v>
      </c>
      <c r="G5593" s="115">
        <v>-240</v>
      </c>
      <c r="H5593" s="115">
        <v>5450</v>
      </c>
      <c r="I5593" s="115">
        <v>3344</v>
      </c>
      <c r="J5593" s="115">
        <v>17401</v>
      </c>
      <c r="K5593" s="115">
        <v>19443</v>
      </c>
    </row>
    <row r="5594" spans="1:11" x14ac:dyDescent="0.25">
      <c r="A5594" s="115">
        <v>18</v>
      </c>
      <c r="B5594" s="115" t="s">
        <v>5784</v>
      </c>
      <c r="D5594" s="115" t="s">
        <v>11677</v>
      </c>
      <c r="E5594" s="115" t="s">
        <v>5785</v>
      </c>
      <c r="F5594" s="115">
        <v>22754</v>
      </c>
      <c r="G5594" s="115">
        <v>28554</v>
      </c>
      <c r="H5594" s="115">
        <v>28651</v>
      </c>
      <c r="I5594" s="115">
        <v>36998</v>
      </c>
      <c r="J5594" s="115">
        <v>20287</v>
      </c>
      <c r="K5594" s="115">
        <v>22287</v>
      </c>
    </row>
    <row r="5595" spans="1:11" x14ac:dyDescent="0.25">
      <c r="A5595" s="115">
        <v>30</v>
      </c>
      <c r="B5595" s="115" t="s">
        <v>5786</v>
      </c>
      <c r="C5595" s="115">
        <v>2</v>
      </c>
      <c r="D5595" s="115" t="s">
        <v>11678</v>
      </c>
      <c r="E5595" s="115" t="s">
        <v>5787</v>
      </c>
      <c r="F5595" s="115">
        <v>22798</v>
      </c>
      <c r="G5595" s="115">
        <v>36858</v>
      </c>
      <c r="H5595" s="115">
        <v>15994</v>
      </c>
      <c r="I5595" s="115">
        <v>24988</v>
      </c>
      <c r="J5595" s="115">
        <v>25038</v>
      </c>
      <c r="K5595" s="115">
        <v>26075</v>
      </c>
    </row>
    <row r="5596" spans="1:11" x14ac:dyDescent="0.25">
      <c r="A5596" s="115">
        <v>19</v>
      </c>
      <c r="B5596" s="115" t="s">
        <v>5788</v>
      </c>
      <c r="C5596" s="115">
        <v>2</v>
      </c>
      <c r="D5596" s="115" t="s">
        <v>11679</v>
      </c>
      <c r="E5596" s="115" t="s">
        <v>5789</v>
      </c>
      <c r="F5596" s="115">
        <v>23619</v>
      </c>
      <c r="G5596" s="115">
        <v>1057</v>
      </c>
      <c r="H5596" s="115">
        <v>-34498</v>
      </c>
      <c r="I5596" s="115">
        <v>-29805</v>
      </c>
      <c r="J5596" s="115">
        <v>0</v>
      </c>
      <c r="K5596" s="115">
        <v>0</v>
      </c>
    </row>
    <row r="5597" spans="1:11" x14ac:dyDescent="0.25">
      <c r="B5597" s="115" t="s">
        <v>2942</v>
      </c>
      <c r="D5597" s="115" t="s">
        <v>11680</v>
      </c>
      <c r="E5597" s="115" t="s">
        <v>5790</v>
      </c>
      <c r="F5597" s="115">
        <v>328</v>
      </c>
      <c r="G5597" s="115">
        <v>1896</v>
      </c>
      <c r="H5597" s="115">
        <v>0</v>
      </c>
      <c r="I5597" s="115">
        <v>0</v>
      </c>
      <c r="J5597" s="115">
        <v>0</v>
      </c>
      <c r="K5597" s="115">
        <v>0</v>
      </c>
    </row>
    <row r="5598" spans="1:11" x14ac:dyDescent="0.25">
      <c r="B5598" s="115" t="s">
        <v>1241</v>
      </c>
      <c r="C5598" s="115" t="s">
        <v>1239</v>
      </c>
      <c r="D5598" s="115" t="s">
        <v>11681</v>
      </c>
      <c r="E5598" s="115" t="s">
        <v>5791</v>
      </c>
      <c r="F5598" s="115">
        <v>0</v>
      </c>
      <c r="G5598" s="115">
        <v>1016</v>
      </c>
      <c r="H5598" s="115">
        <v>0</v>
      </c>
      <c r="I5598" s="115">
        <v>-1224</v>
      </c>
      <c r="J5598" s="115">
        <v>0</v>
      </c>
      <c r="K5598" s="115">
        <v>1056</v>
      </c>
    </row>
    <row r="5599" spans="1:11" x14ac:dyDescent="0.25">
      <c r="A5599" s="115">
        <v>2</v>
      </c>
      <c r="B5599" s="115" t="s">
        <v>5792</v>
      </c>
      <c r="D5599" s="115" t="s">
        <v>11682</v>
      </c>
      <c r="E5599" s="115" t="s">
        <v>5793</v>
      </c>
      <c r="F5599" s="115">
        <v>10375</v>
      </c>
      <c r="G5599" s="115">
        <v>24401</v>
      </c>
      <c r="H5599" s="115">
        <v>25607</v>
      </c>
      <c r="I5599" s="115">
        <v>33106</v>
      </c>
      <c r="J5599" s="115">
        <v>27388</v>
      </c>
      <c r="K5599" s="115">
        <v>0</v>
      </c>
    </row>
    <row r="5600" spans="1:11" x14ac:dyDescent="0.25">
      <c r="B5600" s="115" t="s">
        <v>5794</v>
      </c>
      <c r="D5600" s="115" t="s">
        <v>11683</v>
      </c>
      <c r="E5600" s="115" t="s">
        <v>5795</v>
      </c>
      <c r="F5600" s="115">
        <v>0</v>
      </c>
      <c r="G5600" s="115">
        <v>0</v>
      </c>
      <c r="H5600" s="115">
        <v>1177</v>
      </c>
      <c r="I5600" s="115">
        <v>0</v>
      </c>
      <c r="J5600" s="115">
        <v>0</v>
      </c>
      <c r="K5600" s="115">
        <v>0</v>
      </c>
    </row>
    <row r="5601" spans="1:11" x14ac:dyDescent="0.25">
      <c r="A5601" s="115">
        <v>-5</v>
      </c>
      <c r="B5601" s="115" t="s">
        <v>5796</v>
      </c>
      <c r="D5601" s="115" t="s">
        <v>11684</v>
      </c>
      <c r="E5601" s="115" t="s">
        <v>5797</v>
      </c>
      <c r="F5601" s="115">
        <v>0</v>
      </c>
      <c r="G5601" s="115">
        <v>0</v>
      </c>
      <c r="H5601" s="115">
        <v>0</v>
      </c>
      <c r="I5601" s="115">
        <v>0</v>
      </c>
      <c r="J5601" s="115">
        <v>-1266</v>
      </c>
      <c r="K5601" s="115">
        <v>0</v>
      </c>
    </row>
    <row r="5602" spans="1:11" x14ac:dyDescent="0.25">
      <c r="A5602" s="115">
        <v>1</v>
      </c>
      <c r="B5602" s="115" t="s">
        <v>5798</v>
      </c>
      <c r="D5602" s="115" t="s">
        <v>11685</v>
      </c>
      <c r="E5602" s="115" t="s">
        <v>5799</v>
      </c>
      <c r="F5602" s="115">
        <v>3013</v>
      </c>
      <c r="G5602" s="115">
        <v>858</v>
      </c>
      <c r="H5602" s="115">
        <v>0</v>
      </c>
      <c r="I5602" s="115">
        <v>-2089</v>
      </c>
      <c r="J5602" s="115">
        <v>0</v>
      </c>
      <c r="K5602" s="115">
        <v>0</v>
      </c>
    </row>
    <row r="5603" spans="1:11" x14ac:dyDescent="0.25">
      <c r="B5603" s="115" t="s">
        <v>1241</v>
      </c>
      <c r="D5603" s="115" t="s">
        <v>11686</v>
      </c>
      <c r="E5603" s="115" t="s">
        <v>5800</v>
      </c>
      <c r="F5603" s="115">
        <v>-177</v>
      </c>
      <c r="G5603" s="115">
        <v>0</v>
      </c>
      <c r="H5603" s="115">
        <v>0</v>
      </c>
      <c r="I5603" s="115">
        <v>321</v>
      </c>
      <c r="J5603" s="115">
        <v>-25</v>
      </c>
      <c r="K5603" s="115">
        <v>0</v>
      </c>
    </row>
    <row r="5604" spans="1:11" x14ac:dyDescent="0.25">
      <c r="A5604" s="115" t="s">
        <v>1239</v>
      </c>
      <c r="B5604" s="115" t="s">
        <v>5801</v>
      </c>
      <c r="D5604" s="115" t="s">
        <v>11687</v>
      </c>
      <c r="E5604" s="115" t="s">
        <v>5802</v>
      </c>
      <c r="F5604" s="115">
        <v>1162</v>
      </c>
      <c r="G5604" s="115">
        <v>-172</v>
      </c>
      <c r="H5604" s="115">
        <v>-737</v>
      </c>
      <c r="I5604" s="115">
        <v>0</v>
      </c>
      <c r="J5604" s="115">
        <v>0</v>
      </c>
      <c r="K5604" s="115">
        <v>0</v>
      </c>
    </row>
    <row r="5605" spans="1:11" x14ac:dyDescent="0.25">
      <c r="B5605" s="115" t="s">
        <v>1241</v>
      </c>
      <c r="D5605" s="115" t="s">
        <v>11688</v>
      </c>
      <c r="E5605" s="115" t="s">
        <v>5803</v>
      </c>
      <c r="F5605" s="115">
        <v>1645</v>
      </c>
      <c r="G5605" s="115">
        <v>255</v>
      </c>
      <c r="H5605" s="115">
        <v>31</v>
      </c>
      <c r="I5605" s="115">
        <v>0</v>
      </c>
      <c r="J5605" s="115">
        <v>-3001</v>
      </c>
      <c r="K5605" s="115">
        <v>-985</v>
      </c>
    </row>
    <row r="5606" spans="1:11" x14ac:dyDescent="0.25">
      <c r="A5606" s="115" t="s">
        <v>1239</v>
      </c>
      <c r="B5606" s="115" t="s">
        <v>5804</v>
      </c>
      <c r="C5606" s="115" t="s">
        <v>1239</v>
      </c>
      <c r="D5606" s="115" t="s">
        <v>11689</v>
      </c>
      <c r="E5606" s="115" t="s">
        <v>5805</v>
      </c>
      <c r="F5606" s="115">
        <v>1415</v>
      </c>
      <c r="G5606" s="115">
        <v>-1423</v>
      </c>
      <c r="H5606" s="115">
        <v>-1052</v>
      </c>
      <c r="I5606" s="115">
        <v>186</v>
      </c>
      <c r="J5606" s="115">
        <v>0</v>
      </c>
      <c r="K5606" s="115">
        <v>-162</v>
      </c>
    </row>
    <row r="5607" spans="1:11" x14ac:dyDescent="0.25">
      <c r="B5607" s="115" t="s">
        <v>5806</v>
      </c>
      <c r="D5607" s="115" t="s">
        <v>11690</v>
      </c>
      <c r="E5607" s="115" t="s">
        <v>5807</v>
      </c>
      <c r="F5607" s="115">
        <v>-488</v>
      </c>
      <c r="G5607" s="115">
        <v>712</v>
      </c>
      <c r="H5607" s="115">
        <v>0</v>
      </c>
      <c r="I5607" s="115">
        <v>231</v>
      </c>
      <c r="J5607" s="115">
        <v>3804</v>
      </c>
      <c r="K5607" s="115">
        <v>338</v>
      </c>
    </row>
    <row r="5608" spans="1:11" x14ac:dyDescent="0.25">
      <c r="B5608" s="115" t="s">
        <v>5808</v>
      </c>
      <c r="D5608" s="115" t="s">
        <v>11691</v>
      </c>
      <c r="E5608" s="115" t="s">
        <v>5809</v>
      </c>
      <c r="F5608" s="115">
        <v>0</v>
      </c>
      <c r="G5608" s="115">
        <v>0</v>
      </c>
      <c r="H5608" s="115">
        <v>7141</v>
      </c>
      <c r="I5608" s="115">
        <v>0</v>
      </c>
      <c r="J5608" s="115">
        <v>394</v>
      </c>
      <c r="K5608" s="115">
        <v>97</v>
      </c>
    </row>
    <row r="5609" spans="1:11" x14ac:dyDescent="0.25">
      <c r="B5609" s="115" t="s">
        <v>4452</v>
      </c>
      <c r="C5609" s="115" t="s">
        <v>1239</v>
      </c>
      <c r="D5609" s="115" t="s">
        <v>11692</v>
      </c>
      <c r="E5609" s="115" t="s">
        <v>5810</v>
      </c>
      <c r="F5609" s="115">
        <v>-519</v>
      </c>
      <c r="G5609" s="115">
        <v>-1565</v>
      </c>
      <c r="H5609" s="115">
        <v>-1184</v>
      </c>
      <c r="I5609" s="115">
        <v>4067</v>
      </c>
      <c r="J5609" s="115">
        <v>1848</v>
      </c>
      <c r="K5609" s="115">
        <v>902</v>
      </c>
    </row>
    <row r="5610" spans="1:11" x14ac:dyDescent="0.25">
      <c r="B5610" s="115" t="s">
        <v>5811</v>
      </c>
      <c r="D5610" s="115" t="s">
        <v>11693</v>
      </c>
      <c r="E5610" s="115" t="s">
        <v>5812</v>
      </c>
      <c r="F5610" s="115">
        <v>400</v>
      </c>
      <c r="G5610" s="115">
        <v>13</v>
      </c>
      <c r="H5610" s="115">
        <v>0</v>
      </c>
      <c r="I5610" s="115">
        <v>268</v>
      </c>
      <c r="J5610" s="115">
        <v>0</v>
      </c>
      <c r="K5610" s="115">
        <v>0</v>
      </c>
    </row>
    <row r="5611" spans="1:11" x14ac:dyDescent="0.25">
      <c r="B5611" s="115" t="s">
        <v>5813</v>
      </c>
      <c r="D5611" s="115" t="s">
        <v>11694</v>
      </c>
      <c r="E5611" s="115" t="s">
        <v>1242</v>
      </c>
      <c r="F5611" s="115">
        <v>-218</v>
      </c>
      <c r="G5611" s="115">
        <v>0</v>
      </c>
      <c r="H5611" s="115">
        <v>0</v>
      </c>
      <c r="I5611" s="115">
        <v>0</v>
      </c>
      <c r="J5611" s="115">
        <v>0</v>
      </c>
      <c r="K5611" s="115">
        <v>0</v>
      </c>
    </row>
    <row r="5612" spans="1:11" x14ac:dyDescent="0.25">
      <c r="A5612" s="115">
        <v>6</v>
      </c>
      <c r="B5612" s="115" t="s">
        <v>5814</v>
      </c>
      <c r="D5612" s="115" t="s">
        <v>11695</v>
      </c>
      <c r="E5612" s="115" t="s">
        <v>5815</v>
      </c>
      <c r="F5612" s="115">
        <v>137</v>
      </c>
      <c r="G5612" s="115">
        <v>0</v>
      </c>
      <c r="H5612" s="115">
        <v>2361</v>
      </c>
      <c r="I5612" s="115">
        <v>-485</v>
      </c>
      <c r="J5612" s="115">
        <v>-294</v>
      </c>
      <c r="K5612" s="115">
        <v>0</v>
      </c>
    </row>
    <row r="5613" spans="1:11" x14ac:dyDescent="0.25">
      <c r="B5613" s="115" t="s">
        <v>1241</v>
      </c>
      <c r="D5613" s="115" t="s">
        <v>11696</v>
      </c>
      <c r="E5613" s="115" t="s">
        <v>5816</v>
      </c>
      <c r="F5613" s="115">
        <v>-187</v>
      </c>
      <c r="G5613" s="115">
        <v>95</v>
      </c>
      <c r="H5613" s="115">
        <v>-181</v>
      </c>
      <c r="I5613" s="115">
        <v>0</v>
      </c>
      <c r="J5613" s="115">
        <v>527</v>
      </c>
      <c r="K5613" s="115">
        <v>0</v>
      </c>
    </row>
    <row r="5614" spans="1:11" x14ac:dyDescent="0.25">
      <c r="B5614" s="115" t="s">
        <v>5817</v>
      </c>
      <c r="D5614" s="115" t="s">
        <v>11697</v>
      </c>
      <c r="E5614" s="115" t="s">
        <v>5818</v>
      </c>
      <c r="F5614" s="115">
        <v>0</v>
      </c>
      <c r="G5614" s="115">
        <v>226</v>
      </c>
      <c r="H5614" s="115">
        <v>0</v>
      </c>
      <c r="I5614" s="115">
        <v>0</v>
      </c>
      <c r="J5614" s="115">
        <v>0</v>
      </c>
      <c r="K5614" s="115">
        <v>0</v>
      </c>
    </row>
    <row r="5615" spans="1:11" x14ac:dyDescent="0.25">
      <c r="B5615" s="115" t="s">
        <v>1241</v>
      </c>
      <c r="D5615" s="115" t="s">
        <v>11698</v>
      </c>
      <c r="E5615" s="115" t="s">
        <v>5819</v>
      </c>
      <c r="F5615" s="115">
        <v>4913</v>
      </c>
      <c r="G5615" s="115">
        <v>0</v>
      </c>
      <c r="H5615" s="115">
        <v>416</v>
      </c>
      <c r="I5615" s="115">
        <v>-531</v>
      </c>
      <c r="J5615" s="115">
        <v>366</v>
      </c>
      <c r="K5615" s="115">
        <v>0</v>
      </c>
    </row>
    <row r="5616" spans="1:11" x14ac:dyDescent="0.25">
      <c r="A5616" s="115">
        <v>-2</v>
      </c>
      <c r="B5616" s="115" t="s">
        <v>5820</v>
      </c>
      <c r="D5616" s="115" t="s">
        <v>11699</v>
      </c>
      <c r="E5616" s="115" t="s">
        <v>5821</v>
      </c>
      <c r="F5616" s="115">
        <v>0</v>
      </c>
      <c r="G5616" s="115">
        <v>0</v>
      </c>
      <c r="H5616" s="115">
        <v>0</v>
      </c>
      <c r="I5616" s="115">
        <v>-171</v>
      </c>
      <c r="J5616" s="115">
        <v>-566</v>
      </c>
      <c r="K5616" s="115">
        <v>-139</v>
      </c>
    </row>
    <row r="5617" spans="1:11" x14ac:dyDescent="0.25">
      <c r="A5617" s="115" t="s">
        <v>1239</v>
      </c>
      <c r="B5617" s="115" t="s">
        <v>5822</v>
      </c>
      <c r="D5617" s="115" t="s">
        <v>11700</v>
      </c>
      <c r="E5617" s="115" t="s">
        <v>5823</v>
      </c>
      <c r="F5617" s="115">
        <v>0</v>
      </c>
      <c r="G5617" s="115">
        <v>0</v>
      </c>
      <c r="H5617" s="115">
        <v>0</v>
      </c>
      <c r="I5617" s="115">
        <v>281</v>
      </c>
      <c r="J5617" s="115">
        <v>0</v>
      </c>
      <c r="K5617" s="115">
        <v>200</v>
      </c>
    </row>
    <row r="5618" spans="1:11" x14ac:dyDescent="0.25">
      <c r="B5618" s="115" t="s">
        <v>1241</v>
      </c>
      <c r="C5618" s="115" t="s">
        <v>1239</v>
      </c>
      <c r="D5618" s="115" t="s">
        <v>11701</v>
      </c>
      <c r="E5618" s="115" t="s">
        <v>5824</v>
      </c>
      <c r="F5618" s="115">
        <v>0</v>
      </c>
      <c r="G5618" s="115">
        <v>0</v>
      </c>
      <c r="H5618" s="115">
        <v>0</v>
      </c>
      <c r="I5618" s="115">
        <v>0</v>
      </c>
      <c r="J5618" s="115">
        <v>7951</v>
      </c>
      <c r="K5618" s="115">
        <v>0</v>
      </c>
    </row>
    <row r="5619" spans="1:11" x14ac:dyDescent="0.25">
      <c r="B5619" s="115" t="s">
        <v>5825</v>
      </c>
      <c r="D5619" s="115" t="s">
        <v>11702</v>
      </c>
      <c r="E5619" s="115" t="s">
        <v>5826</v>
      </c>
      <c r="F5619" s="115">
        <v>2174</v>
      </c>
      <c r="G5619" s="115">
        <v>11379</v>
      </c>
      <c r="H5619" s="115">
        <v>10109</v>
      </c>
      <c r="I5619" s="115">
        <v>-12026</v>
      </c>
      <c r="J5619" s="115">
        <v>-10211</v>
      </c>
      <c r="K5619" s="115">
        <v>-7418</v>
      </c>
    </row>
    <row r="5620" spans="1:11" x14ac:dyDescent="0.25">
      <c r="B5620" s="115" t="s">
        <v>1241</v>
      </c>
      <c r="D5620" s="115" t="s">
        <v>11703</v>
      </c>
      <c r="E5620" s="115" t="s">
        <v>5827</v>
      </c>
      <c r="F5620" s="115">
        <v>0</v>
      </c>
      <c r="G5620" s="115">
        <v>0</v>
      </c>
      <c r="H5620" s="115">
        <v>0</v>
      </c>
      <c r="I5620" s="115">
        <v>-1714</v>
      </c>
      <c r="J5620" s="115">
        <v>1561</v>
      </c>
      <c r="K5620" s="115">
        <v>-2407</v>
      </c>
    </row>
    <row r="5621" spans="1:11" x14ac:dyDescent="0.25">
      <c r="B5621" s="115" t="s">
        <v>5828</v>
      </c>
      <c r="C5621" s="115" t="s">
        <v>1239</v>
      </c>
      <c r="D5621" s="115" t="s">
        <v>11704</v>
      </c>
      <c r="E5621" s="115" t="s">
        <v>5829</v>
      </c>
      <c r="F5621" s="115">
        <v>0</v>
      </c>
      <c r="G5621" s="115">
        <v>6167</v>
      </c>
      <c r="H5621" s="115">
        <v>0</v>
      </c>
      <c r="I5621" s="115">
        <v>4514</v>
      </c>
      <c r="J5621" s="115">
        <v>-35770</v>
      </c>
      <c r="K5621" s="115">
        <v>0</v>
      </c>
    </row>
    <row r="5622" spans="1:11" x14ac:dyDescent="0.25">
      <c r="B5622" s="115" t="s">
        <v>1241</v>
      </c>
      <c r="D5622" s="115" t="s">
        <v>11705</v>
      </c>
      <c r="E5622" s="115" t="s">
        <v>5830</v>
      </c>
      <c r="F5622" s="115">
        <v>0</v>
      </c>
      <c r="G5622" s="115">
        <v>1891</v>
      </c>
      <c r="H5622" s="115">
        <v>635</v>
      </c>
      <c r="I5622" s="115">
        <v>0</v>
      </c>
      <c r="J5622" s="115">
        <v>0</v>
      </c>
      <c r="K5622" s="115">
        <v>0</v>
      </c>
    </row>
    <row r="5623" spans="1:11" x14ac:dyDescent="0.25">
      <c r="B5623" s="115" t="s">
        <v>1241</v>
      </c>
      <c r="D5623" s="115" t="s">
        <v>8710</v>
      </c>
      <c r="E5623" s="115" t="s">
        <v>1242</v>
      </c>
      <c r="F5623" s="115">
        <v>0</v>
      </c>
      <c r="G5623" s="115">
        <v>0</v>
      </c>
      <c r="H5623" s="115">
        <v>0</v>
      </c>
      <c r="I5623" s="115">
        <v>0</v>
      </c>
      <c r="J5623" s="115">
        <v>0</v>
      </c>
      <c r="K5623" s="115">
        <v>0</v>
      </c>
    </row>
    <row r="5624" spans="1:11" x14ac:dyDescent="0.25">
      <c r="B5624" s="115" t="s">
        <v>1241</v>
      </c>
      <c r="D5624" s="115" t="s">
        <v>11706</v>
      </c>
      <c r="E5624" s="115" t="s">
        <v>5831</v>
      </c>
      <c r="F5624" s="115">
        <v>0</v>
      </c>
      <c r="G5624" s="115">
        <v>0</v>
      </c>
      <c r="H5624" s="115">
        <v>0</v>
      </c>
      <c r="I5624" s="115">
        <v>0</v>
      </c>
      <c r="J5624" s="115">
        <v>79</v>
      </c>
      <c r="K5624" s="115">
        <v>-27028</v>
      </c>
    </row>
    <row r="5625" spans="1:11" x14ac:dyDescent="0.25">
      <c r="A5625" s="115">
        <v>-12</v>
      </c>
      <c r="B5625" s="115" t="s">
        <v>5832</v>
      </c>
      <c r="D5625" s="115" t="s">
        <v>11707</v>
      </c>
      <c r="E5625" s="115">
        <f>-2485    -54   -446 -19066 -11502</f>
        <v>-33553</v>
      </c>
      <c r="F5625" s="115">
        <v>1156</v>
      </c>
      <c r="G5625" s="115">
        <v>-2485</v>
      </c>
      <c r="H5625" s="115">
        <v>-54</v>
      </c>
      <c r="I5625" s="115">
        <v>-446</v>
      </c>
      <c r="J5625" s="115">
        <v>-19066</v>
      </c>
      <c r="K5625" s="115">
        <v>-11502</v>
      </c>
    </row>
    <row r="5626" spans="1:11" x14ac:dyDescent="0.25">
      <c r="A5626" s="115">
        <v>-7</v>
      </c>
      <c r="B5626" s="115" t="s">
        <v>5833</v>
      </c>
      <c r="D5626" s="115" t="s">
        <v>11708</v>
      </c>
      <c r="E5626" s="115" t="s">
        <v>5834</v>
      </c>
      <c r="F5626" s="115">
        <v>-5143</v>
      </c>
      <c r="G5626" s="115">
        <v>0</v>
      </c>
      <c r="H5626" s="115">
        <v>-3626</v>
      </c>
      <c r="I5626" s="115">
        <v>1715</v>
      </c>
      <c r="J5626" s="115">
        <v>1935</v>
      </c>
      <c r="K5626" s="115">
        <v>145</v>
      </c>
    </row>
    <row r="5627" spans="1:11" x14ac:dyDescent="0.25">
      <c r="A5627" s="115">
        <v>-1</v>
      </c>
      <c r="B5627" s="115" t="s">
        <v>5835</v>
      </c>
      <c r="D5627" s="115" t="s">
        <v>11709</v>
      </c>
      <c r="E5627" s="115" t="s">
        <v>5836</v>
      </c>
      <c r="F5627" s="115">
        <v>-1841</v>
      </c>
      <c r="G5627" s="115">
        <v>1586</v>
      </c>
      <c r="H5627" s="115">
        <v>1434</v>
      </c>
      <c r="I5627" s="115">
        <v>136</v>
      </c>
      <c r="J5627" s="115">
        <v>-1376</v>
      </c>
      <c r="K5627" s="115">
        <v>1186</v>
      </c>
    </row>
    <row r="5628" spans="1:11" x14ac:dyDescent="0.25">
      <c r="A5628" s="115">
        <v>1</v>
      </c>
      <c r="B5628" s="115" t="s">
        <v>5837</v>
      </c>
      <c r="C5628" s="115" t="s">
        <v>1239</v>
      </c>
      <c r="D5628" s="115" t="s">
        <v>11710</v>
      </c>
      <c r="E5628" s="115" t="s">
        <v>5838</v>
      </c>
      <c r="F5628" s="115">
        <v>1908</v>
      </c>
      <c r="G5628" s="115">
        <v>88</v>
      </c>
      <c r="H5628" s="115">
        <v>-5014</v>
      </c>
      <c r="I5628" s="115">
        <v>180</v>
      </c>
      <c r="J5628" s="115">
        <v>-4381</v>
      </c>
      <c r="K5628" s="115">
        <v>-2693</v>
      </c>
    </row>
    <row r="5629" spans="1:11" x14ac:dyDescent="0.25">
      <c r="A5629" s="115">
        <v>-2</v>
      </c>
      <c r="B5629" s="115" t="s">
        <v>5839</v>
      </c>
      <c r="D5629" s="115" t="s">
        <v>11711</v>
      </c>
      <c r="E5629" s="115" t="s">
        <v>5840</v>
      </c>
      <c r="F5629" s="115">
        <v>0</v>
      </c>
      <c r="G5629" s="115">
        <v>0</v>
      </c>
      <c r="H5629" s="115">
        <v>0</v>
      </c>
      <c r="I5629" s="115">
        <v>5056</v>
      </c>
      <c r="J5629" s="115">
        <v>-2828</v>
      </c>
      <c r="K5629" s="115">
        <v>0</v>
      </c>
    </row>
    <row r="5630" spans="1:11" x14ac:dyDescent="0.25">
      <c r="B5630" s="115" t="s">
        <v>1241</v>
      </c>
      <c r="D5630" s="115" t="s">
        <v>11712</v>
      </c>
      <c r="E5630" s="115" t="s">
        <v>5841</v>
      </c>
      <c r="F5630" s="115">
        <v>0</v>
      </c>
      <c r="G5630" s="115">
        <v>-3983</v>
      </c>
      <c r="H5630" s="115">
        <v>0</v>
      </c>
      <c r="I5630" s="115">
        <v>0</v>
      </c>
      <c r="J5630" s="115">
        <v>395</v>
      </c>
      <c r="K5630" s="115">
        <v>0</v>
      </c>
    </row>
    <row r="5631" spans="1:11" x14ac:dyDescent="0.25">
      <c r="A5631" s="115" t="s">
        <v>1239</v>
      </c>
      <c r="B5631" s="115" t="s">
        <v>5842</v>
      </c>
      <c r="D5631" s="115" t="s">
        <v>11713</v>
      </c>
      <c r="E5631" s="115" t="s">
        <v>5843</v>
      </c>
      <c r="F5631" s="115">
        <v>1441</v>
      </c>
      <c r="G5631" s="115">
        <v>0</v>
      </c>
      <c r="H5631" s="115">
        <v>1438</v>
      </c>
      <c r="I5631" s="115">
        <v>368</v>
      </c>
      <c r="J5631" s="115">
        <v>-2099</v>
      </c>
      <c r="K5631" s="115">
        <v>-2222</v>
      </c>
    </row>
    <row r="5632" spans="1:11" x14ac:dyDescent="0.25">
      <c r="A5632" s="115">
        <v>-1</v>
      </c>
      <c r="B5632" s="115" t="s">
        <v>5844</v>
      </c>
      <c r="D5632" s="115" t="s">
        <v>11714</v>
      </c>
      <c r="E5632" s="115" t="s">
        <v>5845</v>
      </c>
      <c r="F5632" s="115">
        <v>0</v>
      </c>
      <c r="G5632" s="115">
        <v>0</v>
      </c>
      <c r="H5632" s="115">
        <v>0</v>
      </c>
      <c r="I5632" s="115">
        <v>0</v>
      </c>
      <c r="J5632" s="115">
        <v>0</v>
      </c>
      <c r="K5632" s="115">
        <v>-329</v>
      </c>
    </row>
    <row r="5633" spans="1:11" x14ac:dyDescent="0.25">
      <c r="B5633" s="115" t="s">
        <v>1241</v>
      </c>
      <c r="D5633" s="115" t="s">
        <v>11715</v>
      </c>
      <c r="E5633" s="115" t="s">
        <v>5846</v>
      </c>
      <c r="F5633" s="115">
        <v>0</v>
      </c>
      <c r="G5633" s="115">
        <v>-31</v>
      </c>
      <c r="H5633" s="115">
        <v>0</v>
      </c>
      <c r="I5633" s="115">
        <v>0</v>
      </c>
      <c r="J5633" s="115">
        <v>0</v>
      </c>
      <c r="K5633" s="115">
        <v>0</v>
      </c>
    </row>
    <row r="5634" spans="1:11" x14ac:dyDescent="0.25">
      <c r="B5634" s="115" t="s">
        <v>5847</v>
      </c>
      <c r="D5634" s="115" t="s">
        <v>11716</v>
      </c>
      <c r="E5634" s="115" t="s">
        <v>5848</v>
      </c>
      <c r="F5634" s="115">
        <v>362</v>
      </c>
      <c r="G5634" s="115">
        <v>0</v>
      </c>
      <c r="H5634" s="115">
        <v>0</v>
      </c>
      <c r="I5634" s="115">
        <v>-10899</v>
      </c>
      <c r="J5634" s="115">
        <v>7534</v>
      </c>
      <c r="K5634" s="115">
        <v>0</v>
      </c>
    </row>
    <row r="5635" spans="1:11" x14ac:dyDescent="0.25">
      <c r="A5635" s="115">
        <v>11</v>
      </c>
      <c r="B5635" s="115" t="s">
        <v>5849</v>
      </c>
      <c r="D5635" s="115" t="s">
        <v>11717</v>
      </c>
      <c r="E5635" s="115" t="s">
        <v>5850</v>
      </c>
      <c r="F5635" s="115">
        <v>0</v>
      </c>
      <c r="G5635" s="115">
        <v>6009</v>
      </c>
      <c r="H5635" s="115">
        <v>1724</v>
      </c>
      <c r="I5635" s="115">
        <v>1368</v>
      </c>
      <c r="J5635" s="115">
        <v>0</v>
      </c>
      <c r="K5635" s="115">
        <v>0</v>
      </c>
    </row>
    <row r="5636" spans="1:11" x14ac:dyDescent="0.25">
      <c r="A5636" s="115">
        <v>1</v>
      </c>
      <c r="B5636" s="115" t="s">
        <v>5851</v>
      </c>
      <c r="D5636" s="115" t="s">
        <v>11718</v>
      </c>
      <c r="E5636" s="115" t="s">
        <v>5852</v>
      </c>
      <c r="F5636" s="115">
        <v>2675</v>
      </c>
      <c r="G5636" s="115">
        <v>1282</v>
      </c>
      <c r="H5636" s="115">
        <v>-484</v>
      </c>
      <c r="I5636" s="115">
        <v>858</v>
      </c>
      <c r="J5636" s="115">
        <v>870</v>
      </c>
      <c r="K5636" s="115">
        <v>4216</v>
      </c>
    </row>
    <row r="5637" spans="1:11" x14ac:dyDescent="0.25">
      <c r="B5637" s="115" t="s">
        <v>1241</v>
      </c>
      <c r="D5637" s="115" t="s">
        <v>11719</v>
      </c>
      <c r="E5637" s="115" t="s">
        <v>5853</v>
      </c>
      <c r="F5637" s="115">
        <v>0</v>
      </c>
      <c r="G5637" s="115">
        <v>10015</v>
      </c>
      <c r="H5637" s="115">
        <v>0</v>
      </c>
      <c r="I5637" s="115">
        <v>-3945</v>
      </c>
      <c r="J5637" s="115">
        <v>5806</v>
      </c>
      <c r="K5637" s="115">
        <v>-485</v>
      </c>
    </row>
    <row r="5638" spans="1:11" x14ac:dyDescent="0.25">
      <c r="B5638" s="115" t="s">
        <v>5854</v>
      </c>
      <c r="D5638" s="115" t="s">
        <v>11720</v>
      </c>
      <c r="E5638" s="115" t="s">
        <v>5855</v>
      </c>
      <c r="F5638" s="115">
        <v>-5336</v>
      </c>
      <c r="G5638" s="115">
        <v>-5737</v>
      </c>
      <c r="H5638" s="115">
        <v>0</v>
      </c>
      <c r="I5638" s="115">
        <v>-2355</v>
      </c>
      <c r="J5638" s="115">
        <v>-5160</v>
      </c>
      <c r="K5638" s="115">
        <v>-2314</v>
      </c>
    </row>
    <row r="5639" spans="1:11" x14ac:dyDescent="0.25">
      <c r="B5639" s="115" t="s">
        <v>2260</v>
      </c>
      <c r="D5639" s="115" t="s">
        <v>11721</v>
      </c>
      <c r="E5639" s="115" t="s">
        <v>5856</v>
      </c>
      <c r="F5639" s="115">
        <v>0</v>
      </c>
      <c r="G5639" s="115">
        <v>0</v>
      </c>
      <c r="H5639" s="115">
        <v>0</v>
      </c>
      <c r="I5639" s="115">
        <v>-757</v>
      </c>
      <c r="J5639" s="115">
        <v>2752</v>
      </c>
      <c r="K5639" s="115">
        <v>0</v>
      </c>
    </row>
    <row r="5640" spans="1:11" x14ac:dyDescent="0.25">
      <c r="A5640" s="115">
        <v>2</v>
      </c>
      <c r="B5640" s="115" t="s">
        <v>5857</v>
      </c>
      <c r="D5640" s="115" t="s">
        <v>11722</v>
      </c>
      <c r="E5640" s="115" t="s">
        <v>5858</v>
      </c>
      <c r="F5640" s="115">
        <v>0</v>
      </c>
      <c r="G5640" s="115">
        <v>0</v>
      </c>
      <c r="H5640" s="115">
        <v>0</v>
      </c>
      <c r="I5640" s="115">
        <v>0</v>
      </c>
      <c r="J5640" s="115">
        <v>0</v>
      </c>
      <c r="K5640" s="115">
        <v>11776</v>
      </c>
    </row>
    <row r="5641" spans="1:11" x14ac:dyDescent="0.25">
      <c r="B5641" s="115" t="s">
        <v>5859</v>
      </c>
      <c r="D5641" s="115" t="s">
        <v>11723</v>
      </c>
      <c r="E5641" s="115" t="s">
        <v>5860</v>
      </c>
      <c r="F5641" s="115">
        <v>0</v>
      </c>
      <c r="G5641" s="115">
        <v>-3661</v>
      </c>
      <c r="H5641" s="115">
        <v>-100</v>
      </c>
      <c r="I5641" s="115">
        <v>73</v>
      </c>
      <c r="J5641" s="115">
        <v>-5851</v>
      </c>
      <c r="K5641" s="115">
        <v>-5841</v>
      </c>
    </row>
    <row r="5642" spans="1:11" x14ac:dyDescent="0.25">
      <c r="A5642" s="115">
        <v>-2</v>
      </c>
      <c r="B5642" s="115" t="s">
        <v>5861</v>
      </c>
      <c r="C5642" s="115" t="s">
        <v>1239</v>
      </c>
      <c r="D5642" s="115" t="s">
        <v>11724</v>
      </c>
      <c r="E5642" s="115" t="s">
        <v>5862</v>
      </c>
      <c r="F5642" s="115">
        <v>106</v>
      </c>
      <c r="G5642" s="115">
        <v>0</v>
      </c>
      <c r="H5642" s="115">
        <v>0</v>
      </c>
      <c r="I5642" s="115">
        <v>-248</v>
      </c>
      <c r="J5642" s="115">
        <v>16</v>
      </c>
      <c r="K5642" s="115">
        <v>0</v>
      </c>
    </row>
    <row r="5643" spans="1:11" x14ac:dyDescent="0.25">
      <c r="B5643" s="115" t="s">
        <v>5863</v>
      </c>
      <c r="D5643" s="115" t="s">
        <v>11725</v>
      </c>
      <c r="E5643" s="115" t="s">
        <v>5864</v>
      </c>
      <c r="F5643" s="115">
        <v>0</v>
      </c>
      <c r="G5643" s="115">
        <v>-74</v>
      </c>
      <c r="H5643" s="115">
        <v>-71</v>
      </c>
      <c r="I5643" s="115">
        <v>-907</v>
      </c>
      <c r="J5643" s="115">
        <v>0</v>
      </c>
      <c r="K5643" s="115">
        <v>0</v>
      </c>
    </row>
    <row r="5644" spans="1:11" x14ac:dyDescent="0.25">
      <c r="B5644" s="115" t="s">
        <v>1241</v>
      </c>
      <c r="D5644" s="115" t="s">
        <v>11726</v>
      </c>
      <c r="E5644" s="115" t="s">
        <v>5865</v>
      </c>
      <c r="F5644" s="115">
        <v>0</v>
      </c>
      <c r="G5644" s="115">
        <v>831</v>
      </c>
      <c r="H5644" s="115">
        <v>398</v>
      </c>
      <c r="I5644" s="115">
        <v>92</v>
      </c>
      <c r="J5644" s="115">
        <v>0</v>
      </c>
      <c r="K5644" s="115">
        <v>3598</v>
      </c>
    </row>
    <row r="5645" spans="1:11" x14ac:dyDescent="0.25">
      <c r="B5645" s="115" t="s">
        <v>5866</v>
      </c>
      <c r="D5645" s="115" t="s">
        <v>11727</v>
      </c>
      <c r="E5645" s="115" t="s">
        <v>5867</v>
      </c>
      <c r="F5645" s="115">
        <v>0</v>
      </c>
      <c r="G5645" s="115">
        <v>-739</v>
      </c>
      <c r="H5645" s="115">
        <v>-2118</v>
      </c>
      <c r="I5645" s="115">
        <v>414</v>
      </c>
      <c r="J5645" s="115">
        <v>-965</v>
      </c>
      <c r="K5645" s="115">
        <v>-614</v>
      </c>
    </row>
    <row r="5646" spans="1:11" x14ac:dyDescent="0.25">
      <c r="B5646" s="115" t="s">
        <v>5868</v>
      </c>
      <c r="D5646" s="115" t="s">
        <v>11728</v>
      </c>
      <c r="E5646" s="115" t="s">
        <v>5869</v>
      </c>
      <c r="F5646" s="115">
        <v>49</v>
      </c>
      <c r="G5646" s="115">
        <v>0</v>
      </c>
      <c r="H5646" s="115">
        <v>1726</v>
      </c>
      <c r="I5646" s="115">
        <v>0</v>
      </c>
      <c r="J5646" s="115">
        <v>2267</v>
      </c>
      <c r="K5646" s="115">
        <v>0</v>
      </c>
    </row>
    <row r="5647" spans="1:11" x14ac:dyDescent="0.25">
      <c r="B5647" s="115" t="s">
        <v>1241</v>
      </c>
      <c r="D5647" s="115" t="s">
        <v>11729</v>
      </c>
      <c r="E5647" s="115" t="s">
        <v>5870</v>
      </c>
      <c r="F5647" s="115">
        <v>0</v>
      </c>
      <c r="G5647" s="115">
        <v>0</v>
      </c>
      <c r="H5647" s="115">
        <v>0</v>
      </c>
      <c r="I5647" s="115">
        <v>8182</v>
      </c>
      <c r="J5647" s="115">
        <v>0</v>
      </c>
      <c r="K5647" s="115">
        <v>677</v>
      </c>
    </row>
    <row r="5648" spans="1:11" x14ac:dyDescent="0.25">
      <c r="A5648" s="115" t="s">
        <v>1239</v>
      </c>
      <c r="B5648" s="115" t="s">
        <v>5871</v>
      </c>
      <c r="D5648" s="115" t="s">
        <v>11730</v>
      </c>
      <c r="E5648" s="115" t="s">
        <v>1242</v>
      </c>
      <c r="F5648" s="115">
        <v>-542</v>
      </c>
      <c r="G5648" s="115">
        <v>0</v>
      </c>
      <c r="H5648" s="115">
        <v>0</v>
      </c>
      <c r="I5648" s="115">
        <v>0</v>
      </c>
      <c r="J5648" s="115">
        <v>0</v>
      </c>
      <c r="K5648" s="115">
        <v>0</v>
      </c>
    </row>
    <row r="5649" spans="1:11" x14ac:dyDescent="0.25">
      <c r="A5649" s="115" t="s">
        <v>1239</v>
      </c>
      <c r="B5649" s="115" t="s">
        <v>5872</v>
      </c>
      <c r="C5649" s="115" t="s">
        <v>1239</v>
      </c>
      <c r="D5649" s="115" t="s">
        <v>11731</v>
      </c>
      <c r="E5649" s="115" t="s">
        <v>5873</v>
      </c>
      <c r="F5649" s="115">
        <v>-287</v>
      </c>
      <c r="G5649" s="115">
        <v>-588</v>
      </c>
      <c r="H5649" s="115">
        <v>0</v>
      </c>
      <c r="I5649" s="115">
        <v>0</v>
      </c>
      <c r="J5649" s="115">
        <v>0</v>
      </c>
      <c r="K5649" s="115">
        <v>0</v>
      </c>
    </row>
    <row r="5650" spans="1:11" x14ac:dyDescent="0.25">
      <c r="A5650" s="115">
        <v>4</v>
      </c>
      <c r="B5650" s="115" t="s">
        <v>4542</v>
      </c>
      <c r="D5650" s="115" t="s">
        <v>11732</v>
      </c>
      <c r="E5650" s="115" t="s">
        <v>5874</v>
      </c>
      <c r="F5650" s="115">
        <v>0</v>
      </c>
      <c r="G5650" s="115">
        <v>-651</v>
      </c>
      <c r="H5650" s="115">
        <v>191</v>
      </c>
      <c r="I5650" s="115">
        <v>0</v>
      </c>
      <c r="J5650" s="115">
        <v>0</v>
      </c>
      <c r="K5650" s="115">
        <v>0</v>
      </c>
    </row>
    <row r="5651" spans="1:11" x14ac:dyDescent="0.25">
      <c r="B5651" s="115" t="s">
        <v>5875</v>
      </c>
      <c r="D5651" s="115" t="s">
        <v>11733</v>
      </c>
      <c r="E5651" s="115" t="s">
        <v>5876</v>
      </c>
      <c r="F5651" s="115">
        <v>-449</v>
      </c>
      <c r="G5651" s="115">
        <v>-79</v>
      </c>
      <c r="H5651" s="115">
        <v>3716</v>
      </c>
      <c r="I5651" s="115">
        <v>-357</v>
      </c>
      <c r="J5651" s="115">
        <v>20519</v>
      </c>
      <c r="K5651" s="115">
        <v>22604</v>
      </c>
    </row>
    <row r="5652" spans="1:11" x14ac:dyDescent="0.25">
      <c r="A5652" s="115">
        <v>11</v>
      </c>
      <c r="B5652" s="115" t="s">
        <v>5877</v>
      </c>
      <c r="D5652" s="115" t="s">
        <v>11734</v>
      </c>
      <c r="E5652" s="115" t="s">
        <v>1242</v>
      </c>
      <c r="F5652" s="115">
        <v>0</v>
      </c>
      <c r="G5652" s="115">
        <v>0</v>
      </c>
      <c r="H5652" s="115">
        <v>0</v>
      </c>
      <c r="I5652" s="115">
        <v>0</v>
      </c>
      <c r="J5652" s="115">
        <v>0</v>
      </c>
      <c r="K5652" s="115">
        <v>0</v>
      </c>
    </row>
    <row r="5653" spans="1:11" x14ac:dyDescent="0.25">
      <c r="A5653" s="115">
        <v>-3</v>
      </c>
      <c r="B5653" s="115" t="s">
        <v>5878</v>
      </c>
      <c r="C5653" s="115">
        <v>-1</v>
      </c>
      <c r="D5653" s="115" t="s">
        <v>11735</v>
      </c>
      <c r="E5653" s="115" t="s">
        <v>5879</v>
      </c>
      <c r="F5653" s="115">
        <v>-11505</v>
      </c>
      <c r="G5653" s="115">
        <v>-830</v>
      </c>
      <c r="H5653" s="115">
        <v>0</v>
      </c>
      <c r="I5653" s="115">
        <v>0</v>
      </c>
      <c r="J5653" s="115">
        <v>10574</v>
      </c>
      <c r="K5653" s="115">
        <v>0</v>
      </c>
    </row>
    <row r="5654" spans="1:11" x14ac:dyDescent="0.25">
      <c r="A5654" s="115">
        <v>5</v>
      </c>
      <c r="B5654" s="115" t="s">
        <v>5880</v>
      </c>
      <c r="D5654" s="115" t="s">
        <v>11736</v>
      </c>
      <c r="E5654" s="115" t="s">
        <v>5881</v>
      </c>
      <c r="F5654" s="115">
        <v>0</v>
      </c>
      <c r="G5654" s="115">
        <v>0</v>
      </c>
      <c r="H5654" s="115">
        <v>2486</v>
      </c>
      <c r="I5654" s="115">
        <v>0</v>
      </c>
      <c r="J5654" s="115">
        <v>2859</v>
      </c>
      <c r="K5654" s="115">
        <v>3266</v>
      </c>
    </row>
    <row r="5655" spans="1:11" x14ac:dyDescent="0.25">
      <c r="B5655" s="115" t="s">
        <v>1241</v>
      </c>
      <c r="D5655" s="115" t="s">
        <v>8710</v>
      </c>
      <c r="E5655" s="115" t="s">
        <v>1242</v>
      </c>
      <c r="F5655" s="115">
        <v>0</v>
      </c>
      <c r="G5655" s="115">
        <v>0</v>
      </c>
      <c r="H5655" s="115">
        <v>0</v>
      </c>
      <c r="I5655" s="115">
        <v>0</v>
      </c>
      <c r="J5655" s="115">
        <v>0</v>
      </c>
      <c r="K5655" s="115">
        <v>0</v>
      </c>
    </row>
    <row r="5656" spans="1:11" x14ac:dyDescent="0.25">
      <c r="B5656" s="115" t="s">
        <v>1241</v>
      </c>
      <c r="D5656" s="115" t="s">
        <v>11737</v>
      </c>
      <c r="E5656" s="115" t="s">
        <v>5882</v>
      </c>
      <c r="F5656" s="115">
        <v>0</v>
      </c>
      <c r="G5656" s="115">
        <v>-156</v>
      </c>
      <c r="H5656" s="115">
        <v>0</v>
      </c>
      <c r="I5656" s="115">
        <v>0</v>
      </c>
      <c r="J5656" s="115">
        <v>0</v>
      </c>
      <c r="K5656" s="115">
        <v>0</v>
      </c>
    </row>
    <row r="5657" spans="1:11" x14ac:dyDescent="0.25">
      <c r="B5657" s="115" t="s">
        <v>5883</v>
      </c>
      <c r="D5657" s="115" t="s">
        <v>11738</v>
      </c>
      <c r="E5657" s="115" t="s">
        <v>5884</v>
      </c>
      <c r="F5657" s="115">
        <v>-19476</v>
      </c>
      <c r="G5657" s="115">
        <v>-2856</v>
      </c>
      <c r="H5657" s="115">
        <v>-1555</v>
      </c>
      <c r="I5657" s="115">
        <v>-2906</v>
      </c>
      <c r="J5657" s="115">
        <v>-2481</v>
      </c>
      <c r="K5657" s="115">
        <v>599</v>
      </c>
    </row>
    <row r="5658" spans="1:11" x14ac:dyDescent="0.25">
      <c r="A5658" s="115" t="s">
        <v>1239</v>
      </c>
      <c r="B5658" s="115" t="s">
        <v>5885</v>
      </c>
      <c r="D5658" s="115" t="s">
        <v>11739</v>
      </c>
      <c r="E5658" s="115" t="s">
        <v>5886</v>
      </c>
      <c r="F5658" s="115">
        <v>199</v>
      </c>
      <c r="G5658" s="115">
        <v>269</v>
      </c>
      <c r="H5658" s="115">
        <v>-1318</v>
      </c>
      <c r="I5658" s="115">
        <v>162</v>
      </c>
      <c r="J5658" s="115">
        <v>0</v>
      </c>
      <c r="K5658" s="115">
        <v>-13577</v>
      </c>
    </row>
    <row r="5659" spans="1:11" x14ac:dyDescent="0.25">
      <c r="A5659" s="115">
        <v>3</v>
      </c>
      <c r="B5659" s="115" t="s">
        <v>5887</v>
      </c>
      <c r="C5659" s="115" t="s">
        <v>1239</v>
      </c>
      <c r="D5659" s="115" t="s">
        <v>11740</v>
      </c>
      <c r="E5659" s="115" t="s">
        <v>5888</v>
      </c>
      <c r="F5659" s="115">
        <v>-1934</v>
      </c>
      <c r="G5659" s="115">
        <v>1384</v>
      </c>
      <c r="H5659" s="115">
        <v>-1128</v>
      </c>
      <c r="I5659" s="115">
        <v>-4085</v>
      </c>
      <c r="J5659" s="115">
        <v>96</v>
      </c>
      <c r="K5659" s="115">
        <v>-1613</v>
      </c>
    </row>
    <row r="5660" spans="1:11" x14ac:dyDescent="0.25">
      <c r="A5660" s="115">
        <v>-1</v>
      </c>
      <c r="B5660" s="115" t="s">
        <v>5889</v>
      </c>
      <c r="D5660" s="115" t="s">
        <v>11741</v>
      </c>
      <c r="E5660" s="115" t="s">
        <v>5890</v>
      </c>
      <c r="F5660" s="115">
        <v>529</v>
      </c>
      <c r="G5660" s="115">
        <v>-2321</v>
      </c>
      <c r="H5660" s="115">
        <v>1118</v>
      </c>
      <c r="I5660" s="115">
        <v>2180</v>
      </c>
      <c r="J5660" s="115">
        <v>-809</v>
      </c>
      <c r="K5660" s="115">
        <v>30628</v>
      </c>
    </row>
    <row r="5661" spans="1:11" x14ac:dyDescent="0.25">
      <c r="A5661" s="115">
        <v>-8</v>
      </c>
      <c r="B5661" s="115" t="s">
        <v>5891</v>
      </c>
      <c r="C5661" s="115" t="s">
        <v>1239</v>
      </c>
      <c r="D5661" s="115" t="s">
        <v>11742</v>
      </c>
      <c r="E5661" s="115" t="s">
        <v>5892</v>
      </c>
      <c r="F5661" s="115">
        <v>-2779</v>
      </c>
      <c r="G5661" s="115">
        <v>0</v>
      </c>
      <c r="H5661" s="115">
        <v>0</v>
      </c>
      <c r="I5661" s="115">
        <v>-1382</v>
      </c>
      <c r="J5661" s="115">
        <v>0</v>
      </c>
      <c r="K5661" s="115">
        <v>0</v>
      </c>
    </row>
    <row r="5662" spans="1:11" x14ac:dyDescent="0.25">
      <c r="B5662" s="115" t="s">
        <v>5893</v>
      </c>
      <c r="D5662" s="115" t="s">
        <v>11743</v>
      </c>
      <c r="E5662" s="115" t="s">
        <v>5894</v>
      </c>
      <c r="F5662" s="115">
        <v>0</v>
      </c>
      <c r="G5662" s="115">
        <v>0</v>
      </c>
      <c r="H5662" s="115">
        <v>0</v>
      </c>
      <c r="I5662" s="115">
        <v>0</v>
      </c>
      <c r="J5662" s="115">
        <v>0</v>
      </c>
      <c r="K5662" s="115">
        <v>-4166</v>
      </c>
    </row>
    <row r="5663" spans="1:11" x14ac:dyDescent="0.25">
      <c r="B5663" s="115" t="s">
        <v>1241</v>
      </c>
      <c r="D5663" s="115" t="s">
        <v>11744</v>
      </c>
      <c r="E5663" s="115" t="s">
        <v>5895</v>
      </c>
      <c r="F5663" s="115">
        <v>-468</v>
      </c>
      <c r="G5663" s="115">
        <v>0</v>
      </c>
      <c r="H5663" s="115">
        <v>33</v>
      </c>
      <c r="I5663" s="115">
        <v>7192</v>
      </c>
      <c r="J5663" s="115">
        <v>2474</v>
      </c>
      <c r="K5663" s="115">
        <v>0</v>
      </c>
    </row>
    <row r="5664" spans="1:11" x14ac:dyDescent="0.25">
      <c r="A5664" s="115">
        <v>1</v>
      </c>
      <c r="B5664" s="115" t="s">
        <v>5896</v>
      </c>
      <c r="C5664" s="115" t="s">
        <v>1239</v>
      </c>
      <c r="D5664" s="115" t="s">
        <v>11745</v>
      </c>
      <c r="E5664" s="115" t="s">
        <v>5897</v>
      </c>
      <c r="F5664" s="115">
        <v>-1068</v>
      </c>
      <c r="G5664" s="115">
        <v>-561</v>
      </c>
      <c r="H5664" s="115">
        <v>0</v>
      </c>
      <c r="I5664" s="115">
        <v>58</v>
      </c>
      <c r="J5664" s="115">
        <v>0</v>
      </c>
      <c r="K5664" s="115">
        <v>0</v>
      </c>
    </row>
    <row r="5665" spans="1:11" x14ac:dyDescent="0.25">
      <c r="B5665" s="115" t="s">
        <v>1241</v>
      </c>
      <c r="D5665" s="115" t="s">
        <v>11746</v>
      </c>
      <c r="E5665" s="115" t="s">
        <v>5898</v>
      </c>
      <c r="F5665" s="115">
        <v>0</v>
      </c>
      <c r="G5665" s="115">
        <v>0</v>
      </c>
      <c r="H5665" s="115">
        <v>0</v>
      </c>
      <c r="I5665" s="115">
        <v>452</v>
      </c>
      <c r="J5665" s="115">
        <v>0</v>
      </c>
      <c r="K5665" s="115">
        <v>-94</v>
      </c>
    </row>
    <row r="5666" spans="1:11" x14ac:dyDescent="0.25">
      <c r="B5666" s="115" t="s">
        <v>1241</v>
      </c>
      <c r="D5666" s="115" t="s">
        <v>11747</v>
      </c>
      <c r="E5666" s="115" t="s">
        <v>5899</v>
      </c>
      <c r="F5666" s="115">
        <v>0</v>
      </c>
      <c r="G5666" s="115">
        <v>982</v>
      </c>
      <c r="H5666" s="115">
        <v>0</v>
      </c>
      <c r="I5666" s="115">
        <v>-37</v>
      </c>
      <c r="J5666" s="115">
        <v>839</v>
      </c>
      <c r="K5666" s="115">
        <v>0</v>
      </c>
    </row>
    <row r="5667" spans="1:11" x14ac:dyDescent="0.25">
      <c r="B5667" s="115" t="s">
        <v>5900</v>
      </c>
      <c r="C5667" s="115" t="s">
        <v>1239</v>
      </c>
      <c r="D5667" s="115" t="s">
        <v>11748</v>
      </c>
      <c r="E5667" s="115" t="s">
        <v>5901</v>
      </c>
      <c r="F5667" s="115">
        <v>-4381</v>
      </c>
      <c r="G5667" s="115">
        <v>0</v>
      </c>
      <c r="H5667" s="115">
        <v>0</v>
      </c>
      <c r="I5667" s="115">
        <v>0</v>
      </c>
      <c r="J5667" s="115">
        <v>0</v>
      </c>
      <c r="K5667" s="115">
        <v>-278</v>
      </c>
    </row>
    <row r="5668" spans="1:11" x14ac:dyDescent="0.25">
      <c r="A5668" s="115">
        <v>-1</v>
      </c>
      <c r="B5668" s="115" t="s">
        <v>5902</v>
      </c>
      <c r="D5668" s="115" t="s">
        <v>11749</v>
      </c>
      <c r="E5668" s="115" t="s">
        <v>5903</v>
      </c>
      <c r="F5668" s="115">
        <v>476</v>
      </c>
      <c r="G5668" s="115">
        <v>1342</v>
      </c>
      <c r="H5668" s="115">
        <v>0</v>
      </c>
      <c r="I5668" s="115">
        <v>-540</v>
      </c>
      <c r="J5668" s="115">
        <v>1341</v>
      </c>
      <c r="K5668" s="115">
        <v>362</v>
      </c>
    </row>
    <row r="5669" spans="1:11" x14ac:dyDescent="0.25">
      <c r="A5669" s="115">
        <v>1</v>
      </c>
      <c r="B5669" s="115" t="s">
        <v>5904</v>
      </c>
      <c r="D5669" s="115" t="s">
        <v>11750</v>
      </c>
      <c r="E5669" s="115" t="s">
        <v>5905</v>
      </c>
      <c r="F5669" s="115">
        <v>0</v>
      </c>
      <c r="G5669" s="115">
        <v>0</v>
      </c>
      <c r="H5669" s="115">
        <v>0</v>
      </c>
      <c r="I5669" s="115">
        <v>0</v>
      </c>
      <c r="J5669" s="115">
        <v>0</v>
      </c>
      <c r="K5669" s="115">
        <v>2021</v>
      </c>
    </row>
    <row r="5670" spans="1:11" x14ac:dyDescent="0.25">
      <c r="B5670" s="115" t="s">
        <v>5906</v>
      </c>
      <c r="D5670" s="115" t="s">
        <v>11751</v>
      </c>
      <c r="E5670" s="115" t="s">
        <v>5907</v>
      </c>
      <c r="F5670" s="115">
        <v>0</v>
      </c>
      <c r="G5670" s="115">
        <v>-8777</v>
      </c>
      <c r="H5670" s="115">
        <v>-3806</v>
      </c>
      <c r="I5670" s="115">
        <v>2243</v>
      </c>
      <c r="J5670" s="115">
        <v>18615</v>
      </c>
      <c r="K5670" s="115">
        <v>16851</v>
      </c>
    </row>
    <row r="5671" spans="1:11" x14ac:dyDescent="0.25">
      <c r="B5671" s="115" t="s">
        <v>5908</v>
      </c>
      <c r="D5671" s="115" t="s">
        <v>11752</v>
      </c>
      <c r="E5671" s="115" t="s">
        <v>5909</v>
      </c>
      <c r="F5671" s="115">
        <v>996</v>
      </c>
      <c r="G5671" s="115">
        <v>0</v>
      </c>
      <c r="H5671" s="115">
        <v>-886</v>
      </c>
      <c r="I5671" s="115">
        <v>-232</v>
      </c>
      <c r="J5671" s="115">
        <v>0</v>
      </c>
      <c r="K5671" s="115">
        <v>0</v>
      </c>
    </row>
    <row r="5672" spans="1:11" x14ac:dyDescent="0.25">
      <c r="B5672" s="115" t="s">
        <v>5910</v>
      </c>
      <c r="C5672" s="115" t="s">
        <v>1239</v>
      </c>
      <c r="D5672" s="115" t="s">
        <v>11753</v>
      </c>
      <c r="E5672" s="115" t="s">
        <v>5911</v>
      </c>
      <c r="F5672" s="115">
        <v>-1471</v>
      </c>
      <c r="G5672" s="115">
        <v>1108</v>
      </c>
      <c r="H5672" s="115">
        <v>-138</v>
      </c>
      <c r="I5672" s="115">
        <v>-22</v>
      </c>
      <c r="J5672" s="115">
        <v>0</v>
      </c>
      <c r="K5672" s="115">
        <v>0</v>
      </c>
    </row>
    <row r="5673" spans="1:11" x14ac:dyDescent="0.25">
      <c r="B5673" s="126" t="s">
        <v>1241</v>
      </c>
      <c r="D5673" s="115" t="s">
        <v>11754</v>
      </c>
      <c r="E5673" s="115" t="s">
        <v>5912</v>
      </c>
      <c r="F5673" s="115">
        <v>0</v>
      </c>
      <c r="G5673" s="115">
        <v>1111</v>
      </c>
      <c r="H5673" s="115">
        <v>4691</v>
      </c>
      <c r="I5673" s="115">
        <v>641</v>
      </c>
      <c r="J5673" s="115">
        <v>0</v>
      </c>
      <c r="K5673" s="115">
        <v>-3508</v>
      </c>
    </row>
    <row r="5674" spans="1:11" x14ac:dyDescent="0.25">
      <c r="A5674" s="115">
        <v>-1</v>
      </c>
      <c r="B5674" s="115" t="s">
        <v>5913</v>
      </c>
      <c r="C5674" s="115">
        <v>-1</v>
      </c>
      <c r="D5674" s="115" t="s">
        <v>11755</v>
      </c>
      <c r="E5674" s="115" t="s">
        <v>5914</v>
      </c>
      <c r="F5674" s="115">
        <v>-2602</v>
      </c>
      <c r="G5674" s="115">
        <v>-2814</v>
      </c>
      <c r="H5674" s="115">
        <v>-2416</v>
      </c>
      <c r="I5674" s="115">
        <v>0</v>
      </c>
      <c r="J5674" s="115">
        <v>79</v>
      </c>
      <c r="K5674" s="115">
        <v>0</v>
      </c>
    </row>
    <row r="5675" spans="1:11" x14ac:dyDescent="0.25">
      <c r="B5675" s="115" t="s">
        <v>5915</v>
      </c>
      <c r="D5675" s="115" t="s">
        <v>11756</v>
      </c>
      <c r="E5675" s="115" t="s">
        <v>5916</v>
      </c>
      <c r="F5675" s="115">
        <v>1014</v>
      </c>
      <c r="G5675" s="115">
        <v>0</v>
      </c>
      <c r="H5675" s="115">
        <v>0</v>
      </c>
      <c r="I5675" s="115">
        <v>97</v>
      </c>
      <c r="J5675" s="115">
        <v>0</v>
      </c>
      <c r="K5675" s="115">
        <v>99</v>
      </c>
    </row>
    <row r="5676" spans="1:11" x14ac:dyDescent="0.25">
      <c r="B5676" s="115" t="s">
        <v>5917</v>
      </c>
      <c r="D5676" s="115" t="s">
        <v>11757</v>
      </c>
      <c r="E5676" s="115" t="s">
        <v>5918</v>
      </c>
      <c r="F5676" s="115">
        <v>0</v>
      </c>
      <c r="G5676" s="115">
        <v>0</v>
      </c>
      <c r="H5676" s="115">
        <v>0</v>
      </c>
      <c r="I5676" s="115">
        <v>11312</v>
      </c>
      <c r="J5676" s="115">
        <v>0</v>
      </c>
      <c r="K5676" s="115">
        <v>1677</v>
      </c>
    </row>
    <row r="5677" spans="1:11" x14ac:dyDescent="0.25">
      <c r="B5677" s="115" t="s">
        <v>5919</v>
      </c>
      <c r="D5677" s="115" t="s">
        <v>11758</v>
      </c>
      <c r="E5677" s="115" t="s">
        <v>5920</v>
      </c>
      <c r="F5677" s="115">
        <v>-162</v>
      </c>
      <c r="G5677" s="115">
        <v>2556</v>
      </c>
      <c r="H5677" s="115">
        <v>0</v>
      </c>
      <c r="I5677" s="115">
        <v>0</v>
      </c>
      <c r="J5677" s="115">
        <v>0</v>
      </c>
      <c r="K5677" s="115">
        <v>-179</v>
      </c>
    </row>
    <row r="5678" spans="1:11" x14ac:dyDescent="0.25">
      <c r="A5678" s="115">
        <v>-1</v>
      </c>
      <c r="B5678" s="115" t="s">
        <v>5921</v>
      </c>
      <c r="C5678" s="115" t="s">
        <v>1239</v>
      </c>
      <c r="D5678" s="115" t="s">
        <v>11759</v>
      </c>
      <c r="E5678" s="115" t="s">
        <v>5922</v>
      </c>
      <c r="F5678" s="115">
        <v>0</v>
      </c>
      <c r="G5678" s="115">
        <v>1062</v>
      </c>
      <c r="H5678" s="115">
        <v>0</v>
      </c>
      <c r="I5678" s="115">
        <v>0</v>
      </c>
      <c r="J5678" s="115">
        <v>91</v>
      </c>
      <c r="K5678" s="115">
        <v>0</v>
      </c>
    </row>
    <row r="5679" spans="1:11" x14ac:dyDescent="0.25">
      <c r="B5679" s="115" t="s">
        <v>5923</v>
      </c>
      <c r="D5679" s="115" t="s">
        <v>11760</v>
      </c>
      <c r="E5679" s="115" t="s">
        <v>1242</v>
      </c>
      <c r="F5679" s="115">
        <v>0</v>
      </c>
      <c r="G5679" s="115">
        <v>0</v>
      </c>
      <c r="H5679" s="115">
        <v>0</v>
      </c>
      <c r="I5679" s="115">
        <v>0</v>
      </c>
      <c r="J5679" s="115">
        <v>0</v>
      </c>
      <c r="K5679" s="115">
        <v>0</v>
      </c>
    </row>
    <row r="5680" spans="1:11" x14ac:dyDescent="0.25">
      <c r="B5680" s="115" t="s">
        <v>5924</v>
      </c>
      <c r="D5680" s="115" t="s">
        <v>11761</v>
      </c>
      <c r="E5680" s="115" t="s">
        <v>5925</v>
      </c>
      <c r="F5680" s="115">
        <v>-1053</v>
      </c>
      <c r="G5680" s="115">
        <v>253</v>
      </c>
      <c r="H5680" s="115">
        <v>0</v>
      </c>
      <c r="I5680" s="115">
        <v>-4154</v>
      </c>
      <c r="J5680" s="115">
        <v>-769</v>
      </c>
      <c r="K5680" s="115">
        <v>0</v>
      </c>
    </row>
    <row r="5681" spans="1:11" x14ac:dyDescent="0.25">
      <c r="B5681" s="115" t="s">
        <v>1241</v>
      </c>
      <c r="D5681" s="115" t="s">
        <v>11762</v>
      </c>
      <c r="E5681" s="115" t="s">
        <v>5926</v>
      </c>
      <c r="F5681" s="115">
        <v>637</v>
      </c>
      <c r="G5681" s="115">
        <v>3485</v>
      </c>
      <c r="H5681" s="115">
        <v>-1471</v>
      </c>
      <c r="I5681" s="115">
        <v>-830</v>
      </c>
      <c r="J5681" s="115">
        <v>-244</v>
      </c>
      <c r="K5681" s="115">
        <v>-573</v>
      </c>
    </row>
    <row r="5682" spans="1:11" x14ac:dyDescent="0.25">
      <c r="B5682" s="115" t="s">
        <v>1241</v>
      </c>
      <c r="D5682" s="115" t="s">
        <v>11763</v>
      </c>
      <c r="E5682" s="115" t="s">
        <v>5927</v>
      </c>
      <c r="F5682" s="115">
        <v>1415</v>
      </c>
      <c r="G5682" s="115">
        <v>0</v>
      </c>
      <c r="H5682" s="115">
        <v>906</v>
      </c>
      <c r="I5682" s="115">
        <v>0</v>
      </c>
      <c r="J5682" s="115">
        <v>0</v>
      </c>
      <c r="K5682" s="115">
        <v>832</v>
      </c>
    </row>
    <row r="5683" spans="1:11" x14ac:dyDescent="0.25">
      <c r="A5683" s="115" t="s">
        <v>1239</v>
      </c>
      <c r="B5683" s="115" t="s">
        <v>5928</v>
      </c>
      <c r="D5683" s="115" t="s">
        <v>11764</v>
      </c>
      <c r="E5683" s="115" t="s">
        <v>5929</v>
      </c>
      <c r="F5683" s="115">
        <v>0</v>
      </c>
      <c r="G5683" s="115">
        <v>13111</v>
      </c>
      <c r="H5683" s="115">
        <v>0</v>
      </c>
      <c r="I5683" s="115">
        <v>722</v>
      </c>
      <c r="J5683" s="115">
        <v>-465</v>
      </c>
      <c r="K5683" s="115">
        <v>-14</v>
      </c>
    </row>
    <row r="5684" spans="1:11" x14ac:dyDescent="0.25">
      <c r="A5684" s="115">
        <v>3</v>
      </c>
      <c r="B5684" s="115" t="s">
        <v>5930</v>
      </c>
      <c r="C5684" s="115">
        <v>2</v>
      </c>
      <c r="D5684" s="115" t="s">
        <v>11765</v>
      </c>
      <c r="E5684" s="115" t="s">
        <v>5931</v>
      </c>
      <c r="F5684" s="115">
        <v>12883</v>
      </c>
      <c r="G5684" s="115">
        <v>10587</v>
      </c>
      <c r="H5684" s="115">
        <v>5714</v>
      </c>
      <c r="I5684" s="115">
        <v>0</v>
      </c>
      <c r="J5684" s="115">
        <v>0</v>
      </c>
      <c r="K5684" s="115">
        <v>0</v>
      </c>
    </row>
    <row r="5685" spans="1:11" x14ac:dyDescent="0.25">
      <c r="B5685" s="115" t="s">
        <v>1241</v>
      </c>
      <c r="D5685" s="115" t="s">
        <v>11766</v>
      </c>
      <c r="E5685" s="115" t="s">
        <v>5932</v>
      </c>
      <c r="F5685" s="115">
        <v>-3754</v>
      </c>
      <c r="G5685" s="115">
        <v>1763</v>
      </c>
      <c r="H5685" s="115">
        <v>-3502</v>
      </c>
      <c r="I5685" s="115">
        <v>69</v>
      </c>
      <c r="J5685" s="115">
        <v>-3124</v>
      </c>
      <c r="K5685" s="115">
        <v>-1132</v>
      </c>
    </row>
    <row r="5686" spans="1:11" x14ac:dyDescent="0.25">
      <c r="B5686" s="115" t="s">
        <v>1241</v>
      </c>
      <c r="C5686" s="115">
        <v>1</v>
      </c>
      <c r="D5686" s="115" t="s">
        <v>11767</v>
      </c>
      <c r="E5686" s="115" t="s">
        <v>5933</v>
      </c>
      <c r="F5686" s="115">
        <v>7865</v>
      </c>
      <c r="G5686" s="115">
        <v>-60900</v>
      </c>
      <c r="H5686" s="115">
        <v>0</v>
      </c>
      <c r="I5686" s="115">
        <v>0</v>
      </c>
      <c r="J5686" s="115">
        <v>0</v>
      </c>
      <c r="K5686" s="115">
        <v>0</v>
      </c>
    </row>
    <row r="5687" spans="1:11" x14ac:dyDescent="0.25">
      <c r="A5687" s="115">
        <v>-3</v>
      </c>
      <c r="B5687" s="115" t="s">
        <v>5934</v>
      </c>
      <c r="D5687" s="115" t="s">
        <v>11768</v>
      </c>
      <c r="E5687" s="115" t="s">
        <v>1242</v>
      </c>
      <c r="F5687" s="115">
        <v>0</v>
      </c>
      <c r="G5687" s="115">
        <v>0</v>
      </c>
      <c r="H5687" s="115">
        <v>0</v>
      </c>
      <c r="I5687" s="115">
        <v>0</v>
      </c>
      <c r="J5687" s="115">
        <v>0</v>
      </c>
      <c r="K5687" s="115">
        <v>0</v>
      </c>
    </row>
    <row r="5688" spans="1:11" x14ac:dyDescent="0.25">
      <c r="B5688" s="115" t="s">
        <v>1241</v>
      </c>
      <c r="D5688" s="115" t="s">
        <v>11769</v>
      </c>
      <c r="E5688" s="115" t="s">
        <v>5935</v>
      </c>
      <c r="F5688" s="115">
        <v>0</v>
      </c>
      <c r="G5688" s="115">
        <v>0</v>
      </c>
      <c r="H5688" s="115">
        <v>0</v>
      </c>
      <c r="I5688" s="115">
        <v>0</v>
      </c>
      <c r="J5688" s="115">
        <v>0</v>
      </c>
      <c r="K5688" s="115">
        <v>-51</v>
      </c>
    </row>
    <row r="5689" spans="1:11" x14ac:dyDescent="0.25">
      <c r="B5689" s="115" t="s">
        <v>1241</v>
      </c>
      <c r="D5689" s="115" t="s">
        <v>11770</v>
      </c>
      <c r="E5689" s="115" t="s">
        <v>5936</v>
      </c>
      <c r="F5689" s="115">
        <v>0</v>
      </c>
      <c r="G5689" s="115">
        <v>8</v>
      </c>
      <c r="H5689" s="115">
        <v>715</v>
      </c>
      <c r="I5689" s="115">
        <v>633</v>
      </c>
      <c r="J5689" s="115">
        <v>3728</v>
      </c>
      <c r="K5689" s="115">
        <v>9946</v>
      </c>
    </row>
    <row r="5690" spans="1:11" x14ac:dyDescent="0.25">
      <c r="A5690" s="115">
        <v>-1</v>
      </c>
      <c r="B5690" s="115" t="s">
        <v>5937</v>
      </c>
      <c r="C5690" s="115" t="s">
        <v>1239</v>
      </c>
      <c r="D5690" s="115" t="s">
        <v>11771</v>
      </c>
      <c r="E5690" s="115" t="s">
        <v>5938</v>
      </c>
      <c r="F5690" s="115">
        <v>-527</v>
      </c>
      <c r="G5690" s="115">
        <v>399</v>
      </c>
      <c r="H5690" s="115">
        <v>-159</v>
      </c>
      <c r="I5690" s="115">
        <v>2366</v>
      </c>
      <c r="J5690" s="115">
        <v>2971</v>
      </c>
      <c r="K5690" s="115">
        <v>1198</v>
      </c>
    </row>
    <row r="5691" spans="1:11" x14ac:dyDescent="0.25">
      <c r="B5691" s="115">
        <f>-83   -401</f>
        <v>-484</v>
      </c>
      <c r="D5691" s="115" t="s">
        <v>11772</v>
      </c>
      <c r="E5691" s="115" t="s">
        <v>5939</v>
      </c>
      <c r="F5691" s="115">
        <v>2200</v>
      </c>
      <c r="G5691" s="115">
        <v>2671</v>
      </c>
      <c r="H5691" s="115">
        <v>402</v>
      </c>
      <c r="I5691" s="115">
        <v>-2795</v>
      </c>
      <c r="J5691" s="115">
        <v>9697</v>
      </c>
      <c r="K5691" s="115">
        <v>5009</v>
      </c>
    </row>
    <row r="5692" spans="1:11" x14ac:dyDescent="0.25">
      <c r="A5692" s="115">
        <v>-2</v>
      </c>
      <c r="B5692" s="115" t="s">
        <v>5940</v>
      </c>
      <c r="D5692" s="115" t="s">
        <v>11773</v>
      </c>
      <c r="E5692" s="115" t="s">
        <v>5941</v>
      </c>
      <c r="F5692" s="115">
        <v>144</v>
      </c>
      <c r="G5692" s="115">
        <v>1582</v>
      </c>
      <c r="H5692" s="115">
        <v>872</v>
      </c>
      <c r="I5692" s="115">
        <v>2998</v>
      </c>
      <c r="J5692" s="115">
        <v>1459</v>
      </c>
      <c r="K5692" s="115">
        <v>2140</v>
      </c>
    </row>
    <row r="5693" spans="1:11" x14ac:dyDescent="0.25">
      <c r="A5693" s="115">
        <v>1</v>
      </c>
      <c r="B5693" s="115" t="s">
        <v>5942</v>
      </c>
      <c r="D5693" s="115" t="s">
        <v>11774</v>
      </c>
      <c r="E5693" s="115">
        <f>-7887   -343  -3901  -2870  -2608</f>
        <v>-17609</v>
      </c>
      <c r="F5693" s="115">
        <v>47371</v>
      </c>
      <c r="G5693" s="115">
        <v>-7887</v>
      </c>
      <c r="H5693" s="115">
        <v>-343</v>
      </c>
      <c r="I5693" s="115">
        <v>-3901</v>
      </c>
      <c r="J5693" s="115">
        <v>-2870</v>
      </c>
      <c r="K5693" s="115">
        <v>-2608</v>
      </c>
    </row>
    <row r="5694" spans="1:11" x14ac:dyDescent="0.25">
      <c r="B5694" s="115" t="s">
        <v>1241</v>
      </c>
      <c r="D5694" s="115" t="s">
        <v>11775</v>
      </c>
      <c r="E5694" s="115" t="s">
        <v>5943</v>
      </c>
      <c r="F5694" s="115">
        <v>0</v>
      </c>
      <c r="G5694" s="115">
        <v>0</v>
      </c>
      <c r="H5694" s="115">
        <v>1384</v>
      </c>
      <c r="I5694" s="115">
        <v>992</v>
      </c>
      <c r="J5694" s="115">
        <v>0</v>
      </c>
      <c r="K5694" s="115">
        <v>0</v>
      </c>
    </row>
    <row r="5695" spans="1:11" x14ac:dyDescent="0.25">
      <c r="B5695" s="115" t="s">
        <v>1241</v>
      </c>
      <c r="D5695" s="115" t="s">
        <v>11776</v>
      </c>
      <c r="E5695" s="115" t="s">
        <v>5944</v>
      </c>
      <c r="F5695" s="115">
        <v>-4182</v>
      </c>
      <c r="G5695" s="115">
        <v>0</v>
      </c>
      <c r="H5695" s="115">
        <v>0</v>
      </c>
      <c r="I5695" s="115">
        <v>471</v>
      </c>
      <c r="J5695" s="115">
        <v>0</v>
      </c>
      <c r="K5695" s="115">
        <v>-414</v>
      </c>
    </row>
    <row r="5696" spans="1:11" x14ac:dyDescent="0.25">
      <c r="B5696" s="115" t="s">
        <v>4955</v>
      </c>
      <c r="D5696" s="115" t="s">
        <v>11777</v>
      </c>
      <c r="E5696" s="115" t="s">
        <v>5945</v>
      </c>
      <c r="F5696" s="115">
        <v>0</v>
      </c>
      <c r="G5696" s="115">
        <v>1255</v>
      </c>
      <c r="H5696" s="115">
        <v>49</v>
      </c>
      <c r="I5696" s="115">
        <v>-1510</v>
      </c>
      <c r="J5696" s="115">
        <v>-1507</v>
      </c>
      <c r="K5696" s="115">
        <v>-958</v>
      </c>
    </row>
    <row r="5697" spans="1:11" x14ac:dyDescent="0.25">
      <c r="A5697" s="115" t="s">
        <v>1239</v>
      </c>
      <c r="B5697" s="115" t="s">
        <v>5946</v>
      </c>
      <c r="D5697" s="115" t="s">
        <v>11778</v>
      </c>
      <c r="E5697" s="115" t="s">
        <v>5947</v>
      </c>
      <c r="F5697" s="115">
        <v>0</v>
      </c>
      <c r="G5697" s="115">
        <v>0</v>
      </c>
      <c r="H5697" s="115">
        <v>0</v>
      </c>
      <c r="I5697" s="115">
        <v>0</v>
      </c>
      <c r="J5697" s="115">
        <v>-224</v>
      </c>
      <c r="K5697" s="115">
        <v>0</v>
      </c>
    </row>
    <row r="5698" spans="1:11" x14ac:dyDescent="0.25">
      <c r="B5698" s="115" t="s">
        <v>1241</v>
      </c>
      <c r="D5698" s="115" t="s">
        <v>11779</v>
      </c>
      <c r="E5698" s="115" t="s">
        <v>1242</v>
      </c>
      <c r="F5698" s="115">
        <v>-153</v>
      </c>
      <c r="G5698" s="115">
        <v>0</v>
      </c>
      <c r="H5698" s="115">
        <v>0</v>
      </c>
      <c r="I5698" s="115">
        <v>0</v>
      </c>
      <c r="J5698" s="115">
        <v>0</v>
      </c>
      <c r="K5698" s="115">
        <v>0</v>
      </c>
    </row>
    <row r="5699" spans="1:11" x14ac:dyDescent="0.25">
      <c r="B5699" s="115" t="s">
        <v>5948</v>
      </c>
      <c r="D5699" s="115" t="s">
        <v>11780</v>
      </c>
      <c r="E5699" s="115" t="s">
        <v>5949</v>
      </c>
      <c r="F5699" s="115">
        <v>0</v>
      </c>
      <c r="G5699" s="115">
        <v>0</v>
      </c>
      <c r="H5699" s="115">
        <v>4145</v>
      </c>
      <c r="I5699" s="115">
        <v>-628</v>
      </c>
      <c r="J5699" s="115">
        <v>0</v>
      </c>
      <c r="K5699" s="115">
        <v>-3299</v>
      </c>
    </row>
    <row r="5700" spans="1:11" x14ac:dyDescent="0.25">
      <c r="B5700" s="115" t="s">
        <v>1241</v>
      </c>
      <c r="D5700" s="115" t="s">
        <v>11781</v>
      </c>
      <c r="E5700" s="115" t="s">
        <v>5950</v>
      </c>
      <c r="F5700" s="115">
        <v>750</v>
      </c>
      <c r="G5700" s="115">
        <v>-1256</v>
      </c>
      <c r="H5700" s="115">
        <v>-637</v>
      </c>
      <c r="I5700" s="115">
        <v>0</v>
      </c>
      <c r="J5700" s="115">
        <v>0</v>
      </c>
      <c r="K5700" s="115">
        <v>429</v>
      </c>
    </row>
    <row r="5701" spans="1:11" x14ac:dyDescent="0.25">
      <c r="A5701" s="115">
        <v>1</v>
      </c>
      <c r="B5701" s="115" t="s">
        <v>4542</v>
      </c>
      <c r="D5701" s="115" t="s">
        <v>11782</v>
      </c>
      <c r="E5701" s="115" t="s">
        <v>5951</v>
      </c>
      <c r="F5701" s="115">
        <v>25</v>
      </c>
      <c r="G5701" s="115">
        <v>2229</v>
      </c>
      <c r="H5701" s="115">
        <v>713</v>
      </c>
      <c r="I5701" s="115">
        <v>823</v>
      </c>
      <c r="J5701" s="115">
        <v>200</v>
      </c>
      <c r="K5701" s="115">
        <v>0</v>
      </c>
    </row>
    <row r="5702" spans="1:11" x14ac:dyDescent="0.25">
      <c r="B5702" s="115" t="s">
        <v>1241</v>
      </c>
      <c r="D5702" s="115" t="s">
        <v>11783</v>
      </c>
      <c r="E5702" s="115" t="s">
        <v>5952</v>
      </c>
      <c r="F5702" s="115">
        <v>2285</v>
      </c>
      <c r="G5702" s="115">
        <v>0</v>
      </c>
      <c r="H5702" s="115">
        <v>-249</v>
      </c>
      <c r="I5702" s="115">
        <v>465</v>
      </c>
      <c r="J5702" s="115">
        <v>-835</v>
      </c>
      <c r="K5702" s="115">
        <v>0</v>
      </c>
    </row>
    <row r="5703" spans="1:11" x14ac:dyDescent="0.25">
      <c r="A5703" s="115">
        <v>-4</v>
      </c>
      <c r="B5703" s="115" t="s">
        <v>5953</v>
      </c>
      <c r="D5703" s="115" t="s">
        <v>11784</v>
      </c>
      <c r="E5703" s="115" t="s">
        <v>5954</v>
      </c>
      <c r="F5703" s="115">
        <v>-6926</v>
      </c>
      <c r="G5703" s="115">
        <v>0</v>
      </c>
      <c r="H5703" s="115">
        <v>-2170</v>
      </c>
      <c r="I5703" s="115">
        <v>-4638</v>
      </c>
      <c r="J5703" s="115">
        <v>-1524</v>
      </c>
      <c r="K5703" s="115">
        <v>-155</v>
      </c>
    </row>
    <row r="5704" spans="1:11" x14ac:dyDescent="0.25">
      <c r="B5704" s="115" t="s">
        <v>5955</v>
      </c>
      <c r="D5704" s="115" t="s">
        <v>11785</v>
      </c>
      <c r="E5704" s="115" t="s">
        <v>5956</v>
      </c>
      <c r="F5704" s="115">
        <v>0</v>
      </c>
      <c r="G5704" s="115">
        <v>0</v>
      </c>
      <c r="H5704" s="115">
        <v>-332</v>
      </c>
      <c r="I5704" s="115">
        <v>1090</v>
      </c>
      <c r="J5704" s="115">
        <v>0</v>
      </c>
      <c r="K5704" s="115">
        <v>1384</v>
      </c>
    </row>
    <row r="5705" spans="1:11" x14ac:dyDescent="0.25">
      <c r="A5705" s="115" t="s">
        <v>1239</v>
      </c>
      <c r="B5705" s="115" t="s">
        <v>5957</v>
      </c>
      <c r="D5705" s="115" t="s">
        <v>11786</v>
      </c>
      <c r="E5705" s="115" t="s">
        <v>5958</v>
      </c>
      <c r="F5705" s="115">
        <v>0</v>
      </c>
      <c r="G5705" s="115">
        <v>0</v>
      </c>
      <c r="H5705" s="115">
        <v>0</v>
      </c>
      <c r="I5705" s="115">
        <v>0</v>
      </c>
      <c r="J5705" s="115">
        <v>12352</v>
      </c>
      <c r="K5705" s="115">
        <v>0</v>
      </c>
    </row>
    <row r="5706" spans="1:11" x14ac:dyDescent="0.25">
      <c r="A5706" s="115">
        <v>1</v>
      </c>
      <c r="B5706" s="115" t="s">
        <v>5959</v>
      </c>
      <c r="D5706" s="115" t="s">
        <v>11787</v>
      </c>
      <c r="E5706" s="115" t="s">
        <v>5960</v>
      </c>
      <c r="F5706" s="115">
        <v>-2694</v>
      </c>
      <c r="G5706" s="115">
        <v>-2719</v>
      </c>
      <c r="H5706" s="115">
        <v>1136</v>
      </c>
      <c r="I5706" s="115">
        <v>15019</v>
      </c>
      <c r="J5706" s="115">
        <v>14783</v>
      </c>
      <c r="K5706" s="115">
        <v>4483</v>
      </c>
    </row>
    <row r="5707" spans="1:11" x14ac:dyDescent="0.25">
      <c r="A5707" s="115">
        <v>1</v>
      </c>
      <c r="B5707" s="115" t="s">
        <v>5961</v>
      </c>
      <c r="D5707" s="115" t="s">
        <v>11788</v>
      </c>
      <c r="E5707" s="115" t="s">
        <v>5962</v>
      </c>
      <c r="F5707" s="115">
        <v>0</v>
      </c>
      <c r="G5707" s="115">
        <v>0</v>
      </c>
      <c r="H5707" s="115">
        <v>886</v>
      </c>
      <c r="I5707" s="115">
        <v>-635</v>
      </c>
      <c r="J5707" s="115">
        <v>0</v>
      </c>
      <c r="K5707" s="115">
        <v>333</v>
      </c>
    </row>
    <row r="5708" spans="1:11" x14ac:dyDescent="0.25">
      <c r="B5708" s="115" t="s">
        <v>1241</v>
      </c>
      <c r="D5708" s="115" t="s">
        <v>11789</v>
      </c>
      <c r="E5708" s="115" t="s">
        <v>5963</v>
      </c>
      <c r="F5708" s="115">
        <v>-2487</v>
      </c>
      <c r="G5708" s="115">
        <v>-1754</v>
      </c>
      <c r="H5708" s="115">
        <v>-1927</v>
      </c>
      <c r="I5708" s="115">
        <v>0</v>
      </c>
      <c r="J5708" s="115">
        <v>0</v>
      </c>
      <c r="K5708" s="115">
        <v>0</v>
      </c>
    </row>
    <row r="5709" spans="1:11" x14ac:dyDescent="0.25">
      <c r="B5709" s="115" t="s">
        <v>1241</v>
      </c>
      <c r="D5709" s="115" t="s">
        <v>11790</v>
      </c>
      <c r="E5709" s="115" t="s">
        <v>5964</v>
      </c>
      <c r="F5709" s="115">
        <v>797</v>
      </c>
      <c r="G5709" s="115">
        <v>5120</v>
      </c>
      <c r="H5709" s="115">
        <v>2461</v>
      </c>
      <c r="I5709" s="115">
        <v>0</v>
      </c>
      <c r="J5709" s="115">
        <v>3890</v>
      </c>
      <c r="K5709" s="115">
        <v>-1287</v>
      </c>
    </row>
    <row r="5710" spans="1:11" x14ac:dyDescent="0.25">
      <c r="A5710" s="115">
        <v>2</v>
      </c>
      <c r="B5710" s="115" t="s">
        <v>1366</v>
      </c>
      <c r="D5710" s="115" t="s">
        <v>11791</v>
      </c>
      <c r="E5710" s="115" t="s">
        <v>5965</v>
      </c>
      <c r="F5710" s="115">
        <v>-166</v>
      </c>
      <c r="G5710" s="115">
        <v>-993</v>
      </c>
      <c r="H5710" s="115">
        <v>1002</v>
      </c>
      <c r="I5710" s="115">
        <v>-1066</v>
      </c>
      <c r="J5710" s="115">
        <v>-705</v>
      </c>
      <c r="K5710" s="115">
        <v>0</v>
      </c>
    </row>
    <row r="5711" spans="1:11" x14ac:dyDescent="0.25">
      <c r="B5711" s="115" t="s">
        <v>5966</v>
      </c>
      <c r="D5711" s="115" t="s">
        <v>11792</v>
      </c>
      <c r="E5711" s="115" t="s">
        <v>5967</v>
      </c>
      <c r="F5711" s="115">
        <v>0</v>
      </c>
      <c r="G5711" s="115">
        <v>1036</v>
      </c>
      <c r="H5711" s="115">
        <v>0</v>
      </c>
      <c r="I5711" s="115">
        <v>1500</v>
      </c>
      <c r="J5711" s="115">
        <v>0</v>
      </c>
      <c r="K5711" s="115">
        <v>0</v>
      </c>
    </row>
    <row r="5712" spans="1:11" x14ac:dyDescent="0.25">
      <c r="B5712" s="115" t="s">
        <v>1241</v>
      </c>
      <c r="D5712" s="115" t="s">
        <v>11793</v>
      </c>
      <c r="E5712" s="115" t="s">
        <v>5968</v>
      </c>
      <c r="F5712" s="115">
        <v>0</v>
      </c>
      <c r="G5712" s="115">
        <v>0</v>
      </c>
      <c r="H5712" s="115">
        <v>8333</v>
      </c>
      <c r="I5712" s="115">
        <v>0</v>
      </c>
      <c r="J5712" s="115">
        <v>602</v>
      </c>
      <c r="K5712" s="115">
        <v>-835</v>
      </c>
    </row>
    <row r="5713" spans="1:11" x14ac:dyDescent="0.25">
      <c r="B5713" s="115" t="s">
        <v>2205</v>
      </c>
      <c r="C5713" s="115" t="s">
        <v>1239</v>
      </c>
      <c r="D5713" s="115" t="s">
        <v>11794</v>
      </c>
      <c r="E5713" s="115" t="s">
        <v>5969</v>
      </c>
      <c r="F5713" s="115">
        <v>0</v>
      </c>
      <c r="G5713" s="115">
        <v>0</v>
      </c>
      <c r="H5713" s="115">
        <v>0</v>
      </c>
      <c r="I5713" s="115">
        <v>0</v>
      </c>
      <c r="J5713" s="115">
        <v>0</v>
      </c>
      <c r="K5713" s="115">
        <v>635</v>
      </c>
    </row>
    <row r="5714" spans="1:11" x14ac:dyDescent="0.25">
      <c r="A5714" s="115">
        <v>4</v>
      </c>
      <c r="B5714" s="115" t="s">
        <v>5970</v>
      </c>
      <c r="D5714" s="115" t="s">
        <v>11795</v>
      </c>
      <c r="E5714" s="115" t="s">
        <v>5971</v>
      </c>
      <c r="F5714" s="115">
        <v>-674</v>
      </c>
      <c r="G5714" s="115">
        <v>0</v>
      </c>
      <c r="H5714" s="115">
        <v>0</v>
      </c>
      <c r="I5714" s="115">
        <v>0</v>
      </c>
      <c r="J5714" s="115">
        <v>0</v>
      </c>
      <c r="K5714" s="115">
        <v>2016</v>
      </c>
    </row>
    <row r="5715" spans="1:11" x14ac:dyDescent="0.25">
      <c r="B5715" s="115" t="s">
        <v>5972</v>
      </c>
      <c r="D5715" s="115" t="s">
        <v>11796</v>
      </c>
      <c r="E5715" s="115" t="s">
        <v>5973</v>
      </c>
      <c r="F5715" s="115">
        <v>626</v>
      </c>
      <c r="G5715" s="115">
        <v>123</v>
      </c>
      <c r="H5715" s="115">
        <v>0</v>
      </c>
      <c r="I5715" s="115">
        <v>0</v>
      </c>
      <c r="J5715" s="115">
        <v>0</v>
      </c>
      <c r="K5715" s="115">
        <v>0</v>
      </c>
    </row>
    <row r="5716" spans="1:11" x14ac:dyDescent="0.25">
      <c r="A5716" s="115">
        <v>13</v>
      </c>
      <c r="B5716" s="115" t="s">
        <v>5559</v>
      </c>
      <c r="D5716" s="115" t="s">
        <v>11797</v>
      </c>
      <c r="E5716" s="115" t="s">
        <v>5974</v>
      </c>
      <c r="F5716" s="115">
        <v>-153</v>
      </c>
      <c r="G5716" s="115">
        <v>4230</v>
      </c>
      <c r="H5716" s="115">
        <v>139</v>
      </c>
      <c r="I5716" s="115">
        <v>23220</v>
      </c>
      <c r="J5716" s="115">
        <v>19801</v>
      </c>
      <c r="K5716" s="115">
        <v>10922</v>
      </c>
    </row>
    <row r="5717" spans="1:11" x14ac:dyDescent="0.25">
      <c r="A5717" s="115">
        <v>10</v>
      </c>
      <c r="B5717" s="115" t="s">
        <v>5975</v>
      </c>
      <c r="D5717" s="115" t="s">
        <v>11798</v>
      </c>
      <c r="E5717" s="115" t="s">
        <v>5976</v>
      </c>
      <c r="F5717" s="115">
        <v>0</v>
      </c>
      <c r="G5717" s="115">
        <v>0</v>
      </c>
      <c r="H5717" s="115">
        <v>0</v>
      </c>
      <c r="I5717" s="115">
        <v>0</v>
      </c>
      <c r="J5717" s="115">
        <v>0</v>
      </c>
      <c r="K5717" s="115">
        <v>-4655</v>
      </c>
    </row>
    <row r="5718" spans="1:11" x14ac:dyDescent="0.25">
      <c r="A5718" s="115">
        <v>1</v>
      </c>
      <c r="B5718" s="115" t="s">
        <v>5977</v>
      </c>
      <c r="D5718" s="115" t="s">
        <v>11799</v>
      </c>
      <c r="E5718" s="115" t="s">
        <v>5978</v>
      </c>
      <c r="F5718" s="115">
        <v>-783</v>
      </c>
      <c r="G5718" s="115">
        <v>0</v>
      </c>
      <c r="H5718" s="115">
        <v>0</v>
      </c>
      <c r="I5718" s="115">
        <v>10504</v>
      </c>
      <c r="J5718" s="115">
        <v>0</v>
      </c>
      <c r="K5718" s="115">
        <v>7848</v>
      </c>
    </row>
    <row r="5719" spans="1:11" x14ac:dyDescent="0.25">
      <c r="A5719" s="115">
        <v>-60</v>
      </c>
      <c r="B5719" s="115" t="s">
        <v>5979</v>
      </c>
      <c r="D5719" s="115" t="s">
        <v>11800</v>
      </c>
      <c r="E5719" s="115" t="s">
        <v>5980</v>
      </c>
      <c r="F5719" s="115">
        <v>0</v>
      </c>
      <c r="G5719" s="115">
        <v>-3190</v>
      </c>
      <c r="H5719" s="115">
        <v>0</v>
      </c>
      <c r="I5719" s="115">
        <v>1193</v>
      </c>
      <c r="J5719" s="115">
        <v>1254</v>
      </c>
      <c r="K5719" s="115">
        <v>0</v>
      </c>
    </row>
    <row r="5720" spans="1:11" x14ac:dyDescent="0.25">
      <c r="B5720" s="115" t="s">
        <v>1241</v>
      </c>
      <c r="D5720" s="115" t="s">
        <v>8710</v>
      </c>
      <c r="E5720" s="115" t="s">
        <v>1242</v>
      </c>
      <c r="F5720" s="115">
        <v>0</v>
      </c>
      <c r="G5720" s="115">
        <v>0</v>
      </c>
      <c r="H5720" s="115">
        <v>0</v>
      </c>
      <c r="I5720" s="115">
        <v>0</v>
      </c>
      <c r="J5720" s="115">
        <v>0</v>
      </c>
      <c r="K5720" s="115">
        <v>0</v>
      </c>
    </row>
    <row r="5721" spans="1:11" x14ac:dyDescent="0.25">
      <c r="B5721" s="115" t="s">
        <v>1241</v>
      </c>
      <c r="D5721" s="115" t="s">
        <v>11801</v>
      </c>
      <c r="E5721" s="115" t="s">
        <v>1242</v>
      </c>
      <c r="F5721" s="115">
        <v>-320</v>
      </c>
      <c r="G5721" s="115">
        <v>0</v>
      </c>
      <c r="H5721" s="115">
        <v>0</v>
      </c>
      <c r="I5721" s="115">
        <v>0</v>
      </c>
      <c r="J5721" s="115">
        <v>0</v>
      </c>
      <c r="K5721" s="115">
        <v>0</v>
      </c>
    </row>
    <row r="5722" spans="1:11" x14ac:dyDescent="0.25">
      <c r="B5722" s="115" t="s">
        <v>5981</v>
      </c>
      <c r="D5722" s="115" t="s">
        <v>11802</v>
      </c>
      <c r="E5722" s="115" t="s">
        <v>5982</v>
      </c>
      <c r="F5722" s="115">
        <v>-2055</v>
      </c>
      <c r="G5722" s="115">
        <v>6143</v>
      </c>
      <c r="H5722" s="115">
        <v>2780</v>
      </c>
      <c r="I5722" s="115">
        <v>-3334</v>
      </c>
      <c r="J5722" s="115">
        <v>680</v>
      </c>
      <c r="K5722" s="115">
        <v>-344</v>
      </c>
    </row>
    <row r="5723" spans="1:11" x14ac:dyDescent="0.25">
      <c r="B5723" s="115" t="s">
        <v>5983</v>
      </c>
      <c r="D5723" s="115" t="s">
        <v>11803</v>
      </c>
      <c r="E5723" s="115" t="s">
        <v>5984</v>
      </c>
      <c r="F5723" s="115">
        <v>1810</v>
      </c>
      <c r="G5723" s="115">
        <v>1399</v>
      </c>
      <c r="H5723" s="115">
        <v>-684</v>
      </c>
      <c r="I5723" s="115">
        <v>0</v>
      </c>
      <c r="J5723" s="115">
        <v>2709</v>
      </c>
      <c r="K5723" s="115">
        <v>1647</v>
      </c>
    </row>
    <row r="5724" spans="1:11" x14ac:dyDescent="0.25">
      <c r="A5724" s="115">
        <v>1</v>
      </c>
      <c r="B5724" s="115" t="s">
        <v>5985</v>
      </c>
      <c r="D5724" s="115" t="s">
        <v>11804</v>
      </c>
      <c r="E5724" s="115" t="s">
        <v>5986</v>
      </c>
      <c r="F5724" s="115">
        <v>-262</v>
      </c>
      <c r="G5724" s="115">
        <v>1737</v>
      </c>
      <c r="H5724" s="115">
        <v>-4021</v>
      </c>
      <c r="I5724" s="115">
        <v>4526</v>
      </c>
      <c r="J5724" s="115">
        <v>7403</v>
      </c>
      <c r="K5724" s="115">
        <v>-820</v>
      </c>
    </row>
    <row r="5725" spans="1:11" x14ac:dyDescent="0.25">
      <c r="A5725" s="115">
        <v>1</v>
      </c>
      <c r="B5725" s="115" t="s">
        <v>5987</v>
      </c>
      <c r="D5725" s="115" t="s">
        <v>11805</v>
      </c>
      <c r="E5725" s="115" t="s">
        <v>5988</v>
      </c>
      <c r="F5725" s="115">
        <v>2120</v>
      </c>
      <c r="G5725" s="115">
        <v>2487</v>
      </c>
      <c r="H5725" s="115">
        <v>1640</v>
      </c>
      <c r="I5725" s="115">
        <v>1509</v>
      </c>
      <c r="J5725" s="115">
        <v>30465</v>
      </c>
      <c r="K5725" s="115">
        <v>49571</v>
      </c>
    </row>
    <row r="5726" spans="1:11" x14ac:dyDescent="0.25">
      <c r="A5726" s="115">
        <v>50</v>
      </c>
      <c r="B5726" s="115" t="s">
        <v>5989</v>
      </c>
      <c r="D5726" s="115" t="s">
        <v>11806</v>
      </c>
      <c r="E5726" s="115" t="s">
        <v>5990</v>
      </c>
      <c r="F5726" s="115">
        <v>-2926</v>
      </c>
      <c r="G5726" s="115">
        <v>-2781</v>
      </c>
      <c r="H5726" s="115">
        <v>0</v>
      </c>
      <c r="I5726" s="115">
        <v>0</v>
      </c>
      <c r="J5726" s="115">
        <v>-379</v>
      </c>
      <c r="K5726" s="115">
        <v>0</v>
      </c>
    </row>
    <row r="5727" spans="1:11" x14ac:dyDescent="0.25">
      <c r="B5727" s="127" t="s">
        <v>1241</v>
      </c>
      <c r="D5727" s="115" t="s">
        <v>11807</v>
      </c>
      <c r="E5727" s="115" t="s">
        <v>1242</v>
      </c>
      <c r="F5727" s="115">
        <v>0</v>
      </c>
      <c r="G5727" s="115">
        <v>0</v>
      </c>
      <c r="H5727" s="115">
        <v>0</v>
      </c>
      <c r="I5727" s="115">
        <v>0</v>
      </c>
      <c r="J5727" s="115">
        <v>0</v>
      </c>
      <c r="K5727" s="115">
        <v>0</v>
      </c>
    </row>
    <row r="5728" spans="1:11" x14ac:dyDescent="0.25">
      <c r="A5728" s="115">
        <v>-3</v>
      </c>
      <c r="B5728" s="115" t="s">
        <v>5991</v>
      </c>
      <c r="D5728" s="115" t="s">
        <v>11808</v>
      </c>
      <c r="E5728" s="115" t="s">
        <v>5992</v>
      </c>
      <c r="F5728" s="115">
        <v>0</v>
      </c>
      <c r="G5728" s="115">
        <v>-506</v>
      </c>
      <c r="H5728" s="115">
        <v>0</v>
      </c>
      <c r="I5728" s="115">
        <v>8</v>
      </c>
      <c r="J5728" s="115">
        <v>3392</v>
      </c>
      <c r="K5728" s="115">
        <v>889</v>
      </c>
    </row>
    <row r="5729" spans="1:11" x14ac:dyDescent="0.25">
      <c r="B5729" s="115" t="s">
        <v>5993</v>
      </c>
      <c r="D5729" s="115" t="s">
        <v>11809</v>
      </c>
      <c r="E5729" s="115" t="s">
        <v>5994</v>
      </c>
      <c r="F5729" s="115">
        <v>-1796</v>
      </c>
      <c r="G5729" s="115">
        <v>-1541</v>
      </c>
      <c r="H5729" s="115">
        <v>-914</v>
      </c>
      <c r="I5729" s="115">
        <v>0</v>
      </c>
      <c r="J5729" s="115">
        <v>90</v>
      </c>
      <c r="K5729" s="115">
        <v>0</v>
      </c>
    </row>
    <row r="5730" spans="1:11" x14ac:dyDescent="0.25">
      <c r="B5730" s="115" t="s">
        <v>1241</v>
      </c>
      <c r="D5730" s="115" t="s">
        <v>11810</v>
      </c>
      <c r="E5730" s="115" t="s">
        <v>5995</v>
      </c>
      <c r="F5730" s="115">
        <v>-192</v>
      </c>
      <c r="G5730" s="115">
        <v>0</v>
      </c>
      <c r="H5730" s="115">
        <v>0</v>
      </c>
      <c r="I5730" s="115">
        <v>0</v>
      </c>
      <c r="J5730" s="115">
        <v>448</v>
      </c>
      <c r="K5730" s="115">
        <v>0</v>
      </c>
    </row>
    <row r="5731" spans="1:11" x14ac:dyDescent="0.25">
      <c r="B5731" s="115" t="s">
        <v>1428</v>
      </c>
      <c r="D5731" s="115" t="s">
        <v>11811</v>
      </c>
      <c r="E5731" s="115" t="s">
        <v>5996</v>
      </c>
      <c r="F5731" s="115">
        <v>0</v>
      </c>
      <c r="G5731" s="115">
        <v>0</v>
      </c>
      <c r="H5731" s="115">
        <v>866</v>
      </c>
      <c r="I5731" s="115">
        <v>0</v>
      </c>
      <c r="J5731" s="115">
        <v>12</v>
      </c>
      <c r="K5731" s="115">
        <v>162</v>
      </c>
    </row>
    <row r="5732" spans="1:11" x14ac:dyDescent="0.25">
      <c r="B5732" s="115" t="s">
        <v>1241</v>
      </c>
      <c r="D5732" s="115" t="s">
        <v>11812</v>
      </c>
      <c r="E5732" s="115" t="s">
        <v>5997</v>
      </c>
      <c r="F5732" s="115">
        <v>0</v>
      </c>
      <c r="G5732" s="115">
        <v>-2548</v>
      </c>
      <c r="H5732" s="115">
        <v>0</v>
      </c>
      <c r="I5732" s="115">
        <v>0</v>
      </c>
      <c r="J5732" s="115">
        <v>0</v>
      </c>
      <c r="K5732" s="115">
        <v>0</v>
      </c>
    </row>
    <row r="5733" spans="1:11" x14ac:dyDescent="0.25">
      <c r="B5733" s="115" t="s">
        <v>5998</v>
      </c>
      <c r="D5733" s="115" t="s">
        <v>11813</v>
      </c>
      <c r="E5733" s="115" t="s">
        <v>5999</v>
      </c>
      <c r="F5733" s="115">
        <v>0</v>
      </c>
      <c r="G5733" s="115">
        <v>443</v>
      </c>
      <c r="H5733" s="115">
        <v>1235</v>
      </c>
      <c r="I5733" s="115">
        <v>0</v>
      </c>
      <c r="J5733" s="115">
        <v>-108</v>
      </c>
      <c r="K5733" s="115">
        <v>725</v>
      </c>
    </row>
    <row r="5734" spans="1:11" x14ac:dyDescent="0.25">
      <c r="B5734" s="115" t="s">
        <v>6000</v>
      </c>
      <c r="D5734" s="115" t="s">
        <v>11814</v>
      </c>
      <c r="E5734" s="115" t="s">
        <v>1242</v>
      </c>
      <c r="F5734" s="115">
        <v>151</v>
      </c>
      <c r="G5734" s="115">
        <v>0</v>
      </c>
      <c r="H5734" s="115">
        <v>0</v>
      </c>
      <c r="I5734" s="115">
        <v>0</v>
      </c>
      <c r="J5734" s="115">
        <v>0</v>
      </c>
      <c r="K5734" s="115">
        <v>0</v>
      </c>
    </row>
    <row r="5735" spans="1:11" x14ac:dyDescent="0.25">
      <c r="A5735" s="115">
        <v>2</v>
      </c>
      <c r="B5735" s="115" t="s">
        <v>2651</v>
      </c>
      <c r="D5735" s="115" t="s">
        <v>11815</v>
      </c>
      <c r="E5735" s="115" t="s">
        <v>6001</v>
      </c>
      <c r="F5735" s="115">
        <v>-692</v>
      </c>
      <c r="G5735" s="115">
        <v>0</v>
      </c>
      <c r="H5735" s="115">
        <v>-3724</v>
      </c>
      <c r="I5735" s="115">
        <v>-299</v>
      </c>
      <c r="J5735" s="115">
        <v>629</v>
      </c>
      <c r="K5735" s="115">
        <v>-5647</v>
      </c>
    </row>
    <row r="5736" spans="1:11" x14ac:dyDescent="0.25">
      <c r="A5736" s="115">
        <v>-5</v>
      </c>
      <c r="B5736" s="115" t="s">
        <v>5755</v>
      </c>
      <c r="C5736" s="115" t="s">
        <v>1239</v>
      </c>
      <c r="D5736" s="115" t="s">
        <v>11816</v>
      </c>
      <c r="E5736" s="115" t="s">
        <v>6002</v>
      </c>
      <c r="F5736" s="115">
        <v>-1832</v>
      </c>
      <c r="G5736" s="115">
        <v>-361</v>
      </c>
      <c r="H5736" s="115">
        <v>0</v>
      </c>
      <c r="I5736" s="115">
        <v>152</v>
      </c>
      <c r="J5736" s="115">
        <v>238</v>
      </c>
      <c r="K5736" s="115">
        <v>0</v>
      </c>
    </row>
    <row r="5737" spans="1:11" x14ac:dyDescent="0.25">
      <c r="B5737" s="115" t="s">
        <v>1241</v>
      </c>
      <c r="D5737" s="115" t="s">
        <v>11817</v>
      </c>
      <c r="E5737" s="115" t="s">
        <v>6003</v>
      </c>
      <c r="F5737" s="115">
        <v>0</v>
      </c>
      <c r="G5737" s="115">
        <v>1114</v>
      </c>
      <c r="H5737" s="115">
        <v>-97</v>
      </c>
      <c r="I5737" s="115">
        <v>-79</v>
      </c>
      <c r="J5737" s="115">
        <v>114</v>
      </c>
      <c r="K5737" s="115">
        <v>0</v>
      </c>
    </row>
    <row r="5738" spans="1:11" x14ac:dyDescent="0.25">
      <c r="B5738" s="115" t="s">
        <v>1241</v>
      </c>
      <c r="D5738" s="115" t="s">
        <v>11818</v>
      </c>
      <c r="E5738" s="115" t="s">
        <v>6004</v>
      </c>
      <c r="F5738" s="115">
        <v>11753</v>
      </c>
      <c r="G5738" s="115">
        <v>0</v>
      </c>
      <c r="H5738" s="115">
        <v>708</v>
      </c>
      <c r="I5738" s="115">
        <v>199</v>
      </c>
      <c r="J5738" s="115">
        <v>295</v>
      </c>
      <c r="K5738" s="115">
        <v>0</v>
      </c>
    </row>
    <row r="5739" spans="1:11" x14ac:dyDescent="0.25">
      <c r="A5739" s="115">
        <v>-2</v>
      </c>
      <c r="B5739" s="115" t="s">
        <v>6005</v>
      </c>
      <c r="D5739" s="115" t="s">
        <v>11819</v>
      </c>
      <c r="E5739" s="115" t="s">
        <v>6006</v>
      </c>
      <c r="F5739" s="115">
        <v>-5420</v>
      </c>
      <c r="G5739" s="115">
        <v>-2406</v>
      </c>
      <c r="H5739" s="115">
        <v>-2493</v>
      </c>
      <c r="I5739" s="115">
        <v>-1954</v>
      </c>
      <c r="J5739" s="115">
        <v>0</v>
      </c>
      <c r="K5739" s="115">
        <v>77</v>
      </c>
    </row>
    <row r="5740" spans="1:11" x14ac:dyDescent="0.25">
      <c r="B5740" s="115" t="s">
        <v>1241</v>
      </c>
      <c r="D5740" s="115" t="s">
        <v>11820</v>
      </c>
      <c r="E5740" s="115" t="s">
        <v>6007</v>
      </c>
      <c r="F5740" s="115">
        <v>0</v>
      </c>
      <c r="G5740" s="115">
        <v>750</v>
      </c>
      <c r="H5740" s="115">
        <v>0</v>
      </c>
      <c r="I5740" s="115">
        <v>0</v>
      </c>
      <c r="J5740" s="115">
        <v>150</v>
      </c>
      <c r="K5740" s="115">
        <v>0</v>
      </c>
    </row>
    <row r="5741" spans="1:11" x14ac:dyDescent="0.25">
      <c r="B5741" s="115" t="s">
        <v>6008</v>
      </c>
      <c r="D5741" s="115" t="s">
        <v>11821</v>
      </c>
      <c r="E5741" s="115" t="s">
        <v>6009</v>
      </c>
      <c r="F5741" s="115">
        <v>0</v>
      </c>
      <c r="G5741" s="115">
        <v>0</v>
      </c>
      <c r="H5741" s="115">
        <v>0</v>
      </c>
      <c r="I5741" s="115">
        <v>0</v>
      </c>
      <c r="J5741" s="115">
        <v>9897</v>
      </c>
      <c r="K5741" s="115">
        <v>0</v>
      </c>
    </row>
    <row r="5742" spans="1:11" x14ac:dyDescent="0.25">
      <c r="A5742" s="115">
        <v>1</v>
      </c>
      <c r="B5742" s="115" t="s">
        <v>6010</v>
      </c>
      <c r="D5742" s="115" t="s">
        <v>11822</v>
      </c>
      <c r="E5742" s="115" t="s">
        <v>6011</v>
      </c>
      <c r="F5742" s="115">
        <v>-3965</v>
      </c>
      <c r="G5742" s="115">
        <v>-1496</v>
      </c>
      <c r="H5742" s="115">
        <v>-5795</v>
      </c>
      <c r="I5742" s="115">
        <v>0</v>
      </c>
      <c r="J5742" s="115">
        <v>0</v>
      </c>
      <c r="K5742" s="115">
        <v>0</v>
      </c>
    </row>
    <row r="5743" spans="1:11" x14ac:dyDescent="0.25">
      <c r="A5743" s="115">
        <v>1</v>
      </c>
      <c r="B5743" s="115" t="s">
        <v>6012</v>
      </c>
      <c r="D5743" s="115" t="s">
        <v>11823</v>
      </c>
      <c r="E5743" s="115" t="s">
        <v>6013</v>
      </c>
      <c r="F5743" s="115">
        <v>3252</v>
      </c>
      <c r="G5743" s="115">
        <v>0</v>
      </c>
      <c r="H5743" s="115">
        <v>-1199</v>
      </c>
      <c r="I5743" s="115">
        <v>0</v>
      </c>
      <c r="J5743" s="115">
        <v>0</v>
      </c>
      <c r="K5743" s="115">
        <v>2730</v>
      </c>
    </row>
    <row r="5744" spans="1:11" x14ac:dyDescent="0.25">
      <c r="B5744" s="115" t="s">
        <v>6014</v>
      </c>
      <c r="D5744" s="115" t="s">
        <v>11824</v>
      </c>
      <c r="E5744" s="115" t="s">
        <v>1242</v>
      </c>
      <c r="F5744" s="115">
        <v>0</v>
      </c>
      <c r="G5744" s="115">
        <v>0</v>
      </c>
      <c r="H5744" s="115">
        <v>0</v>
      </c>
      <c r="I5744" s="115">
        <v>0</v>
      </c>
      <c r="J5744" s="115">
        <v>0</v>
      </c>
      <c r="K5744" s="115">
        <v>0</v>
      </c>
    </row>
    <row r="5745" spans="1:11" x14ac:dyDescent="0.25">
      <c r="B5745" s="115" t="s">
        <v>1241</v>
      </c>
      <c r="D5745" s="115" t="s">
        <v>11825</v>
      </c>
      <c r="E5745" s="115" t="s">
        <v>6015</v>
      </c>
      <c r="F5745" s="115">
        <v>334</v>
      </c>
      <c r="G5745" s="115">
        <v>4833</v>
      </c>
      <c r="H5745" s="115">
        <v>-328</v>
      </c>
      <c r="I5745" s="115">
        <v>0</v>
      </c>
      <c r="J5745" s="115">
        <v>-2988</v>
      </c>
      <c r="K5745" s="115">
        <v>-871</v>
      </c>
    </row>
    <row r="5746" spans="1:11" x14ac:dyDescent="0.25">
      <c r="B5746" s="115" t="s">
        <v>1241</v>
      </c>
      <c r="D5746" s="115" t="s">
        <v>11826</v>
      </c>
      <c r="E5746" s="115" t="s">
        <v>6016</v>
      </c>
      <c r="F5746" s="115">
        <v>0</v>
      </c>
      <c r="G5746" s="115">
        <v>460</v>
      </c>
      <c r="H5746" s="115">
        <v>3265</v>
      </c>
      <c r="I5746" s="115">
        <v>-1690</v>
      </c>
      <c r="J5746" s="115">
        <v>-1047</v>
      </c>
      <c r="K5746" s="115">
        <v>-264</v>
      </c>
    </row>
    <row r="5747" spans="1:11" x14ac:dyDescent="0.25">
      <c r="A5747" s="115" t="s">
        <v>1239</v>
      </c>
      <c r="B5747" s="115" t="s">
        <v>2407</v>
      </c>
      <c r="D5747" s="115" t="s">
        <v>11827</v>
      </c>
      <c r="E5747" s="115" t="s">
        <v>6017</v>
      </c>
      <c r="F5747" s="115">
        <v>0</v>
      </c>
      <c r="G5747" s="115">
        <v>773</v>
      </c>
      <c r="H5747" s="115">
        <v>0</v>
      </c>
      <c r="I5747" s="115">
        <v>1112</v>
      </c>
      <c r="J5747" s="115">
        <v>0</v>
      </c>
      <c r="K5747" s="115">
        <v>0</v>
      </c>
    </row>
    <row r="5748" spans="1:11" x14ac:dyDescent="0.25">
      <c r="B5748" s="115" t="s">
        <v>6018</v>
      </c>
      <c r="D5748" s="115" t="s">
        <v>11828</v>
      </c>
      <c r="E5748" s="115" t="s">
        <v>6019</v>
      </c>
      <c r="F5748" s="115">
        <v>0</v>
      </c>
      <c r="G5748" s="115">
        <v>0</v>
      </c>
      <c r="H5748" s="115">
        <v>12346</v>
      </c>
      <c r="I5748" s="115">
        <v>0</v>
      </c>
      <c r="J5748" s="115">
        <v>796</v>
      </c>
      <c r="K5748" s="115">
        <v>-876</v>
      </c>
    </row>
    <row r="5749" spans="1:11" x14ac:dyDescent="0.25">
      <c r="B5749" s="115" t="s">
        <v>6020</v>
      </c>
      <c r="D5749" s="115" t="s">
        <v>11829</v>
      </c>
      <c r="E5749" s="115" t="s">
        <v>6021</v>
      </c>
      <c r="F5749" s="115">
        <v>22425</v>
      </c>
      <c r="G5749" s="115">
        <v>11478</v>
      </c>
      <c r="H5749" s="115">
        <v>10395</v>
      </c>
      <c r="I5749" s="115">
        <v>6963</v>
      </c>
      <c r="J5749" s="115">
        <v>0</v>
      </c>
      <c r="K5749" s="115">
        <v>0</v>
      </c>
    </row>
    <row r="5750" spans="1:11" x14ac:dyDescent="0.25">
      <c r="B5750" s="115" t="s">
        <v>1241</v>
      </c>
      <c r="D5750" s="115" t="s">
        <v>11830</v>
      </c>
      <c r="E5750" s="115" t="s">
        <v>6022</v>
      </c>
      <c r="F5750" s="115">
        <v>0</v>
      </c>
      <c r="G5750" s="115">
        <v>-3315</v>
      </c>
      <c r="H5750" s="115">
        <v>711</v>
      </c>
      <c r="I5750" s="115">
        <v>-1886</v>
      </c>
      <c r="J5750" s="115">
        <v>-475</v>
      </c>
      <c r="K5750" s="115">
        <v>-2224</v>
      </c>
    </row>
    <row r="5751" spans="1:11" x14ac:dyDescent="0.25">
      <c r="A5751" s="115">
        <v>-2</v>
      </c>
      <c r="B5751" s="115" t="s">
        <v>6023</v>
      </c>
      <c r="D5751" s="115" t="s">
        <v>11831</v>
      </c>
      <c r="E5751" s="115" t="s">
        <v>6024</v>
      </c>
      <c r="F5751" s="115">
        <v>0</v>
      </c>
      <c r="G5751" s="115">
        <v>7059</v>
      </c>
      <c r="H5751" s="115">
        <v>-53997</v>
      </c>
      <c r="I5751" s="115">
        <v>0</v>
      </c>
      <c r="J5751" s="115">
        <v>0</v>
      </c>
      <c r="K5751" s="115">
        <v>0</v>
      </c>
    </row>
    <row r="5752" spans="1:11" x14ac:dyDescent="0.25">
      <c r="B5752" s="115" t="s">
        <v>6025</v>
      </c>
      <c r="D5752" s="115" t="s">
        <v>11832</v>
      </c>
      <c r="E5752" s="115" t="s">
        <v>1242</v>
      </c>
      <c r="F5752" s="115">
        <v>734</v>
      </c>
      <c r="G5752" s="115">
        <v>0</v>
      </c>
      <c r="H5752" s="115">
        <v>0</v>
      </c>
      <c r="I5752" s="115">
        <v>0</v>
      </c>
      <c r="J5752" s="115">
        <v>0</v>
      </c>
      <c r="K5752" s="115">
        <v>0</v>
      </c>
    </row>
    <row r="5753" spans="1:11" x14ac:dyDescent="0.25">
      <c r="B5753" s="115" t="s">
        <v>1241</v>
      </c>
      <c r="D5753" s="115" t="s">
        <v>8710</v>
      </c>
      <c r="E5753" s="115" t="s">
        <v>1242</v>
      </c>
      <c r="F5753" s="115">
        <v>0</v>
      </c>
      <c r="G5753" s="115">
        <v>0</v>
      </c>
      <c r="H5753" s="115">
        <v>0</v>
      </c>
      <c r="I5753" s="115">
        <v>0</v>
      </c>
      <c r="J5753" s="115">
        <v>0</v>
      </c>
      <c r="K5753" s="115">
        <v>0</v>
      </c>
    </row>
    <row r="5754" spans="1:11" x14ac:dyDescent="0.25">
      <c r="A5754" s="115" t="s">
        <v>1239</v>
      </c>
      <c r="B5754" s="115" t="s">
        <v>6026</v>
      </c>
      <c r="D5754" s="115" t="s">
        <v>11833</v>
      </c>
      <c r="E5754" s="115" t="s">
        <v>6027</v>
      </c>
      <c r="F5754" s="115">
        <v>0</v>
      </c>
      <c r="G5754" s="115">
        <v>0</v>
      </c>
      <c r="H5754" s="115">
        <v>282</v>
      </c>
      <c r="I5754" s="115">
        <v>555</v>
      </c>
      <c r="J5754" s="115">
        <v>639</v>
      </c>
      <c r="K5754" s="115">
        <v>2319</v>
      </c>
    </row>
    <row r="5755" spans="1:11" x14ac:dyDescent="0.25">
      <c r="A5755" s="115">
        <v>-1</v>
      </c>
      <c r="B5755" s="115" t="s">
        <v>6028</v>
      </c>
      <c r="D5755" s="115" t="s">
        <v>11834</v>
      </c>
      <c r="E5755" s="115" t="s">
        <v>6029</v>
      </c>
      <c r="F5755" s="115">
        <v>70</v>
      </c>
      <c r="G5755" s="115">
        <v>-569</v>
      </c>
      <c r="H5755" s="115">
        <v>343</v>
      </c>
      <c r="I5755" s="115">
        <v>-75</v>
      </c>
      <c r="J5755" s="115">
        <v>1596</v>
      </c>
      <c r="K5755" s="115">
        <v>892</v>
      </c>
    </row>
    <row r="5756" spans="1:11" x14ac:dyDescent="0.25">
      <c r="B5756" s="115" t="s">
        <v>6030</v>
      </c>
      <c r="D5756" s="115" t="s">
        <v>11835</v>
      </c>
      <c r="E5756" s="115" t="s">
        <v>6031</v>
      </c>
      <c r="F5756" s="115">
        <v>1766</v>
      </c>
      <c r="G5756" s="115">
        <v>1069</v>
      </c>
      <c r="H5756" s="115">
        <v>1775</v>
      </c>
      <c r="I5756" s="115">
        <v>1912</v>
      </c>
      <c r="J5756" s="115">
        <v>1660</v>
      </c>
      <c r="K5756" s="115">
        <v>-1448</v>
      </c>
    </row>
    <row r="5757" spans="1:11" x14ac:dyDescent="0.25">
      <c r="A5757" s="115">
        <v>1</v>
      </c>
      <c r="B5757" s="115" t="s">
        <v>6032</v>
      </c>
      <c r="D5757" s="115" t="s">
        <v>11836</v>
      </c>
      <c r="E5757" s="115" t="s">
        <v>6033</v>
      </c>
      <c r="F5757" s="115">
        <v>-926</v>
      </c>
      <c r="G5757" s="115">
        <v>1282</v>
      </c>
      <c r="H5757" s="115">
        <v>-7839</v>
      </c>
      <c r="I5757" s="115">
        <v>5895</v>
      </c>
      <c r="J5757" s="115">
        <v>5014</v>
      </c>
      <c r="K5757" s="115">
        <v>-1417</v>
      </c>
    </row>
    <row r="5758" spans="1:11" x14ac:dyDescent="0.25">
      <c r="A5758" s="115">
        <v>1</v>
      </c>
      <c r="B5758" s="115" t="s">
        <v>6034</v>
      </c>
      <c r="D5758" s="115" t="s">
        <v>11837</v>
      </c>
      <c r="E5758" s="115" t="s">
        <v>6035</v>
      </c>
      <c r="F5758" s="115">
        <v>25835</v>
      </c>
      <c r="G5758" s="115">
        <v>42781</v>
      </c>
      <c r="H5758" s="115">
        <v>43456</v>
      </c>
      <c r="I5758" s="115">
        <v>45724</v>
      </c>
      <c r="J5758" s="115">
        <v>-6278</v>
      </c>
      <c r="K5758" s="115">
        <v>49</v>
      </c>
    </row>
    <row r="5759" spans="1:11" x14ac:dyDescent="0.25">
      <c r="A5759" s="115">
        <v>-3</v>
      </c>
      <c r="B5759" s="115" t="s">
        <v>6036</v>
      </c>
      <c r="C5759" s="115" t="s">
        <v>1239</v>
      </c>
      <c r="D5759" s="115" t="s">
        <v>11838</v>
      </c>
      <c r="E5759" s="115" t="s">
        <v>6037</v>
      </c>
      <c r="F5759" s="115">
        <v>0</v>
      </c>
      <c r="G5759" s="115">
        <v>-2019</v>
      </c>
      <c r="H5759" s="115">
        <v>0</v>
      </c>
      <c r="I5759" s="115">
        <v>0</v>
      </c>
      <c r="J5759" s="115">
        <v>0</v>
      </c>
      <c r="K5759" s="115">
        <v>2123</v>
      </c>
    </row>
    <row r="5760" spans="1:11" x14ac:dyDescent="0.25">
      <c r="B5760" s="115" t="s">
        <v>2495</v>
      </c>
      <c r="D5760" s="115" t="s">
        <v>11839</v>
      </c>
      <c r="E5760" s="115" t="s">
        <v>6038</v>
      </c>
      <c r="F5760" s="115">
        <v>0</v>
      </c>
      <c r="G5760" s="115">
        <v>0</v>
      </c>
      <c r="H5760" s="115">
        <v>0</v>
      </c>
      <c r="I5760" s="115">
        <v>-2457</v>
      </c>
      <c r="J5760" s="115">
        <v>0</v>
      </c>
      <c r="K5760" s="115">
        <v>0</v>
      </c>
    </row>
    <row r="5761" spans="1:11" x14ac:dyDescent="0.25">
      <c r="B5761" s="115" t="s">
        <v>6039</v>
      </c>
      <c r="D5761" s="115" t="s">
        <v>11840</v>
      </c>
      <c r="E5761" s="115" t="s">
        <v>6040</v>
      </c>
      <c r="F5761" s="115">
        <v>-64</v>
      </c>
      <c r="G5761" s="115">
        <v>4750</v>
      </c>
      <c r="H5761" s="115">
        <v>1174</v>
      </c>
      <c r="I5761" s="115">
        <v>0</v>
      </c>
      <c r="J5761" s="115">
        <v>1586</v>
      </c>
      <c r="K5761" s="115">
        <v>370</v>
      </c>
    </row>
    <row r="5762" spans="1:11" x14ac:dyDescent="0.25">
      <c r="A5762" s="115">
        <v>-1</v>
      </c>
      <c r="B5762" s="115" t="s">
        <v>6041</v>
      </c>
      <c r="C5762" s="115" t="s">
        <v>1239</v>
      </c>
      <c r="D5762" s="115" t="s">
        <v>11841</v>
      </c>
      <c r="E5762" s="115" t="s">
        <v>4602</v>
      </c>
      <c r="F5762" s="115">
        <v>0</v>
      </c>
      <c r="G5762" s="115">
        <v>155</v>
      </c>
      <c r="H5762" s="115">
        <v>0</v>
      </c>
      <c r="I5762" s="115">
        <v>0</v>
      </c>
      <c r="J5762" s="115">
        <v>0</v>
      </c>
      <c r="K5762" s="115">
        <v>0</v>
      </c>
    </row>
    <row r="5763" spans="1:11" x14ac:dyDescent="0.25">
      <c r="B5763" s="115" t="s">
        <v>6042</v>
      </c>
      <c r="D5763" s="115" t="s">
        <v>11842</v>
      </c>
      <c r="E5763" s="115" t="s">
        <v>6043</v>
      </c>
      <c r="F5763" s="115">
        <v>0</v>
      </c>
      <c r="G5763" s="115">
        <v>639</v>
      </c>
      <c r="H5763" s="115">
        <v>0</v>
      </c>
      <c r="I5763" s="115">
        <v>-77</v>
      </c>
      <c r="J5763" s="115">
        <v>0</v>
      </c>
      <c r="K5763" s="115">
        <v>0</v>
      </c>
    </row>
    <row r="5764" spans="1:11" x14ac:dyDescent="0.25">
      <c r="B5764" s="115" t="s">
        <v>1241</v>
      </c>
      <c r="D5764" s="115" t="s">
        <v>11843</v>
      </c>
      <c r="E5764" s="115" t="s">
        <v>6044</v>
      </c>
      <c r="F5764" s="115">
        <v>0</v>
      </c>
      <c r="G5764" s="115">
        <v>-272</v>
      </c>
      <c r="H5764" s="115">
        <v>247</v>
      </c>
      <c r="I5764" s="115">
        <v>0</v>
      </c>
      <c r="J5764" s="115">
        <v>0</v>
      </c>
      <c r="K5764" s="115">
        <v>5628</v>
      </c>
    </row>
    <row r="5765" spans="1:11" x14ac:dyDescent="0.25">
      <c r="A5765" s="115" t="s">
        <v>1239</v>
      </c>
      <c r="B5765" s="115" t="s">
        <v>1537</v>
      </c>
      <c r="C5765" s="115" t="s">
        <v>1239</v>
      </c>
      <c r="D5765" s="115" t="s">
        <v>11844</v>
      </c>
      <c r="E5765" s="115" t="s">
        <v>6045</v>
      </c>
      <c r="F5765" s="115">
        <v>0</v>
      </c>
      <c r="G5765" s="115">
        <v>0</v>
      </c>
      <c r="H5765" s="115">
        <v>0</v>
      </c>
      <c r="I5765" s="115">
        <v>-643</v>
      </c>
      <c r="J5765" s="115">
        <v>-1324</v>
      </c>
      <c r="K5765" s="115">
        <v>-640</v>
      </c>
    </row>
    <row r="5766" spans="1:11" x14ac:dyDescent="0.25">
      <c r="B5766" s="115" t="s">
        <v>1241</v>
      </c>
      <c r="D5766" s="115" t="s">
        <v>11845</v>
      </c>
      <c r="E5766" s="115" t="s">
        <v>6046</v>
      </c>
      <c r="F5766" s="115">
        <v>0</v>
      </c>
      <c r="G5766" s="115">
        <v>-445</v>
      </c>
      <c r="H5766" s="115">
        <v>881</v>
      </c>
      <c r="I5766" s="115">
        <v>454</v>
      </c>
      <c r="J5766" s="115">
        <v>1335</v>
      </c>
      <c r="K5766" s="115">
        <v>747</v>
      </c>
    </row>
    <row r="5767" spans="1:11" x14ac:dyDescent="0.25">
      <c r="B5767" s="115" t="s">
        <v>6047</v>
      </c>
      <c r="D5767" s="115" t="s">
        <v>11846</v>
      </c>
      <c r="E5767" s="115" t="s">
        <v>6048</v>
      </c>
      <c r="F5767" s="115">
        <v>0</v>
      </c>
      <c r="G5767" s="115">
        <v>0</v>
      </c>
      <c r="H5767" s="115">
        <v>0</v>
      </c>
      <c r="I5767" s="115">
        <v>1582</v>
      </c>
      <c r="J5767" s="115">
        <v>0</v>
      </c>
      <c r="K5767" s="115">
        <v>-49</v>
      </c>
    </row>
    <row r="5768" spans="1:11" x14ac:dyDescent="0.25">
      <c r="B5768" s="115" t="s">
        <v>6049</v>
      </c>
      <c r="D5768" s="115" t="s">
        <v>11847</v>
      </c>
      <c r="E5768" s="115" t="s">
        <v>6050</v>
      </c>
      <c r="F5768" s="115">
        <v>28</v>
      </c>
      <c r="G5768" s="115">
        <v>2317</v>
      </c>
      <c r="H5768" s="115">
        <v>-6599</v>
      </c>
      <c r="I5768" s="115">
        <v>-5215</v>
      </c>
      <c r="J5768" s="115">
        <v>0</v>
      </c>
      <c r="K5768" s="115">
        <v>-1257</v>
      </c>
    </row>
    <row r="5769" spans="1:11" x14ac:dyDescent="0.25">
      <c r="A5769" s="115">
        <v>-4</v>
      </c>
      <c r="B5769" s="115" t="s">
        <v>6051</v>
      </c>
      <c r="D5769" s="115" t="s">
        <v>11848</v>
      </c>
      <c r="E5769" s="115" t="s">
        <v>6052</v>
      </c>
      <c r="F5769" s="115">
        <v>-34</v>
      </c>
      <c r="G5769" s="115">
        <v>752</v>
      </c>
      <c r="H5769" s="115">
        <v>0</v>
      </c>
      <c r="I5769" s="115">
        <v>0</v>
      </c>
      <c r="J5769" s="115">
        <v>0</v>
      </c>
      <c r="K5769" s="115">
        <v>-376</v>
      </c>
    </row>
    <row r="5770" spans="1:11" x14ac:dyDescent="0.25">
      <c r="B5770" s="115" t="s">
        <v>2135</v>
      </c>
      <c r="D5770" s="115" t="s">
        <v>11849</v>
      </c>
      <c r="E5770" s="115" t="s">
        <v>6053</v>
      </c>
      <c r="F5770" s="115">
        <v>-123</v>
      </c>
      <c r="G5770" s="115">
        <v>182</v>
      </c>
      <c r="H5770" s="115">
        <v>0</v>
      </c>
      <c r="I5770" s="115">
        <v>0</v>
      </c>
      <c r="J5770" s="115">
        <v>0</v>
      </c>
      <c r="K5770" s="115">
        <v>0</v>
      </c>
    </row>
    <row r="5771" spans="1:11" x14ac:dyDescent="0.25">
      <c r="B5771" s="115" t="s">
        <v>6054</v>
      </c>
      <c r="D5771" s="115" t="s">
        <v>11850</v>
      </c>
      <c r="E5771" s="115" t="s">
        <v>6055</v>
      </c>
      <c r="F5771" s="115">
        <v>497</v>
      </c>
      <c r="G5771" s="115">
        <v>189</v>
      </c>
      <c r="H5771" s="115">
        <v>0</v>
      </c>
      <c r="I5771" s="115">
        <v>-3797</v>
      </c>
      <c r="J5771" s="115">
        <v>-501</v>
      </c>
      <c r="K5771" s="115">
        <v>1035</v>
      </c>
    </row>
    <row r="5772" spans="1:11" x14ac:dyDescent="0.25">
      <c r="A5772" s="115">
        <v>-7</v>
      </c>
      <c r="B5772" s="115" t="s">
        <v>6056</v>
      </c>
      <c r="C5772" s="115" t="s">
        <v>1239</v>
      </c>
      <c r="D5772" s="115" t="s">
        <v>11851</v>
      </c>
      <c r="E5772" s="115" t="s">
        <v>6057</v>
      </c>
      <c r="F5772" s="115">
        <v>-1874</v>
      </c>
      <c r="G5772" s="115">
        <v>0</v>
      </c>
      <c r="H5772" s="115">
        <v>157</v>
      </c>
      <c r="I5772" s="115">
        <v>0</v>
      </c>
      <c r="J5772" s="115">
        <v>0</v>
      </c>
      <c r="K5772" s="115">
        <v>416</v>
      </c>
    </row>
    <row r="5773" spans="1:11" x14ac:dyDescent="0.25">
      <c r="B5773" s="115" t="s">
        <v>3010</v>
      </c>
      <c r="D5773" s="115" t="s">
        <v>11852</v>
      </c>
      <c r="E5773" s="115" t="s">
        <v>6058</v>
      </c>
      <c r="F5773" s="115">
        <v>0</v>
      </c>
      <c r="G5773" s="115">
        <v>229</v>
      </c>
      <c r="H5773" s="115">
        <v>0</v>
      </c>
      <c r="I5773" s="115">
        <v>667</v>
      </c>
      <c r="J5773" s="115">
        <v>-2</v>
      </c>
      <c r="K5773" s="115">
        <v>-163</v>
      </c>
    </row>
    <row r="5774" spans="1:11" x14ac:dyDescent="0.25">
      <c r="B5774" s="115" t="s">
        <v>1241</v>
      </c>
      <c r="D5774" s="115" t="s">
        <v>11853</v>
      </c>
      <c r="E5774" s="115" t="s">
        <v>6059</v>
      </c>
      <c r="F5774" s="115">
        <v>0</v>
      </c>
      <c r="G5774" s="115">
        <v>11664</v>
      </c>
      <c r="H5774" s="115">
        <v>0</v>
      </c>
      <c r="I5774" s="115">
        <v>1165</v>
      </c>
      <c r="J5774" s="115">
        <v>253</v>
      </c>
      <c r="K5774" s="115">
        <v>36</v>
      </c>
    </row>
    <row r="5775" spans="1:11" x14ac:dyDescent="0.25">
      <c r="B5775" s="115" t="s">
        <v>6060</v>
      </c>
      <c r="D5775" s="115" t="s">
        <v>11854</v>
      </c>
      <c r="E5775" s="115" t="s">
        <v>6061</v>
      </c>
      <c r="F5775" s="115">
        <v>0</v>
      </c>
      <c r="G5775" s="115">
        <v>0</v>
      </c>
      <c r="H5775" s="115">
        <v>0</v>
      </c>
      <c r="I5775" s="115">
        <v>408</v>
      </c>
      <c r="J5775" s="115">
        <v>-975</v>
      </c>
      <c r="K5775" s="115">
        <v>-329</v>
      </c>
    </row>
    <row r="5776" spans="1:11" x14ac:dyDescent="0.25">
      <c r="A5776" s="115">
        <v>-1</v>
      </c>
      <c r="B5776" s="115" t="s">
        <v>6062</v>
      </c>
      <c r="D5776" s="115" t="s">
        <v>11855</v>
      </c>
      <c r="E5776" s="115" t="s">
        <v>6063</v>
      </c>
      <c r="F5776" s="115">
        <v>0</v>
      </c>
      <c r="G5776" s="115">
        <v>0</v>
      </c>
      <c r="H5776" s="115">
        <v>55</v>
      </c>
      <c r="I5776" s="115">
        <v>0</v>
      </c>
      <c r="J5776" s="115">
        <v>799</v>
      </c>
      <c r="K5776" s="115">
        <v>0</v>
      </c>
    </row>
    <row r="5777" spans="1:11" x14ac:dyDescent="0.25">
      <c r="A5777" s="115">
        <v>1</v>
      </c>
      <c r="B5777" s="115" t="s">
        <v>6064</v>
      </c>
      <c r="D5777" s="115" t="s">
        <v>11856</v>
      </c>
      <c r="E5777" s="115" t="s">
        <v>6065</v>
      </c>
      <c r="F5777" s="115">
        <v>0</v>
      </c>
      <c r="G5777" s="115">
        <v>0</v>
      </c>
      <c r="H5777" s="115">
        <v>0</v>
      </c>
      <c r="I5777" s="115">
        <v>0</v>
      </c>
      <c r="J5777" s="115">
        <v>0</v>
      </c>
      <c r="K5777" s="115">
        <v>8668</v>
      </c>
    </row>
    <row r="5778" spans="1:11" x14ac:dyDescent="0.25">
      <c r="B5778" s="115" t="s">
        <v>6066</v>
      </c>
      <c r="C5778" s="115" t="s">
        <v>1239</v>
      </c>
      <c r="D5778" s="115" t="s">
        <v>11857</v>
      </c>
      <c r="E5778" s="115" t="s">
        <v>6067</v>
      </c>
      <c r="F5778" s="115">
        <v>0</v>
      </c>
      <c r="G5778" s="115">
        <v>-3244</v>
      </c>
      <c r="H5778" s="115">
        <v>-1520</v>
      </c>
      <c r="I5778" s="115">
        <v>0</v>
      </c>
      <c r="J5778" s="115">
        <v>0</v>
      </c>
      <c r="K5778" s="115">
        <v>0</v>
      </c>
    </row>
    <row r="5779" spans="1:11" x14ac:dyDescent="0.25">
      <c r="B5779" s="115" t="s">
        <v>1241</v>
      </c>
      <c r="D5779" s="115" t="s">
        <v>11858</v>
      </c>
      <c r="E5779" s="115" t="s">
        <v>6068</v>
      </c>
      <c r="F5779" s="115">
        <v>1678</v>
      </c>
      <c r="G5779" s="115">
        <v>1366</v>
      </c>
      <c r="H5779" s="115">
        <v>-902</v>
      </c>
      <c r="I5779" s="115">
        <v>1641</v>
      </c>
      <c r="J5779" s="115">
        <v>0</v>
      </c>
      <c r="K5779" s="115">
        <v>0</v>
      </c>
    </row>
    <row r="5780" spans="1:11" x14ac:dyDescent="0.25">
      <c r="B5780" s="115" t="s">
        <v>1241</v>
      </c>
      <c r="C5780" s="115" t="s">
        <v>1239</v>
      </c>
      <c r="D5780" s="115" t="s">
        <v>11859</v>
      </c>
      <c r="E5780" s="115" t="s">
        <v>6069</v>
      </c>
      <c r="F5780" s="115">
        <v>-1979</v>
      </c>
      <c r="G5780" s="115">
        <v>0</v>
      </c>
      <c r="H5780" s="115">
        <v>0</v>
      </c>
      <c r="I5780" s="115">
        <v>-570</v>
      </c>
      <c r="J5780" s="115">
        <v>6509</v>
      </c>
      <c r="K5780" s="115">
        <v>0</v>
      </c>
    </row>
    <row r="5781" spans="1:11" x14ac:dyDescent="0.25">
      <c r="B5781" s="115" t="s">
        <v>1241</v>
      </c>
      <c r="D5781" s="115" t="s">
        <v>11860</v>
      </c>
      <c r="E5781" s="115" t="s">
        <v>6070</v>
      </c>
      <c r="F5781" s="115">
        <v>0</v>
      </c>
      <c r="G5781" s="115">
        <v>4547</v>
      </c>
      <c r="H5781" s="115">
        <v>5475</v>
      </c>
      <c r="I5781" s="115">
        <v>763</v>
      </c>
      <c r="J5781" s="115">
        <v>-21274</v>
      </c>
      <c r="K5781" s="115">
        <v>-6122</v>
      </c>
    </row>
    <row r="5782" spans="1:11" x14ac:dyDescent="0.25">
      <c r="A5782" s="115">
        <v>25</v>
      </c>
      <c r="B5782" s="115" t="s">
        <v>6071</v>
      </c>
      <c r="C5782" s="115">
        <v>1</v>
      </c>
      <c r="D5782" s="115" t="s">
        <v>11861</v>
      </c>
      <c r="E5782" s="115" t="s">
        <v>1242</v>
      </c>
      <c r="F5782" s="115">
        <v>4574</v>
      </c>
      <c r="G5782" s="115">
        <v>0</v>
      </c>
      <c r="H5782" s="115">
        <v>0</v>
      </c>
      <c r="I5782" s="115">
        <v>0</v>
      </c>
      <c r="J5782" s="115">
        <v>0</v>
      </c>
      <c r="K5782" s="115">
        <v>0</v>
      </c>
    </row>
    <row r="5783" spans="1:11" x14ac:dyDescent="0.25">
      <c r="B5783" s="115" t="s">
        <v>1241</v>
      </c>
      <c r="C5783" s="115" t="s">
        <v>1239</v>
      </c>
      <c r="D5783" s="115" t="s">
        <v>11862</v>
      </c>
      <c r="E5783" s="115" t="s">
        <v>6072</v>
      </c>
      <c r="F5783" s="115">
        <v>-2884</v>
      </c>
      <c r="G5783" s="115">
        <v>-482</v>
      </c>
      <c r="H5783" s="115">
        <v>-3475</v>
      </c>
      <c r="I5783" s="115">
        <v>-2736</v>
      </c>
      <c r="J5783" s="115">
        <v>0</v>
      </c>
      <c r="K5783" s="115">
        <v>0</v>
      </c>
    </row>
    <row r="5784" spans="1:11" x14ac:dyDescent="0.25">
      <c r="A5784" s="115">
        <v>12</v>
      </c>
      <c r="B5784" s="115" t="s">
        <v>6073</v>
      </c>
      <c r="D5784" s="115" t="s">
        <v>11863</v>
      </c>
      <c r="E5784" s="115" t="s">
        <v>6074</v>
      </c>
      <c r="F5784" s="115">
        <v>0</v>
      </c>
      <c r="G5784" s="115">
        <v>0</v>
      </c>
      <c r="H5784" s="115">
        <v>0</v>
      </c>
      <c r="I5784" s="115">
        <v>0</v>
      </c>
      <c r="J5784" s="115">
        <v>-1619</v>
      </c>
      <c r="K5784" s="115">
        <v>0</v>
      </c>
    </row>
    <row r="5785" spans="1:11" x14ac:dyDescent="0.25">
      <c r="A5785" s="115">
        <v>-1</v>
      </c>
      <c r="B5785" s="115" t="s">
        <v>6075</v>
      </c>
      <c r="D5785" s="115" t="s">
        <v>8710</v>
      </c>
      <c r="E5785" s="115" t="s">
        <v>1242</v>
      </c>
      <c r="F5785" s="115">
        <v>0</v>
      </c>
      <c r="G5785" s="115">
        <v>0</v>
      </c>
      <c r="H5785" s="115">
        <v>0</v>
      </c>
      <c r="I5785" s="115">
        <v>0</v>
      </c>
      <c r="J5785" s="115">
        <v>0</v>
      </c>
      <c r="K5785" s="115">
        <v>0</v>
      </c>
    </row>
    <row r="5786" spans="1:11" x14ac:dyDescent="0.25">
      <c r="B5786" s="115" t="s">
        <v>1241</v>
      </c>
      <c r="D5786" s="115" t="s">
        <v>11864</v>
      </c>
      <c r="E5786" s="115" t="s">
        <v>6076</v>
      </c>
      <c r="F5786" s="115">
        <v>0</v>
      </c>
      <c r="G5786" s="115">
        <v>0</v>
      </c>
      <c r="H5786" s="115">
        <v>0</v>
      </c>
      <c r="I5786" s="115">
        <v>-2138</v>
      </c>
      <c r="J5786" s="115">
        <v>0</v>
      </c>
      <c r="K5786" s="115">
        <v>0</v>
      </c>
    </row>
    <row r="5787" spans="1:11" x14ac:dyDescent="0.25">
      <c r="B5787" s="115" t="s">
        <v>1241</v>
      </c>
      <c r="D5787" s="115" t="s">
        <v>11865</v>
      </c>
      <c r="E5787" s="115" t="s">
        <v>6077</v>
      </c>
      <c r="F5787" s="115">
        <v>563</v>
      </c>
      <c r="G5787" s="115">
        <v>678</v>
      </c>
      <c r="H5787" s="115">
        <v>4819</v>
      </c>
      <c r="I5787" s="115">
        <v>544</v>
      </c>
      <c r="J5787" s="115">
        <v>142</v>
      </c>
      <c r="K5787" s="115">
        <v>-1172</v>
      </c>
    </row>
    <row r="5788" spans="1:11" x14ac:dyDescent="0.25">
      <c r="A5788" s="115" t="s">
        <v>1239</v>
      </c>
      <c r="B5788" s="115" t="s">
        <v>6078</v>
      </c>
      <c r="D5788" s="115" t="s">
        <v>11866</v>
      </c>
      <c r="E5788" s="115" t="s">
        <v>6079</v>
      </c>
      <c r="F5788" s="115">
        <v>584</v>
      </c>
      <c r="G5788" s="115">
        <v>4935</v>
      </c>
      <c r="H5788" s="115">
        <v>4391</v>
      </c>
      <c r="I5788" s="115">
        <v>3577</v>
      </c>
      <c r="J5788" s="115">
        <v>1263</v>
      </c>
      <c r="K5788" s="115">
        <v>-2521</v>
      </c>
    </row>
    <row r="5789" spans="1:11" x14ac:dyDescent="0.25">
      <c r="B5789" s="115" t="s">
        <v>6080</v>
      </c>
      <c r="D5789" s="115" t="s">
        <v>11867</v>
      </c>
      <c r="E5789" s="115" t="s">
        <v>6081</v>
      </c>
      <c r="F5789" s="115">
        <v>1268</v>
      </c>
      <c r="G5789" s="115">
        <v>3478</v>
      </c>
      <c r="H5789" s="115">
        <v>1191</v>
      </c>
      <c r="I5789" s="115">
        <v>4720</v>
      </c>
      <c r="J5789" s="115">
        <v>882</v>
      </c>
      <c r="K5789" s="115">
        <v>3509</v>
      </c>
    </row>
    <row r="5790" spans="1:11" x14ac:dyDescent="0.25">
      <c r="A5790" s="115">
        <v>3</v>
      </c>
      <c r="B5790" s="115" t="s">
        <v>6082</v>
      </c>
      <c r="D5790" s="115" t="s">
        <v>11868</v>
      </c>
      <c r="E5790" s="115" t="s">
        <v>6083</v>
      </c>
      <c r="F5790" s="115">
        <v>3421</v>
      </c>
      <c r="G5790" s="115">
        <v>4318</v>
      </c>
      <c r="H5790" s="115">
        <v>2226</v>
      </c>
      <c r="I5790" s="115">
        <v>-2621</v>
      </c>
      <c r="J5790" s="115">
        <v>7641</v>
      </c>
      <c r="K5790" s="115">
        <v>6965</v>
      </c>
    </row>
    <row r="5791" spans="1:11" x14ac:dyDescent="0.25">
      <c r="A5791" s="115">
        <v>-2</v>
      </c>
      <c r="B5791" s="115" t="s">
        <v>6084</v>
      </c>
      <c r="C5791" s="115">
        <v>4</v>
      </c>
      <c r="D5791" s="115" t="s">
        <v>11869</v>
      </c>
      <c r="E5791" s="115" t="s">
        <v>6085</v>
      </c>
      <c r="F5791" s="115">
        <v>51222</v>
      </c>
      <c r="G5791" s="115">
        <v>44156</v>
      </c>
      <c r="H5791" s="115">
        <v>-1565</v>
      </c>
      <c r="I5791" s="115">
        <v>448</v>
      </c>
      <c r="J5791" s="115">
        <v>-1144</v>
      </c>
      <c r="K5791" s="115">
        <v>2211</v>
      </c>
    </row>
    <row r="5792" spans="1:11" x14ac:dyDescent="0.25">
      <c r="A5792" s="115">
        <v>3</v>
      </c>
      <c r="B5792" s="115" t="s">
        <v>6086</v>
      </c>
      <c r="D5792" s="115" t="s">
        <v>11870</v>
      </c>
      <c r="E5792" s="115" t="s">
        <v>6087</v>
      </c>
      <c r="F5792" s="115">
        <v>0</v>
      </c>
      <c r="G5792" s="115">
        <v>0</v>
      </c>
      <c r="H5792" s="115">
        <v>0</v>
      </c>
      <c r="I5792" s="115">
        <v>1269</v>
      </c>
      <c r="J5792" s="115">
        <v>-2134</v>
      </c>
      <c r="K5792" s="115">
        <v>0</v>
      </c>
    </row>
    <row r="5793" spans="1:11" x14ac:dyDescent="0.25">
      <c r="B5793" s="115" t="s">
        <v>1241</v>
      </c>
      <c r="D5793" s="115" t="s">
        <v>11871</v>
      </c>
      <c r="E5793" s="115" t="s">
        <v>6088</v>
      </c>
      <c r="F5793" s="115">
        <v>0</v>
      </c>
      <c r="G5793" s="115">
        <v>-327</v>
      </c>
      <c r="H5793" s="115">
        <v>0</v>
      </c>
      <c r="I5793" s="115">
        <v>0</v>
      </c>
      <c r="J5793" s="115">
        <v>-1103</v>
      </c>
      <c r="K5793" s="115">
        <v>0</v>
      </c>
    </row>
    <row r="5794" spans="1:11" x14ac:dyDescent="0.25">
      <c r="A5794" s="115">
        <v>1</v>
      </c>
      <c r="B5794" s="115" t="s">
        <v>6089</v>
      </c>
      <c r="D5794" s="115" t="s">
        <v>11872</v>
      </c>
      <c r="E5794" s="115" t="s">
        <v>6090</v>
      </c>
      <c r="F5794" s="115">
        <v>275</v>
      </c>
      <c r="G5794" s="115">
        <v>0</v>
      </c>
      <c r="H5794" s="115">
        <v>-5511</v>
      </c>
      <c r="I5794" s="115">
        <v>-504</v>
      </c>
      <c r="J5794" s="115">
        <v>2104</v>
      </c>
      <c r="K5794" s="115">
        <v>3107</v>
      </c>
    </row>
    <row r="5795" spans="1:11" x14ac:dyDescent="0.25">
      <c r="A5795" s="115">
        <v>3</v>
      </c>
      <c r="B5795" s="115" t="s">
        <v>6091</v>
      </c>
      <c r="D5795" s="115" t="s">
        <v>11873</v>
      </c>
      <c r="E5795" s="115" t="s">
        <v>6092</v>
      </c>
      <c r="F5795" s="115">
        <v>0</v>
      </c>
      <c r="G5795" s="115">
        <v>0</v>
      </c>
      <c r="H5795" s="115">
        <v>0</v>
      </c>
      <c r="I5795" s="115">
        <v>0</v>
      </c>
      <c r="J5795" s="115">
        <v>0</v>
      </c>
      <c r="K5795" s="115">
        <v>-179</v>
      </c>
    </row>
    <row r="5796" spans="1:11" x14ac:dyDescent="0.25">
      <c r="B5796" s="115" t="s">
        <v>1241</v>
      </c>
      <c r="D5796" s="115" t="s">
        <v>11874</v>
      </c>
      <c r="E5796" s="115" t="s">
        <v>6093</v>
      </c>
      <c r="F5796" s="115">
        <v>0</v>
      </c>
      <c r="G5796" s="115">
        <v>815</v>
      </c>
      <c r="H5796" s="115">
        <v>0</v>
      </c>
      <c r="I5796" s="115">
        <v>0</v>
      </c>
      <c r="J5796" s="115">
        <v>0</v>
      </c>
      <c r="K5796" s="115">
        <v>0</v>
      </c>
    </row>
    <row r="5797" spans="1:11" x14ac:dyDescent="0.25">
      <c r="B5797" s="115" t="s">
        <v>1241</v>
      </c>
      <c r="D5797" s="115" t="s">
        <v>11875</v>
      </c>
      <c r="E5797" s="115" t="s">
        <v>6094</v>
      </c>
      <c r="F5797" s="115">
        <v>2833</v>
      </c>
      <c r="G5797" s="115">
        <v>0</v>
      </c>
      <c r="H5797" s="115">
        <v>0</v>
      </c>
      <c r="I5797" s="115">
        <v>10947</v>
      </c>
      <c r="J5797" s="115">
        <v>145</v>
      </c>
      <c r="K5797" s="115">
        <v>0</v>
      </c>
    </row>
    <row r="5798" spans="1:11" x14ac:dyDescent="0.25">
      <c r="A5798" s="115">
        <v>6</v>
      </c>
      <c r="B5798" s="115" t="s">
        <v>1592</v>
      </c>
      <c r="D5798" s="115" t="s">
        <v>11876</v>
      </c>
      <c r="E5798" s="115" t="s">
        <v>6095</v>
      </c>
      <c r="F5798" s="115">
        <v>0</v>
      </c>
      <c r="G5798" s="115">
        <v>4813</v>
      </c>
      <c r="H5798" s="115">
        <v>2443</v>
      </c>
      <c r="I5798" s="115">
        <v>818</v>
      </c>
      <c r="J5798" s="115">
        <v>0</v>
      </c>
      <c r="K5798" s="115">
        <v>0</v>
      </c>
    </row>
    <row r="5799" spans="1:11" x14ac:dyDescent="0.25">
      <c r="A5799" s="115" t="s">
        <v>1239</v>
      </c>
      <c r="B5799" s="115" t="s">
        <v>6096</v>
      </c>
      <c r="D5799" s="115" t="s">
        <v>11877</v>
      </c>
      <c r="E5799" s="115" t="s">
        <v>6097</v>
      </c>
      <c r="F5799" s="115">
        <v>2515</v>
      </c>
      <c r="G5799" s="115">
        <v>341</v>
      </c>
      <c r="H5799" s="115">
        <v>1103</v>
      </c>
      <c r="I5799" s="115">
        <v>-779</v>
      </c>
      <c r="J5799" s="115">
        <v>1142</v>
      </c>
      <c r="K5799" s="115">
        <v>3604</v>
      </c>
    </row>
    <row r="5800" spans="1:11" x14ac:dyDescent="0.25">
      <c r="B5800" s="115" t="s">
        <v>1241</v>
      </c>
      <c r="D5800" s="115" t="s">
        <v>11878</v>
      </c>
      <c r="E5800" s="115" t="s">
        <v>6098</v>
      </c>
      <c r="F5800" s="115">
        <v>0</v>
      </c>
      <c r="G5800" s="115">
        <v>-15732</v>
      </c>
      <c r="H5800" s="115">
        <v>0</v>
      </c>
      <c r="I5800" s="115">
        <v>5838</v>
      </c>
      <c r="J5800" s="115">
        <v>4599</v>
      </c>
      <c r="K5800" s="115">
        <v>-562</v>
      </c>
    </row>
    <row r="5801" spans="1:11" x14ac:dyDescent="0.25">
      <c r="B5801" s="115" t="s">
        <v>6099</v>
      </c>
      <c r="D5801" s="115" t="s">
        <v>11879</v>
      </c>
      <c r="E5801" s="115" t="s">
        <v>6100</v>
      </c>
      <c r="F5801" s="115">
        <v>-2831</v>
      </c>
      <c r="G5801" s="115">
        <v>-2528</v>
      </c>
      <c r="H5801" s="115">
        <v>0</v>
      </c>
      <c r="I5801" s="115">
        <v>4603</v>
      </c>
      <c r="J5801" s="115">
        <v>9424</v>
      </c>
      <c r="K5801" s="115">
        <v>-1391</v>
      </c>
    </row>
    <row r="5802" spans="1:11" x14ac:dyDescent="0.25">
      <c r="B5802" s="115" t="s">
        <v>3019</v>
      </c>
      <c r="D5802" s="115" t="s">
        <v>11880</v>
      </c>
      <c r="E5802" s="115" t="s">
        <v>6101</v>
      </c>
      <c r="F5802" s="115">
        <v>0</v>
      </c>
      <c r="G5802" s="115">
        <v>0</v>
      </c>
      <c r="H5802" s="115">
        <v>0</v>
      </c>
      <c r="I5802" s="115">
        <v>-1220</v>
      </c>
      <c r="J5802" s="115">
        <v>-478</v>
      </c>
      <c r="K5802" s="115">
        <v>0</v>
      </c>
    </row>
    <row r="5803" spans="1:11" x14ac:dyDescent="0.25">
      <c r="A5803" s="115" t="s">
        <v>1239</v>
      </c>
      <c r="B5803" s="115" t="s">
        <v>6102</v>
      </c>
      <c r="D5803" s="115" t="s">
        <v>11881</v>
      </c>
      <c r="E5803" s="115" t="s">
        <v>6103</v>
      </c>
      <c r="F5803" s="115">
        <v>0</v>
      </c>
      <c r="G5803" s="115">
        <v>0</v>
      </c>
      <c r="H5803" s="115">
        <v>0</v>
      </c>
      <c r="I5803" s="115">
        <v>0</v>
      </c>
      <c r="J5803" s="115">
        <v>0</v>
      </c>
      <c r="K5803" s="115">
        <v>5694</v>
      </c>
    </row>
    <row r="5804" spans="1:11" x14ac:dyDescent="0.25">
      <c r="B5804" s="115" t="s">
        <v>6104</v>
      </c>
      <c r="D5804" s="115" t="s">
        <v>11882</v>
      </c>
      <c r="E5804" s="115">
        <f>-1640  -1323   -938  -1477  -1888</f>
        <v>-7266</v>
      </c>
      <c r="F5804" s="115">
        <v>0</v>
      </c>
      <c r="G5804" s="115">
        <v>-1640</v>
      </c>
      <c r="H5804" s="115">
        <v>-1323</v>
      </c>
      <c r="I5804" s="115">
        <v>-938</v>
      </c>
      <c r="J5804" s="115">
        <v>-1477</v>
      </c>
      <c r="K5804" s="115">
        <v>-1888</v>
      </c>
    </row>
    <row r="5805" spans="1:11" x14ac:dyDescent="0.25">
      <c r="A5805" s="115">
        <v>3</v>
      </c>
      <c r="B5805" s="115" t="s">
        <v>6105</v>
      </c>
      <c r="C5805" s="115">
        <v>1</v>
      </c>
      <c r="D5805" s="115" t="s">
        <v>11883</v>
      </c>
      <c r="E5805" s="115" t="s">
        <v>6106</v>
      </c>
      <c r="F5805" s="115">
        <v>-17</v>
      </c>
      <c r="G5805" s="115">
        <v>0</v>
      </c>
      <c r="H5805" s="115">
        <v>0</v>
      </c>
      <c r="I5805" s="115">
        <v>1816</v>
      </c>
      <c r="J5805" s="115">
        <v>166</v>
      </c>
      <c r="K5805" s="115">
        <v>0</v>
      </c>
    </row>
    <row r="5806" spans="1:11" x14ac:dyDescent="0.25">
      <c r="B5806" s="115" t="s">
        <v>2402</v>
      </c>
      <c r="D5806" s="115" t="s">
        <v>11884</v>
      </c>
      <c r="E5806" s="115" t="s">
        <v>6107</v>
      </c>
      <c r="F5806" s="115">
        <v>0</v>
      </c>
      <c r="G5806" s="115">
        <v>94</v>
      </c>
      <c r="H5806" s="115">
        <v>-214</v>
      </c>
      <c r="I5806" s="115">
        <v>254</v>
      </c>
      <c r="J5806" s="115">
        <v>0</v>
      </c>
      <c r="K5806" s="115">
        <v>0</v>
      </c>
    </row>
    <row r="5807" spans="1:11" x14ac:dyDescent="0.25">
      <c r="B5807" s="115" t="s">
        <v>1241</v>
      </c>
      <c r="D5807" s="115" t="s">
        <v>11885</v>
      </c>
      <c r="E5807" s="115" t="s">
        <v>6108</v>
      </c>
      <c r="F5807" s="115">
        <v>0</v>
      </c>
      <c r="G5807" s="115">
        <v>723</v>
      </c>
      <c r="H5807" s="115">
        <v>162</v>
      </c>
      <c r="I5807" s="115">
        <v>254</v>
      </c>
      <c r="J5807" s="115">
        <v>0</v>
      </c>
      <c r="K5807" s="115">
        <v>1796</v>
      </c>
    </row>
    <row r="5808" spans="1:11" x14ac:dyDescent="0.25">
      <c r="A5808" s="115" t="s">
        <v>1239</v>
      </c>
      <c r="B5808" s="115" t="s">
        <v>6109</v>
      </c>
      <c r="D5808" s="115" t="s">
        <v>11886</v>
      </c>
      <c r="E5808" s="115" t="s">
        <v>6110</v>
      </c>
      <c r="F5808" s="115">
        <v>0</v>
      </c>
      <c r="G5808" s="115">
        <v>4127</v>
      </c>
      <c r="H5808" s="115">
        <v>7891</v>
      </c>
      <c r="I5808" s="115">
        <v>-343</v>
      </c>
      <c r="J5808" s="115">
        <v>-217</v>
      </c>
      <c r="K5808" s="115">
        <v>-200</v>
      </c>
    </row>
    <row r="5809" spans="1:11" x14ac:dyDescent="0.25">
      <c r="B5809" s="115" t="s">
        <v>6111</v>
      </c>
      <c r="D5809" s="115" t="s">
        <v>11887</v>
      </c>
      <c r="E5809" s="115" t="s">
        <v>6112</v>
      </c>
      <c r="F5809" s="115">
        <v>-279</v>
      </c>
      <c r="G5809" s="115">
        <v>0</v>
      </c>
      <c r="H5809" s="115">
        <v>-226</v>
      </c>
      <c r="I5809" s="115">
        <v>0</v>
      </c>
      <c r="J5809" s="115">
        <v>-305</v>
      </c>
      <c r="K5809" s="115">
        <v>0</v>
      </c>
    </row>
    <row r="5810" spans="1:11" x14ac:dyDescent="0.25">
      <c r="B5810" s="115" t="s">
        <v>1241</v>
      </c>
      <c r="D5810" s="115" t="s">
        <v>11888</v>
      </c>
      <c r="E5810" s="115" t="s">
        <v>6113</v>
      </c>
      <c r="F5810" s="115">
        <v>0</v>
      </c>
      <c r="G5810" s="115">
        <v>0</v>
      </c>
      <c r="H5810" s="115">
        <v>0</v>
      </c>
      <c r="I5810" s="115">
        <v>3692</v>
      </c>
      <c r="J5810" s="115">
        <v>0</v>
      </c>
      <c r="K5810" s="115">
        <v>490</v>
      </c>
    </row>
    <row r="5811" spans="1:11" x14ac:dyDescent="0.25">
      <c r="A5811" s="115" t="s">
        <v>1239</v>
      </c>
      <c r="B5811" s="115" t="s">
        <v>6114</v>
      </c>
      <c r="D5811" s="115" t="s">
        <v>11889</v>
      </c>
      <c r="E5811" s="115" t="s">
        <v>1242</v>
      </c>
      <c r="F5811" s="115">
        <v>-887</v>
      </c>
      <c r="G5811" s="115">
        <v>0</v>
      </c>
      <c r="H5811" s="115">
        <v>0</v>
      </c>
      <c r="I5811" s="115">
        <v>0</v>
      </c>
      <c r="J5811" s="115">
        <v>0</v>
      </c>
      <c r="K5811" s="115">
        <v>0</v>
      </c>
    </row>
    <row r="5812" spans="1:11" x14ac:dyDescent="0.25">
      <c r="A5812" s="115">
        <v>10</v>
      </c>
      <c r="B5812" s="115" t="s">
        <v>6115</v>
      </c>
      <c r="C5812" s="115" t="s">
        <v>1239</v>
      </c>
      <c r="D5812" s="115" t="s">
        <v>11890</v>
      </c>
      <c r="E5812" s="115" t="s">
        <v>6116</v>
      </c>
      <c r="F5812" s="115">
        <v>-128</v>
      </c>
      <c r="G5812" s="115">
        <v>802</v>
      </c>
      <c r="H5812" s="115">
        <v>0</v>
      </c>
      <c r="I5812" s="115">
        <v>0</v>
      </c>
      <c r="J5812" s="115">
        <v>0</v>
      </c>
      <c r="K5812" s="115">
        <v>0</v>
      </c>
    </row>
    <row r="5813" spans="1:11" x14ac:dyDescent="0.25">
      <c r="A5813" s="115" t="s">
        <v>1239</v>
      </c>
      <c r="B5813" s="115" t="s">
        <v>1595</v>
      </c>
      <c r="D5813" s="115" t="s">
        <v>11891</v>
      </c>
      <c r="E5813" s="115" t="s">
        <v>6117</v>
      </c>
      <c r="F5813" s="115">
        <v>0</v>
      </c>
      <c r="G5813" s="115">
        <v>-1272</v>
      </c>
      <c r="H5813" s="115">
        <v>-5</v>
      </c>
      <c r="I5813" s="115">
        <v>0</v>
      </c>
      <c r="J5813" s="115">
        <v>0</v>
      </c>
      <c r="K5813" s="115">
        <v>0</v>
      </c>
    </row>
    <row r="5814" spans="1:11" x14ac:dyDescent="0.25">
      <c r="B5814" s="115" t="s">
        <v>6118</v>
      </c>
      <c r="D5814" s="115" t="s">
        <v>11892</v>
      </c>
      <c r="E5814" s="115" t="s">
        <v>6119</v>
      </c>
      <c r="F5814" s="115">
        <v>-664</v>
      </c>
      <c r="G5814" s="115">
        <v>653</v>
      </c>
      <c r="H5814" s="115">
        <v>-796</v>
      </c>
      <c r="I5814" s="115">
        <v>1873</v>
      </c>
      <c r="J5814" s="115">
        <v>5216</v>
      </c>
      <c r="K5814" s="115">
        <v>5192</v>
      </c>
    </row>
    <row r="5815" spans="1:11" x14ac:dyDescent="0.25">
      <c r="A5815" s="115">
        <v>-16</v>
      </c>
      <c r="B5815" s="115" t="s">
        <v>6120</v>
      </c>
      <c r="C5815" s="115">
        <v>-2</v>
      </c>
      <c r="D5815" s="115" t="s">
        <v>11893</v>
      </c>
      <c r="E5815" s="115" t="s">
        <v>1242</v>
      </c>
      <c r="F5815" s="115">
        <v>0</v>
      </c>
      <c r="G5815" s="115">
        <v>0</v>
      </c>
      <c r="H5815" s="115">
        <v>0</v>
      </c>
      <c r="I5815" s="115">
        <v>0</v>
      </c>
      <c r="J5815" s="115">
        <v>0</v>
      </c>
      <c r="K5815" s="115">
        <v>0</v>
      </c>
    </row>
    <row r="5816" spans="1:11" x14ac:dyDescent="0.25">
      <c r="B5816" s="115" t="s">
        <v>6121</v>
      </c>
      <c r="C5816" s="115" t="s">
        <v>1239</v>
      </c>
      <c r="D5816" s="115" t="s">
        <v>11894</v>
      </c>
      <c r="E5816" s="115" t="s">
        <v>6122</v>
      </c>
      <c r="F5816" s="115">
        <v>423</v>
      </c>
      <c r="G5816" s="115">
        <v>-1334</v>
      </c>
      <c r="H5816" s="115">
        <v>0</v>
      </c>
      <c r="I5816" s="115">
        <v>0</v>
      </c>
      <c r="J5816" s="115">
        <v>1508</v>
      </c>
      <c r="K5816" s="115">
        <v>0</v>
      </c>
    </row>
    <row r="5817" spans="1:11" x14ac:dyDescent="0.25">
      <c r="A5817" s="115">
        <v>4</v>
      </c>
      <c r="B5817" s="115" t="s">
        <v>6123</v>
      </c>
      <c r="D5817" s="115" t="s">
        <v>11895</v>
      </c>
      <c r="E5817" s="115" t="s">
        <v>6124</v>
      </c>
      <c r="F5817" s="115">
        <v>0</v>
      </c>
      <c r="G5817" s="115">
        <v>0</v>
      </c>
      <c r="H5817" s="115">
        <v>334</v>
      </c>
      <c r="I5817" s="115">
        <v>0</v>
      </c>
      <c r="J5817" s="115">
        <v>-2885</v>
      </c>
      <c r="K5817" s="115">
        <v>-7893</v>
      </c>
    </row>
    <row r="5818" spans="1:11" x14ac:dyDescent="0.25">
      <c r="B5818" s="115" t="s">
        <v>1241</v>
      </c>
      <c r="D5818" s="115" t="s">
        <v>8710</v>
      </c>
      <c r="E5818" s="115" t="s">
        <v>1242</v>
      </c>
      <c r="F5818" s="115">
        <v>0</v>
      </c>
      <c r="G5818" s="115">
        <v>0</v>
      </c>
      <c r="H5818" s="115">
        <v>0</v>
      </c>
      <c r="I5818" s="115">
        <v>0</v>
      </c>
      <c r="J5818" s="115">
        <v>0</v>
      </c>
      <c r="K5818" s="115">
        <v>0</v>
      </c>
    </row>
    <row r="5819" spans="1:11" x14ac:dyDescent="0.25">
      <c r="B5819" s="115" t="s">
        <v>1241</v>
      </c>
      <c r="D5819" s="115" t="s">
        <v>11896</v>
      </c>
      <c r="E5819" s="115" t="s">
        <v>6125</v>
      </c>
      <c r="F5819" s="115">
        <v>0</v>
      </c>
      <c r="G5819" s="115">
        <v>-145</v>
      </c>
      <c r="H5819" s="115">
        <v>0</v>
      </c>
      <c r="I5819" s="115">
        <v>0</v>
      </c>
      <c r="J5819" s="115">
        <v>0</v>
      </c>
      <c r="K5819" s="115">
        <v>0</v>
      </c>
    </row>
    <row r="5820" spans="1:11" x14ac:dyDescent="0.25">
      <c r="B5820" s="115" t="s">
        <v>1487</v>
      </c>
      <c r="D5820" s="115" t="s">
        <v>11897</v>
      </c>
      <c r="E5820" s="115" t="s">
        <v>6126</v>
      </c>
      <c r="F5820" s="115">
        <v>-12700</v>
      </c>
      <c r="G5820" s="115">
        <v>644</v>
      </c>
      <c r="H5820" s="115">
        <v>1595</v>
      </c>
      <c r="I5820" s="115">
        <v>884</v>
      </c>
      <c r="J5820" s="115">
        <v>-1368</v>
      </c>
      <c r="K5820" s="115">
        <v>114</v>
      </c>
    </row>
    <row r="5821" spans="1:11" x14ac:dyDescent="0.25">
      <c r="A5821" s="115">
        <v>1</v>
      </c>
      <c r="B5821" s="115" t="s">
        <v>6127</v>
      </c>
      <c r="D5821" s="115" t="s">
        <v>11898</v>
      </c>
      <c r="E5821" s="115" t="s">
        <v>6128</v>
      </c>
      <c r="F5821" s="115">
        <v>-2187</v>
      </c>
      <c r="G5821" s="115">
        <v>-2009</v>
      </c>
      <c r="H5821" s="115">
        <v>-1889</v>
      </c>
      <c r="I5821" s="115">
        <v>-5515</v>
      </c>
      <c r="J5821" s="115">
        <v>0</v>
      </c>
      <c r="K5821" s="115">
        <v>-12911</v>
      </c>
    </row>
    <row r="5822" spans="1:11" x14ac:dyDescent="0.25">
      <c r="A5822" s="115">
        <v>5</v>
      </c>
      <c r="B5822" s="115" t="s">
        <v>6129</v>
      </c>
      <c r="D5822" s="115" t="s">
        <v>11899</v>
      </c>
      <c r="E5822" s="115" t="s">
        <v>6130</v>
      </c>
      <c r="F5822" s="115">
        <v>1222</v>
      </c>
      <c r="G5822" s="115">
        <v>1497</v>
      </c>
      <c r="H5822" s="115">
        <v>678</v>
      </c>
      <c r="I5822" s="115">
        <v>-4205</v>
      </c>
      <c r="J5822" s="115">
        <v>1396</v>
      </c>
      <c r="K5822" s="115">
        <v>2586</v>
      </c>
    </row>
    <row r="5823" spans="1:11" x14ac:dyDescent="0.25">
      <c r="B5823" s="115" t="s">
        <v>6131</v>
      </c>
      <c r="D5823" s="115" t="s">
        <v>11900</v>
      </c>
      <c r="E5823" s="115" t="s">
        <v>6132</v>
      </c>
      <c r="F5823" s="115">
        <v>2017</v>
      </c>
      <c r="G5823" s="115">
        <v>-2096</v>
      </c>
      <c r="H5823" s="115">
        <v>1653</v>
      </c>
      <c r="I5823" s="115">
        <v>1935</v>
      </c>
      <c r="J5823" s="115">
        <v>792</v>
      </c>
      <c r="K5823" s="115">
        <v>28956</v>
      </c>
    </row>
    <row r="5824" spans="1:11" x14ac:dyDescent="0.25">
      <c r="A5824" s="115">
        <v>40</v>
      </c>
      <c r="B5824" s="115" t="s">
        <v>6133</v>
      </c>
      <c r="C5824" s="115">
        <v>2</v>
      </c>
      <c r="D5824" s="115" t="s">
        <v>11901</v>
      </c>
      <c r="E5824" s="115" t="s">
        <v>6134</v>
      </c>
      <c r="F5824" s="115">
        <v>25189</v>
      </c>
      <c r="G5824" s="115">
        <v>-1151</v>
      </c>
      <c r="H5824" s="115">
        <v>-309</v>
      </c>
      <c r="I5824" s="115">
        <v>-644</v>
      </c>
      <c r="J5824" s="115">
        <v>2859</v>
      </c>
      <c r="K5824" s="115">
        <v>1933</v>
      </c>
    </row>
    <row r="5825" spans="1:11" x14ac:dyDescent="0.25">
      <c r="B5825" s="115" t="s">
        <v>1241</v>
      </c>
      <c r="D5825" s="115" t="s">
        <v>11902</v>
      </c>
      <c r="E5825" s="115" t="s">
        <v>6135</v>
      </c>
      <c r="F5825" s="115">
        <v>0</v>
      </c>
      <c r="G5825" s="115">
        <v>0</v>
      </c>
      <c r="H5825" s="115">
        <v>-74</v>
      </c>
      <c r="I5825" s="115">
        <v>342</v>
      </c>
      <c r="J5825" s="115">
        <v>0</v>
      </c>
      <c r="K5825" s="115">
        <v>0</v>
      </c>
    </row>
    <row r="5826" spans="1:11" x14ac:dyDescent="0.25">
      <c r="B5826" s="115" t="s">
        <v>1241</v>
      </c>
      <c r="D5826" s="115" t="s">
        <v>11903</v>
      </c>
      <c r="E5826" s="115" t="s">
        <v>6136</v>
      </c>
      <c r="F5826" s="115">
        <v>-336</v>
      </c>
      <c r="G5826" s="115">
        <v>0</v>
      </c>
      <c r="H5826" s="115">
        <v>0</v>
      </c>
      <c r="I5826" s="115">
        <v>-813</v>
      </c>
      <c r="J5826" s="115">
        <v>0</v>
      </c>
      <c r="K5826" s="115">
        <v>959</v>
      </c>
    </row>
    <row r="5827" spans="1:11" x14ac:dyDescent="0.25">
      <c r="B5827" s="115" t="s">
        <v>6137</v>
      </c>
      <c r="D5827" s="115" t="s">
        <v>11904</v>
      </c>
      <c r="E5827" s="115" t="s">
        <v>6138</v>
      </c>
      <c r="F5827" s="115">
        <v>0</v>
      </c>
      <c r="G5827" s="115">
        <v>-8112</v>
      </c>
      <c r="H5827" s="115">
        <v>-1193</v>
      </c>
      <c r="I5827" s="115">
        <v>2706</v>
      </c>
      <c r="J5827" s="115">
        <v>1241</v>
      </c>
      <c r="K5827" s="115">
        <v>3140</v>
      </c>
    </row>
    <row r="5828" spans="1:11" x14ac:dyDescent="0.25">
      <c r="A5828" s="115">
        <v>1</v>
      </c>
      <c r="B5828" s="115" t="s">
        <v>4752</v>
      </c>
      <c r="D5828" s="115" t="s">
        <v>11905</v>
      </c>
      <c r="E5828" s="115" t="s">
        <v>6139</v>
      </c>
      <c r="F5828" s="115">
        <v>0</v>
      </c>
      <c r="G5828" s="115">
        <v>0</v>
      </c>
      <c r="H5828" s="115">
        <v>0</v>
      </c>
      <c r="I5828" s="115">
        <v>0</v>
      </c>
      <c r="J5828" s="115">
        <v>1145</v>
      </c>
      <c r="K5828" s="115">
        <v>0</v>
      </c>
    </row>
    <row r="5829" spans="1:11" x14ac:dyDescent="0.25">
      <c r="B5829" s="115" t="s">
        <v>1241</v>
      </c>
      <c r="D5829" s="115" t="s">
        <v>11906</v>
      </c>
      <c r="E5829" s="115" t="s">
        <v>1242</v>
      </c>
      <c r="F5829" s="115">
        <v>-197</v>
      </c>
      <c r="G5829" s="115">
        <v>0</v>
      </c>
      <c r="H5829" s="115">
        <v>0</v>
      </c>
      <c r="I5829" s="115">
        <v>0</v>
      </c>
      <c r="J5829" s="115">
        <v>0</v>
      </c>
      <c r="K5829" s="115">
        <v>0</v>
      </c>
    </row>
    <row r="5830" spans="1:11" x14ac:dyDescent="0.25">
      <c r="A5830" s="115" t="s">
        <v>1239</v>
      </c>
      <c r="B5830" s="115" t="s">
        <v>6140</v>
      </c>
      <c r="D5830" s="115" t="s">
        <v>11907</v>
      </c>
      <c r="E5830" s="115" t="s">
        <v>6141</v>
      </c>
      <c r="F5830" s="115">
        <v>0</v>
      </c>
      <c r="G5830" s="115">
        <v>0</v>
      </c>
      <c r="H5830" s="115">
        <v>-632</v>
      </c>
      <c r="I5830" s="115">
        <v>303</v>
      </c>
      <c r="J5830" s="115">
        <v>0</v>
      </c>
      <c r="K5830" s="115">
        <v>-4765</v>
      </c>
    </row>
    <row r="5831" spans="1:11" x14ac:dyDescent="0.25">
      <c r="B5831" s="115" t="s">
        <v>1241</v>
      </c>
      <c r="D5831" s="115" t="s">
        <v>11908</v>
      </c>
      <c r="E5831" s="115" t="s">
        <v>6142</v>
      </c>
      <c r="F5831" s="115">
        <v>-4369</v>
      </c>
      <c r="G5831" s="115">
        <v>-691</v>
      </c>
      <c r="H5831" s="115">
        <v>-105</v>
      </c>
      <c r="I5831" s="115">
        <v>0</v>
      </c>
      <c r="J5831" s="115">
        <v>0</v>
      </c>
      <c r="K5831" s="115">
        <v>478</v>
      </c>
    </row>
    <row r="5832" spans="1:11" x14ac:dyDescent="0.25">
      <c r="A5832" s="115" t="s">
        <v>1239</v>
      </c>
      <c r="B5832" s="115" t="s">
        <v>4931</v>
      </c>
      <c r="C5832" s="115" t="s">
        <v>1239</v>
      </c>
      <c r="D5832" s="115" t="s">
        <v>11909</v>
      </c>
      <c r="E5832" s="115" t="s">
        <v>6143</v>
      </c>
      <c r="F5832" s="115">
        <v>-477</v>
      </c>
      <c r="G5832" s="115">
        <v>-1166</v>
      </c>
      <c r="H5832" s="115">
        <v>1246</v>
      </c>
      <c r="I5832" s="115">
        <v>-271</v>
      </c>
      <c r="J5832" s="115">
        <v>-2288</v>
      </c>
      <c r="K5832" s="115">
        <v>0</v>
      </c>
    </row>
    <row r="5833" spans="1:11" x14ac:dyDescent="0.25">
      <c r="B5833" s="115" t="s">
        <v>1241</v>
      </c>
      <c r="D5833" s="115" t="s">
        <v>11910</v>
      </c>
      <c r="E5833" s="115" t="s">
        <v>6144</v>
      </c>
      <c r="F5833" s="115">
        <v>5784</v>
      </c>
      <c r="G5833" s="115">
        <v>0</v>
      </c>
      <c r="H5833" s="115">
        <v>-501</v>
      </c>
      <c r="I5833" s="115">
        <v>-334</v>
      </c>
      <c r="J5833" s="115">
        <v>850</v>
      </c>
      <c r="K5833" s="115">
        <v>0</v>
      </c>
    </row>
    <row r="5834" spans="1:11" x14ac:dyDescent="0.25">
      <c r="A5834" s="115">
        <v>-6</v>
      </c>
      <c r="B5834" s="115" t="s">
        <v>6145</v>
      </c>
      <c r="D5834" s="115" t="s">
        <v>11911</v>
      </c>
      <c r="E5834" s="115" t="s">
        <v>6146</v>
      </c>
      <c r="F5834" s="115">
        <v>6574</v>
      </c>
      <c r="G5834" s="115">
        <v>0</v>
      </c>
      <c r="H5834" s="115">
        <v>-17007</v>
      </c>
      <c r="I5834" s="115">
        <v>-20041</v>
      </c>
      <c r="J5834" s="115">
        <v>-5594</v>
      </c>
      <c r="K5834" s="115">
        <v>24</v>
      </c>
    </row>
    <row r="5835" spans="1:11" x14ac:dyDescent="0.25">
      <c r="B5835" s="115" t="s">
        <v>6147</v>
      </c>
      <c r="D5835" s="115" t="s">
        <v>11912</v>
      </c>
      <c r="E5835" s="115" t="s">
        <v>6148</v>
      </c>
      <c r="F5835" s="115">
        <v>0</v>
      </c>
      <c r="G5835" s="115">
        <v>0</v>
      </c>
      <c r="H5835" s="115">
        <v>990</v>
      </c>
      <c r="I5835" s="115">
        <v>-1425</v>
      </c>
      <c r="J5835" s="115">
        <v>0</v>
      </c>
      <c r="K5835" s="115">
        <v>377</v>
      </c>
    </row>
    <row r="5836" spans="1:11" x14ac:dyDescent="0.25">
      <c r="A5836" s="115">
        <v>-7</v>
      </c>
      <c r="B5836" s="115" t="s">
        <v>6149</v>
      </c>
      <c r="D5836" s="115" t="s">
        <v>11913</v>
      </c>
      <c r="E5836" s="115" t="s">
        <v>6150</v>
      </c>
      <c r="F5836" s="115">
        <v>0</v>
      </c>
      <c r="G5836" s="115">
        <v>0</v>
      </c>
      <c r="H5836" s="115">
        <v>0</v>
      </c>
      <c r="I5836" s="115">
        <v>0</v>
      </c>
      <c r="J5836" s="115">
        <v>7031</v>
      </c>
      <c r="K5836" s="115">
        <v>0</v>
      </c>
    </row>
    <row r="5837" spans="1:11" x14ac:dyDescent="0.25">
      <c r="B5837" s="115" t="s">
        <v>6151</v>
      </c>
      <c r="D5837" s="115" t="s">
        <v>11914</v>
      </c>
      <c r="E5837" s="115" t="s">
        <v>6152</v>
      </c>
      <c r="F5837" s="115">
        <v>-701</v>
      </c>
      <c r="G5837" s="115">
        <v>-1193</v>
      </c>
      <c r="H5837" s="115">
        <v>-1500</v>
      </c>
      <c r="I5837" s="115">
        <v>-4924</v>
      </c>
      <c r="J5837" s="115">
        <v>-2736</v>
      </c>
      <c r="K5837" s="115">
        <v>5284</v>
      </c>
    </row>
    <row r="5838" spans="1:11" x14ac:dyDescent="0.25">
      <c r="A5838" s="115">
        <v>5</v>
      </c>
      <c r="B5838" s="115" t="s">
        <v>6153</v>
      </c>
      <c r="D5838" s="115" t="s">
        <v>11915</v>
      </c>
      <c r="E5838" s="115" t="s">
        <v>6154</v>
      </c>
      <c r="F5838" s="115">
        <v>0</v>
      </c>
      <c r="G5838" s="115">
        <v>0</v>
      </c>
      <c r="H5838" s="115">
        <v>-14</v>
      </c>
      <c r="I5838" s="115">
        <v>93</v>
      </c>
      <c r="J5838" s="115">
        <v>0</v>
      </c>
      <c r="K5838" s="115">
        <v>-284</v>
      </c>
    </row>
    <row r="5839" spans="1:11" x14ac:dyDescent="0.25">
      <c r="B5839" s="115" t="s">
        <v>1241</v>
      </c>
      <c r="D5839" s="115" t="s">
        <v>11916</v>
      </c>
      <c r="E5839" s="115" t="s">
        <v>6155</v>
      </c>
      <c r="F5839" s="115">
        <v>1026</v>
      </c>
      <c r="G5839" s="115">
        <v>78</v>
      </c>
      <c r="H5839" s="115">
        <v>-555</v>
      </c>
      <c r="I5839" s="115">
        <v>0</v>
      </c>
      <c r="J5839" s="115">
        <v>0</v>
      </c>
      <c r="K5839" s="115">
        <v>0</v>
      </c>
    </row>
    <row r="5840" spans="1:11" x14ac:dyDescent="0.25">
      <c r="B5840" s="115" t="s">
        <v>1241</v>
      </c>
      <c r="D5840" s="115" t="s">
        <v>11917</v>
      </c>
      <c r="E5840" s="115" t="s">
        <v>6156</v>
      </c>
      <c r="F5840" s="115">
        <v>770</v>
      </c>
      <c r="G5840" s="115">
        <v>-14</v>
      </c>
      <c r="H5840" s="115">
        <v>52</v>
      </c>
      <c r="I5840" s="115">
        <v>0</v>
      </c>
      <c r="J5840" s="115">
        <v>3388</v>
      </c>
      <c r="K5840" s="115">
        <v>-1051</v>
      </c>
    </row>
    <row r="5841" spans="1:11" x14ac:dyDescent="0.25">
      <c r="A5841" s="115" t="s">
        <v>1239</v>
      </c>
      <c r="B5841" s="115" t="s">
        <v>6157</v>
      </c>
      <c r="D5841" s="115" t="s">
        <v>11918</v>
      </c>
      <c r="E5841" s="115" t="s">
        <v>6158</v>
      </c>
      <c r="F5841" s="115">
        <v>3197</v>
      </c>
      <c r="G5841" s="115">
        <v>5167</v>
      </c>
      <c r="H5841" s="115">
        <v>349</v>
      </c>
      <c r="I5841" s="115">
        <v>-158</v>
      </c>
      <c r="J5841" s="115">
        <v>-308</v>
      </c>
      <c r="K5841" s="115">
        <v>0</v>
      </c>
    </row>
    <row r="5842" spans="1:11" x14ac:dyDescent="0.25">
      <c r="B5842" s="115" t="s">
        <v>2560</v>
      </c>
      <c r="D5842" s="115" t="s">
        <v>11919</v>
      </c>
      <c r="E5842" s="115" t="s">
        <v>6159</v>
      </c>
      <c r="F5842" s="115">
        <v>0</v>
      </c>
      <c r="G5842" s="115">
        <v>632</v>
      </c>
      <c r="H5842" s="115">
        <v>0</v>
      </c>
      <c r="I5842" s="115">
        <v>94</v>
      </c>
      <c r="J5842" s="115">
        <v>0</v>
      </c>
      <c r="K5842" s="115">
        <v>0</v>
      </c>
    </row>
    <row r="5843" spans="1:11" x14ac:dyDescent="0.25">
      <c r="B5843" s="115" t="s">
        <v>1241</v>
      </c>
      <c r="D5843" s="115" t="s">
        <v>11920</v>
      </c>
      <c r="E5843" s="115" t="s">
        <v>6160</v>
      </c>
      <c r="F5843" s="115">
        <v>0</v>
      </c>
      <c r="G5843" s="115">
        <v>0</v>
      </c>
      <c r="H5843" s="115">
        <v>4917</v>
      </c>
      <c r="I5843" s="115">
        <v>0</v>
      </c>
      <c r="J5843" s="115">
        <v>583</v>
      </c>
      <c r="K5843" s="115">
        <v>-752</v>
      </c>
    </row>
    <row r="5844" spans="1:11" x14ac:dyDescent="0.25">
      <c r="B5844" s="115" t="s">
        <v>5559</v>
      </c>
      <c r="D5844" s="115" t="s">
        <v>11921</v>
      </c>
      <c r="E5844" s="115" t="s">
        <v>6161</v>
      </c>
      <c r="F5844" s="115">
        <v>0</v>
      </c>
      <c r="G5844" s="115">
        <v>0</v>
      </c>
      <c r="H5844" s="115">
        <v>0</v>
      </c>
      <c r="I5844" s="115">
        <v>0</v>
      </c>
      <c r="J5844" s="115">
        <v>0</v>
      </c>
      <c r="K5844" s="115">
        <v>6480</v>
      </c>
    </row>
    <row r="5845" spans="1:11" x14ac:dyDescent="0.25">
      <c r="A5845" s="115">
        <v>-1</v>
      </c>
      <c r="B5845" s="115" t="s">
        <v>6162</v>
      </c>
      <c r="D5845" s="115" t="s">
        <v>11922</v>
      </c>
      <c r="E5845" s="115" t="s">
        <v>6163</v>
      </c>
      <c r="F5845" s="115">
        <v>-1385</v>
      </c>
      <c r="G5845" s="115">
        <v>0</v>
      </c>
      <c r="H5845" s="115">
        <v>0</v>
      </c>
      <c r="I5845" s="115">
        <v>0</v>
      </c>
      <c r="J5845" s="115">
        <v>0</v>
      </c>
      <c r="K5845" s="115">
        <v>165</v>
      </c>
    </row>
    <row r="5846" spans="1:11" x14ac:dyDescent="0.25">
      <c r="B5846" s="115" t="s">
        <v>2195</v>
      </c>
      <c r="D5846" s="115" t="s">
        <v>11923</v>
      </c>
      <c r="E5846" s="115" t="s">
        <v>3501</v>
      </c>
      <c r="F5846" s="115">
        <v>-449</v>
      </c>
      <c r="G5846" s="115">
        <v>104</v>
      </c>
      <c r="H5846" s="115">
        <v>0</v>
      </c>
      <c r="I5846" s="115">
        <v>0</v>
      </c>
      <c r="J5846" s="115">
        <v>0</v>
      </c>
      <c r="K5846" s="115">
        <v>0</v>
      </c>
    </row>
    <row r="5847" spans="1:11" x14ac:dyDescent="0.25">
      <c r="A5847" s="115">
        <v>6</v>
      </c>
      <c r="B5847" s="115" t="s">
        <v>6164</v>
      </c>
      <c r="D5847" s="115" t="s">
        <v>11924</v>
      </c>
      <c r="E5847" s="115" t="s">
        <v>6165</v>
      </c>
      <c r="F5847" s="115">
        <v>703</v>
      </c>
      <c r="G5847" s="115">
        <v>1</v>
      </c>
      <c r="H5847" s="115">
        <v>680</v>
      </c>
      <c r="I5847" s="115">
        <v>5450</v>
      </c>
      <c r="J5847" s="115">
        <v>3275</v>
      </c>
      <c r="K5847" s="115">
        <v>-19458</v>
      </c>
    </row>
    <row r="5848" spans="1:11" x14ac:dyDescent="0.25">
      <c r="A5848" s="115">
        <v>-20</v>
      </c>
      <c r="B5848" s="115" t="s">
        <v>6166</v>
      </c>
      <c r="D5848" s="115" t="s">
        <v>11925</v>
      </c>
      <c r="E5848" s="115" t="s">
        <v>6167</v>
      </c>
      <c r="F5848" s="115">
        <v>0</v>
      </c>
      <c r="G5848" s="115">
        <v>0</v>
      </c>
      <c r="H5848" s="115">
        <v>0</v>
      </c>
      <c r="I5848" s="115">
        <v>0</v>
      </c>
      <c r="J5848" s="115">
        <v>0</v>
      </c>
      <c r="K5848" s="115">
        <v>952</v>
      </c>
    </row>
    <row r="5849" spans="1:11" x14ac:dyDescent="0.25">
      <c r="A5849" s="115">
        <v>1</v>
      </c>
      <c r="B5849" s="115" t="s">
        <v>6168</v>
      </c>
      <c r="D5849" s="115" t="s">
        <v>11926</v>
      </c>
      <c r="E5849" s="115" t="s">
        <v>6169</v>
      </c>
      <c r="F5849" s="115">
        <v>-786</v>
      </c>
      <c r="G5849" s="115">
        <v>0</v>
      </c>
      <c r="H5849" s="115">
        <v>0</v>
      </c>
      <c r="I5849" s="115">
        <v>1810</v>
      </c>
      <c r="J5849" s="115">
        <v>0</v>
      </c>
      <c r="K5849" s="115">
        <v>3873</v>
      </c>
    </row>
    <row r="5850" spans="1:11" x14ac:dyDescent="0.25">
      <c r="A5850" s="115">
        <v>-35</v>
      </c>
      <c r="B5850" s="115" t="s">
        <v>6170</v>
      </c>
      <c r="D5850" s="115" t="s">
        <v>11927</v>
      </c>
      <c r="E5850" s="115" t="s">
        <v>6171</v>
      </c>
      <c r="F5850" s="115">
        <v>0</v>
      </c>
      <c r="G5850" s="115">
        <v>-2717</v>
      </c>
      <c r="H5850" s="115">
        <v>0</v>
      </c>
      <c r="I5850" s="115">
        <v>4009</v>
      </c>
      <c r="J5850" s="115">
        <v>278</v>
      </c>
      <c r="K5850" s="115">
        <v>0</v>
      </c>
    </row>
    <row r="5851" spans="1:11" x14ac:dyDescent="0.25">
      <c r="B5851" s="115" t="s">
        <v>1241</v>
      </c>
      <c r="D5851" s="115" t="s">
        <v>8710</v>
      </c>
      <c r="E5851" s="115" t="s">
        <v>1242</v>
      </c>
      <c r="F5851" s="115">
        <v>0</v>
      </c>
      <c r="G5851" s="115">
        <v>0</v>
      </c>
      <c r="H5851" s="115">
        <v>0</v>
      </c>
      <c r="I5851" s="115">
        <v>0</v>
      </c>
      <c r="J5851" s="115">
        <v>0</v>
      </c>
      <c r="K5851" s="115">
        <v>0</v>
      </c>
    </row>
    <row r="5852" spans="1:11" x14ac:dyDescent="0.25">
      <c r="B5852" s="115" t="s">
        <v>1241</v>
      </c>
      <c r="D5852" s="115" t="s">
        <v>11928</v>
      </c>
      <c r="E5852" s="115" t="s">
        <v>1242</v>
      </c>
      <c r="F5852" s="115">
        <v>-484</v>
      </c>
      <c r="G5852" s="115">
        <v>0</v>
      </c>
      <c r="H5852" s="115">
        <v>0</v>
      </c>
      <c r="I5852" s="115">
        <v>0</v>
      </c>
      <c r="J5852" s="115">
        <v>0</v>
      </c>
      <c r="K5852" s="115">
        <v>0</v>
      </c>
    </row>
    <row r="5853" spans="1:11" x14ac:dyDescent="0.25">
      <c r="B5853" s="115" t="s">
        <v>6172</v>
      </c>
      <c r="D5853" s="115" t="s">
        <v>11929</v>
      </c>
      <c r="E5853" s="115" t="s">
        <v>6173</v>
      </c>
      <c r="F5853" s="115">
        <v>2320</v>
      </c>
      <c r="G5853" s="115">
        <v>1981</v>
      </c>
      <c r="H5853" s="115">
        <v>1950</v>
      </c>
      <c r="I5853" s="115">
        <v>-675</v>
      </c>
      <c r="J5853" s="115">
        <v>-230</v>
      </c>
      <c r="K5853" s="115">
        <v>1142</v>
      </c>
    </row>
    <row r="5854" spans="1:11" x14ac:dyDescent="0.25">
      <c r="A5854" s="115">
        <v>1</v>
      </c>
      <c r="B5854" s="115" t="s">
        <v>6174</v>
      </c>
      <c r="D5854" s="115" t="s">
        <v>11930</v>
      </c>
      <c r="E5854" s="115" t="s">
        <v>6175</v>
      </c>
      <c r="F5854" s="115">
        <v>-3962</v>
      </c>
      <c r="G5854" s="115">
        <v>-1658</v>
      </c>
      <c r="H5854" s="115">
        <v>-5482</v>
      </c>
      <c r="I5854" s="115">
        <v>0</v>
      </c>
      <c r="J5854" s="115">
        <v>823</v>
      </c>
      <c r="K5854" s="115">
        <v>2160</v>
      </c>
    </row>
    <row r="5855" spans="1:11" x14ac:dyDescent="0.25">
      <c r="A5855" s="115">
        <v>2</v>
      </c>
      <c r="B5855" s="115" t="s">
        <v>6176</v>
      </c>
      <c r="C5855" s="115" t="s">
        <v>1239</v>
      </c>
      <c r="D5855" s="115" t="s">
        <v>11931</v>
      </c>
      <c r="E5855" s="115" t="s">
        <v>6177</v>
      </c>
      <c r="F5855" s="115">
        <v>6985</v>
      </c>
      <c r="G5855" s="115">
        <v>3313</v>
      </c>
      <c r="H5855" s="115">
        <v>1574</v>
      </c>
      <c r="I5855" s="115">
        <v>-132</v>
      </c>
      <c r="J5855" s="115">
        <v>1788</v>
      </c>
      <c r="K5855" s="115">
        <v>1555</v>
      </c>
    </row>
    <row r="5856" spans="1:11" x14ac:dyDescent="0.25">
      <c r="B5856" s="115" t="s">
        <v>6178</v>
      </c>
      <c r="D5856" s="115" t="s">
        <v>11932</v>
      </c>
      <c r="E5856" s="115" t="s">
        <v>6179</v>
      </c>
      <c r="F5856" s="115">
        <v>957</v>
      </c>
      <c r="G5856" s="115">
        <v>1959</v>
      </c>
      <c r="H5856" s="115">
        <v>2925</v>
      </c>
      <c r="I5856" s="115">
        <v>1275</v>
      </c>
      <c r="J5856" s="115">
        <v>29440</v>
      </c>
      <c r="K5856" s="115">
        <v>26049</v>
      </c>
    </row>
    <row r="5857" spans="1:11" x14ac:dyDescent="0.25">
      <c r="A5857" s="115">
        <v>37</v>
      </c>
      <c r="B5857" s="115" t="s">
        <v>6180</v>
      </c>
      <c r="C5857" s="115">
        <v>2</v>
      </c>
      <c r="D5857" s="115" t="s">
        <v>11933</v>
      </c>
      <c r="E5857" s="115" t="s">
        <v>6181</v>
      </c>
      <c r="F5857" s="115">
        <v>32696</v>
      </c>
      <c r="G5857" s="115">
        <v>-422</v>
      </c>
      <c r="H5857" s="115">
        <v>-63</v>
      </c>
      <c r="I5857" s="115">
        <v>-777</v>
      </c>
      <c r="J5857" s="115">
        <v>2279</v>
      </c>
      <c r="K5857" s="115">
        <v>1038</v>
      </c>
    </row>
    <row r="5858" spans="1:11" x14ac:dyDescent="0.25">
      <c r="B5858" s="115" t="s">
        <v>1241</v>
      </c>
      <c r="D5858" s="115" t="s">
        <v>11934</v>
      </c>
      <c r="E5858" s="115" t="s">
        <v>6182</v>
      </c>
      <c r="F5858" s="115">
        <v>0</v>
      </c>
      <c r="G5858" s="115">
        <v>0</v>
      </c>
      <c r="H5858" s="115">
        <v>6</v>
      </c>
      <c r="I5858" s="115">
        <v>-46</v>
      </c>
      <c r="J5858" s="115">
        <v>0</v>
      </c>
      <c r="K5858" s="115">
        <v>0</v>
      </c>
    </row>
    <row r="5859" spans="1:11" x14ac:dyDescent="0.25">
      <c r="B5859" s="115" t="s">
        <v>1241</v>
      </c>
      <c r="D5859" s="115" t="s">
        <v>11935</v>
      </c>
      <c r="E5859" s="115" t="s">
        <v>6183</v>
      </c>
      <c r="F5859" s="115">
        <v>-356</v>
      </c>
      <c r="G5859" s="115">
        <v>0</v>
      </c>
      <c r="H5859" s="115">
        <v>0</v>
      </c>
      <c r="I5859" s="115">
        <v>-511</v>
      </c>
      <c r="J5859" s="115">
        <v>0</v>
      </c>
      <c r="K5859" s="115">
        <v>681</v>
      </c>
    </row>
    <row r="5860" spans="1:11" x14ac:dyDescent="0.25">
      <c r="B5860" s="115" t="s">
        <v>6184</v>
      </c>
      <c r="D5860" s="115" t="s">
        <v>11936</v>
      </c>
      <c r="E5860" s="115" t="s">
        <v>6185</v>
      </c>
      <c r="F5860" s="115">
        <v>0</v>
      </c>
      <c r="G5860" s="115">
        <v>-7803</v>
      </c>
      <c r="H5860" s="115">
        <v>-865</v>
      </c>
      <c r="I5860" s="115">
        <v>415</v>
      </c>
      <c r="J5860" s="115">
        <v>1738</v>
      </c>
      <c r="K5860" s="115">
        <v>3545</v>
      </c>
    </row>
    <row r="5861" spans="1:11" x14ac:dyDescent="0.25">
      <c r="B5861" s="115" t="s">
        <v>6186</v>
      </c>
      <c r="D5861" s="115" t="s">
        <v>11937</v>
      </c>
      <c r="E5861" s="115" t="s">
        <v>6187</v>
      </c>
      <c r="F5861" s="115">
        <v>0</v>
      </c>
      <c r="G5861" s="115">
        <v>0</v>
      </c>
      <c r="H5861" s="115">
        <v>0</v>
      </c>
      <c r="I5861" s="115">
        <v>0</v>
      </c>
      <c r="J5861" s="115">
        <v>728</v>
      </c>
      <c r="K5861" s="115">
        <v>0</v>
      </c>
    </row>
    <row r="5862" spans="1:11" x14ac:dyDescent="0.25">
      <c r="B5862" s="115" t="s">
        <v>1241</v>
      </c>
      <c r="D5862" s="115" t="s">
        <v>11938</v>
      </c>
      <c r="E5862" s="115" t="s">
        <v>1242</v>
      </c>
      <c r="F5862" s="115">
        <v>-282</v>
      </c>
      <c r="G5862" s="115">
        <v>0</v>
      </c>
      <c r="H5862" s="115">
        <v>0</v>
      </c>
      <c r="I5862" s="115">
        <v>0</v>
      </c>
      <c r="J5862" s="115">
        <v>0</v>
      </c>
      <c r="K5862" s="115">
        <v>0</v>
      </c>
    </row>
    <row r="5863" spans="1:11" x14ac:dyDescent="0.25">
      <c r="A5863" s="115" t="s">
        <v>1239</v>
      </c>
      <c r="B5863" s="115" t="s">
        <v>4530</v>
      </c>
      <c r="D5863" s="115" t="s">
        <v>11939</v>
      </c>
      <c r="E5863" s="115" t="s">
        <v>6188</v>
      </c>
      <c r="F5863" s="115">
        <v>0</v>
      </c>
      <c r="G5863" s="115">
        <v>0</v>
      </c>
      <c r="H5863" s="115">
        <v>473</v>
      </c>
      <c r="I5863" s="115">
        <v>181</v>
      </c>
      <c r="J5863" s="115">
        <v>0</v>
      </c>
      <c r="K5863" s="115">
        <v>-3318</v>
      </c>
    </row>
    <row r="5864" spans="1:11" x14ac:dyDescent="0.25">
      <c r="B5864" s="115" t="s">
        <v>1241</v>
      </c>
      <c r="D5864" s="115" t="s">
        <v>11940</v>
      </c>
      <c r="E5864" s="115" t="s">
        <v>6189</v>
      </c>
      <c r="F5864" s="115">
        <v>-3968</v>
      </c>
      <c r="G5864" s="115">
        <v>-784</v>
      </c>
      <c r="H5864" s="115">
        <v>-162</v>
      </c>
      <c r="I5864" s="115">
        <v>0</v>
      </c>
      <c r="J5864" s="115">
        <v>0</v>
      </c>
      <c r="K5864" s="115">
        <v>537</v>
      </c>
    </row>
    <row r="5865" spans="1:11" x14ac:dyDescent="0.25">
      <c r="A5865" s="115" t="s">
        <v>1239</v>
      </c>
      <c r="B5865" s="115" t="s">
        <v>6190</v>
      </c>
      <c r="D5865" s="115" t="s">
        <v>11941</v>
      </c>
      <c r="E5865" s="115" t="s">
        <v>6191</v>
      </c>
      <c r="F5865" s="115">
        <v>-346</v>
      </c>
      <c r="G5865" s="115">
        <v>-945</v>
      </c>
      <c r="H5865" s="115">
        <v>1524</v>
      </c>
      <c r="I5865" s="115">
        <v>2</v>
      </c>
      <c r="J5865" s="115">
        <v>-1496</v>
      </c>
      <c r="K5865" s="115">
        <v>0</v>
      </c>
    </row>
    <row r="5866" spans="1:11" x14ac:dyDescent="0.25">
      <c r="B5866" s="115" t="s">
        <v>1241</v>
      </c>
      <c r="D5866" s="115" t="s">
        <v>11942</v>
      </c>
      <c r="E5866" s="115" t="s">
        <v>6192</v>
      </c>
      <c r="F5866" s="115">
        <v>4771</v>
      </c>
      <c r="G5866" s="115">
        <v>0</v>
      </c>
      <c r="H5866" s="115">
        <v>-133</v>
      </c>
      <c r="I5866" s="115">
        <v>-118</v>
      </c>
      <c r="J5866" s="115">
        <v>495</v>
      </c>
      <c r="K5866" s="115">
        <v>0</v>
      </c>
    </row>
    <row r="5867" spans="1:11" x14ac:dyDescent="0.25">
      <c r="A5867" s="115">
        <v>-2</v>
      </c>
      <c r="B5867" s="115" t="s">
        <v>6193</v>
      </c>
      <c r="C5867" s="115" t="s">
        <v>1239</v>
      </c>
      <c r="D5867" s="115" t="s">
        <v>11943</v>
      </c>
      <c r="E5867" s="115" t="s">
        <v>6194</v>
      </c>
      <c r="F5867" s="115">
        <v>-4052</v>
      </c>
      <c r="G5867" s="115">
        <v>0</v>
      </c>
      <c r="H5867" s="115">
        <v>3906</v>
      </c>
      <c r="I5867" s="115">
        <v>5560</v>
      </c>
      <c r="J5867" s="115">
        <v>-2086</v>
      </c>
      <c r="K5867" s="115">
        <v>359</v>
      </c>
    </row>
    <row r="5868" spans="1:11" x14ac:dyDescent="0.25">
      <c r="B5868" s="115" t="s">
        <v>6195</v>
      </c>
      <c r="D5868" s="115" t="s">
        <v>11944</v>
      </c>
      <c r="E5868" s="115" t="s">
        <v>6196</v>
      </c>
      <c r="F5868" s="115">
        <v>0</v>
      </c>
      <c r="G5868" s="115">
        <v>0</v>
      </c>
      <c r="H5868" s="115">
        <v>-373</v>
      </c>
      <c r="I5868" s="115">
        <v>383</v>
      </c>
      <c r="J5868" s="115">
        <v>0</v>
      </c>
      <c r="K5868" s="115">
        <v>-665</v>
      </c>
    </row>
    <row r="5869" spans="1:11" x14ac:dyDescent="0.25">
      <c r="A5869" s="115">
        <v>3</v>
      </c>
      <c r="B5869" s="115" t="s">
        <v>6197</v>
      </c>
      <c r="D5869" s="115" t="s">
        <v>11945</v>
      </c>
      <c r="E5869" s="115" t="s">
        <v>6198</v>
      </c>
      <c r="F5869" s="115">
        <v>0</v>
      </c>
      <c r="G5869" s="115">
        <v>0</v>
      </c>
      <c r="H5869" s="115">
        <v>0</v>
      </c>
      <c r="I5869" s="115">
        <v>0</v>
      </c>
      <c r="J5869" s="115">
        <v>8539</v>
      </c>
      <c r="K5869" s="115">
        <v>0</v>
      </c>
    </row>
    <row r="5870" spans="1:11" x14ac:dyDescent="0.25">
      <c r="B5870" s="115" t="s">
        <v>6199</v>
      </c>
      <c r="D5870" s="115" t="s">
        <v>11946</v>
      </c>
      <c r="E5870" s="115" t="s">
        <v>6200</v>
      </c>
      <c r="F5870" s="115">
        <v>-15906</v>
      </c>
      <c r="G5870" s="115">
        <v>3336</v>
      </c>
      <c r="H5870" s="115">
        <v>1721</v>
      </c>
      <c r="I5870" s="115">
        <v>5342</v>
      </c>
      <c r="J5870" s="115">
        <v>4850</v>
      </c>
      <c r="K5870" s="115">
        <v>-12857</v>
      </c>
    </row>
    <row r="5871" spans="1:11" x14ac:dyDescent="0.25">
      <c r="A5871" s="115">
        <v>-17</v>
      </c>
      <c r="B5871" s="115" t="s">
        <v>6201</v>
      </c>
      <c r="D5871" s="115" t="s">
        <v>11947</v>
      </c>
      <c r="E5871" s="115" t="s">
        <v>6202</v>
      </c>
      <c r="F5871" s="115">
        <v>0</v>
      </c>
      <c r="G5871" s="115">
        <v>0</v>
      </c>
      <c r="H5871" s="115">
        <v>-1956</v>
      </c>
      <c r="I5871" s="115">
        <v>522</v>
      </c>
      <c r="J5871" s="115">
        <v>0</v>
      </c>
      <c r="K5871" s="115">
        <v>531</v>
      </c>
    </row>
    <row r="5872" spans="1:11" x14ac:dyDescent="0.25">
      <c r="B5872" s="115" t="s">
        <v>1241</v>
      </c>
      <c r="D5872" s="115" t="s">
        <v>11948</v>
      </c>
      <c r="E5872" s="115" t="s">
        <v>6203</v>
      </c>
      <c r="F5872" s="115">
        <v>-2635</v>
      </c>
      <c r="G5872" s="115">
        <v>562</v>
      </c>
      <c r="H5872" s="115">
        <v>2146</v>
      </c>
      <c r="I5872" s="115">
        <v>0</v>
      </c>
      <c r="J5872" s="115">
        <v>0</v>
      </c>
      <c r="K5872" s="115">
        <v>0</v>
      </c>
    </row>
    <row r="5873" spans="1:11" x14ac:dyDescent="0.25">
      <c r="B5873" s="115" t="s">
        <v>1241</v>
      </c>
      <c r="C5873" s="115">
        <v>1</v>
      </c>
      <c r="D5873" s="115" t="s">
        <v>11949</v>
      </c>
      <c r="E5873" s="115" t="s">
        <v>6204</v>
      </c>
      <c r="F5873" s="115">
        <v>-4782</v>
      </c>
      <c r="G5873" s="115">
        <v>3442</v>
      </c>
      <c r="H5873" s="115">
        <v>-440</v>
      </c>
      <c r="I5873" s="115">
        <v>0</v>
      </c>
      <c r="J5873" s="115">
        <v>2836</v>
      </c>
      <c r="K5873" s="115">
        <v>-1594</v>
      </c>
    </row>
    <row r="5874" spans="1:11" x14ac:dyDescent="0.25">
      <c r="A5874" s="115" t="s">
        <v>1239</v>
      </c>
      <c r="B5874" s="115" t="s">
        <v>4338</v>
      </c>
      <c r="D5874" s="115" t="s">
        <v>11950</v>
      </c>
      <c r="E5874" s="115" t="s">
        <v>6205</v>
      </c>
      <c r="F5874" s="115">
        <v>1717</v>
      </c>
      <c r="G5874" s="115">
        <v>2953</v>
      </c>
      <c r="H5874" s="115">
        <v>-654</v>
      </c>
      <c r="I5874" s="115">
        <v>-275</v>
      </c>
      <c r="J5874" s="115">
        <v>-290</v>
      </c>
      <c r="K5874" s="115">
        <v>0</v>
      </c>
    </row>
    <row r="5875" spans="1:11" x14ac:dyDescent="0.25">
      <c r="B5875" s="115" t="s">
        <v>6206</v>
      </c>
      <c r="D5875" s="115" t="s">
        <v>11951</v>
      </c>
      <c r="E5875" s="115" t="s">
        <v>6207</v>
      </c>
      <c r="F5875" s="115">
        <v>0</v>
      </c>
      <c r="G5875" s="115">
        <v>469</v>
      </c>
      <c r="H5875" s="115">
        <v>0</v>
      </c>
      <c r="I5875" s="115">
        <v>-49</v>
      </c>
      <c r="J5875" s="115">
        <v>0</v>
      </c>
      <c r="K5875" s="115">
        <v>0</v>
      </c>
    </row>
    <row r="5876" spans="1:11" x14ac:dyDescent="0.25">
      <c r="B5876" s="115" t="s">
        <v>1241</v>
      </c>
      <c r="D5876" s="115" t="s">
        <v>11952</v>
      </c>
      <c r="E5876" s="115" t="s">
        <v>6208</v>
      </c>
      <c r="F5876" s="115">
        <v>0</v>
      </c>
      <c r="G5876" s="115">
        <v>0</v>
      </c>
      <c r="H5876" s="115">
        <v>5996</v>
      </c>
      <c r="I5876" s="115">
        <v>0</v>
      </c>
      <c r="J5876" s="115">
        <v>907</v>
      </c>
      <c r="K5876" s="115">
        <v>-567</v>
      </c>
    </row>
    <row r="5877" spans="1:11" x14ac:dyDescent="0.25">
      <c r="B5877" s="115" t="s">
        <v>4285</v>
      </c>
      <c r="D5877" s="115" t="s">
        <v>11953</v>
      </c>
      <c r="E5877" s="115" t="s">
        <v>6209</v>
      </c>
      <c r="F5877" s="115">
        <v>0</v>
      </c>
      <c r="G5877" s="115">
        <v>0</v>
      </c>
      <c r="H5877" s="115">
        <v>0</v>
      </c>
      <c r="I5877" s="115">
        <v>0</v>
      </c>
      <c r="J5877" s="115">
        <v>0</v>
      </c>
      <c r="K5877" s="115">
        <v>6038</v>
      </c>
    </row>
    <row r="5878" spans="1:11" x14ac:dyDescent="0.25">
      <c r="A5878" s="115">
        <v>-1</v>
      </c>
      <c r="B5878" s="115" t="s">
        <v>6210</v>
      </c>
      <c r="D5878" s="115" t="s">
        <v>11954</v>
      </c>
      <c r="E5878" s="115" t="s">
        <v>2465</v>
      </c>
      <c r="F5878" s="115">
        <v>-1270</v>
      </c>
      <c r="G5878" s="115">
        <v>0</v>
      </c>
      <c r="H5878" s="115">
        <v>0</v>
      </c>
      <c r="I5878" s="115">
        <v>0</v>
      </c>
      <c r="J5878" s="115">
        <v>0</v>
      </c>
      <c r="K5878" s="115">
        <v>109</v>
      </c>
    </row>
    <row r="5879" spans="1:11" x14ac:dyDescent="0.25">
      <c r="B5879" s="115" t="s">
        <v>4900</v>
      </c>
      <c r="D5879" s="115" t="s">
        <v>11955</v>
      </c>
      <c r="E5879" s="115" t="s">
        <v>6211</v>
      </c>
      <c r="F5879" s="115">
        <v>-780</v>
      </c>
      <c r="G5879" s="115">
        <v>319</v>
      </c>
      <c r="H5879" s="115">
        <v>0</v>
      </c>
      <c r="I5879" s="115">
        <v>0</v>
      </c>
      <c r="J5879" s="115">
        <v>0</v>
      </c>
      <c r="K5879" s="115">
        <v>0</v>
      </c>
    </row>
    <row r="5880" spans="1:11" x14ac:dyDescent="0.25">
      <c r="A5880" s="115">
        <v>7</v>
      </c>
      <c r="B5880" s="115" t="s">
        <v>4177</v>
      </c>
      <c r="D5880" s="115" t="s">
        <v>11956</v>
      </c>
      <c r="E5880" s="115" t="s">
        <v>6212</v>
      </c>
      <c r="F5880" s="115">
        <v>878</v>
      </c>
      <c r="G5880" s="115">
        <v>254</v>
      </c>
      <c r="H5880" s="115">
        <v>1569</v>
      </c>
      <c r="I5880" s="115">
        <v>6668</v>
      </c>
      <c r="J5880" s="115">
        <v>4590</v>
      </c>
      <c r="K5880" s="115">
        <v>-15184</v>
      </c>
    </row>
    <row r="5881" spans="1:11" x14ac:dyDescent="0.25">
      <c r="A5881" s="115">
        <v>-16</v>
      </c>
      <c r="B5881" s="115" t="s">
        <v>6213</v>
      </c>
      <c r="D5881" s="115" t="s">
        <v>11957</v>
      </c>
      <c r="E5881" s="115" t="s">
        <v>6214</v>
      </c>
      <c r="F5881" s="115">
        <v>0</v>
      </c>
      <c r="G5881" s="115">
        <v>0</v>
      </c>
      <c r="H5881" s="115">
        <v>0</v>
      </c>
      <c r="I5881" s="115">
        <v>0</v>
      </c>
      <c r="J5881" s="115">
        <v>0</v>
      </c>
      <c r="K5881" s="115">
        <v>741</v>
      </c>
    </row>
    <row r="5882" spans="1:11" x14ac:dyDescent="0.25">
      <c r="A5882" s="115">
        <v>1</v>
      </c>
      <c r="B5882" s="115" t="s">
        <v>6215</v>
      </c>
      <c r="D5882" s="115" t="s">
        <v>11958</v>
      </c>
      <c r="E5882" s="115" t="s">
        <v>6216</v>
      </c>
      <c r="F5882" s="115">
        <v>-2734</v>
      </c>
      <c r="G5882" s="115">
        <v>0</v>
      </c>
      <c r="H5882" s="115">
        <v>0</v>
      </c>
      <c r="I5882" s="115">
        <v>1969</v>
      </c>
      <c r="J5882" s="115">
        <v>0</v>
      </c>
      <c r="K5882" s="115">
        <v>3281</v>
      </c>
    </row>
    <row r="5883" spans="1:11" x14ac:dyDescent="0.25">
      <c r="A5883" s="115">
        <v>-36</v>
      </c>
      <c r="B5883" s="115" t="s">
        <v>6217</v>
      </c>
      <c r="D5883" s="115" t="s">
        <v>11959</v>
      </c>
      <c r="E5883" s="115" t="s">
        <v>6218</v>
      </c>
      <c r="F5883" s="115">
        <v>0</v>
      </c>
      <c r="G5883" s="115">
        <v>-2695</v>
      </c>
      <c r="H5883" s="115">
        <v>0</v>
      </c>
      <c r="I5883" s="115">
        <v>3303</v>
      </c>
      <c r="J5883" s="115">
        <v>-501</v>
      </c>
      <c r="K5883" s="115">
        <v>0</v>
      </c>
    </row>
    <row r="5884" spans="1:11" x14ac:dyDescent="0.25">
      <c r="B5884" s="115" t="s">
        <v>1241</v>
      </c>
      <c r="D5884" s="115" t="s">
        <v>8710</v>
      </c>
      <c r="E5884" s="115" t="s">
        <v>1242</v>
      </c>
      <c r="F5884" s="115">
        <v>0</v>
      </c>
      <c r="G5884" s="115">
        <v>0</v>
      </c>
      <c r="H5884" s="115">
        <v>0</v>
      </c>
      <c r="I5884" s="115">
        <v>0</v>
      </c>
      <c r="J5884" s="115">
        <v>0</v>
      </c>
      <c r="K5884" s="115">
        <v>0</v>
      </c>
    </row>
    <row r="5885" spans="1:11" x14ac:dyDescent="0.25">
      <c r="B5885" s="115" t="s">
        <v>1241</v>
      </c>
      <c r="D5885" s="115" t="s">
        <v>11960</v>
      </c>
      <c r="E5885" s="115" t="s">
        <v>1242</v>
      </c>
      <c r="F5885" s="115">
        <v>-493</v>
      </c>
      <c r="G5885" s="115">
        <v>0</v>
      </c>
      <c r="H5885" s="115">
        <v>0</v>
      </c>
      <c r="I5885" s="115">
        <v>0</v>
      </c>
      <c r="J5885" s="115">
        <v>0</v>
      </c>
      <c r="K5885" s="115">
        <v>0</v>
      </c>
    </row>
    <row r="5886" spans="1:11" x14ac:dyDescent="0.25">
      <c r="B5886" s="115" t="s">
        <v>6219</v>
      </c>
      <c r="D5886" s="115" t="s">
        <v>11961</v>
      </c>
      <c r="E5886" s="115" t="s">
        <v>6220</v>
      </c>
      <c r="F5886" s="115">
        <v>572</v>
      </c>
      <c r="G5886" s="115">
        <v>1816</v>
      </c>
      <c r="H5886" s="115">
        <v>2809</v>
      </c>
      <c r="I5886" s="115">
        <v>-676</v>
      </c>
      <c r="J5886" s="115">
        <v>-394</v>
      </c>
      <c r="K5886" s="115">
        <v>868</v>
      </c>
    </row>
    <row r="5887" spans="1:11" x14ac:dyDescent="0.25">
      <c r="B5887" s="115" t="s">
        <v>6221</v>
      </c>
      <c r="D5887" s="115" t="s">
        <v>11962</v>
      </c>
      <c r="E5887" s="115" t="s">
        <v>6222</v>
      </c>
      <c r="F5887" s="115">
        <v>10811</v>
      </c>
      <c r="G5887" s="115">
        <v>1908</v>
      </c>
      <c r="H5887" s="115">
        <v>-4900</v>
      </c>
      <c r="I5887" s="115">
        <v>0</v>
      </c>
      <c r="J5887" s="115">
        <v>594</v>
      </c>
      <c r="K5887" s="115">
        <v>2305</v>
      </c>
    </row>
    <row r="5888" spans="1:11" x14ac:dyDescent="0.25">
      <c r="A5888" s="115">
        <v>1</v>
      </c>
      <c r="B5888" s="115" t="s">
        <v>6223</v>
      </c>
      <c r="D5888" s="115" t="s">
        <v>11963</v>
      </c>
      <c r="E5888" s="115" t="s">
        <v>6224</v>
      </c>
      <c r="F5888" s="115">
        <v>335</v>
      </c>
      <c r="G5888" s="115">
        <v>2296</v>
      </c>
      <c r="H5888" s="115">
        <v>-2949</v>
      </c>
      <c r="I5888" s="115">
        <v>6317</v>
      </c>
      <c r="J5888" s="115">
        <v>1981</v>
      </c>
      <c r="K5888" s="115">
        <v>3746</v>
      </c>
    </row>
    <row r="5889" spans="1:11" x14ac:dyDescent="0.25">
      <c r="B5889" s="115" t="s">
        <v>6225</v>
      </c>
      <c r="D5889" s="115" t="s">
        <v>11964</v>
      </c>
      <c r="E5889" s="115" t="s">
        <v>6226</v>
      </c>
      <c r="F5889" s="115">
        <v>897</v>
      </c>
      <c r="G5889" s="115">
        <v>2340</v>
      </c>
      <c r="H5889" s="115">
        <v>2151</v>
      </c>
      <c r="I5889" s="115">
        <v>1805</v>
      </c>
      <c r="J5889" s="115">
        <v>28529</v>
      </c>
      <c r="K5889" s="115">
        <v>27240</v>
      </c>
    </row>
    <row r="5890" spans="1:11" x14ac:dyDescent="0.25">
      <c r="A5890" s="115">
        <v>28</v>
      </c>
      <c r="B5890" s="115" t="s">
        <v>6227</v>
      </c>
      <c r="C5890" s="115">
        <v>2</v>
      </c>
      <c r="D5890" s="115" t="s">
        <v>11965</v>
      </c>
      <c r="E5890" s="115" t="s">
        <v>6228</v>
      </c>
      <c r="F5890" s="115">
        <v>31943</v>
      </c>
      <c r="G5890" s="115">
        <v>32788</v>
      </c>
      <c r="H5890" s="115">
        <v>278</v>
      </c>
      <c r="I5890" s="115">
        <v>678</v>
      </c>
      <c r="J5890" s="115">
        <v>-492</v>
      </c>
      <c r="K5890" s="115">
        <v>2821</v>
      </c>
    </row>
    <row r="5891" spans="1:11" x14ac:dyDescent="0.25">
      <c r="A5891" s="115">
        <v>2</v>
      </c>
      <c r="B5891" s="115" t="s">
        <v>6229</v>
      </c>
      <c r="D5891" s="115" t="s">
        <v>11966</v>
      </c>
      <c r="E5891" s="115" t="s">
        <v>6230</v>
      </c>
      <c r="F5891" s="115">
        <v>0</v>
      </c>
      <c r="G5891" s="115">
        <v>0</v>
      </c>
      <c r="H5891" s="115">
        <v>0</v>
      </c>
      <c r="I5891" s="115">
        <v>137</v>
      </c>
      <c r="J5891" s="115">
        <v>-54</v>
      </c>
      <c r="K5891" s="115">
        <v>0</v>
      </c>
    </row>
    <row r="5892" spans="1:11" x14ac:dyDescent="0.25">
      <c r="B5892" s="115" t="s">
        <v>1241</v>
      </c>
      <c r="D5892" s="115" t="s">
        <v>11967</v>
      </c>
      <c r="E5892" s="115" t="s">
        <v>6231</v>
      </c>
      <c r="F5892" s="115">
        <v>0</v>
      </c>
      <c r="G5892" s="115">
        <v>-426</v>
      </c>
      <c r="H5892" s="115">
        <v>0</v>
      </c>
      <c r="I5892" s="115">
        <v>0</v>
      </c>
      <c r="J5892" s="115">
        <v>-906</v>
      </c>
      <c r="K5892" s="115">
        <v>0</v>
      </c>
    </row>
    <row r="5893" spans="1:11" x14ac:dyDescent="0.25">
      <c r="A5893" s="115">
        <v>1</v>
      </c>
      <c r="B5893" s="115" t="s">
        <v>3796</v>
      </c>
      <c r="D5893" s="115" t="s">
        <v>11968</v>
      </c>
      <c r="E5893" s="115" t="s">
        <v>6232</v>
      </c>
      <c r="F5893" s="115">
        <v>3</v>
      </c>
      <c r="G5893" s="115">
        <v>0</v>
      </c>
      <c r="H5893" s="115">
        <v>-5957</v>
      </c>
      <c r="I5893" s="115">
        <v>390</v>
      </c>
      <c r="J5893" s="115">
        <v>2267</v>
      </c>
      <c r="K5893" s="115">
        <v>1195</v>
      </c>
    </row>
    <row r="5894" spans="1:11" x14ac:dyDescent="0.25">
      <c r="A5894" s="115">
        <v>2</v>
      </c>
      <c r="B5894" s="115" t="s">
        <v>6233</v>
      </c>
      <c r="D5894" s="115" t="s">
        <v>11969</v>
      </c>
      <c r="E5894" s="115" t="s">
        <v>6234</v>
      </c>
      <c r="F5894" s="115">
        <v>0</v>
      </c>
      <c r="G5894" s="115">
        <v>0</v>
      </c>
      <c r="H5894" s="115">
        <v>0</v>
      </c>
      <c r="I5894" s="115">
        <v>0</v>
      </c>
      <c r="J5894" s="115">
        <v>0</v>
      </c>
      <c r="K5894" s="115">
        <v>558</v>
      </c>
    </row>
    <row r="5895" spans="1:11" x14ac:dyDescent="0.25">
      <c r="B5895" s="115" t="s">
        <v>1241</v>
      </c>
      <c r="D5895" s="115" t="s">
        <v>11970</v>
      </c>
      <c r="E5895" s="115" t="s">
        <v>6235</v>
      </c>
      <c r="F5895" s="115">
        <v>0</v>
      </c>
      <c r="G5895" s="115">
        <v>113</v>
      </c>
      <c r="H5895" s="115">
        <v>0</v>
      </c>
      <c r="I5895" s="115">
        <v>0</v>
      </c>
      <c r="J5895" s="115">
        <v>0</v>
      </c>
      <c r="K5895" s="115">
        <v>0</v>
      </c>
    </row>
    <row r="5896" spans="1:11" x14ac:dyDescent="0.25">
      <c r="B5896" s="115" t="s">
        <v>6236</v>
      </c>
      <c r="D5896" s="115" t="s">
        <v>11971</v>
      </c>
      <c r="E5896" s="115" t="s">
        <v>6237</v>
      </c>
      <c r="F5896" s="115">
        <v>4871</v>
      </c>
      <c r="G5896" s="115">
        <v>0</v>
      </c>
      <c r="H5896" s="115">
        <v>0</v>
      </c>
      <c r="I5896" s="115">
        <v>487</v>
      </c>
      <c r="J5896" s="115">
        <v>1471</v>
      </c>
      <c r="K5896" s="115">
        <v>0</v>
      </c>
    </row>
    <row r="5897" spans="1:11" x14ac:dyDescent="0.25">
      <c r="A5897" s="115">
        <v>-2</v>
      </c>
      <c r="B5897" s="115" t="s">
        <v>2570</v>
      </c>
      <c r="D5897" s="115" t="s">
        <v>11972</v>
      </c>
      <c r="E5897" s="115" t="s">
        <v>6238</v>
      </c>
      <c r="F5897" s="115">
        <v>0</v>
      </c>
      <c r="G5897" s="115">
        <v>-1855</v>
      </c>
      <c r="H5897" s="115">
        <v>-461</v>
      </c>
      <c r="I5897" s="115">
        <v>-92</v>
      </c>
      <c r="J5897" s="115">
        <v>0</v>
      </c>
      <c r="K5897" s="115">
        <v>0</v>
      </c>
    </row>
    <row r="5898" spans="1:11" x14ac:dyDescent="0.25">
      <c r="B5898" s="115" t="s">
        <v>6239</v>
      </c>
      <c r="D5898" s="115" t="s">
        <v>11973</v>
      </c>
      <c r="E5898" s="115" t="s">
        <v>6240</v>
      </c>
      <c r="F5898" s="115">
        <v>-432</v>
      </c>
      <c r="G5898" s="115">
        <v>-362</v>
      </c>
      <c r="H5898" s="115">
        <v>-550</v>
      </c>
      <c r="I5898" s="115">
        <v>1837</v>
      </c>
      <c r="J5898" s="115">
        <v>37</v>
      </c>
      <c r="K5898" s="115">
        <v>-1045</v>
      </c>
    </row>
    <row r="5899" spans="1:11" x14ac:dyDescent="0.25">
      <c r="B5899" s="115" t="s">
        <v>1241</v>
      </c>
      <c r="D5899" s="115" t="s">
        <v>11974</v>
      </c>
      <c r="E5899" s="115" t="s">
        <v>6241</v>
      </c>
      <c r="F5899" s="115">
        <v>0</v>
      </c>
      <c r="G5899" s="115">
        <v>3530</v>
      </c>
      <c r="H5899" s="115">
        <v>0</v>
      </c>
      <c r="I5899" s="115">
        <v>-423</v>
      </c>
      <c r="J5899" s="115">
        <v>-155</v>
      </c>
      <c r="K5899" s="115">
        <v>405</v>
      </c>
    </row>
    <row r="5900" spans="1:11" x14ac:dyDescent="0.25">
      <c r="B5900" s="115" t="s">
        <v>6242</v>
      </c>
      <c r="D5900" s="115" t="s">
        <v>11975</v>
      </c>
      <c r="E5900" s="115" t="s">
        <v>6243</v>
      </c>
      <c r="F5900" s="115">
        <v>-3125</v>
      </c>
      <c r="G5900" s="115">
        <v>-2547</v>
      </c>
      <c r="H5900" s="115">
        <v>0</v>
      </c>
      <c r="I5900" s="115">
        <v>2011</v>
      </c>
      <c r="J5900" s="115">
        <v>2921</v>
      </c>
      <c r="K5900" s="115">
        <v>-544</v>
      </c>
    </row>
    <row r="5901" spans="1:11" x14ac:dyDescent="0.25">
      <c r="B5901" s="115" t="s">
        <v>6244</v>
      </c>
      <c r="D5901" s="115" t="s">
        <v>11976</v>
      </c>
      <c r="E5901" s="115" t="s">
        <v>6245</v>
      </c>
      <c r="F5901" s="115">
        <v>0</v>
      </c>
      <c r="G5901" s="115">
        <v>0</v>
      </c>
      <c r="H5901" s="115">
        <v>0</v>
      </c>
      <c r="I5901" s="115">
        <v>-391</v>
      </c>
      <c r="J5901" s="115">
        <v>479</v>
      </c>
      <c r="K5901" s="115">
        <v>0</v>
      </c>
    </row>
    <row r="5902" spans="1:11" x14ac:dyDescent="0.25">
      <c r="A5902" s="115" t="s">
        <v>1239</v>
      </c>
      <c r="B5902" s="115" t="s">
        <v>6246</v>
      </c>
      <c r="D5902" s="115" t="s">
        <v>11977</v>
      </c>
      <c r="E5902" s="115" t="s">
        <v>6247</v>
      </c>
      <c r="F5902" s="115">
        <v>0</v>
      </c>
      <c r="G5902" s="115">
        <v>0</v>
      </c>
      <c r="H5902" s="115">
        <v>0</v>
      </c>
      <c r="I5902" s="115">
        <v>0</v>
      </c>
      <c r="J5902" s="115">
        <v>0</v>
      </c>
      <c r="K5902" s="115">
        <v>5768</v>
      </c>
    </row>
    <row r="5903" spans="1:11" x14ac:dyDescent="0.25">
      <c r="B5903" s="115" t="s">
        <v>6248</v>
      </c>
      <c r="D5903" s="115" t="s">
        <v>11978</v>
      </c>
      <c r="E5903" s="115" t="s">
        <v>6249</v>
      </c>
      <c r="F5903" s="115">
        <v>0</v>
      </c>
      <c r="G5903" s="115">
        <v>-1141</v>
      </c>
      <c r="H5903" s="115">
        <v>326</v>
      </c>
      <c r="I5903" s="115">
        <v>-623</v>
      </c>
      <c r="J5903" s="115">
        <v>-2346</v>
      </c>
      <c r="K5903" s="115">
        <v>-1556</v>
      </c>
    </row>
    <row r="5904" spans="1:11" x14ac:dyDescent="0.25">
      <c r="A5904" s="115">
        <v>4</v>
      </c>
      <c r="B5904" s="115" t="s">
        <v>6250</v>
      </c>
      <c r="D5904" s="115" t="s">
        <v>11979</v>
      </c>
      <c r="E5904" s="115" t="s">
        <v>6251</v>
      </c>
      <c r="F5904" s="115">
        <v>79</v>
      </c>
      <c r="G5904" s="115">
        <v>0</v>
      </c>
      <c r="H5904" s="115">
        <v>0</v>
      </c>
      <c r="I5904" s="115">
        <v>-78</v>
      </c>
      <c r="J5904" s="115">
        <v>88</v>
      </c>
      <c r="K5904" s="115">
        <v>0</v>
      </c>
    </row>
    <row r="5905" spans="1:11" x14ac:dyDescent="0.25">
      <c r="A5905" s="115" t="s">
        <v>1239</v>
      </c>
      <c r="B5905" s="115" t="s">
        <v>6252</v>
      </c>
      <c r="D5905" s="115" t="s">
        <v>11980</v>
      </c>
      <c r="E5905" s="115" t="s">
        <v>6253</v>
      </c>
      <c r="F5905" s="115">
        <v>0</v>
      </c>
      <c r="G5905" s="115">
        <v>525</v>
      </c>
      <c r="H5905" s="115">
        <v>-153</v>
      </c>
      <c r="I5905" s="115">
        <v>-148</v>
      </c>
      <c r="J5905" s="115">
        <v>0</v>
      </c>
      <c r="K5905" s="115">
        <v>0</v>
      </c>
    </row>
    <row r="5906" spans="1:11" x14ac:dyDescent="0.25">
      <c r="B5906" s="115" t="s">
        <v>1241</v>
      </c>
      <c r="D5906" s="115" t="s">
        <v>11981</v>
      </c>
      <c r="E5906" s="115" t="s">
        <v>6254</v>
      </c>
      <c r="F5906" s="115">
        <v>0</v>
      </c>
      <c r="G5906" s="115">
        <v>610</v>
      </c>
      <c r="H5906" s="115">
        <v>258</v>
      </c>
      <c r="I5906" s="115">
        <v>181</v>
      </c>
      <c r="J5906" s="115">
        <v>0</v>
      </c>
      <c r="K5906" s="115">
        <v>-5915</v>
      </c>
    </row>
    <row r="5907" spans="1:11" x14ac:dyDescent="0.25">
      <c r="A5907" s="115">
        <v>2</v>
      </c>
      <c r="B5907" s="115" t="s">
        <v>6255</v>
      </c>
      <c r="D5907" s="115" t="s">
        <v>11982</v>
      </c>
      <c r="E5907" s="115" t="s">
        <v>6256</v>
      </c>
      <c r="F5907" s="115">
        <v>0</v>
      </c>
      <c r="G5907" s="115">
        <v>-23797</v>
      </c>
      <c r="H5907" s="115">
        <v>-29398</v>
      </c>
      <c r="I5907" s="115">
        <v>-8895</v>
      </c>
      <c r="J5907" s="115">
        <v>-479</v>
      </c>
      <c r="K5907" s="115">
        <v>213</v>
      </c>
    </row>
    <row r="5908" spans="1:11" x14ac:dyDescent="0.25">
      <c r="B5908" s="115" t="s">
        <v>6257</v>
      </c>
      <c r="D5908" s="115" t="s">
        <v>11983</v>
      </c>
      <c r="E5908" s="115" t="s">
        <v>6258</v>
      </c>
      <c r="F5908" s="115">
        <v>-341</v>
      </c>
      <c r="G5908" s="115">
        <v>0</v>
      </c>
      <c r="H5908" s="115">
        <v>-1735</v>
      </c>
      <c r="I5908" s="115">
        <v>0</v>
      </c>
      <c r="J5908" s="115">
        <v>-382</v>
      </c>
      <c r="K5908" s="115">
        <v>0</v>
      </c>
    </row>
    <row r="5909" spans="1:11" x14ac:dyDescent="0.25">
      <c r="B5909" s="115" t="s">
        <v>1241</v>
      </c>
      <c r="D5909" s="115" t="s">
        <v>11984</v>
      </c>
      <c r="E5909" s="115" t="s">
        <v>6259</v>
      </c>
      <c r="F5909" s="115">
        <v>0</v>
      </c>
      <c r="G5909" s="115">
        <v>0</v>
      </c>
      <c r="H5909" s="115">
        <v>0</v>
      </c>
      <c r="I5909" s="115">
        <v>4507</v>
      </c>
      <c r="J5909" s="115">
        <v>0</v>
      </c>
      <c r="K5909" s="115">
        <v>-1203</v>
      </c>
    </row>
    <row r="5910" spans="1:11" x14ac:dyDescent="0.25">
      <c r="A5910" s="115">
        <v>3</v>
      </c>
      <c r="B5910" s="115" t="s">
        <v>6260</v>
      </c>
      <c r="D5910" s="115" t="s">
        <v>11985</v>
      </c>
      <c r="E5910" s="115" t="s">
        <v>1242</v>
      </c>
      <c r="F5910" s="115">
        <v>-463</v>
      </c>
      <c r="G5910" s="115">
        <v>0</v>
      </c>
      <c r="H5910" s="115">
        <v>0</v>
      </c>
      <c r="I5910" s="115">
        <v>0</v>
      </c>
      <c r="J5910" s="115">
        <v>0</v>
      </c>
      <c r="K5910" s="115">
        <v>0</v>
      </c>
    </row>
    <row r="5911" spans="1:11" x14ac:dyDescent="0.25">
      <c r="A5911" s="115">
        <v>3</v>
      </c>
      <c r="B5911" s="115" t="s">
        <v>6261</v>
      </c>
      <c r="D5911" s="115" t="s">
        <v>11986</v>
      </c>
      <c r="E5911" s="115" t="s">
        <v>6262</v>
      </c>
      <c r="F5911" s="115">
        <v>67</v>
      </c>
      <c r="G5911" s="115">
        <v>-895</v>
      </c>
      <c r="H5911" s="115">
        <v>0</v>
      </c>
      <c r="I5911" s="115">
        <v>0</v>
      </c>
      <c r="J5911" s="115">
        <v>0</v>
      </c>
      <c r="K5911" s="115">
        <v>0</v>
      </c>
    </row>
    <row r="5912" spans="1:11" x14ac:dyDescent="0.25">
      <c r="B5912" s="115" t="s">
        <v>1766</v>
      </c>
      <c r="D5912" s="115" t="s">
        <v>11987</v>
      </c>
      <c r="E5912" s="115" t="s">
        <v>6263</v>
      </c>
      <c r="F5912" s="115">
        <v>0</v>
      </c>
      <c r="G5912" s="115">
        <v>-596</v>
      </c>
      <c r="H5912" s="115">
        <v>435</v>
      </c>
      <c r="I5912" s="115">
        <v>0</v>
      </c>
      <c r="J5912" s="115">
        <v>0</v>
      </c>
      <c r="K5912" s="115">
        <v>0</v>
      </c>
    </row>
    <row r="5913" spans="1:11" x14ac:dyDescent="0.25">
      <c r="B5913" s="115" t="s">
        <v>6264</v>
      </c>
      <c r="D5913" s="115" t="s">
        <v>11988</v>
      </c>
      <c r="E5913" s="115" t="s">
        <v>6265</v>
      </c>
      <c r="F5913" s="115">
        <v>-751</v>
      </c>
      <c r="G5913" s="115">
        <v>753</v>
      </c>
      <c r="H5913" s="115">
        <v>327</v>
      </c>
      <c r="I5913" s="115">
        <v>1280</v>
      </c>
      <c r="J5913" s="115">
        <v>7038</v>
      </c>
      <c r="K5913" s="115">
        <v>5110</v>
      </c>
    </row>
    <row r="5914" spans="1:11" x14ac:dyDescent="0.25">
      <c r="A5914" s="115">
        <v>-16</v>
      </c>
      <c r="B5914" s="115" t="s">
        <v>6266</v>
      </c>
      <c r="C5914" s="115">
        <v>-1</v>
      </c>
      <c r="D5914" s="115" t="s">
        <v>11989</v>
      </c>
      <c r="E5914" s="115" t="s">
        <v>1242</v>
      </c>
      <c r="F5914" s="115">
        <v>0</v>
      </c>
      <c r="G5914" s="115">
        <v>0</v>
      </c>
      <c r="H5914" s="115">
        <v>0</v>
      </c>
      <c r="I5914" s="115">
        <v>0</v>
      </c>
      <c r="J5914" s="115">
        <v>0</v>
      </c>
      <c r="K5914" s="115">
        <v>0</v>
      </c>
    </row>
    <row r="5915" spans="1:11" x14ac:dyDescent="0.25">
      <c r="B5915" s="115" t="s">
        <v>6267</v>
      </c>
      <c r="D5915" s="115" t="s">
        <v>11990</v>
      </c>
      <c r="E5915" s="115" t="s">
        <v>6268</v>
      </c>
      <c r="F5915" s="115">
        <v>586</v>
      </c>
      <c r="G5915" s="115">
        <v>-3783</v>
      </c>
      <c r="H5915" s="115">
        <v>0</v>
      </c>
      <c r="I5915" s="115">
        <v>0</v>
      </c>
      <c r="J5915" s="115">
        <v>2091</v>
      </c>
      <c r="K5915" s="115">
        <v>0</v>
      </c>
    </row>
    <row r="5916" spans="1:11" x14ac:dyDescent="0.25">
      <c r="A5916" s="115">
        <v>2</v>
      </c>
      <c r="B5916" s="115" t="s">
        <v>6269</v>
      </c>
      <c r="D5916" s="115" t="s">
        <v>11991</v>
      </c>
      <c r="E5916" s="115" t="s">
        <v>6270</v>
      </c>
      <c r="F5916" s="115">
        <v>0</v>
      </c>
      <c r="G5916" s="115">
        <v>0</v>
      </c>
      <c r="H5916" s="115">
        <v>-480</v>
      </c>
      <c r="I5916" s="115">
        <v>0</v>
      </c>
      <c r="J5916" s="115">
        <v>7391</v>
      </c>
      <c r="K5916" s="115">
        <v>4534</v>
      </c>
    </row>
    <row r="5917" spans="1:11" x14ac:dyDescent="0.25">
      <c r="B5917" s="115" t="s">
        <v>1241</v>
      </c>
      <c r="D5917" s="115" t="s">
        <v>8710</v>
      </c>
      <c r="E5917" s="115" t="s">
        <v>1242</v>
      </c>
      <c r="F5917" s="115">
        <v>0</v>
      </c>
      <c r="G5917" s="115">
        <v>0</v>
      </c>
      <c r="H5917" s="115">
        <v>0</v>
      </c>
      <c r="I5917" s="115">
        <v>0</v>
      </c>
      <c r="J5917" s="115">
        <v>0</v>
      </c>
      <c r="K5917" s="115">
        <v>0</v>
      </c>
    </row>
    <row r="5918" spans="1:11" x14ac:dyDescent="0.25">
      <c r="B5918" s="115" t="s">
        <v>1241</v>
      </c>
      <c r="D5918" s="115" t="s">
        <v>11992</v>
      </c>
      <c r="E5918" s="115" t="s">
        <v>6271</v>
      </c>
      <c r="F5918" s="115">
        <v>0</v>
      </c>
      <c r="G5918" s="115">
        <v>-594</v>
      </c>
      <c r="H5918" s="115">
        <v>0</v>
      </c>
      <c r="I5918" s="115">
        <v>0</v>
      </c>
      <c r="J5918" s="115">
        <v>0</v>
      </c>
      <c r="K5918" s="115">
        <v>0</v>
      </c>
    </row>
    <row r="5919" spans="1:11" x14ac:dyDescent="0.25">
      <c r="B5919" s="115" t="s">
        <v>2391</v>
      </c>
      <c r="D5919" s="115" t="s">
        <v>11993</v>
      </c>
      <c r="E5919" s="115" t="s">
        <v>6272</v>
      </c>
      <c r="F5919" s="115">
        <v>853</v>
      </c>
      <c r="G5919" s="115">
        <v>873</v>
      </c>
      <c r="H5919" s="115">
        <v>1493</v>
      </c>
      <c r="I5919" s="115">
        <v>-1013</v>
      </c>
      <c r="J5919" s="115">
        <v>-1032</v>
      </c>
      <c r="K5919" s="115">
        <v>-381</v>
      </c>
    </row>
    <row r="5920" spans="1:11" x14ac:dyDescent="0.25">
      <c r="B5920" s="115" t="s">
        <v>6273</v>
      </c>
      <c r="D5920" s="115" t="s">
        <v>11994</v>
      </c>
      <c r="E5920" s="115" t="s">
        <v>6274</v>
      </c>
      <c r="F5920" s="115">
        <v>-3123</v>
      </c>
      <c r="G5920" s="115">
        <v>-3305</v>
      </c>
      <c r="H5920" s="115">
        <v>16133</v>
      </c>
      <c r="I5920" s="115">
        <v>-3290</v>
      </c>
      <c r="J5920" s="115">
        <v>0</v>
      </c>
      <c r="K5920" s="115">
        <v>448</v>
      </c>
    </row>
    <row r="5921" spans="1:11" x14ac:dyDescent="0.25">
      <c r="A5921" s="115">
        <v>1</v>
      </c>
      <c r="B5921" s="115" t="s">
        <v>6275</v>
      </c>
      <c r="D5921" s="115" t="s">
        <v>11995</v>
      </c>
      <c r="E5921" s="115" t="s">
        <v>6276</v>
      </c>
      <c r="F5921" s="115">
        <v>325</v>
      </c>
      <c r="G5921" s="115">
        <v>1702</v>
      </c>
      <c r="H5921" s="115">
        <v>688</v>
      </c>
      <c r="I5921" s="115">
        <v>673</v>
      </c>
      <c r="J5921" s="115">
        <v>1749</v>
      </c>
      <c r="K5921" s="115">
        <v>1219</v>
      </c>
    </row>
    <row r="5922" spans="1:11" x14ac:dyDescent="0.25">
      <c r="B5922" s="115" t="s">
        <v>6277</v>
      </c>
      <c r="D5922" s="115" t="s">
        <v>11996</v>
      </c>
      <c r="E5922" s="115" t="s">
        <v>6278</v>
      </c>
      <c r="F5922" s="115">
        <v>247</v>
      </c>
      <c r="G5922" s="115">
        <v>482</v>
      </c>
      <c r="H5922" s="115">
        <v>1611</v>
      </c>
      <c r="I5922" s="115">
        <v>1946</v>
      </c>
      <c r="J5922" s="115">
        <v>1884</v>
      </c>
      <c r="K5922" s="115">
        <v>22239</v>
      </c>
    </row>
    <row r="5923" spans="1:11" x14ac:dyDescent="0.25">
      <c r="A5923" s="115">
        <v>20</v>
      </c>
      <c r="B5923" s="115" t="s">
        <v>6279</v>
      </c>
      <c r="C5923" s="115">
        <v>2</v>
      </c>
      <c r="D5923" s="115" t="s">
        <v>11997</v>
      </c>
      <c r="E5923" s="115" t="s">
        <v>6280</v>
      </c>
      <c r="F5923" s="115">
        <v>22072</v>
      </c>
      <c r="G5923" s="115">
        <v>25871</v>
      </c>
      <c r="H5923" s="115">
        <v>26992</v>
      </c>
      <c r="I5923" s="115">
        <v>27553</v>
      </c>
      <c r="J5923" s="115">
        <v>651</v>
      </c>
      <c r="K5923" s="115">
        <v>-706</v>
      </c>
    </row>
    <row r="5924" spans="1:11" x14ac:dyDescent="0.25">
      <c r="A5924" s="115">
        <v>-1</v>
      </c>
      <c r="B5924" s="115" t="s">
        <v>6281</v>
      </c>
      <c r="D5924" s="115" t="s">
        <v>11998</v>
      </c>
      <c r="E5924" s="115" t="s">
        <v>6282</v>
      </c>
      <c r="F5924" s="115">
        <v>0</v>
      </c>
      <c r="G5924" s="115">
        <v>-289</v>
      </c>
      <c r="H5924" s="115">
        <v>0</v>
      </c>
      <c r="I5924" s="115">
        <v>0</v>
      </c>
      <c r="J5924" s="115">
        <v>0</v>
      </c>
      <c r="K5924" s="115">
        <v>87</v>
      </c>
    </row>
    <row r="5925" spans="1:11" x14ac:dyDescent="0.25">
      <c r="B5925" s="115" t="s">
        <v>6283</v>
      </c>
      <c r="D5925" s="115" t="s">
        <v>11999</v>
      </c>
      <c r="E5925" s="115" t="s">
        <v>6284</v>
      </c>
      <c r="F5925" s="115">
        <v>0</v>
      </c>
      <c r="G5925" s="115">
        <v>0</v>
      </c>
      <c r="H5925" s="115">
        <v>0</v>
      </c>
      <c r="I5925" s="115">
        <v>-508</v>
      </c>
      <c r="J5925" s="115">
        <v>0</v>
      </c>
      <c r="K5925" s="115">
        <v>0</v>
      </c>
    </row>
    <row r="5926" spans="1:11" x14ac:dyDescent="0.25">
      <c r="A5926" s="115">
        <v>-1</v>
      </c>
      <c r="B5926" s="115" t="s">
        <v>3180</v>
      </c>
      <c r="D5926" s="115" t="s">
        <v>12000</v>
      </c>
      <c r="E5926" s="115" t="s">
        <v>6285</v>
      </c>
      <c r="F5926" s="115">
        <v>43</v>
      </c>
      <c r="G5926" s="115">
        <v>171</v>
      </c>
      <c r="H5926" s="115">
        <v>-81</v>
      </c>
      <c r="I5926" s="115">
        <v>0</v>
      </c>
      <c r="J5926" s="115">
        <v>-7247</v>
      </c>
      <c r="K5926" s="115">
        <v>-1978</v>
      </c>
    </row>
    <row r="5927" spans="1:11" x14ac:dyDescent="0.25">
      <c r="A5927" s="115">
        <v>2</v>
      </c>
      <c r="B5927" s="115" t="s">
        <v>6286</v>
      </c>
      <c r="D5927" s="115" t="s">
        <v>12001</v>
      </c>
      <c r="E5927" s="115" t="s">
        <v>6287</v>
      </c>
      <c r="F5927" s="115">
        <v>0</v>
      </c>
      <c r="G5927" s="115">
        <v>1063</v>
      </c>
      <c r="H5927" s="115">
        <v>0</v>
      </c>
      <c r="I5927" s="115">
        <v>0</v>
      </c>
      <c r="J5927" s="115">
        <v>0</v>
      </c>
      <c r="K5927" s="115">
        <v>0</v>
      </c>
    </row>
    <row r="5928" spans="1:11" x14ac:dyDescent="0.25">
      <c r="B5928" s="115" t="s">
        <v>6288</v>
      </c>
      <c r="D5928" s="115" t="s">
        <v>12002</v>
      </c>
      <c r="E5928" s="115" t="s">
        <v>6289</v>
      </c>
      <c r="F5928" s="115">
        <v>0</v>
      </c>
      <c r="G5928" s="115">
        <v>-260</v>
      </c>
      <c r="H5928" s="115">
        <v>0</v>
      </c>
      <c r="I5928" s="115">
        <v>794</v>
      </c>
      <c r="J5928" s="115">
        <v>0</v>
      </c>
      <c r="K5928" s="115">
        <v>0</v>
      </c>
    </row>
    <row r="5929" spans="1:11" x14ac:dyDescent="0.25">
      <c r="B5929" s="115" t="s">
        <v>1241</v>
      </c>
      <c r="D5929" s="115" t="s">
        <v>12003</v>
      </c>
      <c r="E5929" s="115" t="s">
        <v>6290</v>
      </c>
      <c r="F5929" s="115">
        <v>0</v>
      </c>
      <c r="G5929" s="115">
        <v>132</v>
      </c>
      <c r="H5929" s="115">
        <v>5610</v>
      </c>
      <c r="I5929" s="115">
        <v>0</v>
      </c>
      <c r="J5929" s="115">
        <v>0</v>
      </c>
      <c r="K5929" s="115">
        <v>1279</v>
      </c>
    </row>
    <row r="5930" spans="1:11" x14ac:dyDescent="0.25">
      <c r="A5930" s="115">
        <v>-1</v>
      </c>
      <c r="B5930" s="115" t="s">
        <v>6291</v>
      </c>
      <c r="C5930" s="115" t="s">
        <v>1239</v>
      </c>
      <c r="D5930" s="115" t="s">
        <v>12004</v>
      </c>
      <c r="E5930" s="115" t="s">
        <v>6292</v>
      </c>
      <c r="F5930" s="115">
        <v>0</v>
      </c>
      <c r="G5930" s="115">
        <v>0</v>
      </c>
      <c r="H5930" s="115">
        <v>0</v>
      </c>
      <c r="I5930" s="115">
        <v>-6031</v>
      </c>
      <c r="J5930" s="115">
        <v>-891</v>
      </c>
      <c r="K5930" s="115">
        <v>-205</v>
      </c>
    </row>
    <row r="5931" spans="1:11" x14ac:dyDescent="0.25">
      <c r="B5931" s="115" t="s">
        <v>1241</v>
      </c>
      <c r="D5931" s="115" t="s">
        <v>12005</v>
      </c>
      <c r="E5931" s="115" t="s">
        <v>6293</v>
      </c>
      <c r="F5931" s="115">
        <v>0</v>
      </c>
      <c r="G5931" s="115">
        <v>-1233</v>
      </c>
      <c r="H5931" s="115">
        <v>-1598</v>
      </c>
      <c r="I5931" s="115">
        <v>-521</v>
      </c>
      <c r="J5931" s="115">
        <v>-1423</v>
      </c>
      <c r="K5931" s="115">
        <v>928</v>
      </c>
    </row>
    <row r="5932" spans="1:11" x14ac:dyDescent="0.25">
      <c r="A5932" s="115" t="s">
        <v>1239</v>
      </c>
      <c r="B5932" s="115" t="s">
        <v>6294</v>
      </c>
      <c r="D5932" s="115" t="s">
        <v>12006</v>
      </c>
      <c r="E5932" s="115" t="s">
        <v>6295</v>
      </c>
      <c r="F5932" s="115">
        <v>0</v>
      </c>
      <c r="G5932" s="115">
        <v>0</v>
      </c>
      <c r="H5932" s="115">
        <v>0</v>
      </c>
      <c r="I5932" s="115">
        <v>5551</v>
      </c>
      <c r="J5932" s="115">
        <v>0</v>
      </c>
      <c r="K5932" s="115">
        <v>-140</v>
      </c>
    </row>
    <row r="5933" spans="1:11" x14ac:dyDescent="0.25">
      <c r="A5933" s="115" t="s">
        <v>1239</v>
      </c>
      <c r="B5933" s="115" t="s">
        <v>6296</v>
      </c>
      <c r="D5933" s="115" t="s">
        <v>12007</v>
      </c>
      <c r="E5933" s="115" t="s">
        <v>6297</v>
      </c>
      <c r="F5933" s="115">
        <v>-1808</v>
      </c>
      <c r="G5933" s="115">
        <v>-1756</v>
      </c>
      <c r="H5933" s="115">
        <v>-4251</v>
      </c>
      <c r="I5933" s="115">
        <v>-3418</v>
      </c>
      <c r="J5933" s="115">
        <v>0</v>
      </c>
      <c r="K5933" s="115">
        <v>6666</v>
      </c>
    </row>
    <row r="5934" spans="1:11" x14ac:dyDescent="0.25">
      <c r="A5934" s="115">
        <v>5</v>
      </c>
      <c r="B5934" s="115" t="s">
        <v>6298</v>
      </c>
      <c r="D5934" s="115" t="s">
        <v>12008</v>
      </c>
      <c r="E5934" s="115" t="s">
        <v>6299</v>
      </c>
      <c r="F5934" s="115">
        <v>-115</v>
      </c>
      <c r="G5934" s="115">
        <v>-21</v>
      </c>
      <c r="H5934" s="115">
        <v>0</v>
      </c>
      <c r="I5934" s="115">
        <v>0</v>
      </c>
      <c r="J5934" s="115">
        <v>0</v>
      </c>
      <c r="K5934" s="115">
        <v>-451</v>
      </c>
    </row>
    <row r="5935" spans="1:11" x14ac:dyDescent="0.25">
      <c r="B5935" s="115" t="s">
        <v>6300</v>
      </c>
      <c r="D5935" s="115" t="s">
        <v>12009</v>
      </c>
      <c r="E5935" s="115" t="s">
        <v>6301</v>
      </c>
      <c r="F5935" s="115">
        <v>344</v>
      </c>
      <c r="G5935" s="115">
        <v>317</v>
      </c>
      <c r="H5935" s="115">
        <v>0</v>
      </c>
      <c r="I5935" s="115">
        <v>0</v>
      </c>
      <c r="J5935" s="115">
        <v>0</v>
      </c>
      <c r="K5935" s="115">
        <v>0</v>
      </c>
    </row>
    <row r="5936" spans="1:11" x14ac:dyDescent="0.25">
      <c r="B5936" s="115" t="s">
        <v>6302</v>
      </c>
      <c r="D5936" s="115" t="s">
        <v>12010</v>
      </c>
      <c r="E5936" s="115" t="s">
        <v>6303</v>
      </c>
      <c r="F5936" s="115">
        <v>112</v>
      </c>
      <c r="G5936" s="115">
        <v>-30</v>
      </c>
      <c r="H5936" s="115">
        <v>0</v>
      </c>
      <c r="I5936" s="115">
        <v>-1192</v>
      </c>
      <c r="J5936" s="115">
        <v>-2548</v>
      </c>
      <c r="K5936" s="115">
        <v>-986</v>
      </c>
    </row>
    <row r="5937" spans="1:11" x14ac:dyDescent="0.25">
      <c r="A5937" s="115">
        <v>-3</v>
      </c>
      <c r="B5937" s="115" t="s">
        <v>6304</v>
      </c>
      <c r="D5937" s="115" t="s">
        <v>12011</v>
      </c>
      <c r="E5937" s="115" t="s">
        <v>6305</v>
      </c>
      <c r="F5937" s="115">
        <v>8966</v>
      </c>
      <c r="G5937" s="115">
        <v>0</v>
      </c>
      <c r="H5937" s="115">
        <v>27</v>
      </c>
      <c r="I5937" s="115">
        <v>0</v>
      </c>
      <c r="J5937" s="115">
        <v>0</v>
      </c>
      <c r="K5937" s="115">
        <v>16</v>
      </c>
    </row>
    <row r="5938" spans="1:11" x14ac:dyDescent="0.25">
      <c r="B5938" s="115" t="s">
        <v>2787</v>
      </c>
      <c r="D5938" s="115" t="s">
        <v>12012</v>
      </c>
      <c r="E5938" s="115" t="s">
        <v>6306</v>
      </c>
      <c r="F5938" s="115">
        <v>0</v>
      </c>
      <c r="G5938" s="115">
        <v>-311</v>
      </c>
      <c r="H5938" s="115">
        <v>0</v>
      </c>
      <c r="I5938" s="115">
        <v>585</v>
      </c>
      <c r="J5938" s="115">
        <v>-43</v>
      </c>
      <c r="K5938" s="115">
        <v>-27</v>
      </c>
    </row>
    <row r="5939" spans="1:11" x14ac:dyDescent="0.25">
      <c r="B5939" s="115" t="s">
        <v>1241</v>
      </c>
      <c r="D5939" s="115" t="s">
        <v>12013</v>
      </c>
      <c r="E5939" s="115" t="s">
        <v>6307</v>
      </c>
      <c r="F5939" s="115">
        <v>0</v>
      </c>
      <c r="G5939" s="115">
        <v>7071</v>
      </c>
      <c r="H5939" s="115">
        <v>0</v>
      </c>
      <c r="I5939" s="115">
        <v>1126</v>
      </c>
      <c r="J5939" s="115">
        <v>187</v>
      </c>
      <c r="K5939" s="115">
        <v>201</v>
      </c>
    </row>
    <row r="5940" spans="1:11" x14ac:dyDescent="0.25">
      <c r="B5940" s="115" t="s">
        <v>6308</v>
      </c>
      <c r="C5940" s="115" t="s">
        <v>1239</v>
      </c>
      <c r="D5940" s="115" t="s">
        <v>12014</v>
      </c>
      <c r="E5940" s="115" t="s">
        <v>6309</v>
      </c>
      <c r="F5940" s="115">
        <v>0</v>
      </c>
      <c r="G5940" s="115">
        <v>0</v>
      </c>
      <c r="H5940" s="115">
        <v>0</v>
      </c>
      <c r="I5940" s="115">
        <v>5682</v>
      </c>
      <c r="J5940" s="115">
        <v>5746</v>
      </c>
      <c r="K5940" s="115">
        <v>-570</v>
      </c>
    </row>
    <row r="5941" spans="1:11" x14ac:dyDescent="0.25">
      <c r="A5941" s="115" t="s">
        <v>1239</v>
      </c>
      <c r="B5941" s="115" t="s">
        <v>6310</v>
      </c>
      <c r="D5941" s="115" t="s">
        <v>12015</v>
      </c>
      <c r="E5941" s="115" t="s">
        <v>6311</v>
      </c>
      <c r="F5941" s="115">
        <v>0</v>
      </c>
      <c r="G5941" s="115">
        <v>0</v>
      </c>
      <c r="H5941" s="115">
        <v>-385</v>
      </c>
      <c r="I5941" s="115">
        <v>0</v>
      </c>
      <c r="J5941" s="115">
        <v>304</v>
      </c>
      <c r="K5941" s="115">
        <v>0</v>
      </c>
    </row>
    <row r="5942" spans="1:11" x14ac:dyDescent="0.25">
      <c r="A5942" s="115" t="s">
        <v>1239</v>
      </c>
      <c r="B5942" s="115" t="s">
        <v>6164</v>
      </c>
      <c r="D5942" s="115" t="s">
        <v>12016</v>
      </c>
      <c r="E5942" s="115" t="s">
        <v>6312</v>
      </c>
      <c r="F5942" s="115">
        <v>0</v>
      </c>
      <c r="G5942" s="115">
        <v>0</v>
      </c>
      <c r="H5942" s="115">
        <v>0</v>
      </c>
      <c r="I5942" s="115">
        <v>0</v>
      </c>
      <c r="J5942" s="115">
        <v>0</v>
      </c>
      <c r="K5942" s="115">
        <v>6411</v>
      </c>
    </row>
    <row r="5943" spans="1:11" x14ac:dyDescent="0.25">
      <c r="B5943" s="115" t="s">
        <v>6313</v>
      </c>
      <c r="D5943" s="115" t="s">
        <v>12017</v>
      </c>
      <c r="E5943" s="115" t="s">
        <v>6314</v>
      </c>
      <c r="F5943" s="115">
        <v>0</v>
      </c>
      <c r="G5943" s="115">
        <v>-13265</v>
      </c>
      <c r="H5943" s="115">
        <v>3990</v>
      </c>
      <c r="I5943" s="115">
        <v>0</v>
      </c>
      <c r="J5943" s="115">
        <v>0</v>
      </c>
      <c r="K5943" s="115">
        <v>0</v>
      </c>
    </row>
    <row r="5944" spans="1:11" x14ac:dyDescent="0.25">
      <c r="B5944" s="115" t="s">
        <v>1241</v>
      </c>
      <c r="C5944" s="115">
        <v>-1</v>
      </c>
      <c r="D5944" s="115" t="s">
        <v>12018</v>
      </c>
      <c r="E5944" s="115" t="s">
        <v>6315</v>
      </c>
      <c r="F5944" s="115">
        <v>1349</v>
      </c>
      <c r="G5944" s="115">
        <v>1038</v>
      </c>
      <c r="H5944" s="115">
        <v>-973</v>
      </c>
      <c r="I5944" s="115">
        <v>931</v>
      </c>
      <c r="J5944" s="115">
        <v>0</v>
      </c>
      <c r="K5944" s="115">
        <v>0</v>
      </c>
    </row>
    <row r="5945" spans="1:11" x14ac:dyDescent="0.25">
      <c r="B5945" s="115" t="s">
        <v>1241</v>
      </c>
      <c r="D5945" s="115" t="s">
        <v>12019</v>
      </c>
      <c r="E5945" s="115" t="s">
        <v>6316</v>
      </c>
      <c r="F5945" s="115">
        <v>-120</v>
      </c>
      <c r="G5945" s="115">
        <v>0</v>
      </c>
      <c r="H5945" s="115">
        <v>0</v>
      </c>
      <c r="I5945" s="115">
        <v>3584</v>
      </c>
      <c r="J5945" s="115">
        <v>1984</v>
      </c>
      <c r="K5945" s="115">
        <v>0</v>
      </c>
    </row>
    <row r="5946" spans="1:11" x14ac:dyDescent="0.25">
      <c r="B5946" s="115" t="s">
        <v>1241</v>
      </c>
      <c r="D5946" s="115" t="s">
        <v>12020</v>
      </c>
      <c r="E5946" s="115" t="s">
        <v>6317</v>
      </c>
      <c r="F5946" s="115">
        <v>0</v>
      </c>
      <c r="G5946" s="115">
        <v>-5830</v>
      </c>
      <c r="H5946" s="115">
        <v>4239</v>
      </c>
      <c r="I5946" s="115">
        <v>-1152</v>
      </c>
      <c r="J5946" s="115">
        <v>507</v>
      </c>
      <c r="K5946" s="115">
        <v>2023</v>
      </c>
    </row>
    <row r="5947" spans="1:11" x14ac:dyDescent="0.25">
      <c r="A5947" s="115">
        <v>9</v>
      </c>
      <c r="B5947" s="115" t="s">
        <v>6318</v>
      </c>
      <c r="C5947" s="115">
        <v>-2</v>
      </c>
      <c r="D5947" s="115" t="s">
        <v>12021</v>
      </c>
      <c r="E5947" s="115" t="s">
        <v>1242</v>
      </c>
      <c r="F5947" s="115">
        <v>-32239</v>
      </c>
      <c r="G5947" s="115">
        <v>0</v>
      </c>
      <c r="H5947" s="115">
        <v>0</v>
      </c>
      <c r="I5947" s="115">
        <v>0</v>
      </c>
      <c r="J5947" s="115">
        <v>0</v>
      </c>
      <c r="K5947" s="115">
        <v>0</v>
      </c>
    </row>
    <row r="5948" spans="1:11" x14ac:dyDescent="0.25">
      <c r="B5948" s="115" t="s">
        <v>1241</v>
      </c>
      <c r="D5948" s="115" t="s">
        <v>12022</v>
      </c>
      <c r="E5948" s="115" t="s">
        <v>6319</v>
      </c>
      <c r="F5948" s="115">
        <v>-263</v>
      </c>
      <c r="G5948" s="115">
        <v>1350</v>
      </c>
      <c r="H5948" s="115">
        <v>821</v>
      </c>
      <c r="I5948" s="115">
        <v>-4239</v>
      </c>
      <c r="J5948" s="115">
        <v>0</v>
      </c>
      <c r="K5948" s="115">
        <v>0</v>
      </c>
    </row>
    <row r="5949" spans="1:11" x14ac:dyDescent="0.25">
      <c r="A5949" s="115">
        <v>3</v>
      </c>
      <c r="B5949" s="115" t="s">
        <v>6073</v>
      </c>
      <c r="D5949" s="115" t="s">
        <v>12023</v>
      </c>
      <c r="E5949" s="115" t="s">
        <v>6320</v>
      </c>
      <c r="F5949" s="115">
        <v>0</v>
      </c>
      <c r="G5949" s="115">
        <v>0</v>
      </c>
      <c r="H5949" s="115">
        <v>0</v>
      </c>
      <c r="I5949" s="115">
        <v>0</v>
      </c>
      <c r="J5949" s="115">
        <v>-683</v>
      </c>
      <c r="K5949" s="115">
        <v>0</v>
      </c>
    </row>
    <row r="5950" spans="1:11" x14ac:dyDescent="0.25">
      <c r="A5950" s="115">
        <v>-3</v>
      </c>
      <c r="B5950" s="115" t="s">
        <v>6321</v>
      </c>
      <c r="D5950" s="115" t="s">
        <v>8710</v>
      </c>
      <c r="E5950" s="115" t="s">
        <v>1242</v>
      </c>
      <c r="F5950" s="115">
        <v>0</v>
      </c>
      <c r="G5950" s="115">
        <v>0</v>
      </c>
      <c r="H5950" s="115">
        <v>0</v>
      </c>
      <c r="I5950" s="115">
        <v>0</v>
      </c>
      <c r="J5950" s="115">
        <v>0</v>
      </c>
      <c r="K5950" s="115">
        <v>0</v>
      </c>
    </row>
    <row r="5951" spans="1:11" x14ac:dyDescent="0.25">
      <c r="B5951" s="115" t="s">
        <v>1241</v>
      </c>
      <c r="D5951" s="115" t="s">
        <v>12024</v>
      </c>
      <c r="E5951" s="115" t="s">
        <v>6322</v>
      </c>
      <c r="F5951" s="115">
        <v>0</v>
      </c>
      <c r="G5951" s="115">
        <v>0</v>
      </c>
      <c r="H5951" s="115">
        <v>0</v>
      </c>
      <c r="I5951" s="115">
        <v>-862</v>
      </c>
      <c r="J5951" s="115">
        <v>0</v>
      </c>
      <c r="K5951" s="115">
        <v>0</v>
      </c>
    </row>
    <row r="5952" spans="1:11" x14ac:dyDescent="0.25">
      <c r="B5952" s="115" t="s">
        <v>1241</v>
      </c>
      <c r="D5952" s="115" t="s">
        <v>12025</v>
      </c>
      <c r="E5952" s="115" t="s">
        <v>6323</v>
      </c>
      <c r="F5952" s="115">
        <v>304</v>
      </c>
      <c r="G5952" s="115">
        <v>796</v>
      </c>
      <c r="H5952" s="115">
        <v>2098</v>
      </c>
      <c r="I5952" s="115">
        <v>2164</v>
      </c>
      <c r="J5952" s="115">
        <v>2637</v>
      </c>
      <c r="K5952" s="115">
        <v>1664</v>
      </c>
    </row>
    <row r="5953" spans="1:11" x14ac:dyDescent="0.25">
      <c r="A5953" s="115">
        <v>-1</v>
      </c>
      <c r="B5953" s="115" t="s">
        <v>6324</v>
      </c>
      <c r="D5953" s="115" t="s">
        <v>12026</v>
      </c>
      <c r="E5953" s="115" t="s">
        <v>6325</v>
      </c>
      <c r="F5953" s="115">
        <v>1894</v>
      </c>
      <c r="G5953" s="115">
        <v>3043</v>
      </c>
      <c r="H5953" s="115">
        <v>-2395</v>
      </c>
      <c r="I5953" s="115">
        <v>-4405</v>
      </c>
      <c r="J5953" s="115">
        <v>-3094</v>
      </c>
      <c r="K5953" s="115">
        <v>-1603</v>
      </c>
    </row>
    <row r="5954" spans="1:11" x14ac:dyDescent="0.25">
      <c r="B5954" s="115" t="s">
        <v>6326</v>
      </c>
      <c r="D5954" s="115" t="s">
        <v>12027</v>
      </c>
      <c r="E5954" s="115" t="s">
        <v>6327</v>
      </c>
      <c r="F5954" s="115">
        <v>1555</v>
      </c>
      <c r="G5954" s="115">
        <v>1809</v>
      </c>
      <c r="H5954" s="115">
        <v>1665</v>
      </c>
      <c r="I5954" s="115">
        <v>3316</v>
      </c>
      <c r="J5954" s="115">
        <v>1519</v>
      </c>
      <c r="K5954" s="115">
        <v>1751</v>
      </c>
    </row>
    <row r="5955" spans="1:11" x14ac:dyDescent="0.25">
      <c r="A5955" s="115">
        <v>3</v>
      </c>
      <c r="B5955" s="115" t="s">
        <v>6328</v>
      </c>
      <c r="D5955" s="115" t="s">
        <v>12028</v>
      </c>
      <c r="E5955" s="115" t="s">
        <v>6329</v>
      </c>
      <c r="F5955" s="115">
        <v>2580</v>
      </c>
      <c r="G5955" s="115">
        <v>2949</v>
      </c>
      <c r="H5955" s="115">
        <v>2227</v>
      </c>
      <c r="I5955" s="115">
        <v>-3435</v>
      </c>
      <c r="J5955" s="115">
        <v>7512</v>
      </c>
      <c r="K5955" s="115">
        <v>7432</v>
      </c>
    </row>
    <row r="5956" spans="1:11" x14ac:dyDescent="0.25">
      <c r="A5956" s="115">
        <v>3</v>
      </c>
      <c r="B5956" s="115" t="s">
        <v>6330</v>
      </c>
      <c r="C5956" s="115">
        <v>3</v>
      </c>
      <c r="D5956" s="115" t="s">
        <v>12029</v>
      </c>
      <c r="E5956" s="115" t="s">
        <v>6331</v>
      </c>
      <c r="F5956" s="115">
        <v>33705</v>
      </c>
      <c r="G5956" s="115">
        <v>28399</v>
      </c>
      <c r="H5956" s="115">
        <v>42731</v>
      </c>
      <c r="I5956" s="115">
        <v>39382</v>
      </c>
      <c r="J5956" s="115">
        <v>43619</v>
      </c>
      <c r="K5956" s="115">
        <v>39932</v>
      </c>
    </row>
    <row r="5957" spans="1:11" x14ac:dyDescent="0.25">
      <c r="A5957" s="115">
        <v>32</v>
      </c>
      <c r="B5957" s="115" t="s">
        <v>6332</v>
      </c>
      <c r="D5957" s="115" t="s">
        <v>12030</v>
      </c>
      <c r="E5957" s="115" t="s">
        <v>6333</v>
      </c>
      <c r="F5957" s="115">
        <v>-305</v>
      </c>
      <c r="G5957" s="115">
        <v>-523</v>
      </c>
      <c r="H5957" s="115">
        <v>0</v>
      </c>
      <c r="I5957" s="115">
        <v>0</v>
      </c>
      <c r="J5957" s="115">
        <v>7</v>
      </c>
      <c r="K5957" s="115">
        <v>0</v>
      </c>
    </row>
    <row r="5958" spans="1:11" x14ac:dyDescent="0.25">
      <c r="B5958" s="115" t="s">
        <v>1241</v>
      </c>
      <c r="D5958" s="115" t="s">
        <v>12031</v>
      </c>
      <c r="E5958" s="115" t="s">
        <v>1242</v>
      </c>
      <c r="F5958" s="115">
        <v>0</v>
      </c>
      <c r="G5958" s="115">
        <v>0</v>
      </c>
      <c r="H5958" s="115">
        <v>0</v>
      </c>
      <c r="I5958" s="115">
        <v>0</v>
      </c>
      <c r="J5958" s="115">
        <v>0</v>
      </c>
      <c r="K5958" s="115">
        <v>0</v>
      </c>
    </row>
    <row r="5959" spans="1:11" x14ac:dyDescent="0.25">
      <c r="A5959" s="115">
        <v>1</v>
      </c>
      <c r="B5959" s="115" t="s">
        <v>6334</v>
      </c>
      <c r="D5959" s="115" t="s">
        <v>12032</v>
      </c>
      <c r="E5959" s="115" t="s">
        <v>6335</v>
      </c>
      <c r="F5959" s="115">
        <v>0</v>
      </c>
      <c r="G5959" s="115">
        <v>127</v>
      </c>
      <c r="H5959" s="115">
        <v>0</v>
      </c>
      <c r="I5959" s="115">
        <v>164</v>
      </c>
      <c r="J5959" s="115">
        <v>743</v>
      </c>
      <c r="K5959" s="115">
        <v>48</v>
      </c>
    </row>
    <row r="5960" spans="1:11" x14ac:dyDescent="0.25">
      <c r="B5960" s="115" t="s">
        <v>6336</v>
      </c>
      <c r="D5960" s="115" t="s">
        <v>12033</v>
      </c>
      <c r="E5960" s="115" t="s">
        <v>6337</v>
      </c>
      <c r="F5960" s="115">
        <v>-280</v>
      </c>
      <c r="G5960" s="115">
        <v>-453</v>
      </c>
      <c r="H5960" s="115">
        <v>-1070</v>
      </c>
      <c r="I5960" s="115">
        <v>0</v>
      </c>
      <c r="J5960" s="115">
        <v>147</v>
      </c>
      <c r="K5960" s="115">
        <v>0</v>
      </c>
    </row>
    <row r="5961" spans="1:11" x14ac:dyDescent="0.25">
      <c r="B5961" s="115" t="s">
        <v>1241</v>
      </c>
      <c r="D5961" s="115" t="s">
        <v>12034</v>
      </c>
      <c r="E5961" s="115" t="s">
        <v>6338</v>
      </c>
      <c r="F5961" s="115">
        <v>-42</v>
      </c>
      <c r="G5961" s="115">
        <v>0</v>
      </c>
      <c r="H5961" s="115">
        <v>0</v>
      </c>
      <c r="I5961" s="115">
        <v>0</v>
      </c>
      <c r="J5961" s="115">
        <v>-313</v>
      </c>
      <c r="K5961" s="115">
        <v>0</v>
      </c>
    </row>
    <row r="5962" spans="1:11" x14ac:dyDescent="0.25">
      <c r="B5962" s="115" t="s">
        <v>3046</v>
      </c>
      <c r="D5962" s="115" t="s">
        <v>12035</v>
      </c>
      <c r="E5962" s="115" t="s">
        <v>6339</v>
      </c>
      <c r="F5962" s="115">
        <v>0</v>
      </c>
      <c r="G5962" s="115">
        <v>0</v>
      </c>
      <c r="H5962" s="115">
        <v>637</v>
      </c>
      <c r="I5962" s="115">
        <v>0</v>
      </c>
      <c r="J5962" s="115">
        <v>150</v>
      </c>
      <c r="K5962" s="115">
        <v>603</v>
      </c>
    </row>
    <row r="5963" spans="1:11" x14ac:dyDescent="0.25">
      <c r="B5963" s="115" t="s">
        <v>1241</v>
      </c>
      <c r="C5963" s="115">
        <v>-1</v>
      </c>
      <c r="D5963" s="115" t="s">
        <v>12036</v>
      </c>
      <c r="E5963" s="115" t="s">
        <v>6340</v>
      </c>
      <c r="F5963" s="115">
        <v>0</v>
      </c>
      <c r="G5963" s="115">
        <v>-5355</v>
      </c>
      <c r="H5963" s="115">
        <v>0</v>
      </c>
      <c r="I5963" s="115">
        <v>0</v>
      </c>
      <c r="J5963" s="115">
        <v>0</v>
      </c>
      <c r="K5963" s="115">
        <v>0</v>
      </c>
    </row>
    <row r="5964" spans="1:11" x14ac:dyDescent="0.25">
      <c r="A5964" s="115">
        <v>3</v>
      </c>
      <c r="B5964" s="115" t="s">
        <v>6341</v>
      </c>
      <c r="D5964" s="115" t="s">
        <v>12037</v>
      </c>
      <c r="E5964" s="115" t="s">
        <v>6342</v>
      </c>
      <c r="F5964" s="115">
        <v>0</v>
      </c>
      <c r="G5964" s="115">
        <v>-587</v>
      </c>
      <c r="H5964" s="115">
        <v>656</v>
      </c>
      <c r="I5964" s="115">
        <v>0</v>
      </c>
      <c r="J5964" s="115">
        <v>2773</v>
      </c>
      <c r="K5964" s="115">
        <v>1706</v>
      </c>
    </row>
    <row r="5965" spans="1:11" x14ac:dyDescent="0.25">
      <c r="B5965" s="115" t="s">
        <v>6343</v>
      </c>
      <c r="D5965" s="115" t="s">
        <v>12038</v>
      </c>
      <c r="E5965" s="115" t="s">
        <v>1242</v>
      </c>
      <c r="F5965" s="115">
        <v>-1130</v>
      </c>
      <c r="G5965" s="115">
        <v>0</v>
      </c>
      <c r="H5965" s="115">
        <v>0</v>
      </c>
      <c r="I5965" s="115">
        <v>0</v>
      </c>
      <c r="J5965" s="115">
        <v>0</v>
      </c>
      <c r="K5965" s="115">
        <v>0</v>
      </c>
    </row>
    <row r="5966" spans="1:11" x14ac:dyDescent="0.25">
      <c r="A5966" s="115" t="s">
        <v>1239</v>
      </c>
      <c r="B5966" s="115" t="s">
        <v>6344</v>
      </c>
      <c r="C5966" s="115" t="s">
        <v>1239</v>
      </c>
      <c r="D5966" s="115" t="s">
        <v>12039</v>
      </c>
      <c r="E5966" s="115" t="s">
        <v>6345</v>
      </c>
      <c r="F5966" s="115">
        <v>1579</v>
      </c>
      <c r="G5966" s="115">
        <v>0</v>
      </c>
      <c r="H5966" s="115">
        <v>-12535</v>
      </c>
      <c r="I5966" s="115">
        <v>1497</v>
      </c>
      <c r="J5966" s="115">
        <v>-790</v>
      </c>
      <c r="K5966" s="115">
        <v>2931</v>
      </c>
    </row>
    <row r="5967" spans="1:11" x14ac:dyDescent="0.25">
      <c r="B5967" s="115" t="s">
        <v>6346</v>
      </c>
      <c r="D5967" s="115" t="s">
        <v>12040</v>
      </c>
      <c r="E5967" s="115" t="s">
        <v>6347</v>
      </c>
      <c r="F5967" s="115">
        <v>-172</v>
      </c>
      <c r="G5967" s="115">
        <v>661</v>
      </c>
      <c r="H5967" s="115">
        <v>0</v>
      </c>
      <c r="I5967" s="115">
        <v>-217</v>
      </c>
      <c r="J5967" s="115">
        <v>1085</v>
      </c>
      <c r="K5967" s="115">
        <v>0</v>
      </c>
    </row>
    <row r="5968" spans="1:11" x14ac:dyDescent="0.25">
      <c r="B5968" s="115" t="s">
        <v>1241</v>
      </c>
      <c r="C5968" s="115" t="s">
        <v>1239</v>
      </c>
      <c r="D5968" s="115" t="s">
        <v>12041</v>
      </c>
      <c r="E5968" s="115" t="s">
        <v>6348</v>
      </c>
      <c r="F5968" s="115">
        <v>0</v>
      </c>
      <c r="G5968" s="115">
        <v>-2847</v>
      </c>
      <c r="H5968" s="115">
        <v>264</v>
      </c>
      <c r="I5968" s="115">
        <v>268</v>
      </c>
      <c r="J5968" s="115">
        <v>1442</v>
      </c>
      <c r="K5968" s="115">
        <v>0</v>
      </c>
    </row>
    <row r="5969" spans="1:11" x14ac:dyDescent="0.25">
      <c r="B5969" s="115" t="s">
        <v>1241</v>
      </c>
      <c r="D5969" s="115" t="s">
        <v>12042</v>
      </c>
      <c r="E5969" s="115" t="s">
        <v>6349</v>
      </c>
      <c r="F5969" s="115">
        <v>-4845</v>
      </c>
      <c r="G5969" s="115">
        <v>0</v>
      </c>
      <c r="H5969" s="115">
        <v>-1922</v>
      </c>
      <c r="I5969" s="115">
        <v>1722</v>
      </c>
      <c r="J5969" s="115">
        <v>600</v>
      </c>
      <c r="K5969" s="115">
        <v>0</v>
      </c>
    </row>
    <row r="5970" spans="1:11" x14ac:dyDescent="0.25">
      <c r="A5970" s="115">
        <v>-9</v>
      </c>
      <c r="B5970" s="115" t="s">
        <v>6350</v>
      </c>
      <c r="D5970" s="115" t="s">
        <v>12043</v>
      </c>
      <c r="E5970" s="115" t="s">
        <v>6351</v>
      </c>
      <c r="F5970" s="115">
        <v>632</v>
      </c>
      <c r="G5970" s="115">
        <v>229</v>
      </c>
      <c r="H5970" s="115">
        <v>29</v>
      </c>
      <c r="I5970" s="115">
        <v>-949</v>
      </c>
      <c r="J5970" s="115">
        <v>0</v>
      </c>
      <c r="K5970" s="115">
        <v>-161</v>
      </c>
    </row>
    <row r="5971" spans="1:11" x14ac:dyDescent="0.25">
      <c r="B5971" s="115" t="s">
        <v>1241</v>
      </c>
      <c r="D5971" s="115" t="s">
        <v>12044</v>
      </c>
      <c r="E5971" s="115" t="s">
        <v>6352</v>
      </c>
      <c r="F5971" s="115">
        <v>0</v>
      </c>
      <c r="G5971" s="115">
        <v>-904</v>
      </c>
      <c r="H5971" s="115">
        <v>0</v>
      </c>
      <c r="I5971" s="115">
        <v>0</v>
      </c>
      <c r="J5971" s="115">
        <v>72</v>
      </c>
      <c r="K5971" s="115">
        <v>0</v>
      </c>
    </row>
    <row r="5972" spans="1:11" x14ac:dyDescent="0.25">
      <c r="A5972" s="115" t="s">
        <v>1239</v>
      </c>
      <c r="B5972" s="115" t="s">
        <v>6353</v>
      </c>
      <c r="D5972" s="115" t="s">
        <v>12045</v>
      </c>
      <c r="E5972" s="115" t="s">
        <v>6354</v>
      </c>
      <c r="F5972" s="115">
        <v>0</v>
      </c>
      <c r="G5972" s="115">
        <v>0</v>
      </c>
      <c r="H5972" s="115">
        <v>0</v>
      </c>
      <c r="I5972" s="115">
        <v>0</v>
      </c>
      <c r="J5972" s="115">
        <v>-4023</v>
      </c>
      <c r="K5972" s="115">
        <v>0</v>
      </c>
    </row>
    <row r="5973" spans="1:11" x14ac:dyDescent="0.25">
      <c r="A5973" s="115">
        <v>-1</v>
      </c>
      <c r="B5973" s="115" t="s">
        <v>6355</v>
      </c>
      <c r="D5973" s="115" t="s">
        <v>12046</v>
      </c>
      <c r="E5973" s="115" t="s">
        <v>6356</v>
      </c>
      <c r="F5973" s="115">
        <v>-15342</v>
      </c>
      <c r="G5973" s="115">
        <v>878</v>
      </c>
      <c r="H5973" s="115">
        <v>1200</v>
      </c>
      <c r="I5973" s="115">
        <v>0</v>
      </c>
      <c r="J5973" s="115">
        <v>0</v>
      </c>
      <c r="K5973" s="115">
        <v>0</v>
      </c>
    </row>
    <row r="5974" spans="1:11" x14ac:dyDescent="0.25">
      <c r="B5974" s="115" t="s">
        <v>6357</v>
      </c>
      <c r="D5974" s="115" t="s">
        <v>12047</v>
      </c>
      <c r="E5974" s="115" t="s">
        <v>6358</v>
      </c>
      <c r="F5974" s="115">
        <v>-655</v>
      </c>
      <c r="G5974" s="115">
        <v>0</v>
      </c>
      <c r="H5974" s="115">
        <v>301</v>
      </c>
      <c r="I5974" s="115">
        <v>0</v>
      </c>
      <c r="J5974" s="115">
        <v>0</v>
      </c>
      <c r="K5974" s="115">
        <v>-346</v>
      </c>
    </row>
    <row r="5975" spans="1:11" x14ac:dyDescent="0.25">
      <c r="B5975" s="115" t="s">
        <v>6359</v>
      </c>
      <c r="D5975" s="115" t="s">
        <v>12048</v>
      </c>
      <c r="E5975" s="115" t="s">
        <v>1242</v>
      </c>
      <c r="F5975" s="115">
        <v>0</v>
      </c>
      <c r="G5975" s="115">
        <v>0</v>
      </c>
      <c r="H5975" s="115">
        <v>0</v>
      </c>
      <c r="I5975" s="115">
        <v>0</v>
      </c>
      <c r="J5975" s="115">
        <v>0</v>
      </c>
      <c r="K5975" s="115">
        <v>0</v>
      </c>
    </row>
    <row r="5976" spans="1:11" x14ac:dyDescent="0.25">
      <c r="B5976" s="115" t="s">
        <v>1241</v>
      </c>
      <c r="C5976" s="115" t="s">
        <v>1239</v>
      </c>
      <c r="D5976" s="115" t="s">
        <v>12049</v>
      </c>
      <c r="E5976" s="115" t="s">
        <v>6360</v>
      </c>
      <c r="F5976" s="115">
        <v>-382</v>
      </c>
      <c r="G5976" s="115">
        <v>-2103</v>
      </c>
      <c r="H5976" s="115">
        <v>-474</v>
      </c>
      <c r="I5976" s="115">
        <v>0</v>
      </c>
      <c r="J5976" s="115">
        <v>-12643</v>
      </c>
      <c r="K5976" s="115">
        <v>322</v>
      </c>
    </row>
    <row r="5977" spans="1:11" x14ac:dyDescent="0.25">
      <c r="B5977" s="115" t="s">
        <v>1241</v>
      </c>
      <c r="D5977" s="115" t="s">
        <v>12050</v>
      </c>
      <c r="E5977" s="115" t="s">
        <v>6361</v>
      </c>
      <c r="F5977" s="115">
        <v>0</v>
      </c>
      <c r="G5977" s="115">
        <v>-261</v>
      </c>
      <c r="H5977" s="115">
        <v>230</v>
      </c>
      <c r="I5977" s="115">
        <v>-22</v>
      </c>
      <c r="J5977" s="115">
        <v>-282</v>
      </c>
      <c r="K5977" s="115">
        <v>85</v>
      </c>
    </row>
    <row r="5978" spans="1:11" x14ac:dyDescent="0.25">
      <c r="B5978" s="115" t="s">
        <v>6362</v>
      </c>
      <c r="D5978" s="115" t="s">
        <v>12051</v>
      </c>
      <c r="E5978" s="115" t="s">
        <v>6363</v>
      </c>
      <c r="F5978" s="115">
        <v>0</v>
      </c>
      <c r="G5978" s="115">
        <v>2502</v>
      </c>
      <c r="H5978" s="115">
        <v>0</v>
      </c>
      <c r="I5978" s="115">
        <v>1370</v>
      </c>
      <c r="J5978" s="115">
        <v>0</v>
      </c>
      <c r="K5978" s="115">
        <v>0</v>
      </c>
    </row>
    <row r="5979" spans="1:11" x14ac:dyDescent="0.25">
      <c r="B5979" s="115" t="s">
        <v>6364</v>
      </c>
      <c r="D5979" s="115" t="s">
        <v>12052</v>
      </c>
      <c r="E5979" s="115" t="s">
        <v>6365</v>
      </c>
      <c r="F5979" s="115">
        <v>0</v>
      </c>
      <c r="G5979" s="115">
        <v>0</v>
      </c>
      <c r="H5979" s="115">
        <v>-3432</v>
      </c>
      <c r="I5979" s="115">
        <v>0</v>
      </c>
      <c r="J5979" s="115">
        <v>-804</v>
      </c>
      <c r="K5979" s="115">
        <v>-1432</v>
      </c>
    </row>
    <row r="5980" spans="1:11" x14ac:dyDescent="0.25">
      <c r="A5980" s="115" t="s">
        <v>1239</v>
      </c>
      <c r="B5980" s="115" t="s">
        <v>6366</v>
      </c>
      <c r="D5980" s="115" t="s">
        <v>12053</v>
      </c>
      <c r="E5980" s="115" t="s">
        <v>6367</v>
      </c>
      <c r="F5980" s="115">
        <v>-538</v>
      </c>
      <c r="G5980" s="115">
        <v>231</v>
      </c>
      <c r="H5980" s="115">
        <v>-293</v>
      </c>
      <c r="I5980" s="115">
        <v>-982</v>
      </c>
      <c r="J5980" s="115">
        <v>0</v>
      </c>
      <c r="K5980" s="115">
        <v>0</v>
      </c>
    </row>
    <row r="5981" spans="1:11" x14ac:dyDescent="0.25">
      <c r="B5981" s="115" t="s">
        <v>1241</v>
      </c>
      <c r="D5981" s="115" t="s">
        <v>12054</v>
      </c>
      <c r="E5981" s="115" t="s">
        <v>6368</v>
      </c>
      <c r="F5981" s="115">
        <v>0</v>
      </c>
      <c r="G5981" s="115">
        <v>260</v>
      </c>
      <c r="H5981" s="115">
        <v>-1384</v>
      </c>
      <c r="I5981" s="115">
        <v>-7444</v>
      </c>
      <c r="J5981" s="115">
        <v>-773</v>
      </c>
      <c r="K5981" s="115">
        <v>-3450</v>
      </c>
    </row>
    <row r="5982" spans="1:11" x14ac:dyDescent="0.25">
      <c r="B5982" s="115" t="s">
        <v>6369</v>
      </c>
      <c r="D5982" s="115" t="s">
        <v>12055</v>
      </c>
      <c r="E5982" s="115" t="s">
        <v>6370</v>
      </c>
      <c r="F5982" s="115">
        <v>0</v>
      </c>
      <c r="G5982" s="115">
        <v>323</v>
      </c>
      <c r="H5982" s="115">
        <v>-22390</v>
      </c>
      <c r="I5982" s="115">
        <v>0</v>
      </c>
      <c r="J5982" s="115">
        <v>0</v>
      </c>
      <c r="K5982" s="115">
        <v>0</v>
      </c>
    </row>
    <row r="5983" spans="1:11" x14ac:dyDescent="0.25">
      <c r="B5983" s="115" t="s">
        <v>2479</v>
      </c>
      <c r="D5983" s="115" t="s">
        <v>12056</v>
      </c>
      <c r="E5983" s="115" t="s">
        <v>1242</v>
      </c>
      <c r="F5983" s="115">
        <v>142</v>
      </c>
      <c r="G5983" s="115">
        <v>0</v>
      </c>
      <c r="H5983" s="115">
        <v>0</v>
      </c>
      <c r="I5983" s="115">
        <v>0</v>
      </c>
      <c r="J5983" s="115">
        <v>0</v>
      </c>
      <c r="K5983" s="115">
        <v>0</v>
      </c>
    </row>
    <row r="5984" spans="1:11" x14ac:dyDescent="0.25">
      <c r="B5984" s="115" t="s">
        <v>1241</v>
      </c>
      <c r="D5984" s="115" t="s">
        <v>8710</v>
      </c>
      <c r="E5984" s="115" t="s">
        <v>1242</v>
      </c>
      <c r="F5984" s="115">
        <v>0</v>
      </c>
      <c r="G5984" s="115">
        <v>0</v>
      </c>
      <c r="H5984" s="115">
        <v>0</v>
      </c>
      <c r="I5984" s="115">
        <v>0</v>
      </c>
      <c r="J5984" s="115">
        <v>0</v>
      </c>
      <c r="K5984" s="115">
        <v>0</v>
      </c>
    </row>
    <row r="5985" spans="1:11" x14ac:dyDescent="0.25">
      <c r="A5985" s="115" t="s">
        <v>1239</v>
      </c>
      <c r="B5985" s="115" t="s">
        <v>6371</v>
      </c>
      <c r="D5985" s="115" t="s">
        <v>12057</v>
      </c>
      <c r="E5985" s="115" t="s">
        <v>6372</v>
      </c>
      <c r="F5985" s="115">
        <v>0</v>
      </c>
      <c r="G5985" s="115">
        <v>0</v>
      </c>
      <c r="H5985" s="115">
        <v>-3</v>
      </c>
      <c r="I5985" s="115">
        <v>-274</v>
      </c>
      <c r="J5985" s="115">
        <v>-109</v>
      </c>
      <c r="K5985" s="115">
        <v>-5243</v>
      </c>
    </row>
    <row r="5986" spans="1:11" x14ac:dyDescent="0.25">
      <c r="A5986" s="115">
        <v>-1</v>
      </c>
      <c r="B5986" s="115" t="s">
        <v>6373</v>
      </c>
      <c r="C5986" s="115" t="s">
        <v>1239</v>
      </c>
      <c r="D5986" s="115" t="s">
        <v>12058</v>
      </c>
      <c r="E5986" s="115">
        <f>-277   -359   -172  -3505  -1404</f>
        <v>-5717</v>
      </c>
      <c r="F5986" s="115">
        <v>-335</v>
      </c>
      <c r="G5986" s="115">
        <v>-277</v>
      </c>
      <c r="H5986" s="115">
        <v>-359</v>
      </c>
      <c r="I5986" s="115">
        <v>-172</v>
      </c>
      <c r="J5986" s="115">
        <v>-3505</v>
      </c>
      <c r="K5986" s="115">
        <v>-1404</v>
      </c>
    </row>
    <row r="5987" spans="1:11" x14ac:dyDescent="0.25">
      <c r="A5987" s="115">
        <v>-1</v>
      </c>
      <c r="B5987" s="115" t="s">
        <v>6374</v>
      </c>
      <c r="D5987" s="115" t="s">
        <v>12059</v>
      </c>
      <c r="E5987" s="115">
        <f>-1737  -1518  -1372 -15260  -1821</f>
        <v>-21708</v>
      </c>
      <c r="F5987" s="115">
        <v>3434</v>
      </c>
      <c r="G5987" s="115">
        <v>-1737</v>
      </c>
      <c r="H5987" s="115">
        <v>-1518</v>
      </c>
      <c r="I5987" s="115">
        <v>-1372</v>
      </c>
      <c r="J5987" s="115">
        <v>-15260</v>
      </c>
      <c r="K5987" s="115">
        <v>-1821</v>
      </c>
    </row>
    <row r="5988" spans="1:11" x14ac:dyDescent="0.25">
      <c r="A5988" s="115">
        <v>-2</v>
      </c>
      <c r="B5988" s="115" t="s">
        <v>6375</v>
      </c>
      <c r="D5988" s="115" t="s">
        <v>12060</v>
      </c>
      <c r="E5988" s="115" t="s">
        <v>6376</v>
      </c>
      <c r="F5988" s="115">
        <v>-793</v>
      </c>
      <c r="G5988" s="115">
        <v>-721</v>
      </c>
      <c r="H5988" s="115">
        <v>-925</v>
      </c>
      <c r="I5988" s="115">
        <v>-1266</v>
      </c>
      <c r="J5988" s="115">
        <v>597</v>
      </c>
      <c r="K5988" s="115">
        <v>850</v>
      </c>
    </row>
    <row r="5989" spans="1:11" x14ac:dyDescent="0.25">
      <c r="A5989" s="115" t="s">
        <v>1239</v>
      </c>
      <c r="B5989" s="115" t="s">
        <v>6377</v>
      </c>
      <c r="D5989" s="115" t="s">
        <v>12061</v>
      </c>
      <c r="E5989" s="115" t="s">
        <v>6378</v>
      </c>
      <c r="F5989" s="115">
        <v>13412</v>
      </c>
      <c r="G5989" s="115">
        <v>28879</v>
      </c>
      <c r="H5989" s="115">
        <v>27824</v>
      </c>
      <c r="I5989" s="115">
        <v>20661</v>
      </c>
      <c r="J5989" s="115">
        <v>13589</v>
      </c>
      <c r="K5989" s="115">
        <v>18677</v>
      </c>
    </row>
    <row r="5990" spans="1:11" x14ac:dyDescent="0.25">
      <c r="A5990" s="115">
        <v>21</v>
      </c>
      <c r="B5990" s="115" t="s">
        <v>6379</v>
      </c>
      <c r="C5990" s="115">
        <v>1</v>
      </c>
      <c r="D5990" s="115" t="s">
        <v>12062</v>
      </c>
      <c r="E5990" s="115" t="s">
        <v>6380</v>
      </c>
      <c r="F5990" s="115">
        <v>15112</v>
      </c>
      <c r="G5990" s="115">
        <v>-1783</v>
      </c>
      <c r="H5990" s="115">
        <v>22</v>
      </c>
      <c r="I5990" s="115">
        <v>-201</v>
      </c>
      <c r="J5990" s="115">
        <v>-355</v>
      </c>
      <c r="K5990" s="115">
        <v>-666</v>
      </c>
    </row>
    <row r="5991" spans="1:11" x14ac:dyDescent="0.25">
      <c r="B5991" s="115" t="s">
        <v>1241</v>
      </c>
      <c r="D5991" s="115" t="s">
        <v>12063</v>
      </c>
      <c r="E5991" s="115" t="s">
        <v>6381</v>
      </c>
      <c r="F5991" s="115">
        <v>0</v>
      </c>
      <c r="G5991" s="115">
        <v>0</v>
      </c>
      <c r="H5991" s="115">
        <v>-387</v>
      </c>
      <c r="I5991" s="115">
        <v>-298</v>
      </c>
      <c r="J5991" s="115">
        <v>0</v>
      </c>
      <c r="K5991" s="115">
        <v>0</v>
      </c>
    </row>
    <row r="5992" spans="1:11" x14ac:dyDescent="0.25">
      <c r="B5992" s="115" t="s">
        <v>1241</v>
      </c>
      <c r="D5992" s="115" t="s">
        <v>12064</v>
      </c>
      <c r="E5992" s="115" t="s">
        <v>6382</v>
      </c>
      <c r="F5992" s="115">
        <v>918</v>
      </c>
      <c r="G5992" s="115">
        <v>0</v>
      </c>
      <c r="H5992" s="115">
        <v>0</v>
      </c>
      <c r="I5992" s="115">
        <v>91</v>
      </c>
      <c r="J5992" s="115">
        <v>0</v>
      </c>
      <c r="K5992" s="115">
        <v>142</v>
      </c>
    </row>
    <row r="5993" spans="1:11" x14ac:dyDescent="0.25">
      <c r="B5993" s="115" t="s">
        <v>6383</v>
      </c>
      <c r="D5993" s="115" t="s">
        <v>12065</v>
      </c>
      <c r="E5993" s="115">
        <f>-248    -15   -153   -383   -624</f>
        <v>-1423</v>
      </c>
      <c r="F5993" s="115">
        <v>0</v>
      </c>
      <c r="G5993" s="115">
        <v>-248</v>
      </c>
      <c r="H5993" s="115">
        <v>-15</v>
      </c>
      <c r="I5993" s="115">
        <v>-153</v>
      </c>
      <c r="J5993" s="115">
        <v>-383</v>
      </c>
      <c r="K5993" s="115">
        <v>-624</v>
      </c>
    </row>
    <row r="5994" spans="1:11" x14ac:dyDescent="0.25">
      <c r="A5994" s="115">
        <v>-1</v>
      </c>
      <c r="B5994" s="115" t="s">
        <v>6384</v>
      </c>
      <c r="D5994" s="115" t="s">
        <v>12066</v>
      </c>
      <c r="E5994" s="115" t="s">
        <v>6385</v>
      </c>
      <c r="F5994" s="115">
        <v>0</v>
      </c>
      <c r="G5994" s="115">
        <v>0</v>
      </c>
      <c r="H5994" s="115">
        <v>0</v>
      </c>
      <c r="I5994" s="115">
        <v>0</v>
      </c>
      <c r="J5994" s="115">
        <v>185</v>
      </c>
      <c r="K5994" s="115">
        <v>0</v>
      </c>
    </row>
    <row r="5995" spans="1:11" x14ac:dyDescent="0.25">
      <c r="B5995" s="115" t="s">
        <v>1241</v>
      </c>
      <c r="D5995" s="115" t="s">
        <v>12067</v>
      </c>
      <c r="E5995" s="115" t="s">
        <v>1242</v>
      </c>
      <c r="F5995" s="115">
        <v>-29</v>
      </c>
      <c r="G5995" s="115">
        <v>0</v>
      </c>
      <c r="H5995" s="115">
        <v>0</v>
      </c>
      <c r="I5995" s="115">
        <v>0</v>
      </c>
      <c r="J5995" s="115">
        <v>0</v>
      </c>
      <c r="K5995" s="115">
        <v>0</v>
      </c>
    </row>
    <row r="5996" spans="1:11" x14ac:dyDescent="0.25">
      <c r="B5996" s="115" t="s">
        <v>6386</v>
      </c>
      <c r="D5996" s="115" t="s">
        <v>12068</v>
      </c>
      <c r="E5996" s="115" t="s">
        <v>6387</v>
      </c>
      <c r="F5996" s="115">
        <v>0</v>
      </c>
      <c r="G5996" s="115">
        <v>0</v>
      </c>
      <c r="H5996" s="115">
        <v>-17311</v>
      </c>
      <c r="I5996" s="115">
        <v>1784</v>
      </c>
      <c r="J5996" s="115">
        <v>0</v>
      </c>
      <c r="K5996" s="115">
        <v>-3157</v>
      </c>
    </row>
    <row r="5997" spans="1:11" x14ac:dyDescent="0.25">
      <c r="B5997" s="115" t="s">
        <v>1241</v>
      </c>
      <c r="D5997" s="115" t="s">
        <v>12069</v>
      </c>
      <c r="E5997" s="115" t="s">
        <v>6388</v>
      </c>
      <c r="F5997" s="115">
        <v>2352</v>
      </c>
      <c r="G5997" s="115">
        <v>670</v>
      </c>
      <c r="H5997" s="115">
        <v>14</v>
      </c>
      <c r="I5997" s="115">
        <v>0</v>
      </c>
      <c r="J5997" s="115">
        <v>0</v>
      </c>
      <c r="K5997" s="115">
        <v>-1115</v>
      </c>
    </row>
    <row r="5998" spans="1:11" x14ac:dyDescent="0.25">
      <c r="B5998" s="115" t="s">
        <v>6389</v>
      </c>
      <c r="D5998" s="115" t="s">
        <v>12070</v>
      </c>
      <c r="E5998" s="115" t="s">
        <v>6390</v>
      </c>
      <c r="F5998" s="115">
        <v>450</v>
      </c>
      <c r="G5998" s="115">
        <v>18</v>
      </c>
      <c r="H5998" s="115">
        <v>-364</v>
      </c>
      <c r="I5998" s="115">
        <v>287</v>
      </c>
      <c r="J5998" s="115">
        <v>-973</v>
      </c>
      <c r="K5998" s="115">
        <v>0</v>
      </c>
    </row>
    <row r="5999" spans="1:11" x14ac:dyDescent="0.25">
      <c r="B5999" s="115" t="s">
        <v>1241</v>
      </c>
      <c r="D5999" s="115" t="s">
        <v>12071</v>
      </c>
      <c r="E5999" s="115" t="s">
        <v>6391</v>
      </c>
      <c r="F5999" s="115">
        <v>-240</v>
      </c>
      <c r="G5999" s="115">
        <v>0</v>
      </c>
      <c r="H5999" s="115">
        <v>-1203</v>
      </c>
      <c r="I5999" s="115">
        <v>4195</v>
      </c>
      <c r="J5999" s="115">
        <v>1275</v>
      </c>
      <c r="K5999" s="115">
        <v>0</v>
      </c>
    </row>
    <row r="6000" spans="1:11" x14ac:dyDescent="0.25">
      <c r="A6000" s="115">
        <v>-9</v>
      </c>
      <c r="B6000" s="115" t="s">
        <v>6392</v>
      </c>
      <c r="D6000" s="115" t="s">
        <v>12072</v>
      </c>
      <c r="E6000" s="115" t="s">
        <v>6393</v>
      </c>
      <c r="F6000" s="115">
        <v>341</v>
      </c>
      <c r="G6000" s="115">
        <v>0</v>
      </c>
      <c r="H6000" s="115">
        <v>-21</v>
      </c>
      <c r="I6000" s="115">
        <v>283</v>
      </c>
      <c r="J6000" s="115">
        <v>562</v>
      </c>
      <c r="K6000" s="115">
        <v>11</v>
      </c>
    </row>
    <row r="6001" spans="1:11" x14ac:dyDescent="0.25">
      <c r="B6001" s="115" t="s">
        <v>2677</v>
      </c>
      <c r="D6001" s="115" t="s">
        <v>12073</v>
      </c>
      <c r="E6001" s="115" t="s">
        <v>6394</v>
      </c>
      <c r="F6001" s="115">
        <v>0</v>
      </c>
      <c r="G6001" s="115">
        <v>0</v>
      </c>
      <c r="H6001" s="115">
        <v>124</v>
      </c>
      <c r="I6001" s="115">
        <v>2562</v>
      </c>
      <c r="J6001" s="115">
        <v>0</v>
      </c>
      <c r="K6001" s="115">
        <v>1332</v>
      </c>
    </row>
    <row r="6002" spans="1:11" x14ac:dyDescent="0.25">
      <c r="B6002" s="115">
        <f>-28    -44</f>
        <v>-72</v>
      </c>
      <c r="D6002" s="115" t="s">
        <v>12074</v>
      </c>
      <c r="E6002" s="115" t="s">
        <v>6395</v>
      </c>
      <c r="F6002" s="115">
        <v>0</v>
      </c>
      <c r="G6002" s="115">
        <v>0</v>
      </c>
      <c r="H6002" s="115">
        <v>0</v>
      </c>
      <c r="I6002" s="115">
        <v>0</v>
      </c>
      <c r="J6002" s="115">
        <v>-3820</v>
      </c>
      <c r="K6002" s="115">
        <v>0</v>
      </c>
    </row>
    <row r="6003" spans="1:11" x14ac:dyDescent="0.25">
      <c r="A6003" s="115">
        <v>-1</v>
      </c>
      <c r="B6003" s="115" t="s">
        <v>6396</v>
      </c>
      <c r="D6003" s="115" t="s">
        <v>12075</v>
      </c>
      <c r="E6003" s="115" t="s">
        <v>6397</v>
      </c>
      <c r="F6003" s="115">
        <v>-11789</v>
      </c>
      <c r="G6003" s="115">
        <v>1126</v>
      </c>
      <c r="H6003" s="115">
        <v>-1244</v>
      </c>
      <c r="I6003" s="115">
        <v>3092</v>
      </c>
      <c r="J6003" s="115">
        <v>77</v>
      </c>
      <c r="K6003" s="115">
        <v>-205</v>
      </c>
    </row>
    <row r="6004" spans="1:11" x14ac:dyDescent="0.25">
      <c r="B6004" s="115" t="s">
        <v>6398</v>
      </c>
      <c r="D6004" s="115" t="s">
        <v>12076</v>
      </c>
      <c r="E6004" s="115" t="s">
        <v>6399</v>
      </c>
      <c r="F6004" s="115">
        <v>0</v>
      </c>
      <c r="G6004" s="115">
        <v>0</v>
      </c>
      <c r="H6004" s="115">
        <v>1079</v>
      </c>
      <c r="I6004" s="115">
        <v>288</v>
      </c>
      <c r="J6004" s="115">
        <v>0</v>
      </c>
      <c r="K6004" s="115">
        <v>2284</v>
      </c>
    </row>
    <row r="6005" spans="1:11" x14ac:dyDescent="0.25">
      <c r="B6005" s="115" t="s">
        <v>1241</v>
      </c>
      <c r="D6005" s="115" t="s">
        <v>12077</v>
      </c>
      <c r="E6005" s="115" t="s">
        <v>6400</v>
      </c>
      <c r="F6005" s="115">
        <v>684</v>
      </c>
      <c r="G6005" s="115">
        <v>116</v>
      </c>
      <c r="H6005" s="115">
        <v>2533</v>
      </c>
      <c r="I6005" s="115">
        <v>0</v>
      </c>
      <c r="J6005" s="115">
        <v>0</v>
      </c>
      <c r="K6005" s="115">
        <v>0</v>
      </c>
    </row>
    <row r="6006" spans="1:11" x14ac:dyDescent="0.25">
      <c r="B6006" s="115" t="s">
        <v>1241</v>
      </c>
      <c r="C6006" s="115" t="s">
        <v>1239</v>
      </c>
      <c r="D6006" s="115" t="s">
        <v>12078</v>
      </c>
      <c r="E6006" s="115" t="s">
        <v>6401</v>
      </c>
      <c r="F6006" s="115">
        <v>-1753</v>
      </c>
      <c r="G6006" s="115">
        <v>1693</v>
      </c>
      <c r="H6006" s="115">
        <v>857</v>
      </c>
      <c r="I6006" s="115">
        <v>0</v>
      </c>
      <c r="J6006" s="115">
        <v>-14360</v>
      </c>
      <c r="K6006" s="115">
        <v>300</v>
      </c>
    </row>
    <row r="6007" spans="1:11" x14ac:dyDescent="0.25">
      <c r="A6007" s="115">
        <v>1</v>
      </c>
      <c r="B6007" s="115" t="s">
        <v>6402</v>
      </c>
      <c r="D6007" s="115" t="s">
        <v>12079</v>
      </c>
      <c r="E6007" s="115" t="s">
        <v>6403</v>
      </c>
      <c r="F6007" s="115">
        <v>748</v>
      </c>
      <c r="G6007" s="115">
        <v>1545</v>
      </c>
      <c r="H6007" s="115">
        <v>1284</v>
      </c>
      <c r="I6007" s="115">
        <v>-806</v>
      </c>
      <c r="J6007" s="115">
        <v>-642</v>
      </c>
      <c r="K6007" s="115">
        <v>0</v>
      </c>
    </row>
    <row r="6008" spans="1:11" x14ac:dyDescent="0.25">
      <c r="B6008" s="115" t="s">
        <v>3384</v>
      </c>
      <c r="D6008" s="115" t="s">
        <v>12080</v>
      </c>
      <c r="E6008" s="115" t="s">
        <v>6404</v>
      </c>
      <c r="F6008" s="115">
        <v>0</v>
      </c>
      <c r="G6008" s="115">
        <v>1862</v>
      </c>
      <c r="H6008" s="115">
        <v>0</v>
      </c>
      <c r="I6008" s="115">
        <v>905</v>
      </c>
      <c r="J6008" s="115">
        <v>0</v>
      </c>
      <c r="K6008" s="115">
        <v>0</v>
      </c>
    </row>
    <row r="6009" spans="1:11" x14ac:dyDescent="0.25">
      <c r="B6009" s="115" t="s">
        <v>1241</v>
      </c>
      <c r="D6009" s="115" t="s">
        <v>12081</v>
      </c>
      <c r="E6009" s="115" t="s">
        <v>6405</v>
      </c>
      <c r="F6009" s="115">
        <v>0</v>
      </c>
      <c r="G6009" s="115">
        <v>0</v>
      </c>
      <c r="H6009" s="115">
        <v>-1121</v>
      </c>
      <c r="I6009" s="115">
        <v>0</v>
      </c>
      <c r="J6009" s="115">
        <v>-355</v>
      </c>
      <c r="K6009" s="115">
        <v>-1836</v>
      </c>
    </row>
    <row r="6010" spans="1:11" x14ac:dyDescent="0.25">
      <c r="A6010" s="115" t="s">
        <v>1239</v>
      </c>
      <c r="B6010" s="115" t="s">
        <v>2235</v>
      </c>
      <c r="C6010" s="115">
        <v>-1</v>
      </c>
      <c r="D6010" s="115" t="s">
        <v>12082</v>
      </c>
      <c r="E6010" s="115" t="s">
        <v>6406</v>
      </c>
      <c r="F6010" s="115">
        <v>0</v>
      </c>
      <c r="G6010" s="115">
        <v>0</v>
      </c>
      <c r="H6010" s="115">
        <v>0</v>
      </c>
      <c r="I6010" s="115">
        <v>0</v>
      </c>
      <c r="J6010" s="115">
        <v>0</v>
      </c>
      <c r="K6010" s="115">
        <v>-60</v>
      </c>
    </row>
    <row r="6011" spans="1:11" x14ac:dyDescent="0.25">
      <c r="B6011" s="115" t="s">
        <v>6407</v>
      </c>
      <c r="D6011" s="115" t="s">
        <v>12083</v>
      </c>
      <c r="E6011" s="115" t="s">
        <v>6408</v>
      </c>
      <c r="F6011" s="115">
        <v>624</v>
      </c>
      <c r="G6011" s="115">
        <v>0</v>
      </c>
      <c r="H6011" s="115">
        <v>0</v>
      </c>
      <c r="I6011" s="115">
        <v>0</v>
      </c>
      <c r="J6011" s="115">
        <v>0</v>
      </c>
      <c r="K6011" s="115">
        <v>3482</v>
      </c>
    </row>
    <row r="6012" spans="1:11" x14ac:dyDescent="0.25">
      <c r="B6012" s="115" t="s">
        <v>6409</v>
      </c>
      <c r="D6012" s="115" t="s">
        <v>12084</v>
      </c>
      <c r="E6012" s="115" t="s">
        <v>6410</v>
      </c>
      <c r="F6012" s="115">
        <v>622</v>
      </c>
      <c r="G6012" s="115">
        <v>1544</v>
      </c>
      <c r="H6012" s="115">
        <v>0</v>
      </c>
      <c r="I6012" s="115">
        <v>0</v>
      </c>
      <c r="J6012" s="115">
        <v>0</v>
      </c>
      <c r="K6012" s="115">
        <v>0</v>
      </c>
    </row>
    <row r="6013" spans="1:11" x14ac:dyDescent="0.25">
      <c r="A6013" s="115">
        <v>-2</v>
      </c>
      <c r="B6013" s="115" t="s">
        <v>6411</v>
      </c>
      <c r="D6013" s="115" t="s">
        <v>12085</v>
      </c>
      <c r="E6013" s="115" t="s">
        <v>6412</v>
      </c>
      <c r="F6013" s="115">
        <v>-119</v>
      </c>
      <c r="G6013" s="115">
        <v>-283</v>
      </c>
      <c r="H6013" s="115">
        <v>-54</v>
      </c>
      <c r="I6013" s="115">
        <v>6931</v>
      </c>
      <c r="J6013" s="115">
        <v>-365</v>
      </c>
      <c r="K6013" s="115">
        <v>454</v>
      </c>
    </row>
    <row r="6014" spans="1:11" x14ac:dyDescent="0.25">
      <c r="A6014" s="115" t="s">
        <v>1239</v>
      </c>
      <c r="B6014" s="115" t="s">
        <v>6413</v>
      </c>
      <c r="D6014" s="115" t="s">
        <v>12086</v>
      </c>
      <c r="E6014" s="115" t="s">
        <v>6414</v>
      </c>
      <c r="F6014" s="115">
        <v>0</v>
      </c>
      <c r="G6014" s="115">
        <v>0</v>
      </c>
      <c r="H6014" s="115">
        <v>0</v>
      </c>
      <c r="I6014" s="115">
        <v>0</v>
      </c>
      <c r="J6014" s="115">
        <v>0</v>
      </c>
      <c r="K6014" s="115">
        <v>-799</v>
      </c>
    </row>
    <row r="6015" spans="1:11" x14ac:dyDescent="0.25">
      <c r="A6015" s="115">
        <v>-2</v>
      </c>
      <c r="B6015" s="115" t="s">
        <v>6415</v>
      </c>
      <c r="D6015" s="115" t="s">
        <v>12087</v>
      </c>
      <c r="E6015" s="115" t="s">
        <v>6416</v>
      </c>
      <c r="F6015" s="115">
        <v>395</v>
      </c>
      <c r="G6015" s="115">
        <v>0</v>
      </c>
      <c r="H6015" s="115">
        <v>0</v>
      </c>
      <c r="I6015" s="115">
        <v>-2580</v>
      </c>
      <c r="J6015" s="115">
        <v>0</v>
      </c>
      <c r="K6015" s="115">
        <v>318</v>
      </c>
    </row>
    <row r="6016" spans="1:11" x14ac:dyDescent="0.25">
      <c r="A6016" s="115">
        <v>-20</v>
      </c>
      <c r="B6016" s="115" t="s">
        <v>6417</v>
      </c>
      <c r="D6016" s="115" t="s">
        <v>12088</v>
      </c>
      <c r="E6016" s="115" t="s">
        <v>6418</v>
      </c>
      <c r="F6016" s="115">
        <v>0</v>
      </c>
      <c r="G6016" s="115">
        <v>-55</v>
      </c>
      <c r="H6016" s="115">
        <v>0</v>
      </c>
      <c r="I6016" s="115">
        <v>238</v>
      </c>
      <c r="J6016" s="115">
        <v>171</v>
      </c>
      <c r="K6016" s="115">
        <v>0</v>
      </c>
    </row>
    <row r="6017" spans="1:11" x14ac:dyDescent="0.25">
      <c r="B6017" s="115" t="s">
        <v>1241</v>
      </c>
      <c r="D6017" s="115" t="s">
        <v>8710</v>
      </c>
      <c r="E6017" s="115" t="s">
        <v>1242</v>
      </c>
      <c r="F6017" s="115">
        <v>0</v>
      </c>
      <c r="G6017" s="115">
        <v>0</v>
      </c>
      <c r="H6017" s="115">
        <v>0</v>
      </c>
      <c r="I6017" s="115">
        <v>0</v>
      </c>
      <c r="J6017" s="115">
        <v>0</v>
      </c>
      <c r="K6017" s="115">
        <v>0</v>
      </c>
    </row>
    <row r="6018" spans="1:11" x14ac:dyDescent="0.25">
      <c r="B6018" s="115" t="s">
        <v>1241</v>
      </c>
      <c r="D6018" s="115" t="s">
        <v>12089</v>
      </c>
      <c r="E6018" s="115" t="s">
        <v>1242</v>
      </c>
      <c r="F6018" s="115">
        <v>-72</v>
      </c>
      <c r="G6018" s="115">
        <v>0</v>
      </c>
      <c r="H6018" s="115">
        <v>0</v>
      </c>
      <c r="I6018" s="115">
        <v>0</v>
      </c>
      <c r="J6018" s="115">
        <v>0</v>
      </c>
      <c r="K6018" s="115">
        <v>0</v>
      </c>
    </row>
    <row r="6019" spans="1:11" x14ac:dyDescent="0.25">
      <c r="A6019" s="115" t="s">
        <v>1239</v>
      </c>
      <c r="B6019" s="115" t="s">
        <v>6419</v>
      </c>
      <c r="D6019" s="115" t="s">
        <v>12090</v>
      </c>
      <c r="E6019" s="115" t="s">
        <v>6420</v>
      </c>
      <c r="F6019" s="115">
        <v>-2991</v>
      </c>
      <c r="G6019" s="115">
        <v>-1459</v>
      </c>
      <c r="H6019" s="115">
        <v>-1185</v>
      </c>
      <c r="I6019" s="115">
        <v>510</v>
      </c>
      <c r="J6019" s="115">
        <v>-301</v>
      </c>
      <c r="K6019" s="115">
        <v>-121</v>
      </c>
    </row>
    <row r="6020" spans="1:11" x14ac:dyDescent="0.25">
      <c r="A6020" s="115" t="s">
        <v>1239</v>
      </c>
      <c r="B6020" s="115" t="s">
        <v>6421</v>
      </c>
      <c r="C6020" s="115" t="s">
        <v>1239</v>
      </c>
      <c r="D6020" s="115" t="s">
        <v>12091</v>
      </c>
      <c r="E6020" s="115" t="s">
        <v>6422</v>
      </c>
      <c r="F6020" s="115">
        <v>-1009</v>
      </c>
      <c r="G6020" s="115">
        <v>-1487</v>
      </c>
      <c r="H6020" s="115">
        <v>62</v>
      </c>
      <c r="I6020" s="115">
        <v>0</v>
      </c>
      <c r="J6020" s="115">
        <v>1362</v>
      </c>
      <c r="K6020" s="115">
        <v>-2666</v>
      </c>
    </row>
    <row r="6021" spans="1:11" x14ac:dyDescent="0.25">
      <c r="A6021" s="115">
        <v>-4</v>
      </c>
      <c r="B6021" s="115" t="s">
        <v>6423</v>
      </c>
      <c r="D6021" s="115" t="s">
        <v>12092</v>
      </c>
      <c r="E6021" s="115">
        <f>-507 -15363  -3401   -565  -1283</f>
        <v>-21119</v>
      </c>
      <c r="F6021" s="115">
        <v>-887</v>
      </c>
      <c r="G6021" s="115">
        <v>-507</v>
      </c>
      <c r="H6021" s="115">
        <v>-15363</v>
      </c>
      <c r="I6021" s="115">
        <v>-3401</v>
      </c>
      <c r="J6021" s="115">
        <v>-565</v>
      </c>
      <c r="K6021" s="115">
        <v>-1283</v>
      </c>
    </row>
    <row r="6022" spans="1:11" x14ac:dyDescent="0.25">
      <c r="A6022" s="115">
        <v>-1</v>
      </c>
      <c r="B6022" s="115" t="s">
        <v>6424</v>
      </c>
      <c r="D6022" s="115" t="s">
        <v>12093</v>
      </c>
      <c r="E6022" s="115" t="s">
        <v>6425</v>
      </c>
      <c r="F6022" s="115">
        <v>362</v>
      </c>
      <c r="G6022" s="115">
        <v>-184</v>
      </c>
      <c r="H6022" s="115">
        <v>488</v>
      </c>
      <c r="I6022" s="115">
        <v>-1025</v>
      </c>
      <c r="J6022" s="115">
        <v>12745</v>
      </c>
      <c r="K6022" s="115">
        <v>27657</v>
      </c>
    </row>
    <row r="6023" spans="1:11" x14ac:dyDescent="0.25">
      <c r="A6023" s="115">
        <v>19</v>
      </c>
      <c r="B6023" s="115" t="s">
        <v>6426</v>
      </c>
      <c r="C6023" s="115">
        <v>1</v>
      </c>
      <c r="D6023" s="115" t="s">
        <v>12094</v>
      </c>
      <c r="E6023" s="115" t="s">
        <v>6427</v>
      </c>
      <c r="F6023" s="115">
        <v>20108</v>
      </c>
      <c r="G6023" s="115">
        <v>14135</v>
      </c>
      <c r="H6023" s="115">
        <v>18973</v>
      </c>
      <c r="I6023" s="115">
        <v>9665</v>
      </c>
      <c r="J6023" s="115">
        <v>14153</v>
      </c>
      <c r="K6023" s="115">
        <v>49338</v>
      </c>
    </row>
    <row r="6024" spans="1:11" x14ac:dyDescent="0.25">
      <c r="A6024" s="115">
        <v>-1</v>
      </c>
      <c r="B6024" s="115" t="s">
        <v>6428</v>
      </c>
      <c r="D6024" s="115" t="s">
        <v>12095</v>
      </c>
      <c r="E6024" s="115" t="s">
        <v>6429</v>
      </c>
      <c r="F6024" s="115">
        <v>-351</v>
      </c>
      <c r="G6024" s="115">
        <v>0</v>
      </c>
      <c r="H6024" s="115">
        <v>0</v>
      </c>
      <c r="I6024" s="115">
        <v>28</v>
      </c>
      <c r="J6024" s="115">
        <v>0</v>
      </c>
      <c r="K6024" s="115">
        <v>0</v>
      </c>
    </row>
    <row r="6025" spans="1:11" x14ac:dyDescent="0.25">
      <c r="B6025" s="115" t="s">
        <v>1978</v>
      </c>
      <c r="D6025" s="115" t="s">
        <v>12096</v>
      </c>
      <c r="E6025" s="115" t="s">
        <v>6430</v>
      </c>
      <c r="F6025" s="115">
        <v>0</v>
      </c>
      <c r="G6025" s="115">
        <v>0</v>
      </c>
      <c r="H6025" s="115">
        <v>0</v>
      </c>
      <c r="I6025" s="115">
        <v>0</v>
      </c>
      <c r="J6025" s="115">
        <v>0</v>
      </c>
      <c r="K6025" s="115">
        <v>641</v>
      </c>
    </row>
    <row r="6026" spans="1:11" x14ac:dyDescent="0.25">
      <c r="B6026" s="115" t="s">
        <v>1241</v>
      </c>
      <c r="D6026" s="115" t="s">
        <v>12097</v>
      </c>
      <c r="E6026" s="115" t="s">
        <v>6431</v>
      </c>
      <c r="F6026" s="115">
        <v>95</v>
      </c>
      <c r="G6026" s="115">
        <v>0</v>
      </c>
      <c r="H6026" s="115">
        <v>112</v>
      </c>
      <c r="I6026" s="115">
        <v>279</v>
      </c>
      <c r="J6026" s="115">
        <v>-16</v>
      </c>
      <c r="K6026" s="115">
        <v>0</v>
      </c>
    </row>
    <row r="6027" spans="1:11" x14ac:dyDescent="0.25">
      <c r="A6027" s="115" t="s">
        <v>1239</v>
      </c>
      <c r="B6027" s="115" t="s">
        <v>6432</v>
      </c>
      <c r="D6027" s="115" t="s">
        <v>12098</v>
      </c>
      <c r="E6027" s="115" t="s">
        <v>6433</v>
      </c>
      <c r="F6027" s="115">
        <v>-409</v>
      </c>
      <c r="G6027" s="115">
        <v>-663</v>
      </c>
      <c r="H6027" s="115">
        <v>0</v>
      </c>
      <c r="I6027" s="115">
        <v>117</v>
      </c>
      <c r="J6027" s="115">
        <v>0</v>
      </c>
      <c r="K6027" s="115">
        <v>0</v>
      </c>
    </row>
    <row r="6028" spans="1:11" x14ac:dyDescent="0.25">
      <c r="B6028" s="115" t="s">
        <v>1241</v>
      </c>
      <c r="D6028" s="115" t="s">
        <v>12099</v>
      </c>
      <c r="E6028" s="115" t="s">
        <v>6434</v>
      </c>
      <c r="F6028" s="115">
        <v>0</v>
      </c>
      <c r="G6028" s="115">
        <v>0</v>
      </c>
      <c r="H6028" s="115">
        <v>0</v>
      </c>
      <c r="I6028" s="115">
        <v>-177</v>
      </c>
      <c r="J6028" s="115">
        <v>0</v>
      </c>
      <c r="K6028" s="115">
        <v>12</v>
      </c>
    </row>
    <row r="6029" spans="1:11" x14ac:dyDescent="0.25">
      <c r="B6029" s="115" t="s">
        <v>1241</v>
      </c>
      <c r="D6029" s="115" t="s">
        <v>12100</v>
      </c>
      <c r="E6029" s="115" t="s">
        <v>6435</v>
      </c>
      <c r="F6029" s="115">
        <v>0</v>
      </c>
      <c r="G6029" s="115">
        <v>395</v>
      </c>
      <c r="H6029" s="115">
        <v>0</v>
      </c>
      <c r="I6029" s="115">
        <v>59</v>
      </c>
      <c r="J6029" s="115">
        <v>413</v>
      </c>
      <c r="K6029" s="115">
        <v>0</v>
      </c>
    </row>
    <row r="6030" spans="1:11" x14ac:dyDescent="0.25">
      <c r="B6030" s="115" t="s">
        <v>6436</v>
      </c>
      <c r="D6030" s="115" t="s">
        <v>12101</v>
      </c>
      <c r="E6030" s="115" t="s">
        <v>6437</v>
      </c>
      <c r="F6030" s="115">
        <v>-2844</v>
      </c>
      <c r="G6030" s="115">
        <v>0</v>
      </c>
      <c r="H6030" s="115">
        <v>0</v>
      </c>
      <c r="I6030" s="115">
        <v>0</v>
      </c>
      <c r="J6030" s="115">
        <v>0</v>
      </c>
      <c r="K6030" s="115">
        <v>1637</v>
      </c>
    </row>
    <row r="6031" spans="1:11" x14ac:dyDescent="0.25">
      <c r="B6031" s="115" t="s">
        <v>6438</v>
      </c>
      <c r="D6031" s="115" t="s">
        <v>12102</v>
      </c>
      <c r="E6031" s="115" t="s">
        <v>6439</v>
      </c>
      <c r="F6031" s="115">
        <v>-320</v>
      </c>
      <c r="G6031" s="115">
        <v>-6</v>
      </c>
      <c r="H6031" s="115">
        <v>0</v>
      </c>
      <c r="I6031" s="115">
        <v>1338</v>
      </c>
      <c r="J6031" s="115">
        <v>2254</v>
      </c>
      <c r="K6031" s="115">
        <v>141</v>
      </c>
    </row>
    <row r="6032" spans="1:11" x14ac:dyDescent="0.25">
      <c r="A6032" s="115">
        <v>1</v>
      </c>
      <c r="B6032" s="115" t="s">
        <v>6440</v>
      </c>
      <c r="D6032" s="115" t="s">
        <v>12103</v>
      </c>
      <c r="E6032" s="115" t="s">
        <v>6441</v>
      </c>
      <c r="F6032" s="115">
        <v>0</v>
      </c>
      <c r="G6032" s="115">
        <v>0</v>
      </c>
      <c r="H6032" s="115">
        <v>0</v>
      </c>
      <c r="I6032" s="115">
        <v>0</v>
      </c>
      <c r="J6032" s="115">
        <v>0</v>
      </c>
      <c r="K6032" s="115">
        <v>-216</v>
      </c>
    </row>
    <row r="6033" spans="1:11" x14ac:dyDescent="0.25">
      <c r="B6033" s="115" t="s">
        <v>6442</v>
      </c>
      <c r="D6033" s="115" t="s">
        <v>12104</v>
      </c>
      <c r="E6033" s="115" t="s">
        <v>6443</v>
      </c>
      <c r="F6033" s="115">
        <v>0</v>
      </c>
      <c r="G6033" s="115">
        <v>-7074</v>
      </c>
      <c r="H6033" s="115">
        <v>1089</v>
      </c>
      <c r="I6033" s="115">
        <v>109</v>
      </c>
      <c r="J6033" s="115">
        <v>-1228</v>
      </c>
      <c r="K6033" s="115">
        <v>-144</v>
      </c>
    </row>
    <row r="6034" spans="1:11" x14ac:dyDescent="0.25">
      <c r="B6034" s="115" t="s">
        <v>6444</v>
      </c>
      <c r="D6034" s="115" t="s">
        <v>12105</v>
      </c>
      <c r="E6034" s="115" t="s">
        <v>6445</v>
      </c>
      <c r="F6034" s="115">
        <v>19</v>
      </c>
      <c r="G6034" s="115">
        <v>0</v>
      </c>
      <c r="H6034" s="115">
        <v>-21</v>
      </c>
      <c r="I6034" s="115">
        <v>289</v>
      </c>
      <c r="J6034" s="115">
        <v>0</v>
      </c>
      <c r="K6034" s="115">
        <v>0</v>
      </c>
    </row>
    <row r="6035" spans="1:11" x14ac:dyDescent="0.25">
      <c r="B6035" s="115" t="s">
        <v>1502</v>
      </c>
      <c r="D6035" s="115" t="s">
        <v>12106</v>
      </c>
      <c r="E6035" s="115" t="s">
        <v>6446</v>
      </c>
      <c r="F6035" s="115">
        <v>853</v>
      </c>
      <c r="G6035" s="115">
        <v>137</v>
      </c>
      <c r="H6035" s="115">
        <v>30</v>
      </c>
      <c r="I6035" s="115">
        <v>90</v>
      </c>
      <c r="J6035" s="115">
        <v>0</v>
      </c>
      <c r="K6035" s="115">
        <v>0</v>
      </c>
    </row>
    <row r="6036" spans="1:11" x14ac:dyDescent="0.25">
      <c r="B6036" s="115" t="s">
        <v>1241</v>
      </c>
      <c r="D6036" s="115" t="s">
        <v>12107</v>
      </c>
      <c r="E6036" s="115" t="s">
        <v>6447</v>
      </c>
      <c r="F6036" s="115">
        <v>0</v>
      </c>
      <c r="G6036" s="115">
        <v>-1063</v>
      </c>
      <c r="H6036" s="115">
        <v>19</v>
      </c>
      <c r="I6036" s="115">
        <v>-78</v>
      </c>
      <c r="J6036" s="115">
        <v>0</v>
      </c>
      <c r="K6036" s="115">
        <v>-6819</v>
      </c>
    </row>
    <row r="6037" spans="1:11" x14ac:dyDescent="0.25">
      <c r="B6037" s="115" t="s">
        <v>6448</v>
      </c>
      <c r="C6037" s="115" t="s">
        <v>1239</v>
      </c>
      <c r="D6037" s="115" t="s">
        <v>12108</v>
      </c>
      <c r="E6037" s="115" t="s">
        <v>6449</v>
      </c>
      <c r="F6037" s="115">
        <v>131</v>
      </c>
      <c r="G6037" s="115">
        <v>6</v>
      </c>
      <c r="H6037" s="115">
        <v>-622</v>
      </c>
      <c r="I6037" s="115">
        <v>0</v>
      </c>
      <c r="J6037" s="115">
        <v>-33</v>
      </c>
      <c r="K6037" s="115">
        <v>0</v>
      </c>
    </row>
    <row r="6038" spans="1:11" x14ac:dyDescent="0.25">
      <c r="B6038" s="115" t="s">
        <v>6450</v>
      </c>
      <c r="D6038" s="115" t="s">
        <v>12109</v>
      </c>
      <c r="E6038" s="115" t="s">
        <v>6451</v>
      </c>
      <c r="F6038" s="115">
        <v>-410</v>
      </c>
      <c r="G6038" s="115">
        <v>0</v>
      </c>
      <c r="H6038" s="115">
        <v>0</v>
      </c>
      <c r="I6038" s="115">
        <v>86</v>
      </c>
      <c r="J6038" s="115">
        <v>0</v>
      </c>
      <c r="K6038" s="115">
        <v>-4</v>
      </c>
    </row>
    <row r="6039" spans="1:11" x14ac:dyDescent="0.25">
      <c r="B6039" s="126">
        <v>20636</v>
      </c>
      <c r="D6039" s="115" t="s">
        <v>12110</v>
      </c>
      <c r="E6039" s="115" t="s">
        <v>6452</v>
      </c>
      <c r="F6039" s="115">
        <v>0</v>
      </c>
      <c r="G6039" s="115">
        <v>0</v>
      </c>
      <c r="H6039" s="115">
        <v>0</v>
      </c>
      <c r="I6039" s="115">
        <v>-2633</v>
      </c>
      <c r="J6039" s="115">
        <v>0</v>
      </c>
      <c r="K6039" s="115">
        <v>-941</v>
      </c>
    </row>
    <row r="6040" spans="1:11" x14ac:dyDescent="0.25">
      <c r="B6040" s="115" t="s">
        <v>6453</v>
      </c>
      <c r="D6040" s="115" t="s">
        <v>12111</v>
      </c>
      <c r="E6040" s="115" t="s">
        <v>6454</v>
      </c>
      <c r="F6040" s="115">
        <v>403</v>
      </c>
      <c r="G6040" s="115">
        <v>-1647</v>
      </c>
      <c r="H6040" s="115">
        <v>0</v>
      </c>
      <c r="I6040" s="115">
        <v>0</v>
      </c>
      <c r="J6040" s="115">
        <v>0</v>
      </c>
      <c r="K6040" s="115">
        <v>-626</v>
      </c>
    </row>
    <row r="6041" spans="1:11" x14ac:dyDescent="0.25">
      <c r="A6041" s="115" t="s">
        <v>1239</v>
      </c>
      <c r="B6041" s="115" t="s">
        <v>6455</v>
      </c>
      <c r="D6041" s="115" t="s">
        <v>12112</v>
      </c>
      <c r="E6041" s="115" t="s">
        <v>6456</v>
      </c>
      <c r="F6041" s="115">
        <v>0</v>
      </c>
      <c r="G6041" s="115">
        <v>979</v>
      </c>
      <c r="H6041" s="115">
        <v>0</v>
      </c>
      <c r="I6041" s="115">
        <v>0</v>
      </c>
      <c r="J6041" s="115">
        <v>661</v>
      </c>
      <c r="K6041" s="115">
        <v>0</v>
      </c>
    </row>
    <row r="6042" spans="1:11" x14ac:dyDescent="0.25">
      <c r="A6042" s="115">
        <v>-8</v>
      </c>
      <c r="B6042" s="115" t="s">
        <v>1711</v>
      </c>
      <c r="C6042" s="115" t="s">
        <v>1239</v>
      </c>
      <c r="D6042" s="115" t="s">
        <v>12113</v>
      </c>
      <c r="E6042" s="115" t="s">
        <v>1242</v>
      </c>
      <c r="F6042" s="115">
        <v>0</v>
      </c>
      <c r="G6042" s="115">
        <v>0</v>
      </c>
      <c r="H6042" s="115">
        <v>0</v>
      </c>
      <c r="I6042" s="115">
        <v>0</v>
      </c>
      <c r="J6042" s="115">
        <v>0</v>
      </c>
      <c r="K6042" s="115">
        <v>0</v>
      </c>
    </row>
    <row r="6043" spans="1:11" x14ac:dyDescent="0.25">
      <c r="B6043" s="115" t="s">
        <v>3677</v>
      </c>
      <c r="D6043" s="115" t="s">
        <v>12114</v>
      </c>
      <c r="E6043" s="115" t="s">
        <v>6457</v>
      </c>
      <c r="F6043" s="115">
        <v>191</v>
      </c>
      <c r="G6043" s="115">
        <v>405</v>
      </c>
      <c r="H6043" s="115">
        <v>0</v>
      </c>
      <c r="I6043" s="115">
        <v>-8573</v>
      </c>
      <c r="J6043" s="115">
        <v>145</v>
      </c>
      <c r="K6043" s="115">
        <v>0</v>
      </c>
    </row>
    <row r="6044" spans="1:11" x14ac:dyDescent="0.25">
      <c r="B6044" s="115" t="s">
        <v>1241</v>
      </c>
      <c r="D6044" s="115" t="s">
        <v>12115</v>
      </c>
      <c r="E6044" s="115" t="s">
        <v>6458</v>
      </c>
      <c r="F6044" s="115">
        <v>-102</v>
      </c>
      <c r="G6044" s="115">
        <v>464</v>
      </c>
      <c r="H6044" s="115">
        <v>-51</v>
      </c>
      <c r="I6044" s="115">
        <v>-255</v>
      </c>
      <c r="J6044" s="115">
        <v>68</v>
      </c>
      <c r="K6044" s="115">
        <v>540</v>
      </c>
    </row>
    <row r="6045" spans="1:11" x14ac:dyDescent="0.25">
      <c r="B6045" s="115" t="s">
        <v>1241</v>
      </c>
      <c r="D6045" s="115" t="s">
        <v>12116</v>
      </c>
      <c r="E6045" s="115" t="s">
        <v>6459</v>
      </c>
      <c r="F6045" s="115">
        <v>1451</v>
      </c>
      <c r="G6045" s="115">
        <v>0</v>
      </c>
      <c r="H6045" s="115">
        <v>1062</v>
      </c>
      <c r="I6045" s="115">
        <v>0</v>
      </c>
      <c r="J6045" s="115">
        <v>0</v>
      </c>
      <c r="K6045" s="115">
        <v>422</v>
      </c>
    </row>
    <row r="6046" spans="1:11" x14ac:dyDescent="0.25">
      <c r="A6046" s="115">
        <v>1</v>
      </c>
      <c r="B6046" s="115" t="s">
        <v>6460</v>
      </c>
      <c r="D6046" s="115" t="s">
        <v>12117</v>
      </c>
      <c r="E6046" s="115" t="s">
        <v>6461</v>
      </c>
      <c r="F6046" s="115">
        <v>0</v>
      </c>
      <c r="G6046" s="115">
        <v>-2070</v>
      </c>
      <c r="H6046" s="115">
        <v>0</v>
      </c>
      <c r="I6046" s="115">
        <v>-516</v>
      </c>
      <c r="J6046" s="115">
        <v>-1049</v>
      </c>
      <c r="K6046" s="115">
        <v>-62</v>
      </c>
    </row>
    <row r="6047" spans="1:11" x14ac:dyDescent="0.25">
      <c r="A6047" s="115" t="s">
        <v>1239</v>
      </c>
      <c r="B6047" s="115" t="s">
        <v>6462</v>
      </c>
      <c r="D6047" s="115" t="s">
        <v>12118</v>
      </c>
      <c r="E6047" s="115" t="s">
        <v>6463</v>
      </c>
      <c r="F6047" s="115">
        <v>132</v>
      </c>
      <c r="G6047" s="115">
        <v>68</v>
      </c>
      <c r="H6047" s="115">
        <v>74</v>
      </c>
      <c r="I6047" s="115">
        <v>0</v>
      </c>
      <c r="J6047" s="115">
        <v>0</v>
      </c>
      <c r="K6047" s="115">
        <v>0</v>
      </c>
    </row>
    <row r="6048" spans="1:11" x14ac:dyDescent="0.25">
      <c r="B6048" s="115" t="s">
        <v>1241</v>
      </c>
      <c r="D6048" s="115" t="s">
        <v>12119</v>
      </c>
      <c r="E6048" s="115" t="s">
        <v>6464</v>
      </c>
      <c r="F6048" s="115">
        <v>356</v>
      </c>
      <c r="G6048" s="115">
        <v>-1722</v>
      </c>
      <c r="H6048" s="115">
        <v>-3191</v>
      </c>
      <c r="I6048" s="115">
        <v>-486</v>
      </c>
      <c r="J6048" s="115">
        <v>-1846</v>
      </c>
      <c r="K6048" s="115">
        <v>157</v>
      </c>
    </row>
    <row r="6049" spans="1:11" x14ac:dyDescent="0.25">
      <c r="B6049" s="115" t="s">
        <v>1241</v>
      </c>
      <c r="C6049" s="115" t="s">
        <v>1239</v>
      </c>
      <c r="D6049" s="115" t="s">
        <v>12120</v>
      </c>
      <c r="E6049" s="115" t="s">
        <v>6465</v>
      </c>
      <c r="F6049" s="115">
        <v>179</v>
      </c>
      <c r="G6049" s="115">
        <v>-15145</v>
      </c>
      <c r="H6049" s="115">
        <v>0</v>
      </c>
      <c r="I6049" s="115">
        <v>0</v>
      </c>
      <c r="J6049" s="115">
        <v>0</v>
      </c>
      <c r="K6049" s="115">
        <v>0</v>
      </c>
    </row>
    <row r="6050" spans="1:11" x14ac:dyDescent="0.25">
      <c r="A6050" s="115" t="s">
        <v>1239</v>
      </c>
      <c r="B6050" s="115" t="s">
        <v>6466</v>
      </c>
      <c r="D6050" s="115" t="s">
        <v>12121</v>
      </c>
      <c r="E6050" s="115" t="s">
        <v>1242</v>
      </c>
      <c r="F6050" s="115">
        <v>0</v>
      </c>
      <c r="G6050" s="115">
        <v>0</v>
      </c>
      <c r="H6050" s="115">
        <v>0</v>
      </c>
      <c r="I6050" s="115">
        <v>0</v>
      </c>
      <c r="J6050" s="115">
        <v>0</v>
      </c>
      <c r="K6050" s="115">
        <v>0</v>
      </c>
    </row>
    <row r="6051" spans="1:11" x14ac:dyDescent="0.25">
      <c r="B6051" s="115" t="s">
        <v>1241</v>
      </c>
      <c r="D6051" s="115" t="s">
        <v>12122</v>
      </c>
      <c r="E6051" s="115" t="s">
        <v>6467</v>
      </c>
      <c r="F6051" s="115">
        <v>0</v>
      </c>
      <c r="G6051" s="115">
        <v>0</v>
      </c>
      <c r="H6051" s="115">
        <v>0</v>
      </c>
      <c r="I6051" s="115">
        <v>0</v>
      </c>
      <c r="J6051" s="115">
        <v>0</v>
      </c>
      <c r="K6051" s="115">
        <v>-174</v>
      </c>
    </row>
    <row r="6052" spans="1:11" x14ac:dyDescent="0.25">
      <c r="B6052" s="115" t="s">
        <v>1241</v>
      </c>
      <c r="D6052" s="115" t="s">
        <v>12123</v>
      </c>
      <c r="E6052" s="115" t="s">
        <v>6468</v>
      </c>
      <c r="F6052" s="115">
        <v>0</v>
      </c>
      <c r="G6052" s="115">
        <v>73</v>
      </c>
      <c r="H6052" s="115">
        <v>-224</v>
      </c>
      <c r="I6052" s="115">
        <v>-159</v>
      </c>
      <c r="J6052" s="115">
        <v>-3226</v>
      </c>
      <c r="K6052" s="115">
        <v>-2155</v>
      </c>
    </row>
    <row r="6053" spans="1:11" x14ac:dyDescent="0.25">
      <c r="A6053" s="115">
        <v>-1</v>
      </c>
      <c r="B6053" s="115" t="s">
        <v>6469</v>
      </c>
      <c r="D6053" s="115" t="s">
        <v>12124</v>
      </c>
      <c r="E6053" s="115">
        <f>-283   -158  -2275  -1776  -1174</f>
        <v>-5666</v>
      </c>
      <c r="F6053" s="115">
        <v>-80</v>
      </c>
      <c r="G6053" s="115">
        <v>-283</v>
      </c>
      <c r="H6053" s="115">
        <v>-158</v>
      </c>
      <c r="I6053" s="115">
        <v>-2275</v>
      </c>
      <c r="J6053" s="115">
        <v>-1776</v>
      </c>
      <c r="K6053" s="115">
        <v>-1174</v>
      </c>
    </row>
    <row r="6054" spans="1:11" x14ac:dyDescent="0.25">
      <c r="A6054" s="115" t="s">
        <v>1239</v>
      </c>
      <c r="B6054" s="115" t="s">
        <v>6470</v>
      </c>
      <c r="D6054" s="115" t="s">
        <v>12125</v>
      </c>
      <c r="E6054" s="115" t="s">
        <v>6471</v>
      </c>
      <c r="F6054" s="115">
        <v>-1931</v>
      </c>
      <c r="G6054" s="115">
        <v>-1990</v>
      </c>
      <c r="H6054" s="115">
        <v>1791</v>
      </c>
      <c r="I6054" s="115">
        <v>836</v>
      </c>
      <c r="J6054" s="115">
        <v>-520</v>
      </c>
      <c r="K6054" s="115">
        <v>-247</v>
      </c>
    </row>
    <row r="6055" spans="1:11" x14ac:dyDescent="0.25">
      <c r="A6055" s="115" t="s">
        <v>1239</v>
      </c>
      <c r="B6055" s="115" t="s">
        <v>6472</v>
      </c>
      <c r="C6055" s="115" t="s">
        <v>1239</v>
      </c>
      <c r="D6055" s="115" t="s">
        <v>12126</v>
      </c>
      <c r="E6055" s="115" t="s">
        <v>6473</v>
      </c>
      <c r="F6055" s="115">
        <v>-250</v>
      </c>
      <c r="G6055" s="115">
        <v>-21598</v>
      </c>
      <c r="H6055" s="115">
        <v>-3342</v>
      </c>
      <c r="I6055" s="115">
        <v>-2312</v>
      </c>
      <c r="J6055" s="115">
        <v>-1396</v>
      </c>
      <c r="K6055" s="115">
        <v>-110</v>
      </c>
    </row>
    <row r="6056" spans="1:11" x14ac:dyDescent="0.25">
      <c r="A6056" s="115" t="s">
        <v>1239</v>
      </c>
      <c r="B6056" s="115" t="s">
        <v>6474</v>
      </c>
      <c r="D6056" s="115" t="s">
        <v>12127</v>
      </c>
      <c r="E6056" s="115" t="s">
        <v>6475</v>
      </c>
      <c r="F6056" s="115">
        <v>18121</v>
      </c>
      <c r="G6056" s="115">
        <v>13563</v>
      </c>
      <c r="H6056" s="115">
        <v>14141</v>
      </c>
      <c r="I6056" s="115">
        <v>19885</v>
      </c>
      <c r="J6056" s="115">
        <v>12443</v>
      </c>
      <c r="K6056" s="115">
        <v>14052</v>
      </c>
    </row>
    <row r="6057" spans="1:11" x14ac:dyDescent="0.25">
      <c r="A6057" s="115">
        <v>10</v>
      </c>
      <c r="B6057" s="115" t="s">
        <v>6476</v>
      </c>
      <c r="C6057" s="115">
        <v>1</v>
      </c>
      <c r="D6057" s="115" t="s">
        <v>12128</v>
      </c>
      <c r="E6057" s="115" t="s">
        <v>6477</v>
      </c>
      <c r="F6057" s="115">
        <v>33874</v>
      </c>
      <c r="G6057" s="115">
        <v>35039</v>
      </c>
      <c r="H6057" s="115">
        <v>-1362</v>
      </c>
      <c r="I6057" s="115">
        <v>-270</v>
      </c>
      <c r="J6057" s="115">
        <v>-257</v>
      </c>
      <c r="K6057" s="115">
        <v>-345</v>
      </c>
    </row>
    <row r="6058" spans="1:11" x14ac:dyDescent="0.25">
      <c r="A6058" s="115" t="s">
        <v>1239</v>
      </c>
      <c r="B6058" s="115" t="s">
        <v>1748</v>
      </c>
      <c r="D6058" s="115" t="s">
        <v>12129</v>
      </c>
      <c r="E6058" s="115" t="s">
        <v>6478</v>
      </c>
      <c r="F6058" s="115">
        <v>0</v>
      </c>
      <c r="G6058" s="115">
        <v>0</v>
      </c>
      <c r="H6058" s="115">
        <v>0</v>
      </c>
      <c r="I6058" s="115">
        <v>15</v>
      </c>
      <c r="J6058" s="115">
        <v>-263</v>
      </c>
      <c r="K6058" s="115">
        <v>0</v>
      </c>
    </row>
    <row r="6059" spans="1:11" x14ac:dyDescent="0.25">
      <c r="B6059" s="115" t="s">
        <v>1241</v>
      </c>
      <c r="D6059" s="115" t="s">
        <v>12130</v>
      </c>
      <c r="E6059" s="115" t="s">
        <v>6479</v>
      </c>
      <c r="F6059" s="115">
        <v>0</v>
      </c>
      <c r="G6059" s="115">
        <v>-265</v>
      </c>
      <c r="H6059" s="115">
        <v>0</v>
      </c>
      <c r="I6059" s="115">
        <v>0</v>
      </c>
      <c r="J6059" s="115">
        <v>53</v>
      </c>
      <c r="K6059" s="115">
        <v>0</v>
      </c>
    </row>
    <row r="6060" spans="1:11" x14ac:dyDescent="0.25">
      <c r="B6060" s="115" t="s">
        <v>5559</v>
      </c>
      <c r="D6060" s="115" t="s">
        <v>12131</v>
      </c>
      <c r="E6060" s="115" t="s">
        <v>6480</v>
      </c>
      <c r="F6060" s="115">
        <v>-48</v>
      </c>
      <c r="G6060" s="115">
        <v>0</v>
      </c>
      <c r="H6060" s="115">
        <v>-519</v>
      </c>
      <c r="I6060" s="115">
        <v>-271</v>
      </c>
      <c r="J6060" s="115">
        <v>-53</v>
      </c>
      <c r="K6060" s="115">
        <v>65</v>
      </c>
    </row>
    <row r="6061" spans="1:11" x14ac:dyDescent="0.25">
      <c r="B6061" s="115" t="s">
        <v>6481</v>
      </c>
      <c r="D6061" s="115" t="s">
        <v>12132</v>
      </c>
      <c r="E6061" s="115" t="s">
        <v>6482</v>
      </c>
      <c r="F6061" s="115">
        <v>0</v>
      </c>
      <c r="G6061" s="115">
        <v>0</v>
      </c>
      <c r="H6061" s="115">
        <v>0</v>
      </c>
      <c r="I6061" s="115">
        <v>0</v>
      </c>
      <c r="J6061" s="115">
        <v>0</v>
      </c>
      <c r="K6061" s="115">
        <v>129</v>
      </c>
    </row>
    <row r="6062" spans="1:11" x14ac:dyDescent="0.25">
      <c r="B6062" s="115" t="s">
        <v>1241</v>
      </c>
      <c r="D6062" s="115" t="s">
        <v>12133</v>
      </c>
      <c r="E6062" s="115" t="s">
        <v>3596</v>
      </c>
      <c r="F6062" s="115">
        <v>0</v>
      </c>
      <c r="G6062" s="115">
        <v>-29</v>
      </c>
      <c r="H6062" s="115">
        <v>0</v>
      </c>
      <c r="I6062" s="115">
        <v>0</v>
      </c>
      <c r="J6062" s="115">
        <v>0</v>
      </c>
      <c r="K6062" s="115">
        <v>0</v>
      </c>
    </row>
    <row r="6063" spans="1:11" x14ac:dyDescent="0.25">
      <c r="B6063" s="115" t="s">
        <v>6483</v>
      </c>
      <c r="D6063" s="115" t="s">
        <v>12134</v>
      </c>
      <c r="E6063" s="115" t="s">
        <v>6484</v>
      </c>
      <c r="F6063" s="115">
        <v>332</v>
      </c>
      <c r="G6063" s="115">
        <v>0</v>
      </c>
      <c r="H6063" s="115">
        <v>0</v>
      </c>
      <c r="I6063" s="115">
        <v>-16273</v>
      </c>
      <c r="J6063" s="115">
        <v>44</v>
      </c>
      <c r="K6063" s="115">
        <v>0</v>
      </c>
    </row>
    <row r="6064" spans="1:11" x14ac:dyDescent="0.25">
      <c r="A6064" s="115">
        <v>-3</v>
      </c>
      <c r="B6064" s="115" t="s">
        <v>4374</v>
      </c>
      <c r="D6064" s="115" t="s">
        <v>12135</v>
      </c>
      <c r="E6064" s="115" t="s">
        <v>6485</v>
      </c>
      <c r="F6064" s="115">
        <v>0</v>
      </c>
      <c r="G6064" s="115">
        <v>1010</v>
      </c>
      <c r="H6064" s="115">
        <v>2127</v>
      </c>
      <c r="I6064" s="115">
        <v>1306</v>
      </c>
      <c r="J6064" s="115">
        <v>0</v>
      </c>
      <c r="K6064" s="115">
        <v>0</v>
      </c>
    </row>
    <row r="6065" spans="1:11" x14ac:dyDescent="0.25">
      <c r="A6065" s="115" t="s">
        <v>1239</v>
      </c>
      <c r="B6065" s="115" t="s">
        <v>6486</v>
      </c>
      <c r="D6065" s="115" t="s">
        <v>12136</v>
      </c>
      <c r="E6065" s="115" t="s">
        <v>6487</v>
      </c>
      <c r="F6065" s="115">
        <v>1476</v>
      </c>
      <c r="G6065" s="115">
        <v>361</v>
      </c>
      <c r="H6065" s="115">
        <v>1242</v>
      </c>
      <c r="I6065" s="115">
        <v>-520</v>
      </c>
      <c r="J6065" s="115">
        <v>182</v>
      </c>
      <c r="K6065" s="115">
        <v>1549</v>
      </c>
    </row>
    <row r="6066" spans="1:11" x14ac:dyDescent="0.25">
      <c r="B6066" s="115" t="s">
        <v>1241</v>
      </c>
      <c r="D6066" s="115" t="s">
        <v>12137</v>
      </c>
      <c r="E6066" s="115" t="s">
        <v>6488</v>
      </c>
      <c r="F6066" s="115">
        <v>0</v>
      </c>
      <c r="G6066" s="115">
        <v>-2878</v>
      </c>
      <c r="H6066" s="115">
        <v>0</v>
      </c>
      <c r="I6066" s="115">
        <v>-8</v>
      </c>
      <c r="J6066" s="115">
        <v>4663</v>
      </c>
      <c r="K6066" s="115">
        <v>781</v>
      </c>
    </row>
    <row r="6067" spans="1:11" x14ac:dyDescent="0.25">
      <c r="B6067" s="115" t="s">
        <v>6489</v>
      </c>
      <c r="D6067" s="115" t="s">
        <v>12138</v>
      </c>
      <c r="E6067" s="115" t="s">
        <v>6490</v>
      </c>
      <c r="F6067" s="115">
        <v>-1750</v>
      </c>
      <c r="G6067" s="115">
        <v>-218</v>
      </c>
      <c r="H6067" s="115">
        <v>0</v>
      </c>
      <c r="I6067" s="115">
        <v>584</v>
      </c>
      <c r="J6067" s="115">
        <v>1036</v>
      </c>
      <c r="K6067" s="115">
        <v>957</v>
      </c>
    </row>
    <row r="6068" spans="1:11" x14ac:dyDescent="0.25">
      <c r="B6068" s="115" t="s">
        <v>2624</v>
      </c>
      <c r="D6068" s="115" t="s">
        <v>12139</v>
      </c>
      <c r="E6068" s="115" t="s">
        <v>6491</v>
      </c>
      <c r="F6068" s="115">
        <v>0</v>
      </c>
      <c r="G6068" s="115">
        <v>0</v>
      </c>
      <c r="H6068" s="115">
        <v>0</v>
      </c>
      <c r="I6068" s="115">
        <v>148</v>
      </c>
      <c r="J6068" s="115">
        <v>1049</v>
      </c>
      <c r="K6068" s="115">
        <v>0</v>
      </c>
    </row>
    <row r="6069" spans="1:11" x14ac:dyDescent="0.25">
      <c r="B6069" s="115" t="s">
        <v>6492</v>
      </c>
      <c r="D6069" s="115" t="s">
        <v>12140</v>
      </c>
      <c r="E6069" s="115" t="s">
        <v>6493</v>
      </c>
      <c r="F6069" s="115">
        <v>0</v>
      </c>
      <c r="G6069" s="115">
        <v>0</v>
      </c>
      <c r="H6069" s="115">
        <v>0</v>
      </c>
      <c r="I6069" s="115">
        <v>0</v>
      </c>
      <c r="J6069" s="115">
        <v>0</v>
      </c>
      <c r="K6069" s="115">
        <v>-4544</v>
      </c>
    </row>
    <row r="6070" spans="1:11" x14ac:dyDescent="0.25">
      <c r="B6070" s="115" t="s">
        <v>6494</v>
      </c>
      <c r="D6070" s="115" t="s">
        <v>12141</v>
      </c>
      <c r="E6070" s="115" t="s">
        <v>6495</v>
      </c>
      <c r="F6070" s="115">
        <v>0</v>
      </c>
      <c r="G6070" s="115">
        <v>-9406</v>
      </c>
      <c r="H6070" s="115">
        <v>862</v>
      </c>
      <c r="I6070" s="115">
        <v>372</v>
      </c>
      <c r="J6070" s="115">
        <v>-1784</v>
      </c>
      <c r="K6070" s="115">
        <v>86</v>
      </c>
    </row>
    <row r="6071" spans="1:11" x14ac:dyDescent="0.25">
      <c r="B6071" s="115" t="s">
        <v>6496</v>
      </c>
      <c r="D6071" s="115" t="s">
        <v>12142</v>
      </c>
      <c r="E6071" s="115" t="s">
        <v>6497</v>
      </c>
      <c r="F6071" s="115">
        <v>-117</v>
      </c>
      <c r="G6071" s="115">
        <v>0</v>
      </c>
      <c r="H6071" s="115">
        <v>0</v>
      </c>
      <c r="I6071" s="115">
        <v>627</v>
      </c>
      <c r="J6071" s="115">
        <v>-74</v>
      </c>
      <c r="K6071" s="115">
        <v>0</v>
      </c>
    </row>
    <row r="6072" spans="1:11" x14ac:dyDescent="0.25">
      <c r="A6072" s="115" t="s">
        <v>1239</v>
      </c>
      <c r="B6072" s="115" t="s">
        <v>4514</v>
      </c>
      <c r="D6072" s="115" t="s">
        <v>12143</v>
      </c>
      <c r="E6072" s="115" t="s">
        <v>6498</v>
      </c>
      <c r="F6072" s="115">
        <v>0</v>
      </c>
      <c r="G6072" s="115">
        <v>-14</v>
      </c>
      <c r="H6072" s="115">
        <v>38</v>
      </c>
      <c r="I6072" s="115">
        <v>-230</v>
      </c>
      <c r="J6072" s="115">
        <v>0</v>
      </c>
      <c r="K6072" s="115">
        <v>0</v>
      </c>
    </row>
    <row r="6073" spans="1:11" x14ac:dyDescent="0.25">
      <c r="B6073" s="115" t="s">
        <v>1241</v>
      </c>
      <c r="D6073" s="115" t="s">
        <v>12144</v>
      </c>
      <c r="E6073" s="115" t="s">
        <v>6499</v>
      </c>
      <c r="F6073" s="115">
        <v>0</v>
      </c>
      <c r="G6073" s="115">
        <v>-1397</v>
      </c>
      <c r="H6073" s="115">
        <v>-1</v>
      </c>
      <c r="I6073" s="115">
        <v>-87</v>
      </c>
      <c r="J6073" s="115">
        <v>0</v>
      </c>
      <c r="K6073" s="115">
        <v>-14996</v>
      </c>
    </row>
    <row r="6074" spans="1:11" x14ac:dyDescent="0.25">
      <c r="B6074" s="115" t="s">
        <v>6500</v>
      </c>
      <c r="D6074" s="115" t="s">
        <v>12145</v>
      </c>
      <c r="E6074" s="115" t="s">
        <v>6501</v>
      </c>
      <c r="F6074" s="115">
        <v>0</v>
      </c>
      <c r="G6074" s="115">
        <v>1340</v>
      </c>
      <c r="H6074" s="115">
        <v>2198</v>
      </c>
      <c r="I6074" s="115">
        <v>1632</v>
      </c>
      <c r="J6074" s="115">
        <v>-865</v>
      </c>
      <c r="K6074" s="115">
        <v>-760</v>
      </c>
    </row>
    <row r="6075" spans="1:11" x14ac:dyDescent="0.25">
      <c r="B6075" s="115" t="s">
        <v>6502</v>
      </c>
      <c r="D6075" s="115" t="s">
        <v>12146</v>
      </c>
      <c r="E6075" s="115" t="s">
        <v>6503</v>
      </c>
      <c r="F6075" s="115">
        <v>-383</v>
      </c>
      <c r="G6075" s="115">
        <v>0</v>
      </c>
      <c r="H6075" s="115">
        <v>1450</v>
      </c>
      <c r="I6075" s="115">
        <v>0</v>
      </c>
      <c r="J6075" s="115">
        <v>712</v>
      </c>
      <c r="K6075" s="115">
        <v>0</v>
      </c>
    </row>
    <row r="6076" spans="1:11" x14ac:dyDescent="0.25">
      <c r="B6076" s="115" t="s">
        <v>1241</v>
      </c>
      <c r="D6076" s="115" t="s">
        <v>12147</v>
      </c>
      <c r="E6076" s="115" t="s">
        <v>6504</v>
      </c>
      <c r="F6076" s="115">
        <v>0</v>
      </c>
      <c r="G6076" s="115">
        <v>0</v>
      </c>
      <c r="H6076" s="115">
        <v>0</v>
      </c>
      <c r="I6076" s="115">
        <v>-1477</v>
      </c>
      <c r="J6076" s="115">
        <v>0</v>
      </c>
      <c r="K6076" s="115">
        <v>-359</v>
      </c>
    </row>
    <row r="6077" spans="1:11" x14ac:dyDescent="0.25">
      <c r="A6077" s="115">
        <v>-2</v>
      </c>
      <c r="B6077" s="115" t="s">
        <v>6505</v>
      </c>
      <c r="D6077" s="115" t="s">
        <v>12148</v>
      </c>
      <c r="E6077" s="115" t="s">
        <v>1242</v>
      </c>
      <c r="F6077" s="115">
        <v>715</v>
      </c>
      <c r="G6077" s="115">
        <v>0</v>
      </c>
      <c r="H6077" s="115">
        <v>0</v>
      </c>
      <c r="I6077" s="115">
        <v>0</v>
      </c>
      <c r="J6077" s="115">
        <v>0</v>
      </c>
      <c r="K6077" s="115">
        <v>0</v>
      </c>
    </row>
    <row r="6078" spans="1:11" x14ac:dyDescent="0.25">
      <c r="A6078" s="115">
        <v>-2</v>
      </c>
      <c r="B6078" s="115" t="s">
        <v>6506</v>
      </c>
      <c r="D6078" s="115" t="s">
        <v>12149</v>
      </c>
      <c r="E6078" s="115" t="s">
        <v>6507</v>
      </c>
      <c r="F6078" s="115">
        <v>-362</v>
      </c>
      <c r="G6078" s="115">
        <v>1817</v>
      </c>
      <c r="H6078" s="115">
        <v>0</v>
      </c>
      <c r="I6078" s="115">
        <v>0</v>
      </c>
      <c r="J6078" s="115">
        <v>0</v>
      </c>
      <c r="K6078" s="115">
        <v>0</v>
      </c>
    </row>
    <row r="6079" spans="1:11" x14ac:dyDescent="0.25">
      <c r="A6079" s="115">
        <v>-11</v>
      </c>
      <c r="B6079" s="115" t="s">
        <v>6508</v>
      </c>
      <c r="C6079" s="115" t="s">
        <v>1239</v>
      </c>
      <c r="D6079" s="115" t="s">
        <v>12150</v>
      </c>
      <c r="E6079" s="115" t="s">
        <v>6509</v>
      </c>
      <c r="F6079" s="115">
        <v>0</v>
      </c>
      <c r="G6079" s="115">
        <v>693</v>
      </c>
      <c r="H6079" s="115">
        <v>-2043</v>
      </c>
      <c r="I6079" s="115">
        <v>0</v>
      </c>
      <c r="J6079" s="115">
        <v>0</v>
      </c>
      <c r="K6079" s="115">
        <v>0</v>
      </c>
    </row>
    <row r="6080" spans="1:11" x14ac:dyDescent="0.25">
      <c r="B6080" s="115" t="s">
        <v>6510</v>
      </c>
      <c r="D6080" s="115" t="s">
        <v>12151</v>
      </c>
      <c r="E6080" s="115" t="s">
        <v>6511</v>
      </c>
      <c r="F6080" s="115">
        <v>667</v>
      </c>
      <c r="G6080" s="115">
        <v>433</v>
      </c>
      <c r="H6080" s="115">
        <v>241</v>
      </c>
      <c r="I6080" s="115">
        <v>-297</v>
      </c>
      <c r="J6080" s="115">
        <v>8847</v>
      </c>
      <c r="K6080" s="115">
        <v>2324</v>
      </c>
    </row>
    <row r="6081" spans="1:11" x14ac:dyDescent="0.25">
      <c r="B6081" s="115">
        <f>-31  -1292</f>
        <v>-1323</v>
      </c>
      <c r="C6081" s="115" t="s">
        <v>1239</v>
      </c>
      <c r="D6081" s="115" t="s">
        <v>12152</v>
      </c>
      <c r="E6081" s="115" t="s">
        <v>1242</v>
      </c>
      <c r="F6081" s="115">
        <v>0</v>
      </c>
      <c r="G6081" s="115">
        <v>0</v>
      </c>
      <c r="H6081" s="115">
        <v>0</v>
      </c>
      <c r="I6081" s="115">
        <v>0</v>
      </c>
      <c r="J6081" s="115">
        <v>0</v>
      </c>
      <c r="K6081" s="115">
        <v>0</v>
      </c>
    </row>
    <row r="6082" spans="1:11" x14ac:dyDescent="0.25">
      <c r="B6082" s="115" t="s">
        <v>6512</v>
      </c>
      <c r="C6082" s="115" t="s">
        <v>1239</v>
      </c>
      <c r="D6082" s="115" t="s">
        <v>12153</v>
      </c>
      <c r="E6082" s="115" t="s">
        <v>6513</v>
      </c>
      <c r="F6082" s="115">
        <v>-1817</v>
      </c>
      <c r="G6082" s="115">
        <v>289</v>
      </c>
      <c r="H6082" s="115">
        <v>0</v>
      </c>
      <c r="I6082" s="115">
        <v>0</v>
      </c>
      <c r="J6082" s="115">
        <v>1397</v>
      </c>
      <c r="K6082" s="115">
        <v>0</v>
      </c>
    </row>
    <row r="6083" spans="1:11" x14ac:dyDescent="0.25">
      <c r="B6083" s="115" t="s">
        <v>6514</v>
      </c>
      <c r="D6083" s="115" t="s">
        <v>12154</v>
      </c>
      <c r="E6083" s="115" t="s">
        <v>6515</v>
      </c>
      <c r="F6083" s="115">
        <v>0</v>
      </c>
      <c r="G6083" s="115">
        <v>0</v>
      </c>
      <c r="H6083" s="115">
        <v>-748</v>
      </c>
      <c r="I6083" s="115">
        <v>0</v>
      </c>
      <c r="J6083" s="115">
        <v>-914</v>
      </c>
      <c r="K6083" s="115">
        <v>-743</v>
      </c>
    </row>
    <row r="6084" spans="1:11" x14ac:dyDescent="0.25">
      <c r="B6084" s="115" t="s">
        <v>1241</v>
      </c>
      <c r="D6084" s="115" t="s">
        <v>8710</v>
      </c>
      <c r="E6084" s="115" t="s">
        <v>1242</v>
      </c>
      <c r="F6084" s="115">
        <v>0</v>
      </c>
      <c r="G6084" s="115">
        <v>0</v>
      </c>
      <c r="H6084" s="115">
        <v>0</v>
      </c>
      <c r="I6084" s="115">
        <v>0</v>
      </c>
      <c r="J6084" s="115">
        <v>0</v>
      </c>
      <c r="K6084" s="115">
        <v>0</v>
      </c>
    </row>
    <row r="6085" spans="1:11" x14ac:dyDescent="0.25">
      <c r="B6085" s="115" t="s">
        <v>1241</v>
      </c>
      <c r="D6085" s="115" t="s">
        <v>12155</v>
      </c>
      <c r="E6085" s="115" t="s">
        <v>6516</v>
      </c>
      <c r="F6085" s="115">
        <v>0</v>
      </c>
      <c r="G6085" s="115">
        <v>-153</v>
      </c>
      <c r="H6085" s="115">
        <v>0</v>
      </c>
      <c r="I6085" s="115">
        <v>0</v>
      </c>
      <c r="J6085" s="115">
        <v>0</v>
      </c>
      <c r="K6085" s="115">
        <v>0</v>
      </c>
    </row>
    <row r="6086" spans="1:11" x14ac:dyDescent="0.25">
      <c r="B6086" s="115" t="s">
        <v>6517</v>
      </c>
      <c r="D6086" s="115" t="s">
        <v>12156</v>
      </c>
      <c r="E6086" s="115" t="s">
        <v>6518</v>
      </c>
      <c r="F6086" s="115">
        <v>-3524</v>
      </c>
      <c r="G6086" s="115">
        <v>-1910</v>
      </c>
      <c r="H6086" s="115">
        <v>-1593</v>
      </c>
      <c r="I6086" s="115">
        <v>-2372</v>
      </c>
      <c r="J6086" s="115">
        <v>489</v>
      </c>
      <c r="K6086" s="115">
        <v>-208</v>
      </c>
    </row>
    <row r="6087" spans="1:11" x14ac:dyDescent="0.25">
      <c r="B6087" s="115">
        <f>-89   -217</f>
        <v>-306</v>
      </c>
      <c r="D6087" s="115" t="s">
        <v>12157</v>
      </c>
      <c r="E6087" s="115" t="s">
        <v>6519</v>
      </c>
      <c r="F6087" s="115">
        <v>-1575</v>
      </c>
      <c r="G6087" s="115">
        <v>-1030</v>
      </c>
      <c r="H6087" s="115">
        <v>-2304</v>
      </c>
      <c r="I6087" s="115">
        <v>163</v>
      </c>
      <c r="J6087" s="115">
        <v>0</v>
      </c>
      <c r="K6087" s="115">
        <v>3982</v>
      </c>
    </row>
    <row r="6088" spans="1:11" x14ac:dyDescent="0.25">
      <c r="B6088" s="115" t="s">
        <v>6520</v>
      </c>
      <c r="C6088" s="115" t="s">
        <v>1239</v>
      </c>
      <c r="D6088" s="115" t="s">
        <v>12158</v>
      </c>
      <c r="E6088" s="115" t="s">
        <v>6521</v>
      </c>
      <c r="F6088" s="115">
        <v>-287</v>
      </c>
      <c r="G6088" s="115">
        <v>-24</v>
      </c>
      <c r="H6088" s="115">
        <v>-829</v>
      </c>
      <c r="I6088" s="115">
        <v>620</v>
      </c>
      <c r="J6088" s="115">
        <v>-431</v>
      </c>
      <c r="K6088" s="115">
        <v>-261</v>
      </c>
    </row>
    <row r="6089" spans="1:11" x14ac:dyDescent="0.25">
      <c r="A6089" s="115" t="s">
        <v>1239</v>
      </c>
      <c r="B6089" s="115" t="s">
        <v>6522</v>
      </c>
      <c r="D6089" s="115" t="s">
        <v>12159</v>
      </c>
      <c r="E6089" s="115" t="s">
        <v>6523</v>
      </c>
      <c r="F6089" s="115">
        <v>758</v>
      </c>
      <c r="G6089" s="115">
        <v>-14818</v>
      </c>
      <c r="H6089" s="115">
        <v>-1711</v>
      </c>
      <c r="I6089" s="115">
        <v>-1045</v>
      </c>
      <c r="J6089" s="115">
        <v>-3438</v>
      </c>
      <c r="K6089" s="115">
        <v>11504</v>
      </c>
    </row>
    <row r="6090" spans="1:11" x14ac:dyDescent="0.25">
      <c r="A6090" s="115">
        <v>22</v>
      </c>
      <c r="B6090" s="115" t="s">
        <v>6524</v>
      </c>
      <c r="C6090" s="115">
        <v>1</v>
      </c>
      <c r="D6090" s="115" t="s">
        <v>12160</v>
      </c>
      <c r="E6090" s="115" t="s">
        <v>6525</v>
      </c>
      <c r="F6090" s="115">
        <v>23615</v>
      </c>
      <c r="G6090" s="115">
        <v>17376</v>
      </c>
      <c r="H6090" s="115">
        <v>14012</v>
      </c>
      <c r="I6090" s="115">
        <v>12856</v>
      </c>
      <c r="J6090" s="115">
        <v>8931</v>
      </c>
      <c r="K6090" s="115">
        <v>19739</v>
      </c>
    </row>
    <row r="6091" spans="1:11" x14ac:dyDescent="0.25">
      <c r="A6091" s="115">
        <v>49</v>
      </c>
      <c r="B6091" s="115" t="s">
        <v>6526</v>
      </c>
      <c r="C6091" s="115">
        <v>3</v>
      </c>
      <c r="D6091" s="115" t="s">
        <v>12161</v>
      </c>
      <c r="E6091" s="115" t="s">
        <v>6527</v>
      </c>
      <c r="F6091" s="115">
        <v>-364</v>
      </c>
      <c r="G6091" s="115">
        <v>-149</v>
      </c>
      <c r="H6091" s="115">
        <v>-226</v>
      </c>
      <c r="I6091" s="115">
        <v>-383</v>
      </c>
      <c r="J6091" s="115">
        <v>0</v>
      </c>
      <c r="K6091" s="115">
        <v>0</v>
      </c>
    </row>
    <row r="6092" spans="1:11" x14ac:dyDescent="0.25">
      <c r="B6092" s="115" t="s">
        <v>6528</v>
      </c>
      <c r="D6092" s="115" t="s">
        <v>12162</v>
      </c>
      <c r="E6092" s="115" t="s">
        <v>6529</v>
      </c>
      <c r="F6092" s="115">
        <v>40</v>
      </c>
      <c r="G6092" s="115">
        <v>215</v>
      </c>
      <c r="H6092" s="115">
        <v>0</v>
      </c>
      <c r="I6092" s="115">
        <v>0</v>
      </c>
      <c r="J6092" s="115">
        <v>0</v>
      </c>
      <c r="K6092" s="115">
        <v>0</v>
      </c>
    </row>
    <row r="6093" spans="1:11" x14ac:dyDescent="0.25">
      <c r="B6093" s="115" t="s">
        <v>1241</v>
      </c>
      <c r="D6093" s="115" t="s">
        <v>12163</v>
      </c>
      <c r="E6093" s="115" t="s">
        <v>6530</v>
      </c>
      <c r="F6093" s="115">
        <v>0</v>
      </c>
      <c r="G6093" s="115">
        <v>115</v>
      </c>
      <c r="H6093" s="115">
        <v>0</v>
      </c>
      <c r="I6093" s="115">
        <v>111</v>
      </c>
      <c r="J6093" s="115">
        <v>0</v>
      </c>
      <c r="K6093" s="115">
        <v>148</v>
      </c>
    </row>
    <row r="6094" spans="1:11" x14ac:dyDescent="0.25">
      <c r="B6094" s="115" t="s">
        <v>6531</v>
      </c>
      <c r="D6094" s="115" t="s">
        <v>12164</v>
      </c>
      <c r="E6094" s="115" t="s">
        <v>6532</v>
      </c>
      <c r="F6094" s="115">
        <v>-270</v>
      </c>
      <c r="G6094" s="115">
        <v>9</v>
      </c>
      <c r="H6094" s="115">
        <v>-183</v>
      </c>
      <c r="I6094" s="115">
        <v>-576</v>
      </c>
      <c r="J6094" s="115">
        <v>-790</v>
      </c>
      <c r="K6094" s="115">
        <v>0</v>
      </c>
    </row>
    <row r="6095" spans="1:11" x14ac:dyDescent="0.25">
      <c r="B6095" s="115" t="s">
        <v>1865</v>
      </c>
      <c r="D6095" s="115" t="s">
        <v>11526</v>
      </c>
      <c r="E6095" s="115" t="s">
        <v>5563</v>
      </c>
      <c r="F6095" s="115">
        <v>0</v>
      </c>
      <c r="G6095" s="115">
        <v>0</v>
      </c>
      <c r="H6095" s="115">
        <v>-79</v>
      </c>
      <c r="I6095" s="115">
        <v>0</v>
      </c>
      <c r="J6095" s="115">
        <v>0</v>
      </c>
      <c r="K6095" s="115">
        <v>0</v>
      </c>
    </row>
    <row r="6096" spans="1:11" x14ac:dyDescent="0.25">
      <c r="A6096" s="115" t="s">
        <v>1239</v>
      </c>
      <c r="B6096" s="115" t="s">
        <v>3747</v>
      </c>
      <c r="D6096" s="115" t="s">
        <v>12165</v>
      </c>
      <c r="E6096" s="115" t="s">
        <v>6533</v>
      </c>
      <c r="F6096" s="115">
        <v>0</v>
      </c>
      <c r="G6096" s="115">
        <v>0</v>
      </c>
      <c r="H6096" s="115">
        <v>0</v>
      </c>
      <c r="I6096" s="115">
        <v>0</v>
      </c>
      <c r="J6096" s="115">
        <v>569</v>
      </c>
      <c r="K6096" s="115">
        <v>0</v>
      </c>
    </row>
    <row r="6097" spans="1:11" x14ac:dyDescent="0.25">
      <c r="B6097" s="115" t="s">
        <v>6534</v>
      </c>
      <c r="D6097" s="115" t="s">
        <v>12166</v>
      </c>
      <c r="E6097" s="115" t="s">
        <v>6535</v>
      </c>
      <c r="F6097" s="115">
        <v>-13363</v>
      </c>
      <c r="G6097" s="115">
        <v>-892</v>
      </c>
      <c r="H6097" s="115">
        <v>0</v>
      </c>
      <c r="I6097" s="115">
        <v>-631</v>
      </c>
      <c r="J6097" s="115">
        <v>0</v>
      </c>
      <c r="K6097" s="115">
        <v>0</v>
      </c>
    </row>
    <row r="6098" spans="1:11" x14ac:dyDescent="0.25">
      <c r="B6098" s="115" t="s">
        <v>1241</v>
      </c>
      <c r="D6098" s="115" t="s">
        <v>12167</v>
      </c>
      <c r="E6098" s="115" t="s">
        <v>6536</v>
      </c>
      <c r="F6098" s="115">
        <v>120</v>
      </c>
      <c r="G6098" s="115">
        <v>0</v>
      </c>
      <c r="H6098" s="115">
        <v>0</v>
      </c>
      <c r="I6098" s="115">
        <v>-202</v>
      </c>
      <c r="J6098" s="115">
        <v>-76</v>
      </c>
      <c r="K6098" s="115">
        <v>0</v>
      </c>
    </row>
    <row r="6099" spans="1:11" x14ac:dyDescent="0.25">
      <c r="A6099" s="115" t="s">
        <v>1239</v>
      </c>
      <c r="B6099" s="115" t="s">
        <v>6537</v>
      </c>
      <c r="D6099" s="115" t="s">
        <v>12168</v>
      </c>
      <c r="E6099" s="115" t="s">
        <v>6538</v>
      </c>
      <c r="F6099" s="115">
        <v>-291</v>
      </c>
      <c r="G6099" s="115">
        <v>-153</v>
      </c>
      <c r="H6099" s="115">
        <v>-254</v>
      </c>
      <c r="I6099" s="115">
        <v>0</v>
      </c>
      <c r="J6099" s="115">
        <v>0</v>
      </c>
      <c r="K6099" s="115">
        <v>0</v>
      </c>
    </row>
    <row r="6100" spans="1:11" x14ac:dyDescent="0.25">
      <c r="B6100" s="115" t="s">
        <v>1241</v>
      </c>
      <c r="C6100" s="115" t="s">
        <v>1239</v>
      </c>
      <c r="D6100" s="115" t="s">
        <v>12169</v>
      </c>
      <c r="E6100" s="115" t="s">
        <v>6539</v>
      </c>
      <c r="F6100" s="115">
        <v>183</v>
      </c>
      <c r="G6100" s="115">
        <v>113</v>
      </c>
      <c r="H6100" s="115">
        <v>185</v>
      </c>
      <c r="I6100" s="115">
        <v>0</v>
      </c>
      <c r="J6100" s="115">
        <v>-12955</v>
      </c>
      <c r="K6100" s="115">
        <v>992</v>
      </c>
    </row>
    <row r="6101" spans="1:11" x14ac:dyDescent="0.25">
      <c r="A6101" s="115" t="s">
        <v>1239</v>
      </c>
      <c r="B6101" s="115" t="s">
        <v>6540</v>
      </c>
      <c r="D6101" s="115" t="s">
        <v>12170</v>
      </c>
      <c r="E6101" s="115" t="s">
        <v>6541</v>
      </c>
      <c r="F6101" s="115">
        <v>154</v>
      </c>
      <c r="G6101" s="115">
        <v>857</v>
      </c>
      <c r="H6101" s="115">
        <v>1461</v>
      </c>
      <c r="I6101" s="115">
        <v>317</v>
      </c>
      <c r="J6101" s="115">
        <v>0</v>
      </c>
      <c r="K6101" s="115">
        <v>-74</v>
      </c>
    </row>
    <row r="6102" spans="1:11" x14ac:dyDescent="0.25">
      <c r="B6102" s="115" t="s">
        <v>4648</v>
      </c>
      <c r="D6102" s="115" t="s">
        <v>12171</v>
      </c>
      <c r="E6102" s="115" t="s">
        <v>6542</v>
      </c>
      <c r="F6102" s="115">
        <v>283</v>
      </c>
      <c r="G6102" s="115">
        <v>-1000</v>
      </c>
      <c r="H6102" s="115">
        <v>0</v>
      </c>
      <c r="I6102" s="115">
        <v>-544</v>
      </c>
      <c r="J6102" s="115">
        <v>-284</v>
      </c>
      <c r="K6102" s="115">
        <v>381</v>
      </c>
    </row>
    <row r="6103" spans="1:11" x14ac:dyDescent="0.25">
      <c r="B6103" s="115" t="s">
        <v>6543</v>
      </c>
      <c r="D6103" s="115" t="s">
        <v>12172</v>
      </c>
      <c r="E6103" s="115" t="s">
        <v>6544</v>
      </c>
      <c r="F6103" s="115">
        <v>0</v>
      </c>
      <c r="G6103" s="115">
        <v>0</v>
      </c>
      <c r="H6103" s="115">
        <v>-5962</v>
      </c>
      <c r="I6103" s="115">
        <v>0</v>
      </c>
      <c r="J6103" s="115">
        <v>-1490</v>
      </c>
      <c r="K6103" s="115">
        <v>3171</v>
      </c>
    </row>
    <row r="6104" spans="1:11" x14ac:dyDescent="0.25">
      <c r="B6104" s="115" t="s">
        <v>6545</v>
      </c>
      <c r="C6104" s="115">
        <v>-1</v>
      </c>
      <c r="D6104" s="115" t="s">
        <v>12173</v>
      </c>
      <c r="E6104" s="115" t="s">
        <v>6546</v>
      </c>
      <c r="F6104" s="115">
        <v>-886</v>
      </c>
      <c r="G6104" s="115">
        <v>-866</v>
      </c>
      <c r="H6104" s="115">
        <v>252</v>
      </c>
      <c r="I6104" s="115">
        <v>-38</v>
      </c>
      <c r="J6104" s="115">
        <v>-43</v>
      </c>
      <c r="K6104" s="115">
        <v>-1230</v>
      </c>
    </row>
    <row r="6105" spans="1:11" x14ac:dyDescent="0.25">
      <c r="B6105" s="115" t="s">
        <v>6547</v>
      </c>
      <c r="D6105" s="115" t="s">
        <v>12174</v>
      </c>
      <c r="E6105" s="115" t="s">
        <v>6548</v>
      </c>
      <c r="F6105" s="115">
        <v>416</v>
      </c>
      <c r="G6105" s="115">
        <v>-197</v>
      </c>
      <c r="H6105" s="115">
        <v>0</v>
      </c>
      <c r="I6105" s="115">
        <v>982</v>
      </c>
      <c r="J6105" s="115">
        <v>0</v>
      </c>
      <c r="K6105" s="115">
        <v>0</v>
      </c>
    </row>
    <row r="6106" spans="1:11" x14ac:dyDescent="0.25">
      <c r="B6106" s="115" t="s">
        <v>6549</v>
      </c>
      <c r="D6106" s="115" t="s">
        <v>12175</v>
      </c>
      <c r="E6106" s="115" t="s">
        <v>1242</v>
      </c>
      <c r="F6106" s="115">
        <v>-125</v>
      </c>
      <c r="G6106" s="115">
        <v>0</v>
      </c>
      <c r="H6106" s="115">
        <v>0</v>
      </c>
      <c r="I6106" s="115">
        <v>0</v>
      </c>
      <c r="J6106" s="115">
        <v>0</v>
      </c>
      <c r="K6106" s="115">
        <v>0</v>
      </c>
    </row>
    <row r="6107" spans="1:11" x14ac:dyDescent="0.25">
      <c r="A6107" s="115">
        <v>-6</v>
      </c>
      <c r="B6107" s="115" t="s">
        <v>6550</v>
      </c>
      <c r="C6107" s="115" t="s">
        <v>1239</v>
      </c>
      <c r="D6107" s="115" t="s">
        <v>12176</v>
      </c>
      <c r="E6107" s="115" t="s">
        <v>6551</v>
      </c>
      <c r="F6107" s="115">
        <v>910</v>
      </c>
      <c r="G6107" s="115">
        <v>0</v>
      </c>
      <c r="H6107" s="115">
        <v>-15971</v>
      </c>
      <c r="I6107" s="115">
        <v>-325</v>
      </c>
      <c r="J6107" s="115">
        <v>714</v>
      </c>
      <c r="K6107" s="115">
        <v>0</v>
      </c>
    </row>
    <row r="6108" spans="1:11" x14ac:dyDescent="0.25">
      <c r="B6108" s="115" t="s">
        <v>1241</v>
      </c>
      <c r="D6108" s="115" t="s">
        <v>12177</v>
      </c>
      <c r="E6108" s="115" t="s">
        <v>6552</v>
      </c>
      <c r="F6108" s="115">
        <v>1191</v>
      </c>
      <c r="G6108" s="115">
        <v>-730</v>
      </c>
      <c r="H6108" s="115">
        <v>-551</v>
      </c>
      <c r="I6108" s="115">
        <v>0</v>
      </c>
      <c r="J6108" s="115">
        <v>150</v>
      </c>
      <c r="K6108" s="115">
        <v>0</v>
      </c>
    </row>
    <row r="6109" spans="1:11" x14ac:dyDescent="0.25">
      <c r="B6109" s="115" t="s">
        <v>6553</v>
      </c>
      <c r="D6109" s="115" t="s">
        <v>12178</v>
      </c>
      <c r="E6109" s="115" t="s">
        <v>6554</v>
      </c>
      <c r="F6109" s="115">
        <v>0</v>
      </c>
      <c r="G6109" s="115">
        <v>111</v>
      </c>
      <c r="H6109" s="115">
        <v>0</v>
      </c>
      <c r="I6109" s="115">
        <v>0</v>
      </c>
      <c r="J6109" s="115">
        <v>0</v>
      </c>
      <c r="K6109" s="115">
        <v>0</v>
      </c>
    </row>
    <row r="6110" spans="1:11" x14ac:dyDescent="0.25">
      <c r="B6110" s="115" t="s">
        <v>1241</v>
      </c>
      <c r="D6110" s="115" t="s">
        <v>12179</v>
      </c>
      <c r="E6110" s="115" t="s">
        <v>6555</v>
      </c>
      <c r="F6110" s="115">
        <v>-1503</v>
      </c>
      <c r="G6110" s="115">
        <v>0</v>
      </c>
      <c r="H6110" s="115">
        <v>-497</v>
      </c>
      <c r="I6110" s="115">
        <v>-2352</v>
      </c>
      <c r="J6110" s="115">
        <v>-538</v>
      </c>
      <c r="K6110" s="115">
        <v>0</v>
      </c>
    </row>
    <row r="6111" spans="1:11" x14ac:dyDescent="0.25">
      <c r="A6111" s="115">
        <v>-13</v>
      </c>
      <c r="B6111" s="115" t="s">
        <v>6556</v>
      </c>
      <c r="D6111" s="115" t="s">
        <v>12180</v>
      </c>
      <c r="E6111" s="115" t="s">
        <v>6557</v>
      </c>
      <c r="F6111" s="115">
        <v>0</v>
      </c>
      <c r="G6111" s="115">
        <v>0</v>
      </c>
      <c r="H6111" s="115">
        <v>0</v>
      </c>
      <c r="I6111" s="115">
        <v>-958</v>
      </c>
      <c r="J6111" s="115">
        <v>-701</v>
      </c>
      <c r="K6111" s="115">
        <v>234</v>
      </c>
    </row>
    <row r="6112" spans="1:11" x14ac:dyDescent="0.25">
      <c r="B6112" s="115" t="s">
        <v>6558</v>
      </c>
      <c r="D6112" s="115" t="s">
        <v>12181</v>
      </c>
      <c r="E6112" s="115" t="s">
        <v>6559</v>
      </c>
      <c r="F6112" s="115">
        <v>0</v>
      </c>
      <c r="G6112" s="115">
        <v>0</v>
      </c>
      <c r="H6112" s="115">
        <v>0</v>
      </c>
      <c r="I6112" s="115">
        <v>-480</v>
      </c>
      <c r="J6112" s="115">
        <v>0</v>
      </c>
      <c r="K6112" s="115">
        <v>87</v>
      </c>
    </row>
    <row r="6113" spans="1:11" x14ac:dyDescent="0.25">
      <c r="B6113" s="115" t="s">
        <v>1241</v>
      </c>
      <c r="D6113" s="115" t="s">
        <v>12182</v>
      </c>
      <c r="E6113" s="115" t="s">
        <v>6560</v>
      </c>
      <c r="F6113" s="115">
        <v>0</v>
      </c>
      <c r="G6113" s="115">
        <v>0</v>
      </c>
      <c r="H6113" s="115">
        <v>0</v>
      </c>
      <c r="I6113" s="115">
        <v>0</v>
      </c>
      <c r="J6113" s="115">
        <v>-3803</v>
      </c>
      <c r="K6113" s="115">
        <v>0</v>
      </c>
    </row>
    <row r="6114" spans="1:11" x14ac:dyDescent="0.25">
      <c r="A6114" s="115" t="s">
        <v>1239</v>
      </c>
      <c r="B6114" s="115" t="s">
        <v>6561</v>
      </c>
      <c r="D6114" s="115" t="s">
        <v>12183</v>
      </c>
      <c r="E6114" s="115" t="s">
        <v>6562</v>
      </c>
      <c r="F6114" s="115">
        <v>-828</v>
      </c>
      <c r="G6114" s="115">
        <v>-2013</v>
      </c>
      <c r="H6114" s="115">
        <v>-2602</v>
      </c>
      <c r="I6114" s="115">
        <v>-107</v>
      </c>
      <c r="J6114" s="115">
        <v>-191</v>
      </c>
      <c r="K6114" s="115">
        <v>142</v>
      </c>
    </row>
    <row r="6115" spans="1:11" x14ac:dyDescent="0.25">
      <c r="B6115" s="115" t="s">
        <v>1241</v>
      </c>
      <c r="D6115" s="115" t="s">
        <v>12184</v>
      </c>
      <c r="E6115" s="115" t="s">
        <v>6563</v>
      </c>
      <c r="F6115" s="115">
        <v>0</v>
      </c>
      <c r="G6115" s="115">
        <v>0</v>
      </c>
      <c r="H6115" s="115">
        <v>0</v>
      </c>
      <c r="I6115" s="115">
        <v>-1698</v>
      </c>
      <c r="J6115" s="115">
        <v>1937</v>
      </c>
      <c r="K6115" s="115">
        <v>-1008</v>
      </c>
    </row>
    <row r="6116" spans="1:11" x14ac:dyDescent="0.25">
      <c r="B6116" s="115" t="s">
        <v>6564</v>
      </c>
      <c r="D6116" s="115" t="s">
        <v>12185</v>
      </c>
      <c r="E6116" s="115" t="s">
        <v>6565</v>
      </c>
      <c r="F6116" s="115">
        <v>0</v>
      </c>
      <c r="G6116" s="115">
        <v>-2711</v>
      </c>
      <c r="H6116" s="115">
        <v>0</v>
      </c>
      <c r="I6116" s="115">
        <v>576</v>
      </c>
      <c r="J6116" s="115">
        <v>-23276</v>
      </c>
      <c r="K6116" s="115">
        <v>0</v>
      </c>
    </row>
    <row r="6117" spans="1:11" x14ac:dyDescent="0.25">
      <c r="B6117" s="115" t="s">
        <v>1241</v>
      </c>
      <c r="D6117" s="115" t="s">
        <v>12186</v>
      </c>
      <c r="E6117" s="115" t="s">
        <v>6566</v>
      </c>
      <c r="F6117" s="115">
        <v>0</v>
      </c>
      <c r="G6117" s="115">
        <v>-227</v>
      </c>
      <c r="H6117" s="115">
        <v>-45</v>
      </c>
      <c r="I6117" s="115">
        <v>0</v>
      </c>
      <c r="J6117" s="115">
        <v>0</v>
      </c>
      <c r="K6117" s="115">
        <v>0</v>
      </c>
    </row>
    <row r="6118" spans="1:11" x14ac:dyDescent="0.25">
      <c r="B6118" s="115" t="s">
        <v>1241</v>
      </c>
      <c r="D6118" s="115" t="s">
        <v>8710</v>
      </c>
      <c r="E6118" s="115" t="s">
        <v>1242</v>
      </c>
      <c r="F6118" s="115">
        <v>0</v>
      </c>
      <c r="G6118" s="115">
        <v>0</v>
      </c>
      <c r="H6118" s="115">
        <v>0</v>
      </c>
      <c r="I6118" s="115">
        <v>0</v>
      </c>
      <c r="J6118" s="115">
        <v>0</v>
      </c>
      <c r="K6118" s="115">
        <v>0</v>
      </c>
    </row>
    <row r="6119" spans="1:11" x14ac:dyDescent="0.25">
      <c r="B6119" s="115" t="s">
        <v>1241</v>
      </c>
      <c r="D6119" s="115" t="s">
        <v>12187</v>
      </c>
      <c r="E6119" s="115" t="s">
        <v>6567</v>
      </c>
      <c r="F6119" s="115">
        <v>0</v>
      </c>
      <c r="G6119" s="115">
        <v>0</v>
      </c>
      <c r="H6119" s="115">
        <v>0</v>
      </c>
      <c r="I6119" s="115">
        <v>0</v>
      </c>
      <c r="J6119" s="115">
        <v>47</v>
      </c>
      <c r="K6119" s="115">
        <v>-61</v>
      </c>
    </row>
    <row r="6120" spans="1:11" x14ac:dyDescent="0.25">
      <c r="B6120" s="115" t="s">
        <v>6568</v>
      </c>
      <c r="D6120" s="115" t="s">
        <v>12188</v>
      </c>
      <c r="E6120" s="115" t="s">
        <v>6569</v>
      </c>
      <c r="F6120" s="115">
        <v>223</v>
      </c>
      <c r="G6120" s="115">
        <v>250</v>
      </c>
      <c r="H6120" s="115">
        <v>-392</v>
      </c>
      <c r="I6120" s="115">
        <v>-38</v>
      </c>
      <c r="J6120" s="115">
        <v>-78</v>
      </c>
      <c r="K6120" s="115">
        <v>-51</v>
      </c>
    </row>
    <row r="6121" spans="1:11" x14ac:dyDescent="0.25">
      <c r="B6121" s="115" t="s">
        <v>6570</v>
      </c>
      <c r="C6121" s="115" t="s">
        <v>1239</v>
      </c>
      <c r="D6121" s="115" t="s">
        <v>12189</v>
      </c>
      <c r="E6121" s="115" t="s">
        <v>6571</v>
      </c>
      <c r="F6121" s="115">
        <v>-195</v>
      </c>
      <c r="G6121" s="115">
        <v>0</v>
      </c>
      <c r="H6121" s="115">
        <v>105</v>
      </c>
      <c r="I6121" s="115">
        <v>218</v>
      </c>
      <c r="J6121" s="115">
        <v>100</v>
      </c>
      <c r="K6121" s="115">
        <v>364</v>
      </c>
    </row>
    <row r="6122" spans="1:11" x14ac:dyDescent="0.25">
      <c r="A6122" s="115">
        <v>4</v>
      </c>
      <c r="B6122" s="115" t="s">
        <v>6572</v>
      </c>
      <c r="C6122" s="115" t="s">
        <v>1239</v>
      </c>
      <c r="D6122" s="115" t="s">
        <v>12190</v>
      </c>
      <c r="E6122" s="115" t="s">
        <v>6573</v>
      </c>
      <c r="F6122" s="115">
        <v>4777</v>
      </c>
      <c r="G6122" s="115">
        <v>-1432</v>
      </c>
      <c r="H6122" s="115">
        <v>-902</v>
      </c>
      <c r="I6122" s="115">
        <v>132</v>
      </c>
      <c r="J6122" s="115">
        <v>-681</v>
      </c>
      <c r="K6122" s="115">
        <v>-615</v>
      </c>
    </row>
    <row r="6123" spans="1:11" x14ac:dyDescent="0.25">
      <c r="B6123" s="115" t="s">
        <v>6574</v>
      </c>
      <c r="D6123" s="115" t="s">
        <v>12191</v>
      </c>
      <c r="E6123" s="115" t="s">
        <v>6575</v>
      </c>
      <c r="F6123" s="115">
        <v>971</v>
      </c>
      <c r="G6123" s="115">
        <v>-201</v>
      </c>
      <c r="H6123" s="115">
        <v>12577</v>
      </c>
      <c r="I6123" s="115">
        <v>17022</v>
      </c>
      <c r="J6123" s="115">
        <v>26257</v>
      </c>
      <c r="K6123" s="115">
        <v>27347</v>
      </c>
    </row>
    <row r="6124" spans="1:11" x14ac:dyDescent="0.25">
      <c r="A6124" s="115">
        <v>12</v>
      </c>
      <c r="B6124" s="115" t="s">
        <v>6576</v>
      </c>
      <c r="C6124" s="115">
        <v>1</v>
      </c>
      <c r="D6124" s="115" t="s">
        <v>12192</v>
      </c>
      <c r="E6124" s="115" t="s">
        <v>6577</v>
      </c>
      <c r="F6124" s="115">
        <v>18822</v>
      </c>
      <c r="G6124" s="115">
        <v>9470</v>
      </c>
      <c r="H6124" s="115">
        <v>14624</v>
      </c>
      <c r="I6124" s="115">
        <v>53816</v>
      </c>
      <c r="J6124" s="115">
        <v>48237</v>
      </c>
      <c r="K6124" s="115">
        <v>33790</v>
      </c>
    </row>
    <row r="6125" spans="1:11" x14ac:dyDescent="0.25">
      <c r="A6125" s="115">
        <v>47</v>
      </c>
      <c r="B6125" s="115" t="s">
        <v>6578</v>
      </c>
      <c r="D6125" s="115" t="s">
        <v>12193</v>
      </c>
      <c r="E6125" s="115" t="s">
        <v>6579</v>
      </c>
      <c r="F6125" s="115">
        <v>-160</v>
      </c>
      <c r="G6125" s="115">
        <v>-292</v>
      </c>
      <c r="H6125" s="115">
        <v>0</v>
      </c>
      <c r="I6125" s="115">
        <v>0</v>
      </c>
      <c r="J6125" s="115">
        <v>-3</v>
      </c>
      <c r="K6125" s="115">
        <v>0</v>
      </c>
    </row>
    <row r="6126" spans="1:11" x14ac:dyDescent="0.25">
      <c r="B6126" s="115" t="s">
        <v>1241</v>
      </c>
      <c r="D6126" s="115" t="s">
        <v>12194</v>
      </c>
      <c r="E6126" s="115" t="s">
        <v>1242</v>
      </c>
      <c r="F6126" s="115">
        <v>0</v>
      </c>
      <c r="G6126" s="115">
        <v>0</v>
      </c>
      <c r="H6126" s="115">
        <v>0</v>
      </c>
      <c r="I6126" s="115">
        <v>0</v>
      </c>
      <c r="J6126" s="115">
        <v>0</v>
      </c>
      <c r="K6126" s="115">
        <v>0</v>
      </c>
    </row>
    <row r="6127" spans="1:11" x14ac:dyDescent="0.25">
      <c r="B6127" s="115" t="s">
        <v>6580</v>
      </c>
      <c r="D6127" s="115" t="s">
        <v>12195</v>
      </c>
      <c r="E6127" s="115" t="s">
        <v>6581</v>
      </c>
      <c r="F6127" s="115">
        <v>0</v>
      </c>
      <c r="G6127" s="115">
        <v>100</v>
      </c>
      <c r="H6127" s="115">
        <v>0</v>
      </c>
      <c r="I6127" s="115">
        <v>120</v>
      </c>
      <c r="J6127" s="115">
        <v>461</v>
      </c>
      <c r="K6127" s="115">
        <v>-73</v>
      </c>
    </row>
    <row r="6128" spans="1:11" x14ac:dyDescent="0.25">
      <c r="B6128" s="115" t="s">
        <v>2970</v>
      </c>
      <c r="D6128" s="115" t="s">
        <v>12196</v>
      </c>
      <c r="E6128" s="115" t="s">
        <v>6582</v>
      </c>
      <c r="F6128" s="115">
        <v>-83</v>
      </c>
      <c r="G6128" s="115">
        <v>-412</v>
      </c>
      <c r="H6128" s="115">
        <v>-592</v>
      </c>
      <c r="I6128" s="115">
        <v>0</v>
      </c>
      <c r="J6128" s="115">
        <v>105</v>
      </c>
      <c r="K6128" s="115">
        <v>0</v>
      </c>
    </row>
    <row r="6129" spans="1:11" x14ac:dyDescent="0.25">
      <c r="B6129" s="115" t="s">
        <v>1241</v>
      </c>
      <c r="D6129" s="115" t="s">
        <v>12197</v>
      </c>
      <c r="E6129" s="115" t="s">
        <v>6583</v>
      </c>
      <c r="F6129" s="115">
        <v>-35</v>
      </c>
      <c r="G6129" s="115">
        <v>0</v>
      </c>
      <c r="H6129" s="115">
        <v>0</v>
      </c>
      <c r="I6129" s="115">
        <v>0</v>
      </c>
      <c r="J6129" s="115">
        <v>-188</v>
      </c>
      <c r="K6129" s="115">
        <v>0</v>
      </c>
    </row>
    <row r="6130" spans="1:11" x14ac:dyDescent="0.25">
      <c r="B6130" s="115" t="s">
        <v>1763</v>
      </c>
      <c r="D6130" s="115" t="s">
        <v>12198</v>
      </c>
      <c r="E6130" s="115" t="s">
        <v>6584</v>
      </c>
      <c r="F6130" s="115">
        <v>0</v>
      </c>
      <c r="G6130" s="115">
        <v>0</v>
      </c>
      <c r="H6130" s="115">
        <v>456</v>
      </c>
      <c r="I6130" s="115">
        <v>0</v>
      </c>
      <c r="J6130" s="115">
        <v>22</v>
      </c>
      <c r="K6130" s="115">
        <v>529</v>
      </c>
    </row>
    <row r="6131" spans="1:11" x14ac:dyDescent="0.25">
      <c r="B6131" s="115" t="s">
        <v>1241</v>
      </c>
      <c r="C6131" s="115">
        <v>-1</v>
      </c>
      <c r="D6131" s="115" t="s">
        <v>12199</v>
      </c>
      <c r="E6131" s="115" t="s">
        <v>6585</v>
      </c>
      <c r="F6131" s="115">
        <v>0</v>
      </c>
      <c r="G6131" s="115">
        <v>-393</v>
      </c>
      <c r="H6131" s="115">
        <v>0</v>
      </c>
      <c r="I6131" s="115">
        <v>0</v>
      </c>
      <c r="J6131" s="115">
        <v>0</v>
      </c>
      <c r="K6131" s="115">
        <v>0</v>
      </c>
    </row>
    <row r="6132" spans="1:11" x14ac:dyDescent="0.25">
      <c r="B6132" s="115" t="s">
        <v>6586</v>
      </c>
      <c r="D6132" s="115" t="s">
        <v>12200</v>
      </c>
      <c r="E6132" s="115" t="s">
        <v>6587</v>
      </c>
      <c r="F6132" s="115">
        <v>0</v>
      </c>
      <c r="G6132" s="115">
        <v>-198</v>
      </c>
      <c r="H6132" s="115">
        <v>34</v>
      </c>
      <c r="I6132" s="115">
        <v>0</v>
      </c>
      <c r="J6132" s="115">
        <v>-477</v>
      </c>
      <c r="K6132" s="115">
        <v>-115</v>
      </c>
    </row>
    <row r="6133" spans="1:11" x14ac:dyDescent="0.25">
      <c r="A6133" s="115" t="s">
        <v>1239</v>
      </c>
      <c r="B6133" s="115" t="s">
        <v>6588</v>
      </c>
      <c r="D6133" s="115" t="s">
        <v>12201</v>
      </c>
      <c r="E6133" s="115" t="s">
        <v>1242</v>
      </c>
      <c r="F6133" s="115">
        <v>-320</v>
      </c>
      <c r="G6133" s="115">
        <v>0</v>
      </c>
      <c r="H6133" s="115">
        <v>0</v>
      </c>
      <c r="I6133" s="115">
        <v>0</v>
      </c>
      <c r="J6133" s="115">
        <v>0</v>
      </c>
      <c r="K6133" s="115">
        <v>0</v>
      </c>
    </row>
    <row r="6134" spans="1:11" x14ac:dyDescent="0.25">
      <c r="A6134" s="115">
        <v>-1</v>
      </c>
      <c r="B6134" s="115" t="s">
        <v>2077</v>
      </c>
      <c r="D6134" s="115" t="s">
        <v>12202</v>
      </c>
      <c r="E6134" s="115" t="s">
        <v>6589</v>
      </c>
      <c r="F6134" s="115">
        <v>168</v>
      </c>
      <c r="G6134" s="115">
        <v>0</v>
      </c>
      <c r="H6134" s="115">
        <v>-9945</v>
      </c>
      <c r="I6134" s="115">
        <v>796</v>
      </c>
      <c r="J6134" s="115">
        <v>-90</v>
      </c>
      <c r="K6134" s="115">
        <v>871</v>
      </c>
    </row>
    <row r="6135" spans="1:11" x14ac:dyDescent="0.25">
      <c r="B6135" s="115" t="s">
        <v>6590</v>
      </c>
      <c r="D6135" s="115" t="s">
        <v>12203</v>
      </c>
      <c r="E6135" s="115" t="s">
        <v>6591</v>
      </c>
      <c r="F6135" s="115">
        <v>1207</v>
      </c>
      <c r="G6135" s="115">
        <v>346</v>
      </c>
      <c r="H6135" s="115">
        <v>0</v>
      </c>
      <c r="I6135" s="115">
        <v>-176</v>
      </c>
      <c r="J6135" s="115">
        <v>138</v>
      </c>
      <c r="K6135" s="115">
        <v>0</v>
      </c>
    </row>
    <row r="6136" spans="1:11" x14ac:dyDescent="0.25">
      <c r="B6136" s="115" t="s">
        <v>1241</v>
      </c>
      <c r="D6136" s="115" t="s">
        <v>12204</v>
      </c>
      <c r="E6136" s="115" t="s">
        <v>6592</v>
      </c>
      <c r="F6136" s="115">
        <v>0</v>
      </c>
      <c r="G6136" s="115">
        <v>13</v>
      </c>
      <c r="H6136" s="115">
        <v>-544</v>
      </c>
      <c r="I6136" s="115">
        <v>17</v>
      </c>
      <c r="J6136" s="115">
        <v>105</v>
      </c>
      <c r="K6136" s="115">
        <v>0</v>
      </c>
    </row>
    <row r="6137" spans="1:11" x14ac:dyDescent="0.25">
      <c r="B6137" s="115" t="s">
        <v>1241</v>
      </c>
      <c r="D6137" s="115" t="s">
        <v>12205</v>
      </c>
      <c r="E6137" s="115" t="s">
        <v>6593</v>
      </c>
      <c r="F6137" s="115">
        <v>-5608</v>
      </c>
      <c r="G6137" s="115">
        <v>0</v>
      </c>
      <c r="H6137" s="115">
        <v>-1148</v>
      </c>
      <c r="I6137" s="115">
        <v>2747</v>
      </c>
      <c r="J6137" s="115">
        <v>300</v>
      </c>
      <c r="K6137" s="115">
        <v>0</v>
      </c>
    </row>
    <row r="6138" spans="1:11" x14ac:dyDescent="0.25">
      <c r="A6138" s="115">
        <v>-8</v>
      </c>
      <c r="B6138" s="115" t="s">
        <v>6594</v>
      </c>
      <c r="D6138" s="115" t="s">
        <v>12206</v>
      </c>
      <c r="E6138" s="115" t="s">
        <v>6595</v>
      </c>
      <c r="F6138" s="115">
        <v>200</v>
      </c>
      <c r="G6138" s="115">
        <v>117</v>
      </c>
      <c r="H6138" s="115">
        <v>224</v>
      </c>
      <c r="I6138" s="115">
        <v>-590</v>
      </c>
      <c r="J6138" s="115">
        <v>0</v>
      </c>
      <c r="K6138" s="115">
        <v>-60</v>
      </c>
    </row>
    <row r="6139" spans="1:11" x14ac:dyDescent="0.25">
      <c r="B6139" s="115" t="s">
        <v>1241</v>
      </c>
      <c r="D6139" s="115" t="s">
        <v>12207</v>
      </c>
      <c r="E6139" s="115" t="s">
        <v>6596</v>
      </c>
      <c r="F6139" s="115">
        <v>0</v>
      </c>
      <c r="G6139" s="115">
        <v>-82</v>
      </c>
      <c r="H6139" s="115">
        <v>0</v>
      </c>
      <c r="I6139" s="115">
        <v>0</v>
      </c>
      <c r="J6139" s="115">
        <v>32</v>
      </c>
      <c r="K6139" s="115">
        <v>0</v>
      </c>
    </row>
    <row r="6140" spans="1:11" x14ac:dyDescent="0.25">
      <c r="B6140" s="115" t="s">
        <v>6597</v>
      </c>
      <c r="D6140" s="115" t="s">
        <v>12208</v>
      </c>
      <c r="E6140" s="115" t="s">
        <v>6598</v>
      </c>
      <c r="F6140" s="115">
        <v>0</v>
      </c>
      <c r="G6140" s="115">
        <v>0</v>
      </c>
      <c r="H6140" s="115">
        <v>0</v>
      </c>
      <c r="I6140" s="115">
        <v>0</v>
      </c>
      <c r="J6140" s="115">
        <v>-3924</v>
      </c>
      <c r="K6140" s="115">
        <v>0</v>
      </c>
    </row>
    <row r="6141" spans="1:11" x14ac:dyDescent="0.25">
      <c r="A6141" s="115">
        <v>-1</v>
      </c>
      <c r="B6141" s="115" t="s">
        <v>6599</v>
      </c>
      <c r="D6141" s="115" t="s">
        <v>12209</v>
      </c>
      <c r="E6141" s="115" t="s">
        <v>6600</v>
      </c>
      <c r="F6141" s="115">
        <v>-21523</v>
      </c>
      <c r="G6141" s="115">
        <v>-403</v>
      </c>
      <c r="H6141" s="115">
        <v>-663</v>
      </c>
      <c r="I6141" s="115">
        <v>0</v>
      </c>
      <c r="J6141" s="115">
        <v>0</v>
      </c>
      <c r="K6141" s="115">
        <v>0</v>
      </c>
    </row>
    <row r="6142" spans="1:11" x14ac:dyDescent="0.25">
      <c r="B6142" s="115" t="s">
        <v>6601</v>
      </c>
      <c r="D6142" s="115" t="s">
        <v>12210</v>
      </c>
      <c r="E6142" s="115" t="s">
        <v>6602</v>
      </c>
      <c r="F6142" s="115">
        <v>-626</v>
      </c>
      <c r="G6142" s="115">
        <v>0</v>
      </c>
      <c r="H6142" s="115">
        <v>-48</v>
      </c>
      <c r="I6142" s="115">
        <v>0</v>
      </c>
      <c r="J6142" s="115">
        <v>0</v>
      </c>
      <c r="K6142" s="115">
        <v>108</v>
      </c>
    </row>
    <row r="6143" spans="1:11" x14ac:dyDescent="0.25">
      <c r="B6143" s="115" t="s">
        <v>6603</v>
      </c>
      <c r="D6143" s="115" t="s">
        <v>12211</v>
      </c>
      <c r="E6143" s="115" t="s">
        <v>1242</v>
      </c>
      <c r="F6143" s="115">
        <v>0</v>
      </c>
      <c r="G6143" s="115">
        <v>0</v>
      </c>
      <c r="H6143" s="115">
        <v>0</v>
      </c>
      <c r="I6143" s="115">
        <v>0</v>
      </c>
      <c r="J6143" s="115">
        <v>0</v>
      </c>
      <c r="K6143" s="115">
        <v>0</v>
      </c>
    </row>
    <row r="6144" spans="1:11" x14ac:dyDescent="0.25">
      <c r="B6144" s="115" t="s">
        <v>1241</v>
      </c>
      <c r="C6144" s="115" t="s">
        <v>1239</v>
      </c>
      <c r="D6144" s="115" t="s">
        <v>12212</v>
      </c>
      <c r="E6144" s="115" t="s">
        <v>6604</v>
      </c>
      <c r="F6144" s="115">
        <v>-369</v>
      </c>
      <c r="G6144" s="115">
        <v>2851</v>
      </c>
      <c r="H6144" s="115">
        <v>951</v>
      </c>
      <c r="I6144" s="115">
        <v>0</v>
      </c>
      <c r="J6144" s="115">
        <v>-10602</v>
      </c>
      <c r="K6144" s="115">
        <v>437</v>
      </c>
    </row>
    <row r="6145" spans="1:11" x14ac:dyDescent="0.25">
      <c r="B6145" s="115" t="s">
        <v>1241</v>
      </c>
      <c r="D6145" s="115" t="s">
        <v>12213</v>
      </c>
      <c r="E6145" s="115" t="s">
        <v>6605</v>
      </c>
      <c r="F6145" s="115">
        <v>0</v>
      </c>
      <c r="G6145" s="115">
        <v>-828</v>
      </c>
      <c r="H6145" s="115">
        <v>-687</v>
      </c>
      <c r="I6145" s="115">
        <v>212</v>
      </c>
      <c r="J6145" s="115">
        <v>-20</v>
      </c>
      <c r="K6145" s="115">
        <v>101</v>
      </c>
    </row>
    <row r="6146" spans="1:11" x14ac:dyDescent="0.25">
      <c r="A6146" s="115">
        <v>1</v>
      </c>
      <c r="B6146" s="115" t="s">
        <v>1546</v>
      </c>
      <c r="D6146" s="115" t="s">
        <v>12214</v>
      </c>
      <c r="E6146" s="115" t="s">
        <v>6606</v>
      </c>
      <c r="F6146" s="115">
        <v>0</v>
      </c>
      <c r="G6146" s="115">
        <v>-892</v>
      </c>
      <c r="H6146" s="115">
        <v>0</v>
      </c>
      <c r="I6146" s="115">
        <v>-151</v>
      </c>
      <c r="J6146" s="115">
        <v>0</v>
      </c>
      <c r="K6146" s="115">
        <v>0</v>
      </c>
    </row>
    <row r="6147" spans="1:11" x14ac:dyDescent="0.25">
      <c r="A6147" s="115" t="s">
        <v>1239</v>
      </c>
      <c r="B6147" s="115" t="s">
        <v>6607</v>
      </c>
      <c r="D6147" s="115" t="s">
        <v>12215</v>
      </c>
      <c r="E6147" s="115" t="s">
        <v>6608</v>
      </c>
      <c r="F6147" s="115">
        <v>0</v>
      </c>
      <c r="G6147" s="115">
        <v>0</v>
      </c>
      <c r="H6147" s="115">
        <v>-3285</v>
      </c>
      <c r="I6147" s="115">
        <v>0</v>
      </c>
      <c r="J6147" s="115">
        <v>-815</v>
      </c>
      <c r="K6147" s="115">
        <v>-1733</v>
      </c>
    </row>
    <row r="6148" spans="1:11" x14ac:dyDescent="0.25">
      <c r="A6148" s="115" t="s">
        <v>1239</v>
      </c>
      <c r="B6148" s="115" t="s">
        <v>6609</v>
      </c>
      <c r="D6148" s="115" t="s">
        <v>12216</v>
      </c>
      <c r="E6148" s="115" t="s">
        <v>6610</v>
      </c>
      <c r="F6148" s="115">
        <v>-1144</v>
      </c>
      <c r="G6148" s="115">
        <v>-133</v>
      </c>
      <c r="H6148" s="115">
        <v>-53</v>
      </c>
      <c r="I6148" s="115">
        <v>460</v>
      </c>
      <c r="J6148" s="115">
        <v>0</v>
      </c>
      <c r="K6148" s="115">
        <v>0</v>
      </c>
    </row>
    <row r="6149" spans="1:11" x14ac:dyDescent="0.25">
      <c r="B6149" s="115" t="s">
        <v>1241</v>
      </c>
      <c r="D6149" s="115" t="s">
        <v>12217</v>
      </c>
      <c r="E6149" s="115" t="s">
        <v>6611</v>
      </c>
      <c r="F6149" s="115">
        <v>0</v>
      </c>
      <c r="G6149" s="115">
        <v>418</v>
      </c>
      <c r="H6149" s="115">
        <v>1232</v>
      </c>
      <c r="I6149" s="115">
        <v>460</v>
      </c>
      <c r="J6149" s="115">
        <v>62</v>
      </c>
      <c r="K6149" s="115">
        <v>345</v>
      </c>
    </row>
    <row r="6150" spans="1:11" x14ac:dyDescent="0.25">
      <c r="B6150" s="115" t="s">
        <v>5735</v>
      </c>
      <c r="D6150" s="115" t="s">
        <v>12218</v>
      </c>
      <c r="E6150" s="115" t="s">
        <v>6612</v>
      </c>
      <c r="F6150" s="115">
        <v>0</v>
      </c>
      <c r="G6150" s="115">
        <v>375</v>
      </c>
      <c r="H6150" s="115">
        <v>-17713</v>
      </c>
      <c r="I6150" s="115">
        <v>0</v>
      </c>
      <c r="J6150" s="115">
        <v>0</v>
      </c>
      <c r="K6150" s="115">
        <v>0</v>
      </c>
    </row>
    <row r="6151" spans="1:11" x14ac:dyDescent="0.25">
      <c r="B6151" s="115" t="s">
        <v>2034</v>
      </c>
      <c r="D6151" s="115" t="s">
        <v>12219</v>
      </c>
      <c r="E6151" s="115" t="s">
        <v>1242</v>
      </c>
      <c r="F6151" s="115">
        <v>-175</v>
      </c>
      <c r="G6151" s="115">
        <v>0</v>
      </c>
      <c r="H6151" s="115">
        <v>0</v>
      </c>
      <c r="I6151" s="115">
        <v>0</v>
      </c>
      <c r="J6151" s="115">
        <v>0</v>
      </c>
      <c r="K6151" s="115">
        <v>0</v>
      </c>
    </row>
    <row r="6152" spans="1:11" x14ac:dyDescent="0.25">
      <c r="B6152" s="115" t="s">
        <v>1241</v>
      </c>
      <c r="D6152" s="115" t="s">
        <v>8710</v>
      </c>
      <c r="E6152" s="115" t="s">
        <v>1242</v>
      </c>
      <c r="F6152" s="115">
        <v>0</v>
      </c>
      <c r="G6152" s="115">
        <v>0</v>
      </c>
      <c r="H6152" s="115">
        <v>0</v>
      </c>
      <c r="I6152" s="115">
        <v>0</v>
      </c>
      <c r="J6152" s="115">
        <v>0</v>
      </c>
      <c r="K6152" s="115">
        <v>0</v>
      </c>
    </row>
    <row r="6153" spans="1:11" x14ac:dyDescent="0.25">
      <c r="B6153" s="115" t="s">
        <v>6613</v>
      </c>
      <c r="D6153" s="115" t="s">
        <v>12220</v>
      </c>
      <c r="E6153" s="115" t="s">
        <v>6614</v>
      </c>
      <c r="F6153" s="115">
        <v>0</v>
      </c>
      <c r="G6153" s="115">
        <v>0</v>
      </c>
      <c r="H6153" s="115">
        <v>25</v>
      </c>
      <c r="I6153" s="115">
        <v>-108</v>
      </c>
      <c r="J6153" s="115">
        <v>-34</v>
      </c>
      <c r="K6153" s="115">
        <v>272</v>
      </c>
    </row>
    <row r="6154" spans="1:11" x14ac:dyDescent="0.25">
      <c r="A6154" s="115" t="s">
        <v>1239</v>
      </c>
      <c r="B6154" s="115" t="s">
        <v>6615</v>
      </c>
      <c r="D6154" s="115" t="s">
        <v>12221</v>
      </c>
      <c r="E6154" s="115" t="s">
        <v>6616</v>
      </c>
      <c r="F6154" s="115">
        <v>-246</v>
      </c>
      <c r="G6154" s="115">
        <v>-54</v>
      </c>
      <c r="H6154" s="115">
        <v>-101</v>
      </c>
      <c r="I6154" s="115">
        <v>-8</v>
      </c>
      <c r="J6154" s="115">
        <v>113</v>
      </c>
      <c r="K6154" s="115">
        <v>-1115</v>
      </c>
    </row>
    <row r="6155" spans="1:11" x14ac:dyDescent="0.25">
      <c r="A6155" s="115" t="s">
        <v>1239</v>
      </c>
      <c r="B6155" s="115" t="s">
        <v>6617</v>
      </c>
      <c r="D6155" s="115" t="s">
        <v>12222</v>
      </c>
      <c r="E6155" s="115" t="s">
        <v>6618</v>
      </c>
      <c r="F6155" s="115">
        <v>-200</v>
      </c>
      <c r="G6155" s="115">
        <v>-105</v>
      </c>
      <c r="H6155" s="115">
        <v>151</v>
      </c>
      <c r="I6155" s="115">
        <v>216</v>
      </c>
      <c r="J6155" s="115">
        <v>2793</v>
      </c>
      <c r="K6155" s="115">
        <v>-760</v>
      </c>
    </row>
    <row r="6156" spans="1:11" x14ac:dyDescent="0.25">
      <c r="A6156" s="115">
        <v>-2</v>
      </c>
      <c r="B6156" s="115" t="s">
        <v>6619</v>
      </c>
      <c r="D6156" s="115" t="s">
        <v>12223</v>
      </c>
      <c r="E6156" s="115" t="s">
        <v>6620</v>
      </c>
      <c r="F6156" s="115">
        <v>53</v>
      </c>
      <c r="G6156" s="115">
        <v>540</v>
      </c>
      <c r="H6156" s="115">
        <v>2982</v>
      </c>
      <c r="I6156" s="115">
        <v>-1676</v>
      </c>
      <c r="J6156" s="115">
        <v>-1195</v>
      </c>
      <c r="K6156" s="115">
        <v>1212</v>
      </c>
    </row>
    <row r="6157" spans="1:11" x14ac:dyDescent="0.25">
      <c r="A6157" s="115">
        <v>1</v>
      </c>
      <c r="B6157" s="115" t="s">
        <v>6621</v>
      </c>
      <c r="D6157" s="115" t="s">
        <v>12224</v>
      </c>
      <c r="E6157" s="115" t="s">
        <v>6622</v>
      </c>
      <c r="F6157" s="115">
        <v>9483</v>
      </c>
      <c r="G6157" s="115">
        <v>13021</v>
      </c>
      <c r="H6157" s="115">
        <v>19032</v>
      </c>
      <c r="I6157" s="115">
        <v>15446</v>
      </c>
      <c r="J6157" s="115">
        <v>22105</v>
      </c>
      <c r="K6157" s="115">
        <v>13055</v>
      </c>
    </row>
    <row r="6158" spans="1:11" x14ac:dyDescent="0.25">
      <c r="A6158" s="115">
        <v>11</v>
      </c>
      <c r="B6158" s="115" t="s">
        <v>6623</v>
      </c>
      <c r="C6158" s="115">
        <v>1</v>
      </c>
      <c r="D6158" s="115" t="s">
        <v>12225</v>
      </c>
      <c r="E6158" s="115" t="s">
        <v>6624</v>
      </c>
      <c r="F6158" s="115">
        <v>10928</v>
      </c>
      <c r="G6158" s="115">
        <v>43785</v>
      </c>
      <c r="H6158" s="115">
        <v>38276</v>
      </c>
      <c r="I6158" s="115">
        <v>28966</v>
      </c>
      <c r="J6158" s="115">
        <v>38027</v>
      </c>
      <c r="K6158" s="115">
        <v>48846</v>
      </c>
    </row>
    <row r="6159" spans="1:11" x14ac:dyDescent="0.25">
      <c r="A6159" s="115">
        <v>-1</v>
      </c>
      <c r="B6159" s="115" t="s">
        <v>6625</v>
      </c>
      <c r="D6159" s="115" t="s">
        <v>12226</v>
      </c>
      <c r="E6159" s="115" t="s">
        <v>6626</v>
      </c>
      <c r="F6159" s="115">
        <v>-397</v>
      </c>
      <c r="G6159" s="115">
        <v>0</v>
      </c>
      <c r="H6159" s="115">
        <v>0</v>
      </c>
      <c r="I6159" s="115">
        <v>-81</v>
      </c>
      <c r="J6159" s="115">
        <v>0</v>
      </c>
      <c r="K6159" s="115">
        <v>0</v>
      </c>
    </row>
    <row r="6160" spans="1:11" x14ac:dyDescent="0.25">
      <c r="B6160" s="115" t="s">
        <v>6627</v>
      </c>
      <c r="D6160" s="115" t="s">
        <v>12227</v>
      </c>
      <c r="E6160" s="115" t="s">
        <v>6628</v>
      </c>
      <c r="F6160" s="115">
        <v>0</v>
      </c>
      <c r="G6160" s="115">
        <v>0</v>
      </c>
      <c r="H6160" s="115">
        <v>0</v>
      </c>
      <c r="I6160" s="115">
        <v>0</v>
      </c>
      <c r="J6160" s="115">
        <v>0</v>
      </c>
      <c r="K6160" s="115">
        <v>-23</v>
      </c>
    </row>
    <row r="6161" spans="1:11" x14ac:dyDescent="0.25">
      <c r="B6161" s="115" t="s">
        <v>1241</v>
      </c>
      <c r="D6161" s="115" t="s">
        <v>12228</v>
      </c>
      <c r="E6161" s="115" t="s">
        <v>6629</v>
      </c>
      <c r="F6161" s="115">
        <v>85</v>
      </c>
      <c r="G6161" s="115">
        <v>0</v>
      </c>
      <c r="H6161" s="115">
        <v>124</v>
      </c>
      <c r="I6161" s="115">
        <v>720</v>
      </c>
      <c r="J6161" s="115">
        <v>-8</v>
      </c>
      <c r="K6161" s="115">
        <v>0</v>
      </c>
    </row>
    <row r="6162" spans="1:11" x14ac:dyDescent="0.25">
      <c r="A6162" s="115" t="s">
        <v>1239</v>
      </c>
      <c r="B6162" s="115" t="s">
        <v>6630</v>
      </c>
      <c r="D6162" s="115" t="s">
        <v>12229</v>
      </c>
      <c r="E6162" s="115" t="s">
        <v>6631</v>
      </c>
      <c r="F6162" s="115">
        <v>-179</v>
      </c>
      <c r="G6162" s="115">
        <v>-894</v>
      </c>
      <c r="H6162" s="115">
        <v>0</v>
      </c>
      <c r="I6162" s="115">
        <v>101</v>
      </c>
      <c r="J6162" s="115">
        <v>0</v>
      </c>
      <c r="K6162" s="115">
        <v>0</v>
      </c>
    </row>
    <row r="6163" spans="1:11" x14ac:dyDescent="0.25">
      <c r="B6163" s="115" t="s">
        <v>1241</v>
      </c>
      <c r="D6163" s="115" t="s">
        <v>12230</v>
      </c>
      <c r="E6163" s="115" t="s">
        <v>6632</v>
      </c>
      <c r="F6163" s="115">
        <v>0</v>
      </c>
      <c r="G6163" s="115">
        <v>0</v>
      </c>
      <c r="H6163" s="115">
        <v>0</v>
      </c>
      <c r="I6163" s="115">
        <v>-140</v>
      </c>
      <c r="J6163" s="115">
        <v>0</v>
      </c>
      <c r="K6163" s="115">
        <v>-2</v>
      </c>
    </row>
    <row r="6164" spans="1:11" x14ac:dyDescent="0.25">
      <c r="B6164" s="115" t="s">
        <v>1241</v>
      </c>
      <c r="D6164" s="115" t="s">
        <v>12231</v>
      </c>
      <c r="E6164" s="115" t="s">
        <v>6633</v>
      </c>
      <c r="F6164" s="115">
        <v>0</v>
      </c>
      <c r="G6164" s="115">
        <v>579</v>
      </c>
      <c r="H6164" s="115">
        <v>0</v>
      </c>
      <c r="I6164" s="115">
        <v>115</v>
      </c>
      <c r="J6164" s="115">
        <v>505</v>
      </c>
      <c r="K6164" s="115">
        <v>0</v>
      </c>
    </row>
    <row r="6165" spans="1:11" x14ac:dyDescent="0.25">
      <c r="B6165" s="115" t="s">
        <v>6634</v>
      </c>
      <c r="D6165" s="115" t="s">
        <v>12232</v>
      </c>
      <c r="E6165" s="115" t="s">
        <v>6635</v>
      </c>
      <c r="F6165" s="115">
        <v>-380</v>
      </c>
      <c r="G6165" s="115">
        <v>0</v>
      </c>
      <c r="H6165" s="115">
        <v>0</v>
      </c>
      <c r="I6165" s="115">
        <v>0</v>
      </c>
      <c r="J6165" s="115">
        <v>0</v>
      </c>
      <c r="K6165" s="115">
        <v>1023</v>
      </c>
    </row>
    <row r="6166" spans="1:11" x14ac:dyDescent="0.25">
      <c r="B6166" s="115" t="s">
        <v>6636</v>
      </c>
      <c r="D6166" s="115" t="s">
        <v>12233</v>
      </c>
      <c r="E6166" s="115" t="s">
        <v>6637</v>
      </c>
      <c r="F6166" s="115">
        <v>-260</v>
      </c>
      <c r="G6166" s="115">
        <v>88</v>
      </c>
      <c r="H6166" s="115">
        <v>0</v>
      </c>
      <c r="I6166" s="115">
        <v>-654</v>
      </c>
      <c r="J6166" s="115">
        <v>141</v>
      </c>
      <c r="K6166" s="115">
        <v>-151</v>
      </c>
    </row>
    <row r="6167" spans="1:11" x14ac:dyDescent="0.25">
      <c r="B6167" s="115" t="s">
        <v>6638</v>
      </c>
      <c r="D6167" s="115" t="s">
        <v>12234</v>
      </c>
      <c r="E6167" s="115" t="s">
        <v>6639</v>
      </c>
      <c r="F6167" s="115">
        <v>0</v>
      </c>
      <c r="G6167" s="115">
        <v>0</v>
      </c>
      <c r="H6167" s="115">
        <v>0</v>
      </c>
      <c r="I6167" s="115">
        <v>0</v>
      </c>
      <c r="J6167" s="115">
        <v>0</v>
      </c>
      <c r="K6167" s="115">
        <v>-1361</v>
      </c>
    </row>
    <row r="6168" spans="1:11" x14ac:dyDescent="0.25">
      <c r="B6168" s="115" t="s">
        <v>6640</v>
      </c>
      <c r="D6168" s="115" t="s">
        <v>12235</v>
      </c>
      <c r="E6168" s="115" t="s">
        <v>6641</v>
      </c>
      <c r="F6168" s="115">
        <v>0</v>
      </c>
      <c r="G6168" s="115">
        <v>-11849</v>
      </c>
      <c r="H6168" s="115">
        <v>827</v>
      </c>
      <c r="I6168" s="115">
        <v>-1006</v>
      </c>
      <c r="J6168" s="115">
        <v>-25</v>
      </c>
      <c r="K6168" s="115">
        <v>-334</v>
      </c>
    </row>
    <row r="6169" spans="1:11" x14ac:dyDescent="0.25">
      <c r="B6169" s="115" t="s">
        <v>6642</v>
      </c>
      <c r="C6169" s="115" t="s">
        <v>1239</v>
      </c>
      <c r="D6169" s="115" t="s">
        <v>12236</v>
      </c>
      <c r="E6169" s="115" t="s">
        <v>6643</v>
      </c>
      <c r="F6169" s="115">
        <v>967</v>
      </c>
      <c r="G6169" s="115">
        <v>0</v>
      </c>
      <c r="H6169" s="115">
        <v>-1231</v>
      </c>
      <c r="I6169" s="115">
        <v>-241</v>
      </c>
      <c r="J6169" s="115">
        <v>0</v>
      </c>
      <c r="K6169" s="115">
        <v>0</v>
      </c>
    </row>
    <row r="6170" spans="1:11" x14ac:dyDescent="0.25">
      <c r="B6170" s="115" t="s">
        <v>6644</v>
      </c>
      <c r="D6170" s="115" t="s">
        <v>12237</v>
      </c>
      <c r="E6170" s="115" t="s">
        <v>6645</v>
      </c>
      <c r="F6170" s="115">
        <v>28</v>
      </c>
      <c r="G6170" s="115">
        <v>-930</v>
      </c>
      <c r="H6170" s="115">
        <v>-45</v>
      </c>
      <c r="I6170" s="115">
        <v>1220</v>
      </c>
      <c r="J6170" s="115">
        <v>0</v>
      </c>
      <c r="K6170" s="115">
        <v>0</v>
      </c>
    </row>
    <row r="6171" spans="1:11" x14ac:dyDescent="0.25">
      <c r="B6171" s="115" t="s">
        <v>1241</v>
      </c>
      <c r="D6171" s="115" t="s">
        <v>12238</v>
      </c>
      <c r="E6171" s="115" t="s">
        <v>6646</v>
      </c>
      <c r="F6171" s="115">
        <v>0</v>
      </c>
      <c r="G6171" s="115">
        <v>-1367</v>
      </c>
      <c r="H6171" s="115">
        <v>3478</v>
      </c>
      <c r="I6171" s="115">
        <v>581</v>
      </c>
      <c r="J6171" s="115">
        <v>0</v>
      </c>
      <c r="K6171" s="115">
        <v>-10023</v>
      </c>
    </row>
    <row r="6172" spans="1:11" x14ac:dyDescent="0.25">
      <c r="B6172" s="115" t="s">
        <v>6647</v>
      </c>
      <c r="D6172" s="115" t="s">
        <v>12239</v>
      </c>
      <c r="E6172" s="115" t="s">
        <v>6648</v>
      </c>
      <c r="F6172" s="115">
        <v>57</v>
      </c>
      <c r="G6172" s="115">
        <v>283</v>
      </c>
      <c r="H6172" s="115">
        <v>-705</v>
      </c>
      <c r="I6172" s="115">
        <v>0</v>
      </c>
      <c r="J6172" s="115">
        <v>-216</v>
      </c>
      <c r="K6172" s="115">
        <v>0</v>
      </c>
    </row>
    <row r="6173" spans="1:11" x14ac:dyDescent="0.25">
      <c r="B6173" s="115" t="s">
        <v>4019</v>
      </c>
      <c r="D6173" s="115" t="s">
        <v>12240</v>
      </c>
      <c r="E6173" s="115" t="s">
        <v>6649</v>
      </c>
      <c r="F6173" s="115">
        <v>18</v>
      </c>
      <c r="G6173" s="115">
        <v>0</v>
      </c>
      <c r="H6173" s="115">
        <v>0</v>
      </c>
      <c r="I6173" s="115">
        <v>24</v>
      </c>
      <c r="J6173" s="115">
        <v>0</v>
      </c>
      <c r="K6173" s="115">
        <v>120</v>
      </c>
    </row>
    <row r="6174" spans="1:11" x14ac:dyDescent="0.25">
      <c r="B6174" s="115">
        <f>-48    -34</f>
        <v>-82</v>
      </c>
      <c r="D6174" s="115" t="s">
        <v>12241</v>
      </c>
      <c r="E6174" s="115" t="s">
        <v>6650</v>
      </c>
      <c r="F6174" s="115">
        <v>0</v>
      </c>
      <c r="G6174" s="115">
        <v>0</v>
      </c>
      <c r="H6174" s="115">
        <v>0</v>
      </c>
      <c r="I6174" s="115">
        <v>-4788</v>
      </c>
      <c r="J6174" s="115">
        <v>0</v>
      </c>
      <c r="K6174" s="115">
        <v>-1328</v>
      </c>
    </row>
    <row r="6175" spans="1:11" x14ac:dyDescent="0.25">
      <c r="A6175" s="115" t="s">
        <v>1239</v>
      </c>
      <c r="B6175" s="115" t="s">
        <v>6651</v>
      </c>
      <c r="D6175" s="115" t="s">
        <v>12242</v>
      </c>
      <c r="E6175" s="115" t="s">
        <v>6652</v>
      </c>
      <c r="F6175" s="115">
        <v>660</v>
      </c>
      <c r="G6175" s="115">
        <v>794</v>
      </c>
      <c r="H6175" s="115">
        <v>0</v>
      </c>
      <c r="I6175" s="115">
        <v>0</v>
      </c>
      <c r="J6175" s="115">
        <v>0</v>
      </c>
      <c r="K6175" s="115">
        <v>808</v>
      </c>
    </row>
    <row r="6176" spans="1:11" x14ac:dyDescent="0.25">
      <c r="A6176" s="115">
        <v>1</v>
      </c>
      <c r="B6176" s="115" t="s">
        <v>6653</v>
      </c>
      <c r="D6176" s="115" t="s">
        <v>12243</v>
      </c>
      <c r="E6176" s="115" t="s">
        <v>6654</v>
      </c>
      <c r="F6176" s="115">
        <v>0</v>
      </c>
      <c r="G6176" s="115">
        <v>89</v>
      </c>
      <c r="H6176" s="115">
        <v>0</v>
      </c>
      <c r="I6176" s="115">
        <v>0</v>
      </c>
      <c r="J6176" s="115">
        <v>-225</v>
      </c>
      <c r="K6176" s="115">
        <v>0</v>
      </c>
    </row>
    <row r="6177" spans="1:11" x14ac:dyDescent="0.25">
      <c r="B6177" s="115" t="s">
        <v>4997</v>
      </c>
      <c r="D6177" s="115" t="s">
        <v>12244</v>
      </c>
      <c r="E6177" s="115" t="s">
        <v>1242</v>
      </c>
      <c r="F6177" s="115">
        <v>0</v>
      </c>
      <c r="G6177" s="115">
        <v>0</v>
      </c>
      <c r="H6177" s="115">
        <v>0</v>
      </c>
      <c r="I6177" s="115">
        <v>0</v>
      </c>
      <c r="J6177" s="115">
        <v>0</v>
      </c>
      <c r="K6177" s="115">
        <v>0</v>
      </c>
    </row>
    <row r="6178" spans="1:11" x14ac:dyDescent="0.25">
      <c r="B6178" s="115" t="s">
        <v>6655</v>
      </c>
      <c r="D6178" s="115" t="s">
        <v>12245</v>
      </c>
      <c r="E6178" s="115" t="s">
        <v>6656</v>
      </c>
      <c r="F6178" s="115">
        <v>-2456</v>
      </c>
      <c r="G6178" s="115">
        <v>-520</v>
      </c>
      <c r="H6178" s="115">
        <v>0</v>
      </c>
      <c r="I6178" s="115">
        <v>-15118</v>
      </c>
      <c r="J6178" s="115">
        <v>-103</v>
      </c>
      <c r="K6178" s="115">
        <v>0</v>
      </c>
    </row>
    <row r="6179" spans="1:11" x14ac:dyDescent="0.25">
      <c r="B6179" s="115" t="s">
        <v>1241</v>
      </c>
      <c r="D6179" s="115" t="s">
        <v>12246</v>
      </c>
      <c r="E6179" s="115" t="s">
        <v>6657</v>
      </c>
      <c r="F6179" s="115">
        <v>-427</v>
      </c>
      <c r="G6179" s="115">
        <v>2082</v>
      </c>
      <c r="H6179" s="115">
        <v>239</v>
      </c>
      <c r="I6179" s="115">
        <v>-536</v>
      </c>
      <c r="J6179" s="115">
        <v>-622</v>
      </c>
      <c r="K6179" s="115">
        <v>-174</v>
      </c>
    </row>
    <row r="6180" spans="1:11" x14ac:dyDescent="0.25">
      <c r="B6180" s="115" t="s">
        <v>1241</v>
      </c>
      <c r="D6180" s="115" t="s">
        <v>12247</v>
      </c>
      <c r="E6180" s="115" t="s">
        <v>6658</v>
      </c>
      <c r="F6180" s="115">
        <v>-1058</v>
      </c>
      <c r="G6180" s="115">
        <v>0</v>
      </c>
      <c r="H6180" s="115">
        <v>-196</v>
      </c>
      <c r="I6180" s="115">
        <v>0</v>
      </c>
      <c r="J6180" s="115">
        <v>0</v>
      </c>
      <c r="K6180" s="115">
        <v>-594</v>
      </c>
    </row>
    <row r="6181" spans="1:11" x14ac:dyDescent="0.25">
      <c r="A6181" s="115" t="s">
        <v>1239</v>
      </c>
      <c r="B6181" s="115" t="s">
        <v>6659</v>
      </c>
      <c r="D6181" s="115" t="s">
        <v>12248</v>
      </c>
      <c r="E6181" s="115" t="s">
        <v>6660</v>
      </c>
      <c r="F6181" s="115">
        <v>0</v>
      </c>
      <c r="G6181" s="115">
        <v>-5925</v>
      </c>
      <c r="H6181" s="115">
        <v>0</v>
      </c>
      <c r="I6181" s="115">
        <v>-314</v>
      </c>
      <c r="J6181" s="115">
        <v>3328</v>
      </c>
      <c r="K6181" s="115">
        <v>928</v>
      </c>
    </row>
    <row r="6182" spans="1:11" x14ac:dyDescent="0.25">
      <c r="A6182" s="115">
        <v>1</v>
      </c>
      <c r="B6182" s="115" t="s">
        <v>6661</v>
      </c>
      <c r="D6182" s="115" t="s">
        <v>12249</v>
      </c>
      <c r="E6182" s="115" t="s">
        <v>6662</v>
      </c>
      <c r="F6182" s="115">
        <v>275</v>
      </c>
      <c r="G6182" s="115">
        <v>-110</v>
      </c>
      <c r="H6182" s="115">
        <v>-1821</v>
      </c>
      <c r="I6182" s="115">
        <v>0</v>
      </c>
      <c r="J6182" s="115">
        <v>0</v>
      </c>
      <c r="K6182" s="115">
        <v>0</v>
      </c>
    </row>
    <row r="6183" spans="1:11" x14ac:dyDescent="0.25">
      <c r="B6183" s="115" t="s">
        <v>1241</v>
      </c>
      <c r="D6183" s="115" t="s">
        <v>12250</v>
      </c>
      <c r="E6183" s="115" t="s">
        <v>6663</v>
      </c>
      <c r="F6183" s="115">
        <v>-219</v>
      </c>
      <c r="G6183" s="115">
        <v>1387</v>
      </c>
      <c r="H6183" s="115">
        <v>-488</v>
      </c>
      <c r="I6183" s="115">
        <v>0</v>
      </c>
      <c r="J6183" s="115">
        <v>-46</v>
      </c>
      <c r="K6183" s="115">
        <v>293</v>
      </c>
    </row>
    <row r="6184" spans="1:11" x14ac:dyDescent="0.25">
      <c r="B6184" s="115" t="s">
        <v>1241</v>
      </c>
      <c r="D6184" s="115" t="s">
        <v>12251</v>
      </c>
      <c r="E6184" s="115" t="s">
        <v>6664</v>
      </c>
      <c r="F6184" s="115">
        <v>523</v>
      </c>
      <c r="G6184" s="115">
        <v>-20630</v>
      </c>
      <c r="H6184" s="115">
        <v>0</v>
      </c>
      <c r="I6184" s="115">
        <v>0</v>
      </c>
      <c r="J6184" s="115">
        <v>0</v>
      </c>
      <c r="K6184" s="115">
        <v>0</v>
      </c>
    </row>
    <row r="6185" spans="1:11" x14ac:dyDescent="0.25">
      <c r="B6185" s="115" t="s">
        <v>6665</v>
      </c>
      <c r="D6185" s="115" t="s">
        <v>12252</v>
      </c>
      <c r="E6185" s="115" t="s">
        <v>1242</v>
      </c>
      <c r="F6185" s="115">
        <v>0</v>
      </c>
      <c r="G6185" s="115">
        <v>0</v>
      </c>
      <c r="H6185" s="115">
        <v>0</v>
      </c>
      <c r="I6185" s="115">
        <v>0</v>
      </c>
      <c r="J6185" s="115">
        <v>0</v>
      </c>
      <c r="K6185" s="115">
        <v>0</v>
      </c>
    </row>
    <row r="6186" spans="1:11" x14ac:dyDescent="0.25">
      <c r="B6186" s="115" t="s">
        <v>1241</v>
      </c>
      <c r="D6186" s="115" t="s">
        <v>12253</v>
      </c>
      <c r="E6186" s="115" t="s">
        <v>6666</v>
      </c>
      <c r="F6186" s="115">
        <v>0</v>
      </c>
      <c r="G6186" s="115">
        <v>0</v>
      </c>
      <c r="H6186" s="115">
        <v>0</v>
      </c>
      <c r="I6186" s="115">
        <v>0</v>
      </c>
      <c r="J6186" s="115">
        <v>0</v>
      </c>
      <c r="K6186" s="115">
        <v>209</v>
      </c>
    </row>
    <row r="6187" spans="1:11" x14ac:dyDescent="0.25">
      <c r="B6187" s="115" t="s">
        <v>1241</v>
      </c>
      <c r="D6187" s="115" t="s">
        <v>12254</v>
      </c>
      <c r="E6187" s="115" t="s">
        <v>6667</v>
      </c>
      <c r="F6187" s="115">
        <v>0</v>
      </c>
      <c r="G6187" s="115">
        <v>95</v>
      </c>
      <c r="H6187" s="115">
        <v>-78</v>
      </c>
      <c r="I6187" s="115">
        <v>41</v>
      </c>
      <c r="J6187" s="115">
        <v>909</v>
      </c>
      <c r="K6187" s="115">
        <v>-448</v>
      </c>
    </row>
    <row r="6188" spans="1:11" x14ac:dyDescent="0.25">
      <c r="A6188" s="115" t="s">
        <v>1239</v>
      </c>
      <c r="B6188" s="115" t="s">
        <v>6668</v>
      </c>
      <c r="D6188" s="115" t="s">
        <v>12255</v>
      </c>
      <c r="E6188" s="115" t="s">
        <v>6669</v>
      </c>
      <c r="F6188" s="115">
        <v>-295</v>
      </c>
      <c r="G6188" s="115">
        <v>-111</v>
      </c>
      <c r="H6188" s="115">
        <v>-25</v>
      </c>
      <c r="I6188" s="115">
        <v>304</v>
      </c>
      <c r="J6188" s="115">
        <v>364</v>
      </c>
      <c r="K6188" s="115">
        <v>-325</v>
      </c>
    </row>
    <row r="6189" spans="1:11" x14ac:dyDescent="0.25">
      <c r="A6189" s="115">
        <v>-1</v>
      </c>
      <c r="B6189" s="115" t="s">
        <v>6670</v>
      </c>
      <c r="D6189" s="115" t="s">
        <v>12256</v>
      </c>
      <c r="E6189" s="115" t="s">
        <v>6671</v>
      </c>
      <c r="F6189" s="115">
        <v>535</v>
      </c>
      <c r="G6189" s="115">
        <v>549</v>
      </c>
      <c r="H6189" s="115">
        <v>-196</v>
      </c>
      <c r="I6189" s="115">
        <v>4888</v>
      </c>
      <c r="J6189" s="115">
        <v>457</v>
      </c>
      <c r="K6189" s="115">
        <v>-664</v>
      </c>
    </row>
    <row r="6190" spans="1:11" x14ac:dyDescent="0.25">
      <c r="A6190" s="115">
        <v>-2</v>
      </c>
      <c r="B6190" s="115" t="s">
        <v>6672</v>
      </c>
      <c r="D6190" s="115" t="s">
        <v>12257</v>
      </c>
      <c r="E6190" s="115" t="s">
        <v>6673</v>
      </c>
      <c r="F6190" s="115">
        <v>-131</v>
      </c>
      <c r="G6190" s="115">
        <v>-833</v>
      </c>
      <c r="H6190" s="115">
        <v>-255</v>
      </c>
      <c r="I6190" s="115">
        <v>935</v>
      </c>
      <c r="J6190" s="115">
        <v>936</v>
      </c>
      <c r="K6190" s="115">
        <v>4199</v>
      </c>
    </row>
    <row r="6191" spans="1:11" x14ac:dyDescent="0.25">
      <c r="B6191" s="115" t="s">
        <v>6674</v>
      </c>
      <c r="C6191" s="115" t="s">
        <v>1239</v>
      </c>
      <c r="D6191" s="115" t="s">
        <v>12258</v>
      </c>
      <c r="E6191" s="115" t="s">
        <v>6675</v>
      </c>
      <c r="F6191" s="115">
        <v>15200</v>
      </c>
      <c r="G6191" s="115">
        <v>22420</v>
      </c>
      <c r="H6191" s="115">
        <v>17763</v>
      </c>
      <c r="I6191" s="115">
        <v>10668</v>
      </c>
      <c r="J6191" s="115">
        <v>23515</v>
      </c>
      <c r="K6191" s="115">
        <v>13140</v>
      </c>
    </row>
    <row r="6192" spans="1:11" x14ac:dyDescent="0.25">
      <c r="A6192" s="115">
        <v>16</v>
      </c>
      <c r="B6192" s="115" t="s">
        <v>6676</v>
      </c>
      <c r="D6192" s="115" t="s">
        <v>12259</v>
      </c>
      <c r="E6192" s="115" t="s">
        <v>6677</v>
      </c>
      <c r="F6192" s="115">
        <v>49263</v>
      </c>
      <c r="G6192" s="115">
        <v>44854</v>
      </c>
      <c r="H6192" s="115">
        <v>31827</v>
      </c>
      <c r="I6192" s="115">
        <v>45792</v>
      </c>
      <c r="J6192" s="115">
        <v>54662</v>
      </c>
      <c r="K6192" s="115">
        <v>44199</v>
      </c>
    </row>
    <row r="6193" spans="1:11" x14ac:dyDescent="0.25">
      <c r="A6193" s="115">
        <v>-1</v>
      </c>
      <c r="B6193" s="115" t="s">
        <v>6678</v>
      </c>
      <c r="D6193" s="115" t="s">
        <v>12260</v>
      </c>
      <c r="E6193" s="115" t="s">
        <v>6679</v>
      </c>
      <c r="F6193" s="115">
        <v>-281</v>
      </c>
      <c r="G6193" s="115">
        <v>0</v>
      </c>
      <c r="H6193" s="115">
        <v>0</v>
      </c>
      <c r="I6193" s="115">
        <v>2</v>
      </c>
      <c r="J6193" s="115">
        <v>0</v>
      </c>
      <c r="K6193" s="115">
        <v>0</v>
      </c>
    </row>
    <row r="6194" spans="1:11" x14ac:dyDescent="0.25">
      <c r="B6194" s="115" t="s">
        <v>2470</v>
      </c>
      <c r="D6194" s="115" t="s">
        <v>12261</v>
      </c>
      <c r="E6194" s="115" t="s">
        <v>6680</v>
      </c>
      <c r="F6194" s="115">
        <v>0</v>
      </c>
      <c r="G6194" s="115">
        <v>0</v>
      </c>
      <c r="H6194" s="115">
        <v>0</v>
      </c>
      <c r="I6194" s="115">
        <v>0</v>
      </c>
      <c r="J6194" s="115">
        <v>0</v>
      </c>
      <c r="K6194" s="115">
        <v>598</v>
      </c>
    </row>
    <row r="6195" spans="1:11" x14ac:dyDescent="0.25">
      <c r="B6195" s="115" t="s">
        <v>1241</v>
      </c>
      <c r="D6195" s="115" t="s">
        <v>12262</v>
      </c>
      <c r="E6195" s="115" t="s">
        <v>6681</v>
      </c>
      <c r="F6195" s="115">
        <v>71</v>
      </c>
      <c r="G6195" s="115">
        <v>0</v>
      </c>
      <c r="H6195" s="115">
        <v>88</v>
      </c>
      <c r="I6195" s="115">
        <v>387</v>
      </c>
      <c r="J6195" s="115">
        <v>-44</v>
      </c>
      <c r="K6195" s="115">
        <v>0</v>
      </c>
    </row>
    <row r="6196" spans="1:11" x14ac:dyDescent="0.25">
      <c r="A6196" s="115" t="s">
        <v>1239</v>
      </c>
      <c r="B6196" s="115" t="s">
        <v>6682</v>
      </c>
      <c r="D6196" s="115" t="s">
        <v>12263</v>
      </c>
      <c r="E6196" s="115" t="s">
        <v>6683</v>
      </c>
      <c r="F6196" s="115">
        <v>-363</v>
      </c>
      <c r="G6196" s="115">
        <v>-511</v>
      </c>
      <c r="H6196" s="115">
        <v>0</v>
      </c>
      <c r="I6196" s="115">
        <v>85</v>
      </c>
      <c r="J6196" s="115">
        <v>0</v>
      </c>
      <c r="K6196" s="115">
        <v>0</v>
      </c>
    </row>
    <row r="6197" spans="1:11" x14ac:dyDescent="0.25">
      <c r="B6197" s="115" t="s">
        <v>1241</v>
      </c>
      <c r="D6197" s="115" t="s">
        <v>12264</v>
      </c>
      <c r="E6197" s="115" t="s">
        <v>6684</v>
      </c>
      <c r="F6197" s="115">
        <v>0</v>
      </c>
      <c r="G6197" s="115">
        <v>0</v>
      </c>
      <c r="H6197" s="115">
        <v>0</v>
      </c>
      <c r="I6197" s="115">
        <v>-112</v>
      </c>
      <c r="J6197" s="115">
        <v>0</v>
      </c>
      <c r="K6197" s="115">
        <v>9</v>
      </c>
    </row>
    <row r="6198" spans="1:11" x14ac:dyDescent="0.25">
      <c r="B6198" s="115" t="s">
        <v>1241</v>
      </c>
      <c r="D6198" s="115" t="s">
        <v>12265</v>
      </c>
      <c r="E6198" s="115" t="s">
        <v>6685</v>
      </c>
      <c r="F6198" s="115">
        <v>0</v>
      </c>
      <c r="G6198" s="115">
        <v>369</v>
      </c>
      <c r="H6198" s="115">
        <v>0</v>
      </c>
      <c r="I6198" s="115">
        <v>24</v>
      </c>
      <c r="J6198" s="115">
        <v>473</v>
      </c>
      <c r="K6198" s="115">
        <v>0</v>
      </c>
    </row>
    <row r="6199" spans="1:11" x14ac:dyDescent="0.25">
      <c r="B6199" s="115" t="s">
        <v>6686</v>
      </c>
      <c r="D6199" s="115" t="s">
        <v>12266</v>
      </c>
      <c r="E6199" s="115" t="s">
        <v>6687</v>
      </c>
      <c r="F6199" s="115">
        <v>-822</v>
      </c>
      <c r="G6199" s="115">
        <v>0</v>
      </c>
      <c r="H6199" s="115">
        <v>0</v>
      </c>
      <c r="I6199" s="115">
        <v>0</v>
      </c>
      <c r="J6199" s="115">
        <v>0</v>
      </c>
      <c r="K6199" s="115">
        <v>577</v>
      </c>
    </row>
    <row r="6200" spans="1:11" x14ac:dyDescent="0.25">
      <c r="B6200" s="115" t="s">
        <v>6688</v>
      </c>
      <c r="D6200" s="115" t="s">
        <v>12267</v>
      </c>
      <c r="E6200" s="115" t="s">
        <v>6689</v>
      </c>
      <c r="F6200" s="115">
        <v>-172</v>
      </c>
      <c r="G6200" s="115">
        <v>39</v>
      </c>
      <c r="H6200" s="115">
        <v>0</v>
      </c>
      <c r="I6200" s="115">
        <v>-277</v>
      </c>
      <c r="J6200" s="115">
        <v>-95</v>
      </c>
      <c r="K6200" s="115">
        <v>-157</v>
      </c>
    </row>
    <row r="6201" spans="1:11" x14ac:dyDescent="0.25">
      <c r="B6201" s="115" t="s">
        <v>6690</v>
      </c>
      <c r="D6201" s="115" t="s">
        <v>12268</v>
      </c>
      <c r="E6201" s="115" t="s">
        <v>6691</v>
      </c>
      <c r="F6201" s="115">
        <v>0</v>
      </c>
      <c r="G6201" s="115">
        <v>0</v>
      </c>
      <c r="H6201" s="115">
        <v>0</v>
      </c>
      <c r="I6201" s="115">
        <v>0</v>
      </c>
      <c r="J6201" s="115">
        <v>0</v>
      </c>
      <c r="K6201" s="115">
        <v>-968</v>
      </c>
    </row>
    <row r="6202" spans="1:11" x14ac:dyDescent="0.25">
      <c r="B6202" s="115" t="s">
        <v>6692</v>
      </c>
      <c r="D6202" s="115" t="s">
        <v>12269</v>
      </c>
      <c r="E6202" s="115" t="s">
        <v>6693</v>
      </c>
      <c r="F6202" s="115">
        <v>0</v>
      </c>
      <c r="G6202" s="115">
        <v>-7485</v>
      </c>
      <c r="H6202" s="115">
        <v>899</v>
      </c>
      <c r="I6202" s="115">
        <v>103</v>
      </c>
      <c r="J6202" s="115">
        <v>227</v>
      </c>
      <c r="K6202" s="115">
        <v>181</v>
      </c>
    </row>
    <row r="6203" spans="1:11" x14ac:dyDescent="0.25">
      <c r="B6203" s="115" t="s">
        <v>2189</v>
      </c>
      <c r="D6203" s="115" t="s">
        <v>12270</v>
      </c>
      <c r="E6203" s="115" t="s">
        <v>6694</v>
      </c>
      <c r="F6203" s="115">
        <v>48</v>
      </c>
      <c r="G6203" s="115">
        <v>0</v>
      </c>
      <c r="H6203" s="115">
        <v>-68</v>
      </c>
      <c r="I6203" s="115">
        <v>221</v>
      </c>
      <c r="J6203" s="115">
        <v>0</v>
      </c>
      <c r="K6203" s="115">
        <v>0</v>
      </c>
    </row>
    <row r="6204" spans="1:11" x14ac:dyDescent="0.25">
      <c r="B6204" s="115" t="s">
        <v>6695</v>
      </c>
      <c r="D6204" s="115" t="s">
        <v>12271</v>
      </c>
      <c r="E6204" s="115" t="s">
        <v>6696</v>
      </c>
      <c r="F6204" s="115">
        <v>162</v>
      </c>
      <c r="G6204" s="115">
        <v>132</v>
      </c>
      <c r="H6204" s="115">
        <v>-4</v>
      </c>
      <c r="I6204" s="115">
        <v>88</v>
      </c>
      <c r="J6204" s="115">
        <v>0</v>
      </c>
      <c r="K6204" s="115">
        <v>0</v>
      </c>
    </row>
    <row r="6205" spans="1:11" x14ac:dyDescent="0.25">
      <c r="B6205" s="115" t="s">
        <v>1241</v>
      </c>
      <c r="D6205" s="115" t="s">
        <v>12272</v>
      </c>
      <c r="E6205" s="115" t="s">
        <v>6697</v>
      </c>
      <c r="F6205" s="115">
        <v>0</v>
      </c>
      <c r="G6205" s="115">
        <v>-987</v>
      </c>
      <c r="H6205" s="115">
        <v>-319</v>
      </c>
      <c r="I6205" s="115">
        <v>-139</v>
      </c>
      <c r="J6205" s="115">
        <v>0</v>
      </c>
      <c r="K6205" s="115">
        <v>-7454</v>
      </c>
    </row>
    <row r="6206" spans="1:11" x14ac:dyDescent="0.25">
      <c r="B6206" s="115" t="s">
        <v>6698</v>
      </c>
      <c r="D6206" s="115" t="s">
        <v>12273</v>
      </c>
      <c r="E6206" s="115" t="s">
        <v>6699</v>
      </c>
      <c r="F6206" s="115">
        <v>-10</v>
      </c>
      <c r="G6206" s="115">
        <v>120</v>
      </c>
      <c r="H6206" s="115">
        <v>-414</v>
      </c>
      <c r="I6206" s="115">
        <v>0</v>
      </c>
      <c r="J6206" s="115">
        <v>239</v>
      </c>
      <c r="K6206" s="115">
        <v>0</v>
      </c>
    </row>
    <row r="6207" spans="1:11" x14ac:dyDescent="0.25">
      <c r="B6207" s="115" t="s">
        <v>6700</v>
      </c>
      <c r="D6207" s="115" t="s">
        <v>12274</v>
      </c>
      <c r="E6207" s="115" t="s">
        <v>6701</v>
      </c>
      <c r="F6207" s="115">
        <v>925</v>
      </c>
      <c r="G6207" s="115">
        <v>0</v>
      </c>
      <c r="H6207" s="115">
        <v>0</v>
      </c>
      <c r="I6207" s="115">
        <v>69</v>
      </c>
      <c r="J6207" s="115">
        <v>0</v>
      </c>
      <c r="K6207" s="115">
        <v>-385</v>
      </c>
    </row>
    <row r="6208" spans="1:11" x14ac:dyDescent="0.25">
      <c r="B6208" s="115">
        <f>-1    -60</f>
        <v>-61</v>
      </c>
      <c r="D6208" s="115" t="s">
        <v>12275</v>
      </c>
      <c r="E6208" s="115" t="s">
        <v>6702</v>
      </c>
      <c r="F6208" s="115">
        <v>0</v>
      </c>
      <c r="G6208" s="115">
        <v>0</v>
      </c>
      <c r="H6208" s="115">
        <v>0</v>
      </c>
      <c r="I6208" s="115">
        <v>-4810</v>
      </c>
      <c r="J6208" s="115">
        <v>0</v>
      </c>
      <c r="K6208" s="115">
        <v>-670</v>
      </c>
    </row>
    <row r="6209" spans="1:11" x14ac:dyDescent="0.25">
      <c r="A6209" s="115">
        <v>2</v>
      </c>
      <c r="B6209" s="115" t="s">
        <v>6703</v>
      </c>
      <c r="D6209" s="115" t="s">
        <v>12276</v>
      </c>
      <c r="E6209" s="115" t="s">
        <v>6704</v>
      </c>
      <c r="F6209" s="115">
        <v>-504</v>
      </c>
      <c r="G6209" s="115">
        <v>-426</v>
      </c>
      <c r="H6209" s="115">
        <v>0</v>
      </c>
      <c r="I6209" s="115">
        <v>0</v>
      </c>
      <c r="J6209" s="115">
        <v>0</v>
      </c>
      <c r="K6209" s="115">
        <v>878</v>
      </c>
    </row>
    <row r="6210" spans="1:11" x14ac:dyDescent="0.25">
      <c r="A6210" s="115">
        <v>2</v>
      </c>
      <c r="B6210" s="115" t="s">
        <v>6705</v>
      </c>
      <c r="D6210" s="115" t="s">
        <v>12277</v>
      </c>
      <c r="E6210" s="115" t="s">
        <v>6706</v>
      </c>
      <c r="F6210" s="115">
        <v>0</v>
      </c>
      <c r="G6210" s="115">
        <v>-280</v>
      </c>
      <c r="H6210" s="115">
        <v>0</v>
      </c>
      <c r="I6210" s="115">
        <v>0</v>
      </c>
      <c r="J6210" s="115">
        <v>-498</v>
      </c>
      <c r="K6210" s="115">
        <v>0</v>
      </c>
    </row>
    <row r="6211" spans="1:11" x14ac:dyDescent="0.25">
      <c r="A6211" s="115" t="s">
        <v>1239</v>
      </c>
      <c r="B6211" s="115" t="s">
        <v>6707</v>
      </c>
      <c r="D6211" s="115" t="s">
        <v>12278</v>
      </c>
      <c r="E6211" s="115" t="s">
        <v>1242</v>
      </c>
      <c r="F6211" s="115">
        <v>0</v>
      </c>
      <c r="G6211" s="115">
        <v>0</v>
      </c>
      <c r="H6211" s="115">
        <v>0</v>
      </c>
      <c r="I6211" s="115">
        <v>0</v>
      </c>
      <c r="J6211" s="115">
        <v>0</v>
      </c>
      <c r="K6211" s="115">
        <v>0</v>
      </c>
    </row>
    <row r="6212" spans="1:11" x14ac:dyDescent="0.25">
      <c r="B6212" s="115" t="s">
        <v>6708</v>
      </c>
      <c r="D6212" s="115" t="s">
        <v>12279</v>
      </c>
      <c r="E6212" s="115" t="s">
        <v>6709</v>
      </c>
      <c r="F6212" s="115">
        <v>1951</v>
      </c>
      <c r="G6212" s="115">
        <v>850</v>
      </c>
      <c r="H6212" s="115">
        <v>0</v>
      </c>
      <c r="I6212" s="115">
        <v>-8854</v>
      </c>
      <c r="J6212" s="115">
        <v>272</v>
      </c>
      <c r="K6212" s="115">
        <v>0</v>
      </c>
    </row>
    <row r="6213" spans="1:11" x14ac:dyDescent="0.25">
      <c r="B6213" s="115" t="s">
        <v>1241</v>
      </c>
      <c r="D6213" s="115" t="s">
        <v>12280</v>
      </c>
      <c r="E6213" s="115" t="s">
        <v>6710</v>
      </c>
      <c r="F6213" s="115">
        <v>-439</v>
      </c>
      <c r="G6213" s="115">
        <v>-338</v>
      </c>
      <c r="H6213" s="115">
        <v>169</v>
      </c>
      <c r="I6213" s="115">
        <v>-39</v>
      </c>
      <c r="J6213" s="115">
        <v>80</v>
      </c>
      <c r="K6213" s="115">
        <v>762</v>
      </c>
    </row>
    <row r="6214" spans="1:11" x14ac:dyDescent="0.25">
      <c r="B6214" s="115" t="s">
        <v>1241</v>
      </c>
      <c r="D6214" s="115" t="s">
        <v>12281</v>
      </c>
      <c r="E6214" s="115" t="s">
        <v>6711</v>
      </c>
      <c r="F6214" s="115">
        <v>-569</v>
      </c>
      <c r="G6214" s="115">
        <v>0</v>
      </c>
      <c r="H6214" s="115">
        <v>45</v>
      </c>
      <c r="I6214" s="115">
        <v>0</v>
      </c>
      <c r="J6214" s="115">
        <v>0</v>
      </c>
      <c r="K6214" s="115">
        <v>43</v>
      </c>
    </row>
    <row r="6215" spans="1:11" x14ac:dyDescent="0.25">
      <c r="B6215" s="115" t="s">
        <v>6712</v>
      </c>
      <c r="D6215" s="115" t="s">
        <v>12282</v>
      </c>
      <c r="E6215" s="115" t="s">
        <v>6713</v>
      </c>
      <c r="F6215" s="115">
        <v>0</v>
      </c>
      <c r="G6215" s="115">
        <v>-2537</v>
      </c>
      <c r="H6215" s="115">
        <v>0</v>
      </c>
      <c r="I6215" s="115">
        <v>-607</v>
      </c>
      <c r="J6215" s="115">
        <v>-1346</v>
      </c>
      <c r="K6215" s="115">
        <v>-128</v>
      </c>
    </row>
    <row r="6216" spans="1:11" x14ac:dyDescent="0.25">
      <c r="A6216" s="115" t="s">
        <v>1239</v>
      </c>
      <c r="B6216" s="115" t="s">
        <v>6714</v>
      </c>
      <c r="D6216" s="115" t="s">
        <v>12283</v>
      </c>
      <c r="E6216" s="115" t="s">
        <v>6715</v>
      </c>
      <c r="F6216" s="115">
        <v>-74</v>
      </c>
      <c r="G6216" s="115">
        <v>29</v>
      </c>
      <c r="H6216" s="115">
        <v>485</v>
      </c>
      <c r="I6216" s="115">
        <v>0</v>
      </c>
      <c r="J6216" s="115">
        <v>0</v>
      </c>
      <c r="K6216" s="115">
        <v>0</v>
      </c>
    </row>
    <row r="6217" spans="1:11" x14ac:dyDescent="0.25">
      <c r="B6217" s="115" t="s">
        <v>1241</v>
      </c>
      <c r="D6217" s="115" t="s">
        <v>12284</v>
      </c>
      <c r="E6217" s="115" t="s">
        <v>6716</v>
      </c>
      <c r="F6217" s="115">
        <v>-229</v>
      </c>
      <c r="G6217" s="115">
        <v>704</v>
      </c>
      <c r="H6217" s="115">
        <v>225</v>
      </c>
      <c r="I6217" s="115">
        <v>194</v>
      </c>
      <c r="J6217" s="115">
        <v>-144</v>
      </c>
      <c r="K6217" s="115">
        <v>113</v>
      </c>
    </row>
    <row r="6218" spans="1:11" x14ac:dyDescent="0.25">
      <c r="B6218" s="115" t="s">
        <v>1241</v>
      </c>
      <c r="C6218" s="115" t="s">
        <v>1239</v>
      </c>
      <c r="D6218" s="115" t="s">
        <v>12285</v>
      </c>
      <c r="E6218" s="115" t="s">
        <v>6717</v>
      </c>
      <c r="F6218" s="115">
        <v>277</v>
      </c>
      <c r="G6218" s="115">
        <v>-14881</v>
      </c>
      <c r="H6218" s="115">
        <v>0</v>
      </c>
      <c r="I6218" s="115">
        <v>0</v>
      </c>
      <c r="J6218" s="115">
        <v>0</v>
      </c>
      <c r="K6218" s="115">
        <v>0</v>
      </c>
    </row>
    <row r="6219" spans="1:11" x14ac:dyDescent="0.25">
      <c r="A6219" s="115" t="s">
        <v>1239</v>
      </c>
      <c r="B6219" s="115" t="s">
        <v>1350</v>
      </c>
      <c r="D6219" s="115" t="s">
        <v>12286</v>
      </c>
      <c r="E6219" s="115" t="s">
        <v>1242</v>
      </c>
      <c r="F6219" s="115">
        <v>0</v>
      </c>
      <c r="G6219" s="115">
        <v>0</v>
      </c>
      <c r="H6219" s="115">
        <v>0</v>
      </c>
      <c r="I6219" s="115">
        <v>0</v>
      </c>
      <c r="J6219" s="115">
        <v>0</v>
      </c>
      <c r="K6219" s="115">
        <v>0</v>
      </c>
    </row>
    <row r="6220" spans="1:11" x14ac:dyDescent="0.25">
      <c r="B6220" s="115" t="s">
        <v>1241</v>
      </c>
      <c r="D6220" s="115" t="s">
        <v>12287</v>
      </c>
      <c r="E6220" s="115" t="s">
        <v>6718</v>
      </c>
      <c r="F6220" s="115">
        <v>0</v>
      </c>
      <c r="G6220" s="115">
        <v>0</v>
      </c>
      <c r="H6220" s="115">
        <v>0</v>
      </c>
      <c r="I6220" s="115">
        <v>0</v>
      </c>
      <c r="J6220" s="115">
        <v>0</v>
      </c>
      <c r="K6220" s="115">
        <v>91</v>
      </c>
    </row>
    <row r="6221" spans="1:11" x14ac:dyDescent="0.25">
      <c r="B6221" s="115" t="s">
        <v>1241</v>
      </c>
      <c r="D6221" s="115" t="s">
        <v>12288</v>
      </c>
      <c r="E6221" s="115" t="s">
        <v>6719</v>
      </c>
      <c r="F6221" s="115">
        <v>0</v>
      </c>
      <c r="G6221" s="115">
        <v>55</v>
      </c>
      <c r="H6221" s="115">
        <v>-82</v>
      </c>
      <c r="I6221" s="115">
        <v>-41</v>
      </c>
      <c r="J6221" s="115">
        <v>-39</v>
      </c>
      <c r="K6221" s="115">
        <v>-1382</v>
      </c>
    </row>
    <row r="6222" spans="1:11" x14ac:dyDescent="0.25">
      <c r="A6222" s="115">
        <v>-1</v>
      </c>
      <c r="B6222" s="115" t="s">
        <v>6720</v>
      </c>
      <c r="D6222" s="115" t="s">
        <v>12289</v>
      </c>
      <c r="E6222" s="115" t="s">
        <v>6721</v>
      </c>
      <c r="F6222" s="115">
        <v>2</v>
      </c>
      <c r="G6222" s="115">
        <v>-70</v>
      </c>
      <c r="H6222" s="115">
        <v>4</v>
      </c>
      <c r="I6222" s="115">
        <v>-30</v>
      </c>
      <c r="J6222" s="115">
        <v>-1110</v>
      </c>
      <c r="K6222" s="115">
        <v>-709</v>
      </c>
    </row>
    <row r="6223" spans="1:11" x14ac:dyDescent="0.25">
      <c r="A6223" s="115" t="s">
        <v>1239</v>
      </c>
      <c r="B6223" s="115" t="s">
        <v>6722</v>
      </c>
      <c r="D6223" s="115" t="s">
        <v>12290</v>
      </c>
      <c r="E6223" s="115" t="s">
        <v>6723</v>
      </c>
      <c r="F6223" s="115">
        <v>-380</v>
      </c>
      <c r="G6223" s="115">
        <v>-451</v>
      </c>
      <c r="H6223" s="115">
        <v>541</v>
      </c>
      <c r="I6223" s="115">
        <v>1296</v>
      </c>
      <c r="J6223" s="115">
        <v>-321</v>
      </c>
      <c r="K6223" s="115">
        <v>-507</v>
      </c>
    </row>
    <row r="6224" spans="1:11" x14ac:dyDescent="0.25">
      <c r="B6224" s="115" t="s">
        <v>6724</v>
      </c>
      <c r="C6224" s="115" t="s">
        <v>1239</v>
      </c>
      <c r="D6224" s="115" t="s">
        <v>12291</v>
      </c>
      <c r="E6224" s="115" t="s">
        <v>6725</v>
      </c>
      <c r="F6224" s="115">
        <v>1735</v>
      </c>
      <c r="G6224" s="115">
        <v>1367</v>
      </c>
      <c r="H6224" s="115">
        <v>-2877</v>
      </c>
      <c r="I6224" s="115">
        <v>-4352</v>
      </c>
      <c r="J6224" s="115">
        <v>4190</v>
      </c>
      <c r="K6224" s="115">
        <v>839</v>
      </c>
    </row>
    <row r="6225" spans="1:11" x14ac:dyDescent="0.25">
      <c r="B6225" s="115" t="s">
        <v>6726</v>
      </c>
      <c r="D6225" s="115" t="s">
        <v>12292</v>
      </c>
      <c r="E6225" s="115" t="s">
        <v>6727</v>
      </c>
      <c r="F6225" s="115">
        <v>11618</v>
      </c>
      <c r="G6225" s="115">
        <v>13151</v>
      </c>
      <c r="H6225" s="115">
        <v>17065</v>
      </c>
      <c r="I6225" s="115">
        <v>18007</v>
      </c>
      <c r="J6225" s="115">
        <v>11476</v>
      </c>
      <c r="K6225" s="115">
        <v>9915</v>
      </c>
    </row>
    <row r="6226" spans="1:11" x14ac:dyDescent="0.25">
      <c r="A6226" s="115">
        <v>10</v>
      </c>
      <c r="B6226" s="115" t="s">
        <v>6728</v>
      </c>
      <c r="C6226" s="115">
        <v>1</v>
      </c>
      <c r="D6226" s="115" t="s">
        <v>12293</v>
      </c>
      <c r="E6226" s="115" t="s">
        <v>6729</v>
      </c>
      <c r="F6226" s="115">
        <v>34298</v>
      </c>
      <c r="G6226" s="115">
        <v>34702</v>
      </c>
      <c r="H6226" s="115">
        <v>27115</v>
      </c>
      <c r="I6226" s="115">
        <v>31510</v>
      </c>
      <c r="J6226" s="115">
        <v>37933</v>
      </c>
      <c r="K6226" s="115">
        <v>33583</v>
      </c>
    </row>
    <row r="6227" spans="1:11" x14ac:dyDescent="0.25">
      <c r="A6227" s="115">
        <v>35</v>
      </c>
      <c r="B6227" s="115" t="s">
        <v>6730</v>
      </c>
      <c r="D6227" s="115" t="s">
        <v>12294</v>
      </c>
      <c r="E6227" s="115" t="s">
        <v>6731</v>
      </c>
      <c r="F6227" s="115">
        <v>-294</v>
      </c>
      <c r="G6227" s="115">
        <v>-446</v>
      </c>
      <c r="H6227" s="115">
        <v>0</v>
      </c>
      <c r="I6227" s="115">
        <v>0</v>
      </c>
      <c r="J6227" s="115">
        <v>-15</v>
      </c>
      <c r="K6227" s="115">
        <v>0</v>
      </c>
    </row>
    <row r="6228" spans="1:11" x14ac:dyDescent="0.25">
      <c r="B6228" s="115" t="s">
        <v>1241</v>
      </c>
      <c r="D6228" s="115" t="s">
        <v>12295</v>
      </c>
      <c r="E6228" s="115" t="s">
        <v>1242</v>
      </c>
      <c r="F6228" s="115">
        <v>0</v>
      </c>
      <c r="G6228" s="115">
        <v>0</v>
      </c>
      <c r="H6228" s="115">
        <v>0</v>
      </c>
      <c r="I6228" s="115">
        <v>0</v>
      </c>
      <c r="J6228" s="115">
        <v>0</v>
      </c>
      <c r="K6228" s="115">
        <v>0</v>
      </c>
    </row>
    <row r="6229" spans="1:11" x14ac:dyDescent="0.25">
      <c r="B6229" s="115" t="s">
        <v>6732</v>
      </c>
      <c r="D6229" s="115" t="s">
        <v>12296</v>
      </c>
      <c r="E6229" s="115" t="s">
        <v>6733</v>
      </c>
      <c r="F6229" s="115">
        <v>0</v>
      </c>
      <c r="G6229" s="115">
        <v>78</v>
      </c>
      <c r="H6229" s="115">
        <v>0</v>
      </c>
      <c r="I6229" s="115">
        <v>127</v>
      </c>
      <c r="J6229" s="115">
        <v>655</v>
      </c>
      <c r="K6229" s="115">
        <v>5</v>
      </c>
    </row>
    <row r="6230" spans="1:11" x14ac:dyDescent="0.25">
      <c r="B6230" s="115" t="s">
        <v>6734</v>
      </c>
      <c r="D6230" s="115" t="s">
        <v>12297</v>
      </c>
      <c r="E6230" s="115" t="s">
        <v>6735</v>
      </c>
      <c r="F6230" s="115">
        <v>-218</v>
      </c>
      <c r="G6230" s="115">
        <v>-333</v>
      </c>
      <c r="H6230" s="115">
        <v>-857</v>
      </c>
      <c r="I6230" s="115">
        <v>0</v>
      </c>
      <c r="J6230" s="115">
        <v>101</v>
      </c>
      <c r="K6230" s="115">
        <v>0</v>
      </c>
    </row>
    <row r="6231" spans="1:11" x14ac:dyDescent="0.25">
      <c r="B6231" s="115" t="s">
        <v>1241</v>
      </c>
      <c r="D6231" s="115" t="s">
        <v>12298</v>
      </c>
      <c r="E6231" s="115" t="s">
        <v>6736</v>
      </c>
      <c r="F6231" s="115">
        <v>-47</v>
      </c>
      <c r="G6231" s="115">
        <v>0</v>
      </c>
      <c r="H6231" s="115">
        <v>0</v>
      </c>
      <c r="I6231" s="115">
        <v>0</v>
      </c>
      <c r="J6231" s="115">
        <v>-78</v>
      </c>
      <c r="K6231" s="115">
        <v>0</v>
      </c>
    </row>
    <row r="6232" spans="1:11" x14ac:dyDescent="0.25">
      <c r="B6232" s="115" t="s">
        <v>6737</v>
      </c>
      <c r="D6232" s="115" t="s">
        <v>12299</v>
      </c>
      <c r="E6232" s="115" t="s">
        <v>6738</v>
      </c>
      <c r="F6232" s="115">
        <v>0</v>
      </c>
      <c r="G6232" s="115">
        <v>0</v>
      </c>
      <c r="H6232" s="115">
        <v>581</v>
      </c>
      <c r="I6232" s="115">
        <v>0</v>
      </c>
      <c r="J6232" s="115">
        <v>106</v>
      </c>
      <c r="K6232" s="115">
        <v>527</v>
      </c>
    </row>
    <row r="6233" spans="1:11" x14ac:dyDescent="0.25">
      <c r="B6233" s="115" t="s">
        <v>1241</v>
      </c>
      <c r="C6233" s="115">
        <v>-1</v>
      </c>
      <c r="D6233" s="115" t="s">
        <v>12300</v>
      </c>
      <c r="E6233" s="115" t="s">
        <v>6739</v>
      </c>
      <c r="F6233" s="115">
        <v>0</v>
      </c>
      <c r="G6233" s="115">
        <v>-1022</v>
      </c>
      <c r="H6233" s="115">
        <v>0</v>
      </c>
      <c r="I6233" s="115">
        <v>0</v>
      </c>
      <c r="J6233" s="115">
        <v>0</v>
      </c>
      <c r="K6233" s="115">
        <v>0</v>
      </c>
    </row>
    <row r="6234" spans="1:11" x14ac:dyDescent="0.25">
      <c r="B6234" s="115" t="s">
        <v>6740</v>
      </c>
      <c r="D6234" s="115" t="s">
        <v>12301</v>
      </c>
      <c r="E6234" s="115" t="s">
        <v>6741</v>
      </c>
      <c r="F6234" s="115">
        <v>0</v>
      </c>
      <c r="G6234" s="115">
        <v>-303</v>
      </c>
      <c r="H6234" s="115">
        <v>97</v>
      </c>
      <c r="I6234" s="115">
        <v>0</v>
      </c>
      <c r="J6234" s="115">
        <v>-592</v>
      </c>
      <c r="K6234" s="115">
        <v>158</v>
      </c>
    </row>
    <row r="6235" spans="1:11" x14ac:dyDescent="0.25">
      <c r="A6235" s="115" t="s">
        <v>1239</v>
      </c>
      <c r="B6235" s="115" t="s">
        <v>6742</v>
      </c>
      <c r="D6235" s="115" t="s">
        <v>12302</v>
      </c>
      <c r="E6235" s="115" t="s">
        <v>1242</v>
      </c>
      <c r="F6235" s="115">
        <v>-540</v>
      </c>
      <c r="G6235" s="115">
        <v>0</v>
      </c>
      <c r="H6235" s="115">
        <v>0</v>
      </c>
      <c r="I6235" s="115">
        <v>0</v>
      </c>
      <c r="J6235" s="115">
        <v>0</v>
      </c>
      <c r="K6235" s="115">
        <v>0</v>
      </c>
    </row>
    <row r="6236" spans="1:11" x14ac:dyDescent="0.25">
      <c r="A6236" s="115">
        <v>-1</v>
      </c>
      <c r="B6236" s="115" t="s">
        <v>4133</v>
      </c>
      <c r="D6236" s="115" t="s">
        <v>12303</v>
      </c>
      <c r="E6236" s="115" t="s">
        <v>6743</v>
      </c>
      <c r="F6236" s="115">
        <v>329</v>
      </c>
      <c r="G6236" s="115">
        <v>0</v>
      </c>
      <c r="H6236" s="115">
        <v>-10703</v>
      </c>
      <c r="I6236" s="115">
        <v>1059</v>
      </c>
      <c r="J6236" s="115">
        <v>118</v>
      </c>
      <c r="K6236" s="115">
        <v>145</v>
      </c>
    </row>
    <row r="6237" spans="1:11" x14ac:dyDescent="0.25">
      <c r="A6237" s="115" t="s">
        <v>1239</v>
      </c>
      <c r="B6237" s="115" t="s">
        <v>4654</v>
      </c>
      <c r="D6237" s="115" t="s">
        <v>12304</v>
      </c>
      <c r="E6237" s="115" t="s">
        <v>6744</v>
      </c>
      <c r="F6237" s="115">
        <v>942</v>
      </c>
      <c r="G6237" s="115">
        <v>-60</v>
      </c>
      <c r="H6237" s="115">
        <v>0</v>
      </c>
      <c r="I6237" s="115">
        <v>-50</v>
      </c>
      <c r="J6237" s="115">
        <v>104</v>
      </c>
      <c r="K6237" s="115">
        <v>0</v>
      </c>
    </row>
    <row r="6238" spans="1:11" x14ac:dyDescent="0.25">
      <c r="B6238" s="115" t="s">
        <v>1241</v>
      </c>
      <c r="D6238" s="115" t="s">
        <v>12305</v>
      </c>
      <c r="E6238" s="115" t="s">
        <v>6745</v>
      </c>
      <c r="F6238" s="115">
        <v>0</v>
      </c>
      <c r="G6238" s="115">
        <v>88</v>
      </c>
      <c r="H6238" s="115">
        <v>175</v>
      </c>
      <c r="I6238" s="115">
        <v>-8</v>
      </c>
      <c r="J6238" s="115">
        <v>-117</v>
      </c>
      <c r="K6238" s="115">
        <v>0</v>
      </c>
    </row>
    <row r="6239" spans="1:11" x14ac:dyDescent="0.25">
      <c r="B6239" s="115" t="s">
        <v>1241</v>
      </c>
      <c r="D6239" s="115" t="s">
        <v>12306</v>
      </c>
      <c r="E6239" s="115" t="s">
        <v>6746</v>
      </c>
      <c r="F6239" s="115">
        <v>-5348</v>
      </c>
      <c r="G6239" s="115">
        <v>0</v>
      </c>
      <c r="H6239" s="115">
        <v>-1616</v>
      </c>
      <c r="I6239" s="115">
        <v>-226</v>
      </c>
      <c r="J6239" s="115">
        <v>-67</v>
      </c>
      <c r="K6239" s="115">
        <v>0</v>
      </c>
    </row>
    <row r="6240" spans="1:11" x14ac:dyDescent="0.25">
      <c r="A6240" s="115">
        <v>-13</v>
      </c>
      <c r="B6240" s="115" t="s">
        <v>6747</v>
      </c>
      <c r="D6240" s="115" t="s">
        <v>12307</v>
      </c>
      <c r="E6240" s="115" t="s">
        <v>6748</v>
      </c>
      <c r="F6240" s="115">
        <v>387</v>
      </c>
      <c r="G6240" s="115">
        <v>-361</v>
      </c>
      <c r="H6240" s="115">
        <v>-545</v>
      </c>
      <c r="I6240" s="115">
        <v>-2226</v>
      </c>
      <c r="J6240" s="115">
        <v>0</v>
      </c>
      <c r="K6240" s="115">
        <v>1021</v>
      </c>
    </row>
    <row r="6241" spans="1:11" x14ac:dyDescent="0.25">
      <c r="B6241" s="115" t="s">
        <v>1241</v>
      </c>
      <c r="D6241" s="115" t="s">
        <v>12308</v>
      </c>
      <c r="E6241" s="115" t="s">
        <v>6749</v>
      </c>
      <c r="F6241" s="115">
        <v>0</v>
      </c>
      <c r="G6241" s="115">
        <v>870</v>
      </c>
      <c r="H6241" s="115">
        <v>0</v>
      </c>
      <c r="I6241" s="115">
        <v>0</v>
      </c>
      <c r="J6241" s="115">
        <v>247</v>
      </c>
      <c r="K6241" s="115">
        <v>0</v>
      </c>
    </row>
    <row r="6242" spans="1:11" x14ac:dyDescent="0.25">
      <c r="A6242" s="115" t="s">
        <v>1239</v>
      </c>
      <c r="B6242" s="115" t="s">
        <v>6750</v>
      </c>
      <c r="D6242" s="115" t="s">
        <v>12309</v>
      </c>
      <c r="E6242" s="115" t="s">
        <v>6751</v>
      </c>
      <c r="F6242" s="115">
        <v>0</v>
      </c>
      <c r="G6242" s="115">
        <v>0</v>
      </c>
      <c r="H6242" s="115">
        <v>0</v>
      </c>
      <c r="I6242" s="115">
        <v>0</v>
      </c>
      <c r="J6242" s="115">
        <v>-5265</v>
      </c>
      <c r="K6242" s="115">
        <v>0</v>
      </c>
    </row>
    <row r="6243" spans="1:11" x14ac:dyDescent="0.25">
      <c r="A6243" s="115">
        <v>-1</v>
      </c>
      <c r="B6243" s="115" t="s">
        <v>6752</v>
      </c>
      <c r="D6243" s="115" t="s">
        <v>12310</v>
      </c>
      <c r="E6243" s="115" t="s">
        <v>6753</v>
      </c>
      <c r="F6243" s="115">
        <v>-15926</v>
      </c>
      <c r="G6243" s="115">
        <v>46</v>
      </c>
      <c r="H6243" s="115">
        <v>696</v>
      </c>
      <c r="I6243" s="115">
        <v>0</v>
      </c>
      <c r="J6243" s="115">
        <v>0</v>
      </c>
      <c r="K6243" s="115">
        <v>0</v>
      </c>
    </row>
    <row r="6244" spans="1:11" x14ac:dyDescent="0.25">
      <c r="B6244" s="115" t="s">
        <v>6754</v>
      </c>
      <c r="D6244" s="115" t="s">
        <v>12311</v>
      </c>
      <c r="E6244" s="115" t="s">
        <v>6755</v>
      </c>
      <c r="F6244" s="115">
        <v>-557</v>
      </c>
      <c r="G6244" s="115">
        <v>0</v>
      </c>
      <c r="H6244" s="115">
        <v>31</v>
      </c>
      <c r="I6244" s="115">
        <v>0</v>
      </c>
      <c r="J6244" s="115">
        <v>0</v>
      </c>
      <c r="K6244" s="115">
        <v>-198</v>
      </c>
    </row>
    <row r="6245" spans="1:11" x14ac:dyDescent="0.25">
      <c r="B6245" s="115" t="s">
        <v>6756</v>
      </c>
      <c r="D6245" s="115" t="s">
        <v>12312</v>
      </c>
      <c r="E6245" s="115" t="s">
        <v>1242</v>
      </c>
      <c r="F6245" s="115">
        <v>0</v>
      </c>
      <c r="G6245" s="115">
        <v>0</v>
      </c>
      <c r="H6245" s="115">
        <v>0</v>
      </c>
      <c r="I6245" s="115">
        <v>0</v>
      </c>
      <c r="J6245" s="115">
        <v>0</v>
      </c>
      <c r="K6245" s="115">
        <v>0</v>
      </c>
    </row>
    <row r="6246" spans="1:11" x14ac:dyDescent="0.25">
      <c r="B6246" s="115" t="s">
        <v>1241</v>
      </c>
      <c r="C6246" s="115" t="s">
        <v>1239</v>
      </c>
      <c r="D6246" s="115" t="s">
        <v>12313</v>
      </c>
      <c r="E6246" s="115" t="s">
        <v>6757</v>
      </c>
      <c r="F6246" s="115">
        <v>-438</v>
      </c>
      <c r="G6246" s="115">
        <v>-2391</v>
      </c>
      <c r="H6246" s="115">
        <v>-513</v>
      </c>
      <c r="I6246" s="115">
        <v>0</v>
      </c>
      <c r="J6246" s="115">
        <v>-15143</v>
      </c>
      <c r="K6246" s="115">
        <v>-47</v>
      </c>
    </row>
    <row r="6247" spans="1:11" x14ac:dyDescent="0.25">
      <c r="B6247" s="115" t="s">
        <v>1241</v>
      </c>
      <c r="D6247" s="115" t="s">
        <v>12314</v>
      </c>
      <c r="E6247" s="115" t="s">
        <v>6758</v>
      </c>
      <c r="F6247" s="115">
        <v>0</v>
      </c>
      <c r="G6247" s="115">
        <v>-118</v>
      </c>
      <c r="H6247" s="115">
        <v>1005</v>
      </c>
      <c r="I6247" s="115">
        <v>149</v>
      </c>
      <c r="J6247" s="115">
        <v>-497</v>
      </c>
      <c r="K6247" s="115">
        <v>-109</v>
      </c>
    </row>
    <row r="6248" spans="1:11" x14ac:dyDescent="0.25">
      <c r="A6248" s="115" t="s">
        <v>1239</v>
      </c>
      <c r="B6248" s="115" t="s">
        <v>5808</v>
      </c>
      <c r="D6248" s="115" t="s">
        <v>12315</v>
      </c>
      <c r="E6248" s="115" t="s">
        <v>6759</v>
      </c>
      <c r="F6248" s="115">
        <v>0</v>
      </c>
      <c r="G6248" s="115">
        <v>-1933</v>
      </c>
      <c r="H6248" s="115">
        <v>0</v>
      </c>
      <c r="I6248" s="115">
        <v>-983</v>
      </c>
      <c r="J6248" s="115">
        <v>0</v>
      </c>
      <c r="K6248" s="115">
        <v>0</v>
      </c>
    </row>
    <row r="6249" spans="1:11" x14ac:dyDescent="0.25">
      <c r="A6249" s="115" t="s">
        <v>1239</v>
      </c>
      <c r="B6249" s="115" t="s">
        <v>6760</v>
      </c>
      <c r="D6249" s="115" t="s">
        <v>12316</v>
      </c>
      <c r="E6249" s="115" t="s">
        <v>6761</v>
      </c>
      <c r="F6249" s="115">
        <v>0</v>
      </c>
      <c r="G6249" s="115">
        <v>0</v>
      </c>
      <c r="H6249" s="115">
        <v>-6226</v>
      </c>
      <c r="I6249" s="115">
        <v>0</v>
      </c>
      <c r="J6249" s="115">
        <v>-335</v>
      </c>
      <c r="K6249" s="115">
        <v>2469</v>
      </c>
    </row>
    <row r="6250" spans="1:11" x14ac:dyDescent="0.25">
      <c r="B6250" s="115" t="s">
        <v>6762</v>
      </c>
      <c r="D6250" s="115" t="s">
        <v>12317</v>
      </c>
      <c r="E6250" s="115" t="s">
        <v>6763</v>
      </c>
      <c r="F6250" s="115">
        <v>512</v>
      </c>
      <c r="G6250" s="115">
        <v>350</v>
      </c>
      <c r="H6250" s="115">
        <v>104</v>
      </c>
      <c r="I6250" s="115">
        <v>-997</v>
      </c>
      <c r="J6250" s="115">
        <v>0</v>
      </c>
      <c r="K6250" s="115">
        <v>0</v>
      </c>
    </row>
    <row r="6251" spans="1:11" x14ac:dyDescent="0.25">
      <c r="B6251" s="115" t="s">
        <v>1241</v>
      </c>
      <c r="D6251" s="115" t="s">
        <v>12318</v>
      </c>
      <c r="E6251" s="115" t="s">
        <v>6764</v>
      </c>
      <c r="F6251" s="115">
        <v>0</v>
      </c>
      <c r="G6251" s="115">
        <v>-1015</v>
      </c>
      <c r="H6251" s="115">
        <v>1102</v>
      </c>
      <c r="I6251" s="115">
        <v>-752</v>
      </c>
      <c r="J6251" s="115">
        <v>201</v>
      </c>
      <c r="K6251" s="115">
        <v>-352</v>
      </c>
    </row>
    <row r="6252" spans="1:11" x14ac:dyDescent="0.25">
      <c r="B6252" s="115" t="s">
        <v>6283</v>
      </c>
      <c r="D6252" s="115" t="s">
        <v>12319</v>
      </c>
      <c r="E6252" s="115" t="s">
        <v>6765</v>
      </c>
      <c r="F6252" s="115">
        <v>0</v>
      </c>
      <c r="G6252" s="115">
        <v>139</v>
      </c>
      <c r="H6252" s="115">
        <v>-19271</v>
      </c>
      <c r="I6252" s="115">
        <v>0</v>
      </c>
      <c r="J6252" s="115">
        <v>0</v>
      </c>
      <c r="K6252" s="115">
        <v>0</v>
      </c>
    </row>
    <row r="6253" spans="1:11" x14ac:dyDescent="0.25">
      <c r="B6253" s="115" t="s">
        <v>5726</v>
      </c>
      <c r="D6253" s="115" t="s">
        <v>12320</v>
      </c>
      <c r="E6253" s="115" t="s">
        <v>1242</v>
      </c>
      <c r="F6253" s="115">
        <v>20</v>
      </c>
      <c r="G6253" s="115">
        <v>0</v>
      </c>
      <c r="H6253" s="115">
        <v>0</v>
      </c>
      <c r="I6253" s="115">
        <v>0</v>
      </c>
      <c r="J6253" s="115">
        <v>0</v>
      </c>
      <c r="K6253" s="115">
        <v>0</v>
      </c>
    </row>
    <row r="6254" spans="1:11" x14ac:dyDescent="0.25">
      <c r="B6254" s="115" t="s">
        <v>1241</v>
      </c>
      <c r="D6254" s="115" t="s">
        <v>8710</v>
      </c>
      <c r="E6254" s="115" t="s">
        <v>1242</v>
      </c>
      <c r="F6254" s="115">
        <v>0</v>
      </c>
      <c r="G6254" s="115">
        <v>0</v>
      </c>
      <c r="H6254" s="115">
        <v>0</v>
      </c>
      <c r="I6254" s="115">
        <v>0</v>
      </c>
      <c r="J6254" s="115">
        <v>0</v>
      </c>
      <c r="K6254" s="115">
        <v>0</v>
      </c>
    </row>
    <row r="6255" spans="1:11" x14ac:dyDescent="0.25">
      <c r="B6255" s="115" t="s">
        <v>2052</v>
      </c>
      <c r="D6255" s="115" t="s">
        <v>12321</v>
      </c>
      <c r="E6255" s="115" t="s">
        <v>6766</v>
      </c>
      <c r="F6255" s="115">
        <v>0</v>
      </c>
      <c r="G6255" s="115">
        <v>0</v>
      </c>
      <c r="H6255" s="115">
        <v>104</v>
      </c>
      <c r="I6255" s="115">
        <v>-65</v>
      </c>
      <c r="J6255" s="115">
        <v>11</v>
      </c>
      <c r="K6255" s="115">
        <v>614</v>
      </c>
    </row>
    <row r="6256" spans="1:11" x14ac:dyDescent="0.25">
      <c r="A6256" s="115" t="s">
        <v>1239</v>
      </c>
      <c r="B6256" s="115" t="s">
        <v>6767</v>
      </c>
      <c r="D6256" s="115" t="s">
        <v>12322</v>
      </c>
      <c r="E6256" s="115" t="s">
        <v>6768</v>
      </c>
      <c r="F6256" s="115">
        <v>-306</v>
      </c>
      <c r="G6256" s="115">
        <v>-233</v>
      </c>
      <c r="H6256" s="115">
        <v>-55</v>
      </c>
      <c r="I6256" s="115">
        <v>12</v>
      </c>
      <c r="J6256" s="115">
        <v>309</v>
      </c>
      <c r="K6256" s="115">
        <v>-800</v>
      </c>
    </row>
    <row r="6257" spans="1:11" x14ac:dyDescent="0.25">
      <c r="B6257" s="115" t="s">
        <v>6769</v>
      </c>
      <c r="D6257" s="115" t="s">
        <v>12323</v>
      </c>
      <c r="E6257" s="115" t="s">
        <v>6770</v>
      </c>
      <c r="F6257" s="115">
        <v>23</v>
      </c>
      <c r="G6257" s="115">
        <v>372</v>
      </c>
      <c r="H6257" s="115">
        <v>217</v>
      </c>
      <c r="I6257" s="115">
        <v>143</v>
      </c>
      <c r="J6257" s="115">
        <v>2217</v>
      </c>
      <c r="K6257" s="115">
        <v>32</v>
      </c>
    </row>
    <row r="6258" spans="1:11" x14ac:dyDescent="0.25">
      <c r="A6258" s="115" t="s">
        <v>1239</v>
      </c>
      <c r="B6258" s="115" t="s">
        <v>6771</v>
      </c>
      <c r="D6258" s="115" t="s">
        <v>12324</v>
      </c>
      <c r="E6258" s="115" t="s">
        <v>6772</v>
      </c>
      <c r="F6258" s="115">
        <v>-536</v>
      </c>
      <c r="G6258" s="115">
        <v>-1162</v>
      </c>
      <c r="H6258" s="115">
        <v>-709</v>
      </c>
      <c r="I6258" s="115">
        <v>-363</v>
      </c>
      <c r="J6258" s="115">
        <v>685</v>
      </c>
      <c r="K6258" s="115">
        <v>1209</v>
      </c>
    </row>
    <row r="6259" spans="1:11" x14ac:dyDescent="0.25">
      <c r="A6259" s="115">
        <v>3</v>
      </c>
      <c r="B6259" s="115" t="s">
        <v>6773</v>
      </c>
      <c r="C6259" s="115" t="s">
        <v>1239</v>
      </c>
      <c r="D6259" s="115" t="s">
        <v>12325</v>
      </c>
      <c r="E6259" s="115" t="s">
        <v>6774</v>
      </c>
      <c r="F6259" s="115">
        <v>10459</v>
      </c>
      <c r="G6259" s="115">
        <v>14462</v>
      </c>
      <c r="H6259" s="115">
        <v>17110</v>
      </c>
      <c r="I6259" s="115">
        <v>21685</v>
      </c>
      <c r="J6259" s="115">
        <v>9871</v>
      </c>
      <c r="K6259" s="115">
        <v>21447</v>
      </c>
    </row>
    <row r="6260" spans="1:11" x14ac:dyDescent="0.25">
      <c r="A6260" s="115">
        <v>12</v>
      </c>
      <c r="B6260" s="115" t="s">
        <v>6775</v>
      </c>
      <c r="C6260" s="115">
        <v>1</v>
      </c>
      <c r="D6260" s="115" t="s">
        <v>12326</v>
      </c>
      <c r="E6260" s="115" t="s">
        <v>6776</v>
      </c>
      <c r="F6260" s="115">
        <v>17428</v>
      </c>
      <c r="G6260" s="115">
        <v>48315</v>
      </c>
      <c r="H6260" s="115">
        <v>46028</v>
      </c>
      <c r="I6260" s="115">
        <v>31503</v>
      </c>
      <c r="J6260" s="115">
        <v>47700</v>
      </c>
      <c r="K6260" s="115">
        <v>55598</v>
      </c>
    </row>
    <row r="6261" spans="1:11" x14ac:dyDescent="0.25">
      <c r="A6261" s="115">
        <v>42</v>
      </c>
      <c r="B6261" s="115" t="s">
        <v>6777</v>
      </c>
      <c r="C6261" s="115">
        <v>3</v>
      </c>
      <c r="D6261" s="115" t="s">
        <v>12327</v>
      </c>
      <c r="E6261" s="115" t="s">
        <v>6778</v>
      </c>
      <c r="F6261" s="115">
        <v>-29011</v>
      </c>
      <c r="G6261" s="115">
        <v>-113</v>
      </c>
      <c r="H6261" s="115">
        <v>119</v>
      </c>
      <c r="I6261" s="115">
        <v>-143</v>
      </c>
      <c r="J6261" s="115">
        <v>0</v>
      </c>
      <c r="K6261" s="115">
        <v>0</v>
      </c>
    </row>
    <row r="6262" spans="1:11" x14ac:dyDescent="0.25">
      <c r="B6262" s="115" t="s">
        <v>6779</v>
      </c>
      <c r="D6262" s="115" t="s">
        <v>12328</v>
      </c>
      <c r="E6262" s="115" t="s">
        <v>6780</v>
      </c>
      <c r="F6262" s="115">
        <v>314</v>
      </c>
      <c r="G6262" s="115">
        <v>-266</v>
      </c>
      <c r="H6262" s="115">
        <v>0</v>
      </c>
      <c r="I6262" s="115">
        <v>0</v>
      </c>
      <c r="J6262" s="115">
        <v>0</v>
      </c>
      <c r="K6262" s="115">
        <v>0</v>
      </c>
    </row>
    <row r="6263" spans="1:11" x14ac:dyDescent="0.25">
      <c r="B6263" s="115" t="s">
        <v>1241</v>
      </c>
      <c r="D6263" s="115" t="s">
        <v>12329</v>
      </c>
      <c r="E6263" s="115" t="s">
        <v>6781</v>
      </c>
      <c r="F6263" s="115">
        <v>0</v>
      </c>
      <c r="G6263" s="115">
        <v>972</v>
      </c>
      <c r="H6263" s="115">
        <v>0</v>
      </c>
      <c r="I6263" s="115">
        <v>-1021</v>
      </c>
      <c r="J6263" s="115">
        <v>0</v>
      </c>
      <c r="K6263" s="115">
        <v>-3897</v>
      </c>
    </row>
    <row r="6264" spans="1:11" x14ac:dyDescent="0.25">
      <c r="B6264" s="115" t="s">
        <v>6782</v>
      </c>
      <c r="D6264" s="115" t="s">
        <v>12330</v>
      </c>
      <c r="E6264" s="115" t="s">
        <v>6783</v>
      </c>
      <c r="F6264" s="115">
        <v>-23809</v>
      </c>
      <c r="G6264" s="115">
        <v>104</v>
      </c>
      <c r="H6264" s="115">
        <v>-31</v>
      </c>
      <c r="I6264" s="115">
        <v>-265</v>
      </c>
      <c r="J6264" s="115">
        <v>-456</v>
      </c>
      <c r="K6264" s="115">
        <v>0</v>
      </c>
    </row>
    <row r="6265" spans="1:11" x14ac:dyDescent="0.25">
      <c r="B6265" s="115" t="s">
        <v>6784</v>
      </c>
      <c r="D6265" s="115" t="s">
        <v>12331</v>
      </c>
      <c r="E6265" s="115" t="s">
        <v>6785</v>
      </c>
      <c r="F6265" s="115">
        <v>0</v>
      </c>
      <c r="G6265" s="115">
        <v>0</v>
      </c>
      <c r="H6265" s="115">
        <v>-65</v>
      </c>
      <c r="I6265" s="115">
        <v>0</v>
      </c>
      <c r="J6265" s="115">
        <v>0</v>
      </c>
      <c r="K6265" s="115">
        <v>0</v>
      </c>
    </row>
    <row r="6266" spans="1:11" x14ac:dyDescent="0.25">
      <c r="B6266" s="115" t="s">
        <v>1512</v>
      </c>
      <c r="D6266" s="115" t="s">
        <v>12332</v>
      </c>
      <c r="E6266" s="115" t="s">
        <v>6786</v>
      </c>
      <c r="F6266" s="115">
        <v>0</v>
      </c>
      <c r="G6266" s="115">
        <v>0</v>
      </c>
      <c r="H6266" s="115">
        <v>0</v>
      </c>
      <c r="I6266" s="115">
        <v>0</v>
      </c>
      <c r="J6266" s="115">
        <v>-6</v>
      </c>
      <c r="K6266" s="115">
        <v>0</v>
      </c>
    </row>
    <row r="6267" spans="1:11" x14ac:dyDescent="0.25">
      <c r="A6267" s="115" t="s">
        <v>1239</v>
      </c>
      <c r="B6267" s="115" t="s">
        <v>6787</v>
      </c>
      <c r="D6267" s="115" t="s">
        <v>12333</v>
      </c>
      <c r="E6267" s="115" t="s">
        <v>6788</v>
      </c>
      <c r="F6267" s="115">
        <v>-68</v>
      </c>
      <c r="G6267" s="115">
        <v>-29339</v>
      </c>
      <c r="H6267" s="115">
        <v>0</v>
      </c>
      <c r="I6267" s="115">
        <v>92</v>
      </c>
      <c r="J6267" s="115">
        <v>0</v>
      </c>
      <c r="K6267" s="115">
        <v>0</v>
      </c>
    </row>
    <row r="6268" spans="1:11" x14ac:dyDescent="0.25">
      <c r="B6268" s="115" t="s">
        <v>1241</v>
      </c>
      <c r="D6268" s="115" t="s">
        <v>12334</v>
      </c>
      <c r="E6268" s="115" t="s">
        <v>6789</v>
      </c>
      <c r="F6268" s="115">
        <v>-59</v>
      </c>
      <c r="G6268" s="115">
        <v>0</v>
      </c>
      <c r="H6268" s="115">
        <v>0</v>
      </c>
      <c r="I6268" s="115">
        <v>424</v>
      </c>
      <c r="J6268" s="115">
        <v>-395</v>
      </c>
      <c r="K6268" s="115">
        <v>0</v>
      </c>
    </row>
    <row r="6269" spans="1:11" x14ac:dyDescent="0.25">
      <c r="B6269" s="115" t="s">
        <v>6790</v>
      </c>
      <c r="D6269" s="115" t="s">
        <v>12335</v>
      </c>
      <c r="E6269" s="115" t="s">
        <v>6791</v>
      </c>
      <c r="F6269" s="115">
        <v>-830</v>
      </c>
      <c r="G6269" s="115">
        <v>-74</v>
      </c>
      <c r="H6269" s="115">
        <v>-10</v>
      </c>
      <c r="I6269" s="115">
        <v>0</v>
      </c>
      <c r="J6269" s="115">
        <v>0</v>
      </c>
      <c r="K6269" s="115">
        <v>0</v>
      </c>
    </row>
    <row r="6270" spans="1:11" x14ac:dyDescent="0.25">
      <c r="B6270" s="115" t="s">
        <v>1241</v>
      </c>
      <c r="D6270" s="115" t="s">
        <v>12336</v>
      </c>
      <c r="E6270" s="115" t="s">
        <v>6792</v>
      </c>
      <c r="F6270" s="115">
        <v>3404</v>
      </c>
      <c r="G6270" s="115">
        <v>775</v>
      </c>
      <c r="H6270" s="115">
        <v>2</v>
      </c>
      <c r="I6270" s="115">
        <v>0</v>
      </c>
      <c r="J6270" s="115">
        <v>-1346</v>
      </c>
      <c r="K6270" s="115">
        <v>-33741</v>
      </c>
    </row>
    <row r="6271" spans="1:11" x14ac:dyDescent="0.25">
      <c r="B6271" s="115" t="s">
        <v>6793</v>
      </c>
      <c r="D6271" s="115" t="s">
        <v>12337</v>
      </c>
      <c r="E6271" s="115" t="s">
        <v>6794</v>
      </c>
      <c r="F6271" s="115">
        <v>-30</v>
      </c>
      <c r="G6271" s="115">
        <v>-1827</v>
      </c>
      <c r="H6271" s="115">
        <v>-1366</v>
      </c>
      <c r="I6271" s="115">
        <v>129</v>
      </c>
      <c r="J6271" s="115">
        <v>0</v>
      </c>
      <c r="K6271" s="115">
        <v>13</v>
      </c>
    </row>
    <row r="6272" spans="1:11" x14ac:dyDescent="0.25">
      <c r="B6272" s="115" t="s">
        <v>6795</v>
      </c>
      <c r="D6272" s="115" t="s">
        <v>12338</v>
      </c>
      <c r="E6272" s="115" t="s">
        <v>6796</v>
      </c>
      <c r="F6272" s="115">
        <v>-172</v>
      </c>
      <c r="G6272" s="115">
        <v>-113</v>
      </c>
      <c r="H6272" s="115">
        <v>0</v>
      </c>
      <c r="I6272" s="115">
        <v>-62</v>
      </c>
      <c r="J6272" s="115">
        <v>188</v>
      </c>
      <c r="K6272" s="115">
        <v>-13</v>
      </c>
    </row>
    <row r="6273" spans="1:11" x14ac:dyDescent="0.25">
      <c r="B6273" s="115" t="s">
        <v>2123</v>
      </c>
      <c r="D6273" s="115" t="s">
        <v>12339</v>
      </c>
      <c r="E6273" s="115" t="s">
        <v>6797</v>
      </c>
      <c r="F6273" s="115">
        <v>0</v>
      </c>
      <c r="G6273" s="115">
        <v>0</v>
      </c>
      <c r="H6273" s="115">
        <v>1138</v>
      </c>
      <c r="I6273" s="115">
        <v>0</v>
      </c>
      <c r="J6273" s="115">
        <v>8608</v>
      </c>
      <c r="K6273" s="115">
        <v>146</v>
      </c>
    </row>
    <row r="6274" spans="1:11" x14ac:dyDescent="0.25">
      <c r="B6274" s="115" t="s">
        <v>3316</v>
      </c>
      <c r="C6274" s="115" t="s">
        <v>1239</v>
      </c>
      <c r="D6274" s="115" t="s">
        <v>12340</v>
      </c>
      <c r="E6274" s="115" t="s">
        <v>6798</v>
      </c>
      <c r="F6274" s="115">
        <v>46</v>
      </c>
      <c r="G6274" s="115">
        <v>-150</v>
      </c>
      <c r="H6274" s="115">
        <v>208</v>
      </c>
      <c r="I6274" s="115">
        <v>-83</v>
      </c>
      <c r="J6274" s="115">
        <v>-288</v>
      </c>
      <c r="K6274" s="115">
        <v>224</v>
      </c>
    </row>
    <row r="6275" spans="1:11" x14ac:dyDescent="0.25">
      <c r="B6275" s="115" t="s">
        <v>6799</v>
      </c>
      <c r="D6275" s="115" t="s">
        <v>12341</v>
      </c>
      <c r="E6275" s="115" t="s">
        <v>6800</v>
      </c>
      <c r="F6275" s="115">
        <v>-177</v>
      </c>
      <c r="G6275" s="115">
        <v>240</v>
      </c>
      <c r="H6275" s="115">
        <v>0</v>
      </c>
      <c r="I6275" s="115">
        <v>127</v>
      </c>
      <c r="J6275" s="115">
        <v>0</v>
      </c>
      <c r="K6275" s="115">
        <v>0</v>
      </c>
    </row>
    <row r="6276" spans="1:11" x14ac:dyDescent="0.25">
      <c r="B6276" s="115" t="s">
        <v>2646</v>
      </c>
      <c r="D6276" s="115" t="s">
        <v>12342</v>
      </c>
      <c r="E6276" s="115" t="s">
        <v>1242</v>
      </c>
      <c r="F6276" s="115">
        <v>-61</v>
      </c>
      <c r="G6276" s="115">
        <v>0</v>
      </c>
      <c r="H6276" s="115">
        <v>0</v>
      </c>
      <c r="I6276" s="115">
        <v>0</v>
      </c>
      <c r="J6276" s="115">
        <v>0</v>
      </c>
      <c r="K6276" s="115">
        <v>0</v>
      </c>
    </row>
    <row r="6277" spans="1:11" x14ac:dyDescent="0.25">
      <c r="A6277" s="115">
        <v>1</v>
      </c>
      <c r="B6277" s="115" t="s">
        <v>5863</v>
      </c>
      <c r="D6277" s="115" t="s">
        <v>12343</v>
      </c>
      <c r="E6277" s="115" t="s">
        <v>6801</v>
      </c>
      <c r="F6277" s="115">
        <v>97</v>
      </c>
      <c r="G6277" s="115">
        <v>0</v>
      </c>
      <c r="H6277" s="115">
        <v>-665</v>
      </c>
      <c r="I6277" s="115">
        <v>-35049</v>
      </c>
      <c r="J6277" s="115">
        <v>368</v>
      </c>
      <c r="K6277" s="115">
        <v>0</v>
      </c>
    </row>
    <row r="6278" spans="1:11" x14ac:dyDescent="0.25">
      <c r="B6278" s="115" t="s">
        <v>1241</v>
      </c>
      <c r="D6278" s="115" t="s">
        <v>12344</v>
      </c>
      <c r="E6278" s="115" t="s">
        <v>6802</v>
      </c>
      <c r="F6278" s="115">
        <v>330</v>
      </c>
      <c r="G6278" s="115">
        <v>-883</v>
      </c>
      <c r="H6278" s="115">
        <v>-847</v>
      </c>
      <c r="I6278" s="115">
        <v>0</v>
      </c>
      <c r="J6278" s="115">
        <v>508</v>
      </c>
      <c r="K6278" s="115">
        <v>0</v>
      </c>
    </row>
    <row r="6279" spans="1:11" x14ac:dyDescent="0.25">
      <c r="B6279" s="115" t="s">
        <v>6803</v>
      </c>
      <c r="D6279" s="115" t="s">
        <v>12345</v>
      </c>
      <c r="E6279" s="115" t="s">
        <v>6804</v>
      </c>
      <c r="F6279" s="115">
        <v>0</v>
      </c>
      <c r="G6279" s="115">
        <v>-1015</v>
      </c>
      <c r="H6279" s="115">
        <v>0</v>
      </c>
      <c r="I6279" s="115">
        <v>0</v>
      </c>
      <c r="J6279" s="115">
        <v>0</v>
      </c>
      <c r="K6279" s="115">
        <v>0</v>
      </c>
    </row>
    <row r="6280" spans="1:11" x14ac:dyDescent="0.25">
      <c r="B6280" s="115" t="s">
        <v>1241</v>
      </c>
      <c r="D6280" s="115" t="s">
        <v>12346</v>
      </c>
      <c r="E6280" s="115" t="s">
        <v>6805</v>
      </c>
      <c r="F6280" s="115">
        <v>610</v>
      </c>
      <c r="G6280" s="115">
        <v>0</v>
      </c>
      <c r="H6280" s="115">
        <v>3030</v>
      </c>
      <c r="I6280" s="115">
        <v>-1658</v>
      </c>
      <c r="J6280" s="115">
        <v>-476</v>
      </c>
      <c r="K6280" s="115">
        <v>0</v>
      </c>
    </row>
    <row r="6281" spans="1:11" x14ac:dyDescent="0.25">
      <c r="A6281" s="115" t="s">
        <v>1239</v>
      </c>
      <c r="B6281" s="115" t="s">
        <v>6806</v>
      </c>
      <c r="D6281" s="115" t="s">
        <v>12347</v>
      </c>
      <c r="E6281" s="115" t="s">
        <v>6807</v>
      </c>
      <c r="F6281" s="115">
        <v>0</v>
      </c>
      <c r="G6281" s="115">
        <v>0</v>
      </c>
      <c r="H6281" s="115">
        <v>0</v>
      </c>
      <c r="I6281" s="115">
        <v>-2911</v>
      </c>
      <c r="J6281" s="115">
        <v>-1032</v>
      </c>
      <c r="K6281" s="115">
        <v>-436</v>
      </c>
    </row>
    <row r="6282" spans="1:11" x14ac:dyDescent="0.25">
      <c r="A6282" s="115" t="s">
        <v>1239</v>
      </c>
      <c r="B6282" s="115" t="s">
        <v>6808</v>
      </c>
      <c r="D6282" s="115" t="s">
        <v>12348</v>
      </c>
      <c r="E6282" s="115" t="s">
        <v>6809</v>
      </c>
      <c r="F6282" s="115">
        <v>0</v>
      </c>
      <c r="G6282" s="115">
        <v>0</v>
      </c>
      <c r="H6282" s="115">
        <v>0</v>
      </c>
      <c r="I6282" s="115">
        <v>-1640</v>
      </c>
      <c r="J6282" s="115">
        <v>0</v>
      </c>
      <c r="K6282" s="115">
        <v>-1029</v>
      </c>
    </row>
    <row r="6283" spans="1:11" x14ac:dyDescent="0.25">
      <c r="B6283" s="115" t="s">
        <v>1241</v>
      </c>
      <c r="D6283" s="115" t="s">
        <v>12349</v>
      </c>
      <c r="E6283" s="115" t="s">
        <v>6810</v>
      </c>
      <c r="F6283" s="115">
        <v>0</v>
      </c>
      <c r="G6283" s="115">
        <v>0</v>
      </c>
      <c r="H6283" s="115">
        <v>0</v>
      </c>
      <c r="I6283" s="115">
        <v>0</v>
      </c>
      <c r="J6283" s="115">
        <v>125</v>
      </c>
      <c r="K6283" s="115">
        <v>0</v>
      </c>
    </row>
    <row r="6284" spans="1:11" x14ac:dyDescent="0.25">
      <c r="A6284" s="115">
        <v>5</v>
      </c>
      <c r="B6284" s="115" t="s">
        <v>6811</v>
      </c>
      <c r="D6284" s="115" t="s">
        <v>12350</v>
      </c>
      <c r="E6284" s="115" t="s">
        <v>6812</v>
      </c>
      <c r="F6284" s="115">
        <v>-45</v>
      </c>
      <c r="G6284" s="115">
        <v>-9</v>
      </c>
      <c r="H6284" s="115">
        <v>-106</v>
      </c>
      <c r="I6284" s="115">
        <v>-27</v>
      </c>
      <c r="J6284" s="115">
        <v>-162</v>
      </c>
      <c r="K6284" s="115">
        <v>580</v>
      </c>
    </row>
    <row r="6285" spans="1:11" x14ac:dyDescent="0.25">
      <c r="B6285" s="115" t="s">
        <v>1241</v>
      </c>
      <c r="D6285" s="115" t="s">
        <v>12351</v>
      </c>
      <c r="E6285" s="115" t="s">
        <v>6813</v>
      </c>
      <c r="F6285" s="115">
        <v>0</v>
      </c>
      <c r="G6285" s="115">
        <v>0</v>
      </c>
      <c r="H6285" s="115">
        <v>0</v>
      </c>
      <c r="I6285" s="115">
        <v>-178</v>
      </c>
      <c r="J6285" s="115">
        <v>-243</v>
      </c>
      <c r="K6285" s="115">
        <v>355</v>
      </c>
    </row>
    <row r="6286" spans="1:11" x14ac:dyDescent="0.25">
      <c r="B6286" s="115" t="s">
        <v>6814</v>
      </c>
      <c r="D6286" s="115" t="s">
        <v>12352</v>
      </c>
      <c r="E6286" s="115" t="s">
        <v>6815</v>
      </c>
      <c r="F6286" s="115">
        <v>0</v>
      </c>
      <c r="G6286" s="115">
        <v>22</v>
      </c>
      <c r="H6286" s="115">
        <v>0</v>
      </c>
      <c r="I6286" s="115">
        <v>397</v>
      </c>
      <c r="J6286" s="115">
        <v>-71</v>
      </c>
      <c r="K6286" s="115">
        <v>0</v>
      </c>
    </row>
    <row r="6287" spans="1:11" x14ac:dyDescent="0.25">
      <c r="B6287" s="115" t="s">
        <v>1241</v>
      </c>
      <c r="D6287" s="115" t="s">
        <v>12353</v>
      </c>
      <c r="E6287" s="115" t="s">
        <v>6816</v>
      </c>
      <c r="F6287" s="115">
        <v>0</v>
      </c>
      <c r="G6287" s="115">
        <v>-235</v>
      </c>
      <c r="H6287" s="115">
        <v>1116</v>
      </c>
      <c r="I6287" s="115">
        <v>0</v>
      </c>
      <c r="J6287" s="115">
        <v>0</v>
      </c>
      <c r="K6287" s="115">
        <v>0</v>
      </c>
    </row>
    <row r="6288" spans="1:11" x14ac:dyDescent="0.25">
      <c r="B6288" s="115" t="s">
        <v>1241</v>
      </c>
      <c r="D6288" s="115" t="s">
        <v>8710</v>
      </c>
      <c r="E6288" s="115" t="s">
        <v>1242</v>
      </c>
      <c r="F6288" s="115">
        <v>0</v>
      </c>
      <c r="G6288" s="115">
        <v>0</v>
      </c>
      <c r="H6288" s="115">
        <v>0</v>
      </c>
      <c r="I6288" s="115">
        <v>0</v>
      </c>
      <c r="J6288" s="115">
        <v>0</v>
      </c>
      <c r="K6288" s="115">
        <v>0</v>
      </c>
    </row>
    <row r="6289" spans="1:11" x14ac:dyDescent="0.25">
      <c r="B6289" s="115" t="s">
        <v>1241</v>
      </c>
      <c r="C6289" s="115" t="s">
        <v>1239</v>
      </c>
      <c r="D6289" s="115" t="s">
        <v>12354</v>
      </c>
      <c r="E6289" s="115" t="s">
        <v>6817</v>
      </c>
      <c r="F6289" s="115">
        <v>0</v>
      </c>
      <c r="G6289" s="115">
        <v>0</v>
      </c>
      <c r="H6289" s="115">
        <v>0</v>
      </c>
      <c r="I6289" s="115">
        <v>0</v>
      </c>
      <c r="J6289" s="115">
        <v>2086</v>
      </c>
      <c r="K6289" s="115">
        <v>-2449</v>
      </c>
    </row>
    <row r="6290" spans="1:11" x14ac:dyDescent="0.25">
      <c r="A6290" s="115" t="s">
        <v>1239</v>
      </c>
      <c r="B6290" s="115" t="s">
        <v>6818</v>
      </c>
      <c r="C6290" s="115" t="s">
        <v>1239</v>
      </c>
      <c r="D6290" s="115" t="s">
        <v>12355</v>
      </c>
      <c r="E6290" s="115" t="s">
        <v>6819</v>
      </c>
      <c r="F6290" s="115">
        <v>-5197</v>
      </c>
      <c r="G6290" s="115">
        <v>7083</v>
      </c>
      <c r="H6290" s="115">
        <v>-595</v>
      </c>
      <c r="I6290" s="115">
        <v>785</v>
      </c>
      <c r="J6290" s="115">
        <v>-2292</v>
      </c>
      <c r="K6290" s="115">
        <v>-96</v>
      </c>
    </row>
    <row r="6291" spans="1:11" x14ac:dyDescent="0.25">
      <c r="A6291" s="115">
        <v>-3</v>
      </c>
      <c r="B6291" s="115" t="s">
        <v>6820</v>
      </c>
      <c r="D6291" s="115" t="s">
        <v>12356</v>
      </c>
      <c r="E6291" s="115" t="s">
        <v>6821</v>
      </c>
      <c r="F6291" s="115">
        <v>1368</v>
      </c>
      <c r="G6291" s="115">
        <v>0</v>
      </c>
      <c r="H6291" s="115">
        <v>1403</v>
      </c>
      <c r="I6291" s="115">
        <v>423</v>
      </c>
      <c r="J6291" s="115">
        <v>372</v>
      </c>
      <c r="K6291" s="115">
        <v>-1338</v>
      </c>
    </row>
    <row r="6292" spans="1:11" x14ac:dyDescent="0.25">
      <c r="B6292" s="115" t="s">
        <v>6822</v>
      </c>
      <c r="D6292" s="115" t="s">
        <v>12357</v>
      </c>
      <c r="E6292" s="115" t="s">
        <v>6823</v>
      </c>
      <c r="F6292" s="115">
        <v>1077</v>
      </c>
      <c r="G6292" s="115">
        <v>227</v>
      </c>
      <c r="H6292" s="115">
        <v>163</v>
      </c>
      <c r="I6292" s="115">
        <v>-1319</v>
      </c>
      <c r="J6292" s="115">
        <v>836</v>
      </c>
      <c r="K6292" s="115">
        <v>33</v>
      </c>
    </row>
    <row r="6293" spans="1:11" x14ac:dyDescent="0.25">
      <c r="B6293" s="115" t="s">
        <v>6824</v>
      </c>
      <c r="D6293" s="115" t="s">
        <v>12358</v>
      </c>
      <c r="E6293" s="115" t="s">
        <v>6825</v>
      </c>
      <c r="F6293" s="115">
        <v>-97</v>
      </c>
      <c r="G6293" s="115">
        <v>-729</v>
      </c>
      <c r="H6293" s="115">
        <v>472</v>
      </c>
      <c r="I6293" s="115">
        <v>-4</v>
      </c>
      <c r="J6293" s="115">
        <v>-92</v>
      </c>
      <c r="K6293" s="115">
        <v>-114</v>
      </c>
    </row>
    <row r="6294" spans="1:11" x14ac:dyDescent="0.25">
      <c r="A6294" s="115" t="s">
        <v>1239</v>
      </c>
      <c r="B6294" s="115" t="s">
        <v>6826</v>
      </c>
      <c r="D6294" s="115" t="s">
        <v>12359</v>
      </c>
      <c r="E6294" s="115" t="s">
        <v>6827</v>
      </c>
      <c r="F6294" s="115">
        <v>-113</v>
      </c>
      <c r="G6294" s="115">
        <v>-669</v>
      </c>
      <c r="H6294" s="115">
        <v>567</v>
      </c>
      <c r="I6294" s="115">
        <v>269</v>
      </c>
      <c r="J6294" s="115">
        <v>235</v>
      </c>
      <c r="K6294" s="115">
        <v>195</v>
      </c>
    </row>
    <row r="6295" spans="1:11" x14ac:dyDescent="0.25">
      <c r="B6295" s="115" t="s">
        <v>6828</v>
      </c>
      <c r="D6295" s="115" t="s">
        <v>12360</v>
      </c>
      <c r="E6295" s="115" t="s">
        <v>6829</v>
      </c>
      <c r="F6295" s="115">
        <v>319</v>
      </c>
      <c r="G6295" s="115">
        <v>450</v>
      </c>
      <c r="H6295" s="115">
        <v>-404</v>
      </c>
      <c r="I6295" s="115">
        <v>-38203</v>
      </c>
      <c r="J6295" s="115">
        <v>-111</v>
      </c>
      <c r="K6295" s="115">
        <v>120</v>
      </c>
    </row>
    <row r="6296" spans="1:11" x14ac:dyDescent="0.25">
      <c r="A6296" s="115" t="s">
        <v>1239</v>
      </c>
      <c r="B6296" s="115" t="s">
        <v>3010</v>
      </c>
      <c r="D6296" s="115" t="s">
        <v>12361</v>
      </c>
      <c r="E6296" s="115" t="s">
        <v>6830</v>
      </c>
      <c r="F6296" s="115">
        <v>0</v>
      </c>
      <c r="G6296" s="115">
        <v>0</v>
      </c>
      <c r="H6296" s="115">
        <v>0</v>
      </c>
      <c r="I6296" s="115">
        <v>-13</v>
      </c>
      <c r="J6296" s="115">
        <v>11</v>
      </c>
      <c r="K6296" s="115">
        <v>0</v>
      </c>
    </row>
    <row r="6297" spans="1:11" x14ac:dyDescent="0.25">
      <c r="B6297" s="115" t="s">
        <v>1241</v>
      </c>
      <c r="D6297" s="115" t="s">
        <v>12362</v>
      </c>
      <c r="E6297" s="115" t="s">
        <v>6831</v>
      </c>
      <c r="F6297" s="115">
        <v>0</v>
      </c>
      <c r="G6297" s="115">
        <v>-291</v>
      </c>
      <c r="H6297" s="115">
        <v>0</v>
      </c>
      <c r="I6297" s="115">
        <v>0</v>
      </c>
      <c r="J6297" s="115">
        <v>-245</v>
      </c>
      <c r="K6297" s="115">
        <v>0</v>
      </c>
    </row>
    <row r="6298" spans="1:11" x14ac:dyDescent="0.25">
      <c r="B6298" s="115" t="s">
        <v>2116</v>
      </c>
      <c r="D6298" s="115" t="s">
        <v>12363</v>
      </c>
      <c r="E6298" s="115" t="s">
        <v>6832</v>
      </c>
      <c r="F6298" s="115">
        <v>155</v>
      </c>
      <c r="G6298" s="115">
        <v>0</v>
      </c>
      <c r="H6298" s="115">
        <v>223</v>
      </c>
      <c r="I6298" s="115">
        <v>-28777</v>
      </c>
      <c r="J6298" s="115">
        <v>24</v>
      </c>
      <c r="K6298" s="115">
        <v>-64</v>
      </c>
    </row>
    <row r="6299" spans="1:11" x14ac:dyDescent="0.25">
      <c r="A6299" s="115" t="s">
        <v>1239</v>
      </c>
      <c r="B6299" s="115" t="s">
        <v>6833</v>
      </c>
      <c r="D6299" s="115" t="s">
        <v>12364</v>
      </c>
      <c r="E6299" s="115" t="s">
        <v>6834</v>
      </c>
      <c r="F6299" s="115">
        <v>0</v>
      </c>
      <c r="G6299" s="115">
        <v>0</v>
      </c>
      <c r="H6299" s="115">
        <v>0</v>
      </c>
      <c r="I6299" s="115">
        <v>0</v>
      </c>
      <c r="J6299" s="115">
        <v>0</v>
      </c>
      <c r="K6299" s="115">
        <v>258</v>
      </c>
    </row>
    <row r="6300" spans="1:11" x14ac:dyDescent="0.25">
      <c r="B6300" s="115" t="s">
        <v>1241</v>
      </c>
      <c r="D6300" s="115" t="s">
        <v>12365</v>
      </c>
      <c r="E6300" s="115" t="s">
        <v>1780</v>
      </c>
      <c r="F6300" s="115">
        <v>0</v>
      </c>
      <c r="G6300" s="115">
        <v>-94</v>
      </c>
      <c r="H6300" s="115">
        <v>0</v>
      </c>
      <c r="I6300" s="115">
        <v>0</v>
      </c>
      <c r="J6300" s="115">
        <v>0</v>
      </c>
      <c r="K6300" s="115">
        <v>0</v>
      </c>
    </row>
    <row r="6301" spans="1:11" x14ac:dyDescent="0.25">
      <c r="B6301" s="115" t="s">
        <v>6835</v>
      </c>
      <c r="D6301" s="115" t="s">
        <v>12366</v>
      </c>
      <c r="E6301" s="115" t="s">
        <v>6836</v>
      </c>
      <c r="F6301" s="115">
        <v>44</v>
      </c>
      <c r="G6301" s="115">
        <v>0</v>
      </c>
      <c r="H6301" s="115">
        <v>0</v>
      </c>
      <c r="I6301" s="115">
        <v>-676</v>
      </c>
      <c r="J6301" s="115">
        <v>-32507</v>
      </c>
      <c r="K6301" s="115">
        <v>0</v>
      </c>
    </row>
    <row r="6302" spans="1:11" x14ac:dyDescent="0.25">
      <c r="B6302" s="115" t="s">
        <v>4203</v>
      </c>
      <c r="D6302" s="115" t="s">
        <v>12367</v>
      </c>
      <c r="E6302" s="115" t="s">
        <v>6837</v>
      </c>
      <c r="F6302" s="115">
        <v>0</v>
      </c>
      <c r="G6302" s="115">
        <v>-1181</v>
      </c>
      <c r="H6302" s="115">
        <v>-275</v>
      </c>
      <c r="I6302" s="115">
        <v>-80</v>
      </c>
      <c r="J6302" s="115">
        <v>0</v>
      </c>
      <c r="K6302" s="115">
        <v>0</v>
      </c>
    </row>
    <row r="6303" spans="1:11" x14ac:dyDescent="0.25">
      <c r="B6303" s="115" t="s">
        <v>6838</v>
      </c>
      <c r="D6303" s="115" t="s">
        <v>12368</v>
      </c>
      <c r="E6303" s="115" t="s">
        <v>6839</v>
      </c>
      <c r="F6303" s="115">
        <v>-115</v>
      </c>
      <c r="G6303" s="115">
        <v>176</v>
      </c>
      <c r="H6303" s="115">
        <v>-250</v>
      </c>
      <c r="I6303" s="115">
        <v>491</v>
      </c>
      <c r="J6303" s="115">
        <v>495</v>
      </c>
      <c r="K6303" s="115">
        <v>497</v>
      </c>
    </row>
    <row r="6304" spans="1:11" x14ac:dyDescent="0.25">
      <c r="B6304" s="115" t="s">
        <v>1241</v>
      </c>
      <c r="D6304" s="115" t="s">
        <v>12369</v>
      </c>
      <c r="E6304" s="115" t="s">
        <v>6840</v>
      </c>
      <c r="F6304" s="115">
        <v>0</v>
      </c>
      <c r="G6304" s="115">
        <v>452</v>
      </c>
      <c r="H6304" s="115">
        <v>0</v>
      </c>
      <c r="I6304" s="115">
        <v>1453</v>
      </c>
      <c r="J6304" s="115">
        <v>395</v>
      </c>
      <c r="K6304" s="115">
        <v>-440</v>
      </c>
    </row>
    <row r="6305" spans="1:11" x14ac:dyDescent="0.25">
      <c r="B6305" s="115" t="s">
        <v>6841</v>
      </c>
      <c r="C6305" s="115">
        <v>-4</v>
      </c>
      <c r="D6305" s="115" t="s">
        <v>12370</v>
      </c>
      <c r="E6305" s="115" t="s">
        <v>6842</v>
      </c>
      <c r="F6305" s="115">
        <v>1434</v>
      </c>
      <c r="G6305" s="115">
        <v>1522</v>
      </c>
      <c r="H6305" s="115">
        <v>0</v>
      </c>
      <c r="I6305" s="115">
        <v>800</v>
      </c>
      <c r="J6305" s="115">
        <v>1746</v>
      </c>
      <c r="K6305" s="115">
        <v>21</v>
      </c>
    </row>
    <row r="6306" spans="1:11" x14ac:dyDescent="0.25">
      <c r="B6306" s="115" t="s">
        <v>2803</v>
      </c>
      <c r="D6306" s="115" t="s">
        <v>12371</v>
      </c>
      <c r="E6306" s="115" t="s">
        <v>6843</v>
      </c>
      <c r="F6306" s="115">
        <v>0</v>
      </c>
      <c r="G6306" s="115">
        <v>0</v>
      </c>
      <c r="H6306" s="115">
        <v>0</v>
      </c>
      <c r="I6306" s="115">
        <v>388</v>
      </c>
      <c r="J6306" s="115">
        <v>867</v>
      </c>
      <c r="K6306" s="115">
        <v>0</v>
      </c>
    </row>
    <row r="6307" spans="1:11" x14ac:dyDescent="0.25">
      <c r="B6307" s="115" t="s">
        <v>6844</v>
      </c>
      <c r="D6307" s="115" t="s">
        <v>12372</v>
      </c>
      <c r="E6307" s="115" t="s">
        <v>6845</v>
      </c>
      <c r="F6307" s="115">
        <v>0</v>
      </c>
      <c r="G6307" s="115">
        <v>0</v>
      </c>
      <c r="H6307" s="115">
        <v>0</v>
      </c>
      <c r="I6307" s="115">
        <v>0</v>
      </c>
      <c r="J6307" s="115">
        <v>0</v>
      </c>
      <c r="K6307" s="115">
        <v>1303</v>
      </c>
    </row>
    <row r="6308" spans="1:11" x14ac:dyDescent="0.25">
      <c r="B6308" s="115" t="s">
        <v>6846</v>
      </c>
      <c r="D6308" s="115" t="s">
        <v>12373</v>
      </c>
      <c r="E6308" s="115" t="s">
        <v>6847</v>
      </c>
      <c r="F6308" s="115">
        <v>0</v>
      </c>
      <c r="G6308" s="115">
        <v>-1676</v>
      </c>
      <c r="H6308" s="115">
        <v>-39560</v>
      </c>
      <c r="I6308" s="115">
        <v>45</v>
      </c>
      <c r="J6308" s="115">
        <v>-219</v>
      </c>
      <c r="K6308" s="115">
        <v>373</v>
      </c>
    </row>
    <row r="6309" spans="1:11" x14ac:dyDescent="0.25">
      <c r="A6309" s="115" t="s">
        <v>1239</v>
      </c>
      <c r="B6309" s="115" t="s">
        <v>6848</v>
      </c>
      <c r="D6309" s="115" t="s">
        <v>12374</v>
      </c>
      <c r="E6309" s="115" t="s">
        <v>6849</v>
      </c>
      <c r="F6309" s="115">
        <v>254</v>
      </c>
      <c r="G6309" s="115">
        <v>0</v>
      </c>
      <c r="H6309" s="115">
        <v>0</v>
      </c>
      <c r="I6309" s="115">
        <v>-4</v>
      </c>
      <c r="J6309" s="115">
        <v>272</v>
      </c>
      <c r="K6309" s="115">
        <v>0</v>
      </c>
    </row>
    <row r="6310" spans="1:11" x14ac:dyDescent="0.25">
      <c r="B6310" s="115" t="s">
        <v>1376</v>
      </c>
      <c r="D6310" s="115" t="s">
        <v>12375</v>
      </c>
      <c r="E6310" s="115" t="s">
        <v>6850</v>
      </c>
      <c r="F6310" s="115">
        <v>0</v>
      </c>
      <c r="G6310" s="115">
        <v>65</v>
      </c>
      <c r="H6310" s="115">
        <v>60</v>
      </c>
      <c r="I6310" s="115">
        <v>-128</v>
      </c>
      <c r="J6310" s="115">
        <v>0</v>
      </c>
      <c r="K6310" s="115">
        <v>0</v>
      </c>
    </row>
    <row r="6311" spans="1:11" x14ac:dyDescent="0.25">
      <c r="B6311" s="115" t="s">
        <v>1241</v>
      </c>
      <c r="D6311" s="115" t="s">
        <v>12376</v>
      </c>
      <c r="E6311" s="115" t="s">
        <v>6851</v>
      </c>
      <c r="F6311" s="115">
        <v>0</v>
      </c>
      <c r="G6311" s="115">
        <v>9826</v>
      </c>
      <c r="H6311" s="115">
        <v>444</v>
      </c>
      <c r="I6311" s="115">
        <v>123</v>
      </c>
      <c r="J6311" s="115">
        <v>0</v>
      </c>
      <c r="K6311" s="115">
        <v>-856</v>
      </c>
    </row>
    <row r="6312" spans="1:11" x14ac:dyDescent="0.25">
      <c r="A6312" s="115">
        <v>-41</v>
      </c>
      <c r="B6312" s="115" t="s">
        <v>6852</v>
      </c>
      <c r="D6312" s="115" t="s">
        <v>12377</v>
      </c>
      <c r="E6312" s="115" t="s">
        <v>6853</v>
      </c>
      <c r="F6312" s="115">
        <v>0</v>
      </c>
      <c r="G6312" s="115">
        <v>1317</v>
      </c>
      <c r="H6312" s="115">
        <v>1002</v>
      </c>
      <c r="I6312" s="115">
        <v>349</v>
      </c>
      <c r="J6312" s="115">
        <v>-1055</v>
      </c>
      <c r="K6312" s="115">
        <v>-1009</v>
      </c>
    </row>
    <row r="6313" spans="1:11" x14ac:dyDescent="0.25">
      <c r="B6313" s="115" t="s">
        <v>6854</v>
      </c>
      <c r="D6313" s="115" t="s">
        <v>12378</v>
      </c>
      <c r="E6313" s="115" t="s">
        <v>6855</v>
      </c>
      <c r="F6313" s="115">
        <v>50</v>
      </c>
      <c r="G6313" s="115">
        <v>0</v>
      </c>
      <c r="H6313" s="115">
        <v>-647</v>
      </c>
      <c r="I6313" s="115">
        <v>0</v>
      </c>
      <c r="J6313" s="115">
        <v>-990</v>
      </c>
      <c r="K6313" s="115">
        <v>0</v>
      </c>
    </row>
    <row r="6314" spans="1:11" x14ac:dyDescent="0.25">
      <c r="B6314" s="115" t="s">
        <v>1241</v>
      </c>
      <c r="D6314" s="115" t="s">
        <v>12379</v>
      </c>
      <c r="E6314" s="115" t="s">
        <v>6856</v>
      </c>
      <c r="F6314" s="115">
        <v>0</v>
      </c>
      <c r="G6314" s="115">
        <v>0</v>
      </c>
      <c r="H6314" s="115">
        <v>0</v>
      </c>
      <c r="I6314" s="115">
        <v>633</v>
      </c>
      <c r="J6314" s="115">
        <v>0</v>
      </c>
      <c r="K6314" s="115">
        <v>3635</v>
      </c>
    </row>
    <row r="6315" spans="1:11" x14ac:dyDescent="0.25">
      <c r="A6315" s="115">
        <v>-1</v>
      </c>
      <c r="B6315" s="115" t="s">
        <v>6857</v>
      </c>
      <c r="D6315" s="115" t="s">
        <v>12380</v>
      </c>
      <c r="E6315" s="115" t="s">
        <v>1242</v>
      </c>
      <c r="F6315" s="115">
        <v>-39308</v>
      </c>
      <c r="G6315" s="115">
        <v>0</v>
      </c>
      <c r="H6315" s="115">
        <v>0</v>
      </c>
      <c r="I6315" s="115">
        <v>0</v>
      </c>
      <c r="J6315" s="115">
        <v>0</v>
      </c>
      <c r="K6315" s="115">
        <v>0</v>
      </c>
    </row>
    <row r="6316" spans="1:11" x14ac:dyDescent="0.25">
      <c r="A6316" s="115">
        <v>-2</v>
      </c>
      <c r="B6316" s="115" t="s">
        <v>6858</v>
      </c>
      <c r="D6316" s="115" t="s">
        <v>12381</v>
      </c>
      <c r="E6316" s="115" t="s">
        <v>6859</v>
      </c>
      <c r="F6316" s="115">
        <v>-215</v>
      </c>
      <c r="G6316" s="115">
        <v>-164</v>
      </c>
      <c r="H6316" s="115">
        <v>0</v>
      </c>
      <c r="I6316" s="115">
        <v>0</v>
      </c>
      <c r="J6316" s="115">
        <v>0</v>
      </c>
      <c r="K6316" s="115">
        <v>0</v>
      </c>
    </row>
    <row r="6317" spans="1:11" x14ac:dyDescent="0.25">
      <c r="A6317" s="115">
        <v>-1</v>
      </c>
      <c r="B6317" s="115" t="s">
        <v>6860</v>
      </c>
      <c r="C6317" s="115" t="s">
        <v>1239</v>
      </c>
      <c r="D6317" s="115" t="s">
        <v>12382</v>
      </c>
      <c r="E6317" s="115" t="s">
        <v>6861</v>
      </c>
      <c r="F6317" s="115">
        <v>0</v>
      </c>
      <c r="G6317" s="115">
        <v>232</v>
      </c>
      <c r="H6317" s="115">
        <v>339</v>
      </c>
      <c r="I6317" s="115">
        <v>0</v>
      </c>
      <c r="J6317" s="115">
        <v>0</v>
      </c>
      <c r="K6317" s="115">
        <v>0</v>
      </c>
    </row>
    <row r="6318" spans="1:11" x14ac:dyDescent="0.25">
      <c r="B6318" s="115" t="s">
        <v>3664</v>
      </c>
      <c r="D6318" s="115" t="s">
        <v>12383</v>
      </c>
      <c r="E6318" s="115" t="s">
        <v>6862</v>
      </c>
      <c r="F6318" s="115">
        <v>-1610</v>
      </c>
      <c r="G6318" s="115">
        <v>-607</v>
      </c>
      <c r="H6318" s="115">
        <v>509</v>
      </c>
      <c r="I6318" s="115">
        <v>-127</v>
      </c>
      <c r="J6318" s="115">
        <v>-273</v>
      </c>
      <c r="K6318" s="115">
        <v>-374</v>
      </c>
    </row>
    <row r="6319" spans="1:11" x14ac:dyDescent="0.25">
      <c r="B6319" s="115">
        <f>-11   -322</f>
        <v>-333</v>
      </c>
      <c r="D6319" s="115" t="s">
        <v>12384</v>
      </c>
      <c r="E6319" s="115" t="s">
        <v>1242</v>
      </c>
      <c r="F6319" s="115">
        <v>0</v>
      </c>
      <c r="G6319" s="115">
        <v>0</v>
      </c>
      <c r="H6319" s="115">
        <v>0</v>
      </c>
      <c r="I6319" s="115">
        <v>0</v>
      </c>
      <c r="J6319" s="115">
        <v>0</v>
      </c>
      <c r="K6319" s="115">
        <v>0</v>
      </c>
    </row>
    <row r="6320" spans="1:11" x14ac:dyDescent="0.25">
      <c r="A6320" s="115" t="s">
        <v>1239</v>
      </c>
      <c r="B6320" s="115" t="s">
        <v>6863</v>
      </c>
      <c r="D6320" s="115" t="s">
        <v>12385</v>
      </c>
      <c r="E6320" s="115" t="s">
        <v>6864</v>
      </c>
      <c r="F6320" s="115">
        <v>332</v>
      </c>
      <c r="G6320" s="115">
        <v>2</v>
      </c>
      <c r="H6320" s="115">
        <v>0</v>
      </c>
      <c r="I6320" s="115">
        <v>0</v>
      </c>
      <c r="J6320" s="115">
        <v>-8</v>
      </c>
      <c r="K6320" s="115">
        <v>0</v>
      </c>
    </row>
    <row r="6321" spans="1:11" x14ac:dyDescent="0.25">
      <c r="B6321" s="115" t="s">
        <v>6865</v>
      </c>
      <c r="D6321" s="115" t="s">
        <v>12386</v>
      </c>
      <c r="E6321" s="115" t="s">
        <v>6866</v>
      </c>
      <c r="F6321" s="115">
        <v>0</v>
      </c>
      <c r="G6321" s="115">
        <v>0</v>
      </c>
      <c r="H6321" s="115">
        <v>-1805</v>
      </c>
      <c r="I6321" s="115">
        <v>0</v>
      </c>
      <c r="J6321" s="115">
        <v>-347</v>
      </c>
      <c r="K6321" s="115">
        <v>42</v>
      </c>
    </row>
    <row r="6322" spans="1:11" x14ac:dyDescent="0.25">
      <c r="B6322" s="115" t="s">
        <v>1241</v>
      </c>
      <c r="D6322" s="115" t="s">
        <v>8710</v>
      </c>
      <c r="E6322" s="115" t="s">
        <v>1242</v>
      </c>
      <c r="F6322" s="115">
        <v>0</v>
      </c>
      <c r="G6322" s="115">
        <v>0</v>
      </c>
      <c r="H6322" s="115">
        <v>0</v>
      </c>
      <c r="I6322" s="115">
        <v>0</v>
      </c>
      <c r="J6322" s="115">
        <v>0</v>
      </c>
      <c r="K6322" s="115">
        <v>0</v>
      </c>
    </row>
    <row r="6323" spans="1:11" x14ac:dyDescent="0.25">
      <c r="B6323" s="115" t="s">
        <v>1241</v>
      </c>
      <c r="D6323" s="115" t="s">
        <v>12387</v>
      </c>
      <c r="E6323" s="115" t="s">
        <v>6867</v>
      </c>
      <c r="F6323" s="115">
        <v>0</v>
      </c>
      <c r="G6323" s="115">
        <v>-2112</v>
      </c>
      <c r="H6323" s="115">
        <v>0</v>
      </c>
      <c r="I6323" s="115">
        <v>0</v>
      </c>
      <c r="J6323" s="115">
        <v>0</v>
      </c>
      <c r="K6323" s="115">
        <v>0</v>
      </c>
    </row>
    <row r="6324" spans="1:11" x14ac:dyDescent="0.25">
      <c r="B6324" s="115" t="s">
        <v>6868</v>
      </c>
      <c r="D6324" s="115" t="s">
        <v>12388</v>
      </c>
      <c r="E6324" s="115" t="s">
        <v>6869</v>
      </c>
      <c r="F6324" s="115">
        <v>-3469</v>
      </c>
      <c r="G6324" s="115">
        <v>-13932</v>
      </c>
      <c r="H6324" s="115">
        <v>-4750</v>
      </c>
      <c r="I6324" s="115">
        <v>-6820</v>
      </c>
      <c r="J6324" s="115">
        <v>9341</v>
      </c>
      <c r="K6324" s="115">
        <v>-933</v>
      </c>
    </row>
    <row r="6325" spans="1:11" x14ac:dyDescent="0.25">
      <c r="B6325" s="115" t="s">
        <v>6870</v>
      </c>
      <c r="D6325" s="115" t="s">
        <v>12389</v>
      </c>
      <c r="E6325" s="115" t="s">
        <v>6871</v>
      </c>
      <c r="F6325" s="115">
        <v>-5249</v>
      </c>
      <c r="G6325" s="115">
        <v>-16</v>
      </c>
      <c r="H6325" s="115">
        <v>-879</v>
      </c>
      <c r="I6325" s="115">
        <v>850</v>
      </c>
      <c r="J6325" s="115">
        <v>0</v>
      </c>
      <c r="K6325" s="115">
        <v>-629</v>
      </c>
    </row>
    <row r="6326" spans="1:11" x14ac:dyDescent="0.25">
      <c r="B6326" s="115" t="s">
        <v>6872</v>
      </c>
      <c r="C6326" s="115" t="s">
        <v>1239</v>
      </c>
      <c r="D6326" s="115" t="s">
        <v>12390</v>
      </c>
      <c r="E6326" s="115" t="s">
        <v>6873</v>
      </c>
      <c r="F6326" s="115">
        <v>1331</v>
      </c>
      <c r="G6326" s="115">
        <v>-338</v>
      </c>
      <c r="H6326" s="115">
        <v>-2157</v>
      </c>
      <c r="I6326" s="115">
        <v>-424</v>
      </c>
      <c r="J6326" s="115">
        <v>656</v>
      </c>
      <c r="K6326" s="115">
        <v>-132</v>
      </c>
    </row>
    <row r="6327" spans="1:11" x14ac:dyDescent="0.25">
      <c r="A6327" s="115">
        <v>-1</v>
      </c>
      <c r="B6327" s="115" t="s">
        <v>6874</v>
      </c>
      <c r="D6327" s="115" t="s">
        <v>12391</v>
      </c>
      <c r="E6327" s="115" t="s">
        <v>6875</v>
      </c>
      <c r="F6327" s="115">
        <v>-1546</v>
      </c>
      <c r="G6327" s="115">
        <v>-655</v>
      </c>
      <c r="H6327" s="115">
        <v>314</v>
      </c>
      <c r="I6327" s="115">
        <v>-657</v>
      </c>
      <c r="J6327" s="115">
        <v>-1366</v>
      </c>
      <c r="K6327" s="115">
        <v>-793</v>
      </c>
    </row>
    <row r="6328" spans="1:11" x14ac:dyDescent="0.25">
      <c r="A6328" s="115" t="s">
        <v>1239</v>
      </c>
      <c r="B6328" s="115" t="s">
        <v>6876</v>
      </c>
      <c r="D6328" s="115" t="s">
        <v>12392</v>
      </c>
      <c r="E6328" s="115" t="s">
        <v>6877</v>
      </c>
      <c r="F6328" s="115">
        <v>-498</v>
      </c>
      <c r="G6328" s="115">
        <v>-116</v>
      </c>
      <c r="H6328" s="115">
        <v>-155</v>
      </c>
      <c r="I6328" s="115">
        <v>87</v>
      </c>
      <c r="J6328" s="115">
        <v>-640</v>
      </c>
      <c r="K6328" s="115">
        <v>857</v>
      </c>
    </row>
    <row r="6329" spans="1:11" x14ac:dyDescent="0.25">
      <c r="B6329" s="115" t="s">
        <v>6878</v>
      </c>
      <c r="D6329" s="115" t="s">
        <v>12393</v>
      </c>
      <c r="E6329" s="115" t="s">
        <v>6879</v>
      </c>
      <c r="F6329" s="115">
        <v>588</v>
      </c>
      <c r="G6329" s="115">
        <v>416</v>
      </c>
      <c r="H6329" s="115">
        <v>353</v>
      </c>
      <c r="I6329" s="115">
        <v>336</v>
      </c>
      <c r="J6329" s="115">
        <v>485</v>
      </c>
      <c r="K6329" s="115">
        <v>44799</v>
      </c>
    </row>
    <row r="6330" spans="1:11" x14ac:dyDescent="0.25">
      <c r="A6330" s="115" t="s">
        <v>1239</v>
      </c>
      <c r="B6330" s="115" t="s">
        <v>6880</v>
      </c>
      <c r="D6330" s="115" t="s">
        <v>12394</v>
      </c>
      <c r="E6330" s="115" t="s">
        <v>6881</v>
      </c>
      <c r="F6330" s="115">
        <v>230</v>
      </c>
      <c r="G6330" s="115">
        <v>0</v>
      </c>
      <c r="H6330" s="115">
        <v>0</v>
      </c>
      <c r="I6330" s="115">
        <v>1</v>
      </c>
      <c r="J6330" s="115">
        <v>0</v>
      </c>
      <c r="K6330" s="115">
        <v>0</v>
      </c>
    </row>
    <row r="6331" spans="1:11" x14ac:dyDescent="0.25">
      <c r="B6331" s="115" t="s">
        <v>1826</v>
      </c>
      <c r="D6331" s="115" t="s">
        <v>12395</v>
      </c>
      <c r="E6331" s="115" t="s">
        <v>6882</v>
      </c>
      <c r="F6331" s="115">
        <v>0</v>
      </c>
      <c r="G6331" s="115">
        <v>0</v>
      </c>
      <c r="H6331" s="115">
        <v>0</v>
      </c>
      <c r="I6331" s="115">
        <v>0</v>
      </c>
      <c r="J6331" s="115">
        <v>0</v>
      </c>
      <c r="K6331" s="115">
        <v>-294</v>
      </c>
    </row>
    <row r="6332" spans="1:11" x14ac:dyDescent="0.25">
      <c r="B6332" s="115" t="s">
        <v>1241</v>
      </c>
      <c r="D6332" s="115" t="s">
        <v>12396</v>
      </c>
      <c r="E6332" s="115" t="s">
        <v>6883</v>
      </c>
      <c r="F6332" s="115">
        <v>-194</v>
      </c>
      <c r="G6332" s="115">
        <v>0</v>
      </c>
      <c r="H6332" s="115">
        <v>105</v>
      </c>
      <c r="I6332" s="115">
        <v>599</v>
      </c>
      <c r="J6332" s="115">
        <v>139</v>
      </c>
      <c r="K6332" s="115">
        <v>0</v>
      </c>
    </row>
    <row r="6333" spans="1:11" x14ac:dyDescent="0.25">
      <c r="B6333" s="115" t="s">
        <v>6884</v>
      </c>
      <c r="D6333" s="115" t="s">
        <v>12397</v>
      </c>
      <c r="E6333" s="115" t="s">
        <v>6885</v>
      </c>
      <c r="F6333" s="115">
        <v>-390</v>
      </c>
      <c r="G6333" s="115">
        <v>-670</v>
      </c>
      <c r="H6333" s="115">
        <v>0</v>
      </c>
      <c r="I6333" s="115">
        <v>56</v>
      </c>
      <c r="J6333" s="115">
        <v>0</v>
      </c>
      <c r="K6333" s="115">
        <v>0</v>
      </c>
    </row>
    <row r="6334" spans="1:11" x14ac:dyDescent="0.25">
      <c r="B6334" s="115" t="s">
        <v>1241</v>
      </c>
      <c r="D6334" s="115" t="s">
        <v>12398</v>
      </c>
      <c r="E6334" s="115" t="s">
        <v>6886</v>
      </c>
      <c r="F6334" s="115">
        <v>0</v>
      </c>
      <c r="G6334" s="115">
        <v>0</v>
      </c>
      <c r="H6334" s="115">
        <v>0</v>
      </c>
      <c r="I6334" s="115">
        <v>-127</v>
      </c>
      <c r="J6334" s="115">
        <v>0</v>
      </c>
      <c r="K6334" s="115">
        <v>-84</v>
      </c>
    </row>
    <row r="6335" spans="1:11" x14ac:dyDescent="0.25">
      <c r="B6335" s="115" t="s">
        <v>1241</v>
      </c>
      <c r="D6335" s="115" t="s">
        <v>12399</v>
      </c>
      <c r="E6335" s="115" t="s">
        <v>6887</v>
      </c>
      <c r="F6335" s="115">
        <v>0</v>
      </c>
      <c r="G6335" s="115">
        <v>-220</v>
      </c>
      <c r="H6335" s="115">
        <v>0</v>
      </c>
      <c r="I6335" s="115">
        <v>-115</v>
      </c>
      <c r="J6335" s="115">
        <v>72</v>
      </c>
      <c r="K6335" s="115">
        <v>0</v>
      </c>
    </row>
    <row r="6336" spans="1:11" x14ac:dyDescent="0.25">
      <c r="B6336" s="115" t="s">
        <v>6888</v>
      </c>
      <c r="C6336" s="115">
        <v>-3</v>
      </c>
      <c r="D6336" s="115" t="s">
        <v>12400</v>
      </c>
      <c r="E6336" s="115" t="s">
        <v>6889</v>
      </c>
      <c r="F6336" s="115">
        <v>45</v>
      </c>
      <c r="G6336" s="115">
        <v>0</v>
      </c>
      <c r="H6336" s="115">
        <v>0</v>
      </c>
      <c r="I6336" s="115">
        <v>0</v>
      </c>
      <c r="J6336" s="115">
        <v>0</v>
      </c>
      <c r="K6336" s="115">
        <v>-1202</v>
      </c>
    </row>
    <row r="6337" spans="1:11" x14ac:dyDescent="0.25">
      <c r="A6337" s="115" t="s">
        <v>1239</v>
      </c>
      <c r="B6337" s="115" t="s">
        <v>6890</v>
      </c>
      <c r="D6337" s="115" t="s">
        <v>12401</v>
      </c>
      <c r="E6337" s="115" t="s">
        <v>6891</v>
      </c>
      <c r="F6337" s="115">
        <v>539</v>
      </c>
      <c r="G6337" s="115">
        <v>94</v>
      </c>
      <c r="H6337" s="115">
        <v>0</v>
      </c>
      <c r="I6337" s="115">
        <v>205</v>
      </c>
      <c r="J6337" s="115">
        <v>-76</v>
      </c>
      <c r="K6337" s="115">
        <v>156</v>
      </c>
    </row>
    <row r="6338" spans="1:11" x14ac:dyDescent="0.25">
      <c r="A6338" s="115" t="s">
        <v>1239</v>
      </c>
      <c r="B6338" s="115" t="s">
        <v>6892</v>
      </c>
      <c r="D6338" s="115" t="s">
        <v>12402</v>
      </c>
      <c r="E6338" s="115" t="s">
        <v>6234</v>
      </c>
      <c r="F6338" s="115">
        <v>0</v>
      </c>
      <c r="G6338" s="115">
        <v>0</v>
      </c>
      <c r="H6338" s="115">
        <v>0</v>
      </c>
      <c r="I6338" s="115">
        <v>0</v>
      </c>
      <c r="J6338" s="115">
        <v>0</v>
      </c>
      <c r="K6338" s="115">
        <v>558</v>
      </c>
    </row>
    <row r="6339" spans="1:11" x14ac:dyDescent="0.25">
      <c r="B6339" s="115" t="s">
        <v>6893</v>
      </c>
      <c r="D6339" s="115" t="s">
        <v>12403</v>
      </c>
      <c r="E6339" s="115" t="s">
        <v>6894</v>
      </c>
      <c r="F6339" s="115">
        <v>0</v>
      </c>
      <c r="G6339" s="115">
        <v>-1722</v>
      </c>
      <c r="H6339" s="115">
        <v>-40602</v>
      </c>
      <c r="I6339" s="115">
        <v>142</v>
      </c>
      <c r="J6339" s="115">
        <v>-42</v>
      </c>
      <c r="K6339" s="115">
        <v>474</v>
      </c>
    </row>
    <row r="6340" spans="1:11" x14ac:dyDescent="0.25">
      <c r="B6340" s="115" t="s">
        <v>6895</v>
      </c>
      <c r="C6340" s="115" t="s">
        <v>1239</v>
      </c>
      <c r="D6340" s="115" t="s">
        <v>12404</v>
      </c>
      <c r="E6340" s="115" t="s">
        <v>6896</v>
      </c>
      <c r="F6340" s="115">
        <v>168</v>
      </c>
      <c r="G6340" s="115">
        <v>0</v>
      </c>
      <c r="H6340" s="115">
        <v>36</v>
      </c>
      <c r="I6340" s="115">
        <v>83</v>
      </c>
      <c r="J6340" s="115">
        <v>0</v>
      </c>
      <c r="K6340" s="115">
        <v>0</v>
      </c>
    </row>
    <row r="6341" spans="1:11" x14ac:dyDescent="0.25">
      <c r="B6341" s="115" t="s">
        <v>6195</v>
      </c>
      <c r="D6341" s="115" t="s">
        <v>12405</v>
      </c>
      <c r="E6341" s="115" t="s">
        <v>6897</v>
      </c>
      <c r="F6341" s="115">
        <v>25</v>
      </c>
      <c r="G6341" s="115">
        <v>230</v>
      </c>
      <c r="H6341" s="115">
        <v>18</v>
      </c>
      <c r="I6341" s="115">
        <v>-94</v>
      </c>
      <c r="J6341" s="115">
        <v>0</v>
      </c>
      <c r="K6341" s="115">
        <v>0</v>
      </c>
    </row>
    <row r="6342" spans="1:11" x14ac:dyDescent="0.25">
      <c r="B6342" s="115" t="s">
        <v>1241</v>
      </c>
      <c r="D6342" s="115" t="s">
        <v>12406</v>
      </c>
      <c r="E6342" s="115" t="s">
        <v>6898</v>
      </c>
      <c r="F6342" s="115">
        <v>0</v>
      </c>
      <c r="G6342" s="115">
        <v>10705</v>
      </c>
      <c r="H6342" s="115">
        <v>228</v>
      </c>
      <c r="I6342" s="115">
        <v>96</v>
      </c>
      <c r="J6342" s="115">
        <v>0</v>
      </c>
      <c r="K6342" s="115">
        <v>-2548</v>
      </c>
    </row>
    <row r="6343" spans="1:11" x14ac:dyDescent="0.25">
      <c r="A6343" s="115">
        <v>-39</v>
      </c>
      <c r="B6343" s="115" t="s">
        <v>6899</v>
      </c>
      <c r="D6343" s="115" t="s">
        <v>12407</v>
      </c>
      <c r="E6343" s="115" t="s">
        <v>6900</v>
      </c>
      <c r="F6343" s="115">
        <v>27</v>
      </c>
      <c r="G6343" s="115">
        <v>-195</v>
      </c>
      <c r="H6343" s="115">
        <v>3319</v>
      </c>
      <c r="I6343" s="115">
        <v>0</v>
      </c>
      <c r="J6343" s="115">
        <v>161</v>
      </c>
      <c r="K6343" s="115">
        <v>0</v>
      </c>
    </row>
    <row r="6344" spans="1:11" x14ac:dyDescent="0.25">
      <c r="B6344" s="115" t="s">
        <v>6901</v>
      </c>
      <c r="D6344" s="115" t="s">
        <v>12408</v>
      </c>
      <c r="E6344" s="115" t="s">
        <v>6902</v>
      </c>
      <c r="F6344" s="115">
        <v>-488</v>
      </c>
      <c r="G6344" s="115">
        <v>0</v>
      </c>
      <c r="H6344" s="115">
        <v>0</v>
      </c>
      <c r="I6344" s="115">
        <v>140</v>
      </c>
      <c r="J6344" s="115">
        <v>0</v>
      </c>
      <c r="K6344" s="115">
        <v>-1029</v>
      </c>
    </row>
    <row r="6345" spans="1:11" x14ac:dyDescent="0.25">
      <c r="A6345" s="115" t="s">
        <v>1239</v>
      </c>
      <c r="B6345" s="115" t="s">
        <v>6903</v>
      </c>
      <c r="D6345" s="115" t="s">
        <v>12409</v>
      </c>
      <c r="E6345" s="115" t="s">
        <v>6904</v>
      </c>
      <c r="F6345" s="115">
        <v>0</v>
      </c>
      <c r="G6345" s="115">
        <v>0</v>
      </c>
      <c r="H6345" s="115">
        <v>0</v>
      </c>
      <c r="I6345" s="115">
        <v>2115</v>
      </c>
      <c r="J6345" s="115">
        <v>0</v>
      </c>
      <c r="K6345" s="115">
        <v>9442</v>
      </c>
    </row>
    <row r="6346" spans="1:11" x14ac:dyDescent="0.25">
      <c r="B6346" s="115" t="s">
        <v>6905</v>
      </c>
      <c r="D6346" s="115" t="s">
        <v>12410</v>
      </c>
      <c r="E6346" s="115" t="s">
        <v>6906</v>
      </c>
      <c r="F6346" s="115">
        <v>-41905</v>
      </c>
      <c r="G6346" s="115">
        <v>441</v>
      </c>
      <c r="H6346" s="115">
        <v>0</v>
      </c>
      <c r="I6346" s="115">
        <v>0</v>
      </c>
      <c r="J6346" s="115">
        <v>0</v>
      </c>
      <c r="K6346" s="115">
        <v>1050</v>
      </c>
    </row>
    <row r="6347" spans="1:11" x14ac:dyDescent="0.25">
      <c r="B6347" s="115" t="s">
        <v>6907</v>
      </c>
      <c r="C6347" s="115" t="s">
        <v>1239</v>
      </c>
      <c r="D6347" s="115" t="s">
        <v>12411</v>
      </c>
      <c r="E6347" s="115" t="s">
        <v>6908</v>
      </c>
      <c r="F6347" s="115">
        <v>0</v>
      </c>
      <c r="G6347" s="115">
        <v>706</v>
      </c>
      <c r="H6347" s="115">
        <v>0</v>
      </c>
      <c r="I6347" s="115">
        <v>0</v>
      </c>
      <c r="J6347" s="115">
        <v>60</v>
      </c>
      <c r="K6347" s="115">
        <v>0</v>
      </c>
    </row>
    <row r="6348" spans="1:11" x14ac:dyDescent="0.25">
      <c r="A6348" s="115" t="s">
        <v>1239</v>
      </c>
      <c r="B6348" s="115" t="s">
        <v>1753</v>
      </c>
      <c r="D6348" s="115" t="s">
        <v>12412</v>
      </c>
      <c r="E6348" s="115" t="s">
        <v>1242</v>
      </c>
      <c r="F6348" s="115">
        <v>0</v>
      </c>
      <c r="G6348" s="115">
        <v>0</v>
      </c>
      <c r="H6348" s="115">
        <v>0</v>
      </c>
      <c r="I6348" s="115">
        <v>0</v>
      </c>
      <c r="J6348" s="115">
        <v>0</v>
      </c>
      <c r="K6348" s="115">
        <v>0</v>
      </c>
    </row>
    <row r="6349" spans="1:11" x14ac:dyDescent="0.25">
      <c r="B6349" s="115" t="s">
        <v>6909</v>
      </c>
      <c r="D6349" s="115" t="s">
        <v>12413</v>
      </c>
      <c r="E6349" s="115" t="s">
        <v>6910</v>
      </c>
      <c r="F6349" s="115">
        <v>-1896</v>
      </c>
      <c r="G6349" s="115">
        <v>-520</v>
      </c>
      <c r="H6349" s="115">
        <v>0</v>
      </c>
      <c r="I6349" s="115">
        <v>-358</v>
      </c>
      <c r="J6349" s="115">
        <v>-39328</v>
      </c>
      <c r="K6349" s="115">
        <v>0</v>
      </c>
    </row>
    <row r="6350" spans="1:11" x14ac:dyDescent="0.25">
      <c r="B6350" s="115" t="s">
        <v>1241</v>
      </c>
      <c r="D6350" s="115" t="s">
        <v>12414</v>
      </c>
      <c r="E6350" s="115">
        <f>-872   -578   -553   -259   -289</f>
        <v>-2551</v>
      </c>
      <c r="F6350" s="115">
        <v>-2186</v>
      </c>
      <c r="G6350" s="115">
        <v>-872</v>
      </c>
      <c r="H6350" s="115">
        <v>-578</v>
      </c>
      <c r="I6350" s="115">
        <v>-553</v>
      </c>
      <c r="J6350" s="115">
        <v>-259</v>
      </c>
      <c r="K6350" s="115">
        <v>-289</v>
      </c>
    </row>
    <row r="6351" spans="1:11" x14ac:dyDescent="0.25">
      <c r="B6351" s="115" t="s">
        <v>1241</v>
      </c>
      <c r="D6351" s="115" t="s">
        <v>12415</v>
      </c>
      <c r="E6351" s="115" t="s">
        <v>6911</v>
      </c>
      <c r="F6351" s="115">
        <v>-1939</v>
      </c>
      <c r="G6351" s="115">
        <v>0</v>
      </c>
      <c r="H6351" s="115">
        <v>-1268</v>
      </c>
      <c r="I6351" s="115">
        <v>0</v>
      </c>
      <c r="J6351" s="115">
        <v>0</v>
      </c>
      <c r="K6351" s="115">
        <v>219</v>
      </c>
    </row>
    <row r="6352" spans="1:11" x14ac:dyDescent="0.25">
      <c r="B6352" s="115" t="s">
        <v>2235</v>
      </c>
      <c r="D6352" s="115" t="s">
        <v>12416</v>
      </c>
      <c r="E6352" s="115" t="s">
        <v>6912</v>
      </c>
      <c r="F6352" s="115">
        <v>0</v>
      </c>
      <c r="G6352" s="115">
        <v>345</v>
      </c>
      <c r="H6352" s="115">
        <v>0</v>
      </c>
      <c r="I6352" s="115">
        <v>7144</v>
      </c>
      <c r="J6352" s="115">
        <v>-1646</v>
      </c>
      <c r="K6352" s="115">
        <v>-693</v>
      </c>
    </row>
    <row r="6353" spans="1:11" x14ac:dyDescent="0.25">
      <c r="B6353" s="115" t="s">
        <v>6913</v>
      </c>
      <c r="D6353" s="115" t="s">
        <v>12417</v>
      </c>
      <c r="E6353" s="115" t="s">
        <v>6914</v>
      </c>
      <c r="F6353" s="115">
        <v>-19</v>
      </c>
      <c r="G6353" s="115">
        <v>-272</v>
      </c>
      <c r="H6353" s="115">
        <v>-8</v>
      </c>
      <c r="I6353" s="115">
        <v>0</v>
      </c>
      <c r="J6353" s="115">
        <v>0</v>
      </c>
      <c r="K6353" s="115">
        <v>0</v>
      </c>
    </row>
    <row r="6354" spans="1:11" x14ac:dyDescent="0.25">
      <c r="B6354" s="115" t="s">
        <v>1241</v>
      </c>
      <c r="D6354" s="115" t="s">
        <v>12418</v>
      </c>
      <c r="E6354" s="115" t="s">
        <v>6915</v>
      </c>
      <c r="F6354" s="115">
        <v>17</v>
      </c>
      <c r="G6354" s="115">
        <v>-84</v>
      </c>
      <c r="H6354" s="115">
        <v>467</v>
      </c>
      <c r="I6354" s="115">
        <v>-111</v>
      </c>
      <c r="J6354" s="115">
        <v>451</v>
      </c>
      <c r="K6354" s="115">
        <v>93</v>
      </c>
    </row>
    <row r="6355" spans="1:11" x14ac:dyDescent="0.25">
      <c r="B6355" s="115" t="s">
        <v>1241</v>
      </c>
      <c r="D6355" s="115" t="s">
        <v>12419</v>
      </c>
      <c r="E6355" s="115" t="s">
        <v>6916</v>
      </c>
      <c r="F6355" s="115">
        <v>450</v>
      </c>
      <c r="G6355" s="115">
        <v>-14</v>
      </c>
      <c r="H6355" s="115">
        <v>0</v>
      </c>
      <c r="I6355" s="115">
        <v>0</v>
      </c>
      <c r="J6355" s="115">
        <v>0</v>
      </c>
      <c r="K6355" s="115">
        <v>0</v>
      </c>
    </row>
    <row r="6356" spans="1:11" x14ac:dyDescent="0.25">
      <c r="A6356" s="115">
        <v>-1</v>
      </c>
      <c r="B6356" s="115" t="s">
        <v>1320</v>
      </c>
      <c r="D6356" s="115" t="s">
        <v>12420</v>
      </c>
      <c r="E6356" s="115" t="s">
        <v>1242</v>
      </c>
      <c r="F6356" s="115">
        <v>0</v>
      </c>
      <c r="G6356" s="115">
        <v>0</v>
      </c>
      <c r="H6356" s="115">
        <v>0</v>
      </c>
      <c r="I6356" s="115">
        <v>0</v>
      </c>
      <c r="J6356" s="115">
        <v>0</v>
      </c>
      <c r="K6356" s="115">
        <v>0</v>
      </c>
    </row>
    <row r="6357" spans="1:11" x14ac:dyDescent="0.25">
      <c r="B6357" s="115" t="s">
        <v>1241</v>
      </c>
      <c r="D6357" s="115" t="s">
        <v>12421</v>
      </c>
      <c r="E6357" s="115" t="s">
        <v>6917</v>
      </c>
      <c r="F6357" s="115">
        <v>0</v>
      </c>
      <c r="G6357" s="115">
        <v>0</v>
      </c>
      <c r="H6357" s="115">
        <v>0</v>
      </c>
      <c r="I6357" s="115">
        <v>0</v>
      </c>
      <c r="J6357" s="115">
        <v>0</v>
      </c>
      <c r="K6357" s="115">
        <v>-2132</v>
      </c>
    </row>
    <row r="6358" spans="1:11" x14ac:dyDescent="0.25">
      <c r="B6358" s="115" t="s">
        <v>1241</v>
      </c>
      <c r="D6358" s="115" t="s">
        <v>12422</v>
      </c>
      <c r="E6358" s="115" t="s">
        <v>6918</v>
      </c>
      <c r="F6358" s="115">
        <v>0</v>
      </c>
      <c r="G6358" s="115">
        <v>840</v>
      </c>
      <c r="H6358" s="115">
        <v>35</v>
      </c>
      <c r="I6358" s="115">
        <v>-606</v>
      </c>
      <c r="J6358" s="115">
        <v>-3564</v>
      </c>
      <c r="K6358" s="115">
        <v>-3964</v>
      </c>
    </row>
    <row r="6359" spans="1:11" x14ac:dyDescent="0.25">
      <c r="A6359" s="115">
        <v>-14</v>
      </c>
      <c r="B6359" s="115" t="s">
        <v>6919</v>
      </c>
      <c r="D6359" s="115" t="s">
        <v>12423</v>
      </c>
      <c r="E6359" s="115" t="s">
        <v>6920</v>
      </c>
      <c r="F6359" s="115">
        <v>1047</v>
      </c>
      <c r="G6359" s="115">
        <v>2610</v>
      </c>
      <c r="H6359" s="115">
        <v>182</v>
      </c>
      <c r="I6359" s="115">
        <v>-1135</v>
      </c>
      <c r="J6359" s="115">
        <v>-681</v>
      </c>
      <c r="K6359" s="115">
        <v>-3905</v>
      </c>
    </row>
    <row r="6360" spans="1:11" x14ac:dyDescent="0.25">
      <c r="A6360" s="115" t="s">
        <v>1239</v>
      </c>
      <c r="B6360" s="115" t="s">
        <v>6921</v>
      </c>
      <c r="D6360" s="115" t="s">
        <v>12424</v>
      </c>
      <c r="E6360" s="115" t="s">
        <v>6922</v>
      </c>
      <c r="F6360" s="115">
        <v>132</v>
      </c>
      <c r="G6360" s="115">
        <v>818</v>
      </c>
      <c r="H6360" s="115">
        <v>-2227</v>
      </c>
      <c r="I6360" s="115">
        <v>-251</v>
      </c>
      <c r="J6360" s="115">
        <v>176</v>
      </c>
      <c r="K6360" s="115">
        <v>1222</v>
      </c>
    </row>
    <row r="6361" spans="1:11" x14ac:dyDescent="0.25">
      <c r="A6361" s="115">
        <v>-1</v>
      </c>
      <c r="B6361" s="115" t="s">
        <v>6923</v>
      </c>
      <c r="D6361" s="115" t="s">
        <v>12425</v>
      </c>
      <c r="E6361" s="115" t="s">
        <v>6924</v>
      </c>
      <c r="F6361" s="115">
        <v>-1409</v>
      </c>
      <c r="G6361" s="115">
        <v>-111</v>
      </c>
      <c r="H6361" s="115">
        <v>85</v>
      </c>
      <c r="I6361" s="115">
        <v>740</v>
      </c>
      <c r="J6361" s="115">
        <v>-1181</v>
      </c>
      <c r="K6361" s="115">
        <v>-305</v>
      </c>
    </row>
    <row r="6362" spans="1:11" x14ac:dyDescent="0.25">
      <c r="A6362" s="115" t="s">
        <v>1239</v>
      </c>
      <c r="B6362" s="115" t="s">
        <v>6925</v>
      </c>
      <c r="D6362" s="115" t="s">
        <v>12426</v>
      </c>
      <c r="E6362" s="115" t="s">
        <v>6926</v>
      </c>
      <c r="F6362" s="115">
        <v>-13</v>
      </c>
      <c r="G6362" s="115">
        <v>-58</v>
      </c>
      <c r="H6362" s="115">
        <v>210</v>
      </c>
      <c r="I6362" s="115">
        <v>-162</v>
      </c>
      <c r="J6362" s="115">
        <v>-283</v>
      </c>
      <c r="K6362" s="115">
        <v>-136</v>
      </c>
    </row>
    <row r="6363" spans="1:11" x14ac:dyDescent="0.25">
      <c r="B6363" s="115" t="s">
        <v>6927</v>
      </c>
      <c r="D6363" s="115" t="s">
        <v>12427</v>
      </c>
      <c r="E6363" s="115" t="s">
        <v>6928</v>
      </c>
      <c r="F6363" s="115">
        <v>219</v>
      </c>
      <c r="G6363" s="115">
        <v>165</v>
      </c>
      <c r="H6363" s="115">
        <v>135</v>
      </c>
      <c r="I6363" s="115">
        <v>491</v>
      </c>
      <c r="J6363" s="115">
        <v>472</v>
      </c>
      <c r="K6363" s="115">
        <v>323</v>
      </c>
    </row>
    <row r="6364" spans="1:11" x14ac:dyDescent="0.25">
      <c r="B6364" s="115" t="s">
        <v>6929</v>
      </c>
      <c r="D6364" s="115" t="s">
        <v>12428</v>
      </c>
      <c r="E6364" s="115" t="s">
        <v>6930</v>
      </c>
      <c r="F6364" s="115">
        <v>49083</v>
      </c>
      <c r="G6364" s="115">
        <v>-46</v>
      </c>
      <c r="H6364" s="115">
        <v>-34776</v>
      </c>
      <c r="I6364" s="115">
        <v>-65</v>
      </c>
      <c r="J6364" s="115">
        <v>-8</v>
      </c>
      <c r="K6364" s="115">
        <v>44</v>
      </c>
    </row>
    <row r="6365" spans="1:11" x14ac:dyDescent="0.25">
      <c r="B6365" s="115" t="s">
        <v>1241</v>
      </c>
      <c r="D6365" s="115" t="s">
        <v>12429</v>
      </c>
      <c r="E6365" s="115" t="s">
        <v>6931</v>
      </c>
      <c r="F6365" s="115">
        <v>0</v>
      </c>
      <c r="G6365" s="115">
        <v>0</v>
      </c>
      <c r="H6365" s="115">
        <v>133</v>
      </c>
      <c r="I6365" s="115">
        <v>-33</v>
      </c>
      <c r="J6365" s="115">
        <v>0</v>
      </c>
      <c r="K6365" s="115">
        <v>0</v>
      </c>
    </row>
    <row r="6366" spans="1:11" x14ac:dyDescent="0.25">
      <c r="B6366" s="115" t="s">
        <v>1241</v>
      </c>
      <c r="D6366" s="115" t="s">
        <v>12430</v>
      </c>
      <c r="E6366" s="115" t="s">
        <v>6932</v>
      </c>
      <c r="F6366" s="115">
        <v>-204</v>
      </c>
      <c r="G6366" s="115">
        <v>0</v>
      </c>
      <c r="H6366" s="115">
        <v>0</v>
      </c>
      <c r="I6366" s="115">
        <v>-416</v>
      </c>
      <c r="J6366" s="115">
        <v>0</v>
      </c>
      <c r="K6366" s="115">
        <v>341</v>
      </c>
    </row>
    <row r="6367" spans="1:11" x14ac:dyDescent="0.25">
      <c r="B6367" s="115" t="s">
        <v>6893</v>
      </c>
      <c r="D6367" s="115" t="s">
        <v>12431</v>
      </c>
      <c r="E6367" s="115" t="s">
        <v>6933</v>
      </c>
      <c r="F6367" s="115">
        <v>0</v>
      </c>
      <c r="G6367" s="115">
        <v>329</v>
      </c>
      <c r="H6367" s="115">
        <v>-27117</v>
      </c>
      <c r="I6367" s="115">
        <v>-39</v>
      </c>
      <c r="J6367" s="115">
        <v>-130</v>
      </c>
      <c r="K6367" s="115">
        <v>-370</v>
      </c>
    </row>
    <row r="6368" spans="1:11" x14ac:dyDescent="0.25">
      <c r="A6368" s="115" t="s">
        <v>1239</v>
      </c>
      <c r="B6368" s="115" t="s">
        <v>3456</v>
      </c>
      <c r="D6368" s="115" t="s">
        <v>12432</v>
      </c>
      <c r="E6368" s="115" t="s">
        <v>6934</v>
      </c>
      <c r="F6368" s="115">
        <v>0</v>
      </c>
      <c r="G6368" s="115">
        <v>0</v>
      </c>
      <c r="H6368" s="115">
        <v>0</v>
      </c>
      <c r="I6368" s="115">
        <v>0</v>
      </c>
      <c r="J6368" s="115">
        <v>169</v>
      </c>
      <c r="K6368" s="115">
        <v>0</v>
      </c>
    </row>
    <row r="6369" spans="1:11" x14ac:dyDescent="0.25">
      <c r="B6369" s="115" t="s">
        <v>1241</v>
      </c>
      <c r="D6369" s="115" t="s">
        <v>12433</v>
      </c>
      <c r="E6369" s="115" t="s">
        <v>1242</v>
      </c>
      <c r="F6369" s="115">
        <v>-7</v>
      </c>
      <c r="G6369" s="115">
        <v>0</v>
      </c>
      <c r="H6369" s="115">
        <v>0</v>
      </c>
      <c r="I6369" s="115">
        <v>0</v>
      </c>
      <c r="J6369" s="115">
        <v>0</v>
      </c>
      <c r="K6369" s="115">
        <v>0</v>
      </c>
    </row>
    <row r="6370" spans="1:11" x14ac:dyDescent="0.25">
      <c r="A6370" s="115" t="s">
        <v>1239</v>
      </c>
      <c r="B6370" s="115" t="s">
        <v>4654</v>
      </c>
      <c r="D6370" s="115" t="s">
        <v>12434</v>
      </c>
      <c r="E6370" s="115" t="s">
        <v>6935</v>
      </c>
      <c r="F6370" s="115">
        <v>0</v>
      </c>
      <c r="G6370" s="115">
        <v>0</v>
      </c>
      <c r="H6370" s="115">
        <v>-748</v>
      </c>
      <c r="I6370" s="115">
        <v>-30607</v>
      </c>
      <c r="J6370" s="115">
        <v>0</v>
      </c>
      <c r="K6370" s="115">
        <v>-57</v>
      </c>
    </row>
    <row r="6371" spans="1:11" x14ac:dyDescent="0.25">
      <c r="B6371" s="115" t="s">
        <v>1241</v>
      </c>
      <c r="D6371" s="115" t="s">
        <v>12435</v>
      </c>
      <c r="E6371" s="115" t="s">
        <v>6936</v>
      </c>
      <c r="F6371" s="115">
        <v>-1243</v>
      </c>
      <c r="G6371" s="115">
        <v>-275</v>
      </c>
      <c r="H6371" s="115">
        <v>-74</v>
      </c>
      <c r="I6371" s="115">
        <v>0</v>
      </c>
      <c r="J6371" s="115">
        <v>0</v>
      </c>
      <c r="K6371" s="115">
        <v>452</v>
      </c>
    </row>
    <row r="6372" spans="1:11" x14ac:dyDescent="0.25">
      <c r="B6372" s="115" t="s">
        <v>6937</v>
      </c>
      <c r="D6372" s="115" t="s">
        <v>12436</v>
      </c>
      <c r="E6372" s="115" t="s">
        <v>6938</v>
      </c>
      <c r="F6372" s="115">
        <v>171</v>
      </c>
      <c r="G6372" s="115">
        <v>-247</v>
      </c>
      <c r="H6372" s="115">
        <v>426</v>
      </c>
      <c r="I6372" s="115">
        <v>456</v>
      </c>
      <c r="J6372" s="115">
        <v>441</v>
      </c>
      <c r="K6372" s="115">
        <v>0</v>
      </c>
    </row>
    <row r="6373" spans="1:11" x14ac:dyDescent="0.25">
      <c r="B6373" s="115" t="s">
        <v>1241</v>
      </c>
      <c r="D6373" s="115" t="s">
        <v>12437</v>
      </c>
      <c r="E6373" s="115" t="s">
        <v>6939</v>
      </c>
      <c r="F6373" s="115">
        <v>487</v>
      </c>
      <c r="G6373" s="115">
        <v>0</v>
      </c>
      <c r="H6373" s="115">
        <v>1327</v>
      </c>
      <c r="I6373" s="115">
        <v>403</v>
      </c>
      <c r="J6373" s="115">
        <v>-370</v>
      </c>
      <c r="K6373" s="115">
        <v>0</v>
      </c>
    </row>
    <row r="6374" spans="1:11" x14ac:dyDescent="0.25">
      <c r="A6374" s="115">
        <v>-1</v>
      </c>
      <c r="B6374" s="115" t="s">
        <v>6940</v>
      </c>
      <c r="D6374" s="115" t="s">
        <v>12438</v>
      </c>
      <c r="E6374" s="115" t="s">
        <v>6941</v>
      </c>
      <c r="F6374" s="115">
        <v>535</v>
      </c>
      <c r="G6374" s="115">
        <v>0</v>
      </c>
      <c r="H6374" s="115">
        <v>-124</v>
      </c>
      <c r="I6374" s="115">
        <v>-1267</v>
      </c>
      <c r="J6374" s="115">
        <v>-1510</v>
      </c>
      <c r="K6374" s="115">
        <v>143</v>
      </c>
    </row>
    <row r="6375" spans="1:11" x14ac:dyDescent="0.25">
      <c r="B6375" s="115" t="s">
        <v>2155</v>
      </c>
      <c r="D6375" s="115" t="s">
        <v>12439</v>
      </c>
      <c r="E6375" s="115" t="s">
        <v>6942</v>
      </c>
      <c r="F6375" s="115">
        <v>0</v>
      </c>
      <c r="G6375" s="115">
        <v>0</v>
      </c>
      <c r="H6375" s="115">
        <v>-25</v>
      </c>
      <c r="I6375" s="115">
        <v>2</v>
      </c>
      <c r="J6375" s="115">
        <v>0</v>
      </c>
      <c r="K6375" s="115">
        <v>39</v>
      </c>
    </row>
    <row r="6376" spans="1:11" x14ac:dyDescent="0.25">
      <c r="B6376" s="115" t="s">
        <v>6943</v>
      </c>
      <c r="D6376" s="115" t="s">
        <v>12440</v>
      </c>
      <c r="E6376" s="115" t="s">
        <v>6944</v>
      </c>
      <c r="F6376" s="115">
        <v>0</v>
      </c>
      <c r="G6376" s="115">
        <v>0</v>
      </c>
      <c r="H6376" s="115">
        <v>0</v>
      </c>
      <c r="I6376" s="115">
        <v>0</v>
      </c>
      <c r="J6376" s="115">
        <v>1161</v>
      </c>
      <c r="K6376" s="115">
        <v>0</v>
      </c>
    </row>
    <row r="6377" spans="1:11" x14ac:dyDescent="0.25">
      <c r="A6377" s="115">
        <v>9</v>
      </c>
      <c r="B6377" s="115" t="s">
        <v>6945</v>
      </c>
      <c r="D6377" s="115" t="s">
        <v>12441</v>
      </c>
      <c r="E6377" s="115" t="s">
        <v>6946</v>
      </c>
      <c r="F6377" s="115">
        <v>-1739</v>
      </c>
      <c r="G6377" s="115">
        <v>-37278</v>
      </c>
      <c r="H6377" s="115">
        <v>83</v>
      </c>
      <c r="I6377" s="115">
        <v>-196</v>
      </c>
      <c r="J6377" s="115">
        <v>412</v>
      </c>
      <c r="K6377" s="115">
        <v>-96</v>
      </c>
    </row>
    <row r="6378" spans="1:11" x14ac:dyDescent="0.25">
      <c r="A6378" s="115" t="s">
        <v>1239</v>
      </c>
      <c r="B6378" s="115" t="s">
        <v>6947</v>
      </c>
      <c r="D6378" s="115" t="s">
        <v>12442</v>
      </c>
      <c r="E6378" s="115" t="s">
        <v>6948</v>
      </c>
      <c r="F6378" s="115">
        <v>0</v>
      </c>
      <c r="G6378" s="115">
        <v>0</v>
      </c>
      <c r="H6378" s="115">
        <v>45</v>
      </c>
      <c r="I6378" s="115">
        <v>239</v>
      </c>
      <c r="J6378" s="115">
        <v>0</v>
      </c>
      <c r="K6378" s="115">
        <v>81</v>
      </c>
    </row>
    <row r="6379" spans="1:11" x14ac:dyDescent="0.25">
      <c r="B6379" s="115" t="s">
        <v>1241</v>
      </c>
      <c r="D6379" s="115" t="s">
        <v>12443</v>
      </c>
      <c r="E6379" s="115" t="s">
        <v>6949</v>
      </c>
      <c r="F6379" s="115">
        <v>-38</v>
      </c>
      <c r="G6379" s="115">
        <v>4</v>
      </c>
      <c r="H6379" s="115">
        <v>-135</v>
      </c>
      <c r="I6379" s="115">
        <v>0</v>
      </c>
      <c r="J6379" s="115">
        <v>0</v>
      </c>
      <c r="K6379" s="115">
        <v>0</v>
      </c>
    </row>
    <row r="6380" spans="1:11" x14ac:dyDescent="0.25">
      <c r="B6380" s="115" t="s">
        <v>1241</v>
      </c>
      <c r="D6380" s="115" t="s">
        <v>12444</v>
      </c>
      <c r="E6380" s="115" t="s">
        <v>6950</v>
      </c>
      <c r="F6380" s="115">
        <v>9032</v>
      </c>
      <c r="G6380" s="115">
        <v>467</v>
      </c>
      <c r="H6380" s="115">
        <v>109</v>
      </c>
      <c r="I6380" s="115">
        <v>0</v>
      </c>
      <c r="J6380" s="115">
        <v>-1167</v>
      </c>
      <c r="K6380" s="115">
        <v>-41174</v>
      </c>
    </row>
    <row r="6381" spans="1:11" x14ac:dyDescent="0.25">
      <c r="B6381" s="115" t="s">
        <v>5771</v>
      </c>
      <c r="D6381" s="115" t="s">
        <v>12445</v>
      </c>
      <c r="E6381" s="115" t="s">
        <v>6951</v>
      </c>
      <c r="F6381" s="115">
        <v>1947</v>
      </c>
      <c r="G6381" s="115">
        <v>4208</v>
      </c>
      <c r="H6381" s="115">
        <v>1808</v>
      </c>
      <c r="I6381" s="115">
        <v>-1109</v>
      </c>
      <c r="J6381" s="115">
        <v>-959</v>
      </c>
      <c r="K6381" s="115">
        <v>0</v>
      </c>
    </row>
    <row r="6382" spans="1:11" x14ac:dyDescent="0.25">
      <c r="B6382" s="115" t="s">
        <v>3670</v>
      </c>
      <c r="D6382" s="115" t="s">
        <v>12446</v>
      </c>
      <c r="E6382" s="115" t="s">
        <v>6952</v>
      </c>
      <c r="F6382" s="115">
        <v>0</v>
      </c>
      <c r="G6382" s="115">
        <v>355</v>
      </c>
      <c r="H6382" s="115">
        <v>0</v>
      </c>
      <c r="I6382" s="115">
        <v>-370</v>
      </c>
      <c r="J6382" s="115">
        <v>0</v>
      </c>
      <c r="K6382" s="115">
        <v>0</v>
      </c>
    </row>
    <row r="6383" spans="1:11" x14ac:dyDescent="0.25">
      <c r="B6383" s="115" t="s">
        <v>1241</v>
      </c>
      <c r="D6383" s="115" t="s">
        <v>12447</v>
      </c>
      <c r="E6383" s="115" t="s">
        <v>6953</v>
      </c>
      <c r="F6383" s="115">
        <v>0</v>
      </c>
      <c r="G6383" s="115">
        <v>0</v>
      </c>
      <c r="H6383" s="115">
        <v>808</v>
      </c>
      <c r="I6383" s="115">
        <v>0</v>
      </c>
      <c r="J6383" s="115">
        <v>4534</v>
      </c>
      <c r="K6383" s="115">
        <v>-1613</v>
      </c>
    </row>
    <row r="6384" spans="1:11" x14ac:dyDescent="0.25">
      <c r="A6384" s="115" t="s">
        <v>1239</v>
      </c>
      <c r="B6384" s="115" t="s">
        <v>4726</v>
      </c>
      <c r="D6384" s="115" t="s">
        <v>12448</v>
      </c>
      <c r="E6384" s="115" t="s">
        <v>6954</v>
      </c>
      <c r="F6384" s="115">
        <v>0</v>
      </c>
      <c r="G6384" s="115">
        <v>0</v>
      </c>
      <c r="H6384" s="115">
        <v>0</v>
      </c>
      <c r="I6384" s="115">
        <v>0</v>
      </c>
      <c r="J6384" s="115">
        <v>0</v>
      </c>
      <c r="K6384" s="115">
        <v>-1985</v>
      </c>
    </row>
    <row r="6385" spans="1:11" x14ac:dyDescent="0.25">
      <c r="A6385" s="115">
        <v>-1</v>
      </c>
      <c r="B6385" s="115" t="s">
        <v>6955</v>
      </c>
      <c r="D6385" s="115" t="s">
        <v>12449</v>
      </c>
      <c r="E6385" s="115" t="s">
        <v>6956</v>
      </c>
      <c r="F6385" s="115">
        <v>54</v>
      </c>
      <c r="G6385" s="115">
        <v>0</v>
      </c>
      <c r="H6385" s="115">
        <v>0</v>
      </c>
      <c r="I6385" s="115">
        <v>0</v>
      </c>
      <c r="J6385" s="115">
        <v>0</v>
      </c>
      <c r="K6385" s="115">
        <v>-1902</v>
      </c>
    </row>
    <row r="6386" spans="1:11" x14ac:dyDescent="0.25">
      <c r="B6386" s="115" t="s">
        <v>6957</v>
      </c>
      <c r="D6386" s="115" t="s">
        <v>12450</v>
      </c>
      <c r="E6386" s="115" t="s">
        <v>6958</v>
      </c>
      <c r="F6386" s="115">
        <v>269</v>
      </c>
      <c r="G6386" s="115">
        <v>174</v>
      </c>
      <c r="H6386" s="115">
        <v>0</v>
      </c>
      <c r="I6386" s="115">
        <v>0</v>
      </c>
      <c r="J6386" s="115">
        <v>0</v>
      </c>
      <c r="K6386" s="115">
        <v>0</v>
      </c>
    </row>
    <row r="6387" spans="1:11" x14ac:dyDescent="0.25">
      <c r="B6387" s="115" t="s">
        <v>6959</v>
      </c>
      <c r="D6387" s="115" t="s">
        <v>12451</v>
      </c>
      <c r="E6387" s="115" t="s">
        <v>6960</v>
      </c>
      <c r="F6387" s="115">
        <v>-483</v>
      </c>
      <c r="G6387" s="115">
        <v>1049</v>
      </c>
      <c r="H6387" s="115">
        <v>35</v>
      </c>
      <c r="I6387" s="115">
        <v>159</v>
      </c>
      <c r="J6387" s="115">
        <v>-58</v>
      </c>
      <c r="K6387" s="115">
        <v>38</v>
      </c>
    </row>
    <row r="6388" spans="1:11" x14ac:dyDescent="0.25">
      <c r="A6388" s="115" t="s">
        <v>1239</v>
      </c>
      <c r="B6388" s="115" t="s">
        <v>6961</v>
      </c>
      <c r="D6388" s="115" t="s">
        <v>12452</v>
      </c>
      <c r="E6388" s="115" t="s">
        <v>6962</v>
      </c>
      <c r="F6388" s="115">
        <v>0</v>
      </c>
      <c r="G6388" s="115">
        <v>0</v>
      </c>
      <c r="H6388" s="115">
        <v>0</v>
      </c>
      <c r="I6388" s="115">
        <v>0</v>
      </c>
      <c r="J6388" s="115">
        <v>0</v>
      </c>
      <c r="K6388" s="115">
        <v>-176</v>
      </c>
    </row>
    <row r="6389" spans="1:11" x14ac:dyDescent="0.25">
      <c r="B6389" s="115" t="s">
        <v>6963</v>
      </c>
      <c r="D6389" s="115" t="s">
        <v>12453</v>
      </c>
      <c r="E6389" s="115" t="s">
        <v>6964</v>
      </c>
      <c r="F6389" s="115">
        <v>-37</v>
      </c>
      <c r="G6389" s="115">
        <v>0</v>
      </c>
      <c r="H6389" s="115">
        <v>0</v>
      </c>
      <c r="I6389" s="115">
        <v>82</v>
      </c>
      <c r="J6389" s="115">
        <v>0</v>
      </c>
      <c r="K6389" s="115">
        <v>430</v>
      </c>
    </row>
    <row r="6390" spans="1:11" x14ac:dyDescent="0.25">
      <c r="B6390" s="115" t="s">
        <v>6965</v>
      </c>
      <c r="D6390" s="115" t="s">
        <v>12454</v>
      </c>
      <c r="E6390" s="115" t="s">
        <v>6966</v>
      </c>
      <c r="F6390" s="115">
        <v>0</v>
      </c>
      <c r="G6390" s="115">
        <v>-1823</v>
      </c>
      <c r="H6390" s="115">
        <v>0</v>
      </c>
      <c r="I6390" s="115">
        <v>-276</v>
      </c>
      <c r="J6390" s="115">
        <v>-513</v>
      </c>
      <c r="K6390" s="115">
        <v>0</v>
      </c>
    </row>
    <row r="6391" spans="1:11" x14ac:dyDescent="0.25">
      <c r="B6391" s="115" t="s">
        <v>1241</v>
      </c>
      <c r="D6391" s="115" t="s">
        <v>8710</v>
      </c>
      <c r="E6391" s="115" t="s">
        <v>1242</v>
      </c>
      <c r="F6391" s="115">
        <v>0</v>
      </c>
      <c r="G6391" s="115">
        <v>0</v>
      </c>
      <c r="H6391" s="115">
        <v>0</v>
      </c>
      <c r="I6391" s="115">
        <v>0</v>
      </c>
      <c r="J6391" s="115">
        <v>0</v>
      </c>
      <c r="K6391" s="115">
        <v>0</v>
      </c>
    </row>
    <row r="6392" spans="1:11" x14ac:dyDescent="0.25">
      <c r="B6392" s="115" t="s">
        <v>1241</v>
      </c>
      <c r="D6392" s="115" t="s">
        <v>12455</v>
      </c>
      <c r="E6392" s="115" t="s">
        <v>1242</v>
      </c>
      <c r="F6392" s="115">
        <v>-1965</v>
      </c>
      <c r="G6392" s="115">
        <v>0</v>
      </c>
      <c r="H6392" s="115">
        <v>0</v>
      </c>
      <c r="I6392" s="115">
        <v>0</v>
      </c>
      <c r="J6392" s="115">
        <v>0</v>
      </c>
      <c r="K6392" s="115">
        <v>0</v>
      </c>
    </row>
    <row r="6393" spans="1:11" x14ac:dyDescent="0.25">
      <c r="B6393" s="115" t="s">
        <v>6967</v>
      </c>
      <c r="D6393" s="115" t="s">
        <v>12456</v>
      </c>
      <c r="E6393" s="115" t="s">
        <v>6968</v>
      </c>
      <c r="F6393" s="115">
        <v>-4755</v>
      </c>
      <c r="G6393" s="115">
        <v>-5333</v>
      </c>
      <c r="H6393" s="115">
        <v>-17077</v>
      </c>
      <c r="I6393" s="115">
        <v>9051</v>
      </c>
      <c r="J6393" s="115">
        <v>-883</v>
      </c>
      <c r="K6393" s="115">
        <v>951</v>
      </c>
    </row>
    <row r="6394" spans="1:11" x14ac:dyDescent="0.25">
      <c r="A6394" s="115">
        <v>1</v>
      </c>
      <c r="B6394" s="115" t="s">
        <v>6969</v>
      </c>
      <c r="C6394" s="115" t="s">
        <v>1239</v>
      </c>
      <c r="D6394" s="115" t="s">
        <v>12457</v>
      </c>
      <c r="E6394" s="115" t="s">
        <v>6970</v>
      </c>
      <c r="F6394" s="115">
        <v>-152</v>
      </c>
      <c r="G6394" s="115">
        <v>-5015</v>
      </c>
      <c r="H6394" s="115">
        <v>22</v>
      </c>
      <c r="I6394" s="115">
        <v>0</v>
      </c>
      <c r="J6394" s="115">
        <v>-904</v>
      </c>
      <c r="K6394" s="115">
        <v>-640</v>
      </c>
    </row>
    <row r="6395" spans="1:11" x14ac:dyDescent="0.25">
      <c r="A6395" s="115" t="s">
        <v>1239</v>
      </c>
      <c r="B6395" s="115" t="s">
        <v>6971</v>
      </c>
      <c r="D6395" s="115">
        <f>-822   -383   -653   -623   -563   -676   -346   -556</f>
        <v>-4622</v>
      </c>
      <c r="E6395" s="115">
        <f>-623   -563   -676   -346   -556</f>
        <v>-2764</v>
      </c>
      <c r="F6395" s="115">
        <v>-653</v>
      </c>
      <c r="G6395" s="115">
        <v>-623</v>
      </c>
      <c r="H6395" s="115">
        <v>-563</v>
      </c>
      <c r="I6395" s="115">
        <v>-676</v>
      </c>
      <c r="J6395" s="115">
        <v>-346</v>
      </c>
      <c r="K6395" s="115">
        <v>-556</v>
      </c>
    </row>
    <row r="6396" spans="1:11" x14ac:dyDescent="0.25">
      <c r="A6396" s="115" t="s">
        <v>1239</v>
      </c>
      <c r="B6396" s="115" t="s">
        <v>6972</v>
      </c>
      <c r="D6396" s="115" t="s">
        <v>12458</v>
      </c>
      <c r="E6396" s="115" t="s">
        <v>6973</v>
      </c>
      <c r="F6396" s="115">
        <v>-878</v>
      </c>
      <c r="G6396" s="115">
        <v>-923</v>
      </c>
      <c r="H6396" s="115">
        <v>-829</v>
      </c>
      <c r="I6396" s="115">
        <v>104</v>
      </c>
      <c r="J6396" s="115">
        <v>-276</v>
      </c>
      <c r="K6396" s="115">
        <v>-69</v>
      </c>
    </row>
    <row r="6397" spans="1:11" x14ac:dyDescent="0.25">
      <c r="A6397" s="115" t="s">
        <v>1239</v>
      </c>
      <c r="B6397" s="115" t="s">
        <v>6974</v>
      </c>
      <c r="D6397" s="115" t="s">
        <v>12459</v>
      </c>
      <c r="E6397" s="115" t="s">
        <v>6975</v>
      </c>
      <c r="F6397" s="115">
        <v>-133</v>
      </c>
      <c r="G6397" s="115">
        <v>604</v>
      </c>
      <c r="H6397" s="115">
        <v>85</v>
      </c>
      <c r="I6397" s="115">
        <v>-1715</v>
      </c>
      <c r="J6397" s="115">
        <v>787</v>
      </c>
      <c r="K6397" s="115">
        <v>393</v>
      </c>
    </row>
    <row r="6398" spans="1:11" x14ac:dyDescent="0.25">
      <c r="B6398" s="115" t="s">
        <v>6976</v>
      </c>
      <c r="D6398" s="115" t="s">
        <v>12460</v>
      </c>
      <c r="E6398" s="115" t="s">
        <v>6977</v>
      </c>
      <c r="F6398" s="115">
        <v>496</v>
      </c>
      <c r="G6398" s="115">
        <v>497</v>
      </c>
      <c r="H6398" s="115">
        <v>482</v>
      </c>
      <c r="I6398" s="115">
        <v>579</v>
      </c>
      <c r="J6398" s="115">
        <v>41037</v>
      </c>
      <c r="K6398" s="115">
        <v>48467</v>
      </c>
    </row>
    <row r="6399" spans="1:11" x14ac:dyDescent="0.25">
      <c r="A6399" s="115">
        <v>49</v>
      </c>
      <c r="B6399" s="115" t="s">
        <v>6978</v>
      </c>
      <c r="C6399" s="115">
        <v>-3</v>
      </c>
      <c r="D6399" s="115" t="s">
        <v>12461</v>
      </c>
      <c r="E6399" s="115" t="s">
        <v>6979</v>
      </c>
      <c r="F6399" s="115">
        <v>-75</v>
      </c>
      <c r="G6399" s="115">
        <v>-847</v>
      </c>
      <c r="H6399" s="115">
        <v>0</v>
      </c>
      <c r="I6399" s="115">
        <v>0</v>
      </c>
      <c r="J6399" s="115">
        <v>-468</v>
      </c>
      <c r="K6399" s="115">
        <v>0</v>
      </c>
    </row>
    <row r="6400" spans="1:11" x14ac:dyDescent="0.25">
      <c r="B6400" s="115" t="s">
        <v>1241</v>
      </c>
      <c r="D6400" s="115" t="s">
        <v>12462</v>
      </c>
      <c r="E6400" s="115" t="s">
        <v>1242</v>
      </c>
      <c r="F6400" s="115">
        <v>0</v>
      </c>
      <c r="G6400" s="115">
        <v>0</v>
      </c>
      <c r="H6400" s="115">
        <v>0</v>
      </c>
      <c r="I6400" s="115">
        <v>0</v>
      </c>
      <c r="J6400" s="115">
        <v>0</v>
      </c>
      <c r="K6400" s="115">
        <v>0</v>
      </c>
    </row>
    <row r="6401" spans="1:11" x14ac:dyDescent="0.25">
      <c r="B6401" s="115" t="s">
        <v>2719</v>
      </c>
      <c r="D6401" s="115" t="s">
        <v>12463</v>
      </c>
      <c r="E6401" s="115" t="s">
        <v>6980</v>
      </c>
      <c r="F6401" s="115">
        <v>0</v>
      </c>
      <c r="G6401" s="115">
        <v>283</v>
      </c>
      <c r="H6401" s="115">
        <v>0</v>
      </c>
      <c r="I6401" s="115">
        <v>105</v>
      </c>
      <c r="J6401" s="115">
        <v>1004</v>
      </c>
      <c r="K6401" s="115">
        <v>109</v>
      </c>
    </row>
    <row r="6402" spans="1:11" x14ac:dyDescent="0.25">
      <c r="B6402" s="115" t="s">
        <v>6981</v>
      </c>
      <c r="C6402" s="115">
        <v>-2</v>
      </c>
      <c r="D6402" s="115" t="s">
        <v>12464</v>
      </c>
      <c r="E6402" s="115" t="s">
        <v>6982</v>
      </c>
      <c r="F6402" s="115">
        <v>-199</v>
      </c>
      <c r="G6402" s="115">
        <v>-267</v>
      </c>
      <c r="H6402" s="115">
        <v>-513</v>
      </c>
      <c r="I6402" s="115">
        <v>0</v>
      </c>
      <c r="J6402" s="115">
        <v>84</v>
      </c>
      <c r="K6402" s="115">
        <v>0</v>
      </c>
    </row>
    <row r="6403" spans="1:11" x14ac:dyDescent="0.25">
      <c r="B6403" s="115" t="s">
        <v>1241</v>
      </c>
      <c r="D6403" s="115" t="s">
        <v>12465</v>
      </c>
      <c r="E6403" s="115" t="s">
        <v>6983</v>
      </c>
      <c r="F6403" s="115">
        <v>154</v>
      </c>
      <c r="G6403" s="115">
        <v>0</v>
      </c>
      <c r="H6403" s="115">
        <v>0</v>
      </c>
      <c r="I6403" s="115">
        <v>0</v>
      </c>
      <c r="J6403" s="115">
        <v>-72</v>
      </c>
      <c r="K6403" s="115">
        <v>0</v>
      </c>
    </row>
    <row r="6404" spans="1:11" x14ac:dyDescent="0.25">
      <c r="B6404" s="115" t="s">
        <v>4292</v>
      </c>
      <c r="D6404" s="115" t="s">
        <v>12466</v>
      </c>
      <c r="E6404" s="115" t="s">
        <v>6984</v>
      </c>
      <c r="F6404" s="115">
        <v>0</v>
      </c>
      <c r="G6404" s="115">
        <v>0</v>
      </c>
      <c r="H6404" s="115">
        <v>-84</v>
      </c>
      <c r="I6404" s="115">
        <v>0</v>
      </c>
      <c r="J6404" s="115">
        <v>-15</v>
      </c>
      <c r="K6404" s="115">
        <v>94</v>
      </c>
    </row>
    <row r="6405" spans="1:11" x14ac:dyDescent="0.25">
      <c r="B6405" s="115" t="s">
        <v>1241</v>
      </c>
      <c r="D6405" s="115" t="s">
        <v>12467</v>
      </c>
      <c r="E6405" s="115" t="s">
        <v>4176</v>
      </c>
      <c r="F6405" s="115">
        <v>0</v>
      </c>
      <c r="G6405" s="115">
        <v>476</v>
      </c>
      <c r="H6405" s="115">
        <v>0</v>
      </c>
      <c r="I6405" s="115">
        <v>0</v>
      </c>
      <c r="J6405" s="115">
        <v>0</v>
      </c>
      <c r="K6405" s="115">
        <v>0</v>
      </c>
    </row>
    <row r="6406" spans="1:11" x14ac:dyDescent="0.25">
      <c r="A6406" s="115" t="s">
        <v>1239</v>
      </c>
      <c r="B6406" s="115" t="s">
        <v>6985</v>
      </c>
      <c r="D6406" s="115" t="s">
        <v>12468</v>
      </c>
      <c r="E6406" s="115" t="s">
        <v>6986</v>
      </c>
      <c r="F6406" s="115">
        <v>0</v>
      </c>
      <c r="G6406" s="115">
        <v>393</v>
      </c>
      <c r="H6406" s="115">
        <v>30</v>
      </c>
      <c r="I6406" s="115">
        <v>0</v>
      </c>
      <c r="J6406" s="115">
        <v>74</v>
      </c>
      <c r="K6406" s="115">
        <v>-87</v>
      </c>
    </row>
    <row r="6407" spans="1:11" x14ac:dyDescent="0.25">
      <c r="B6407" s="115" t="s">
        <v>6987</v>
      </c>
      <c r="D6407" s="115" t="s">
        <v>12469</v>
      </c>
      <c r="E6407" s="115" t="s">
        <v>1242</v>
      </c>
      <c r="F6407" s="115">
        <v>170</v>
      </c>
      <c r="G6407" s="115">
        <v>0</v>
      </c>
      <c r="H6407" s="115">
        <v>0</v>
      </c>
      <c r="I6407" s="115">
        <v>0</v>
      </c>
      <c r="J6407" s="115">
        <v>0</v>
      </c>
      <c r="K6407" s="115">
        <v>0</v>
      </c>
    </row>
    <row r="6408" spans="1:11" x14ac:dyDescent="0.25">
      <c r="B6408" s="115" t="s">
        <v>6988</v>
      </c>
      <c r="D6408" s="115" t="s">
        <v>12470</v>
      </c>
      <c r="E6408" s="115" t="s">
        <v>6989</v>
      </c>
      <c r="F6408" s="115">
        <v>-302</v>
      </c>
      <c r="G6408" s="115">
        <v>0</v>
      </c>
      <c r="H6408" s="115">
        <v>-890</v>
      </c>
      <c r="I6408" s="115">
        <v>-34179</v>
      </c>
      <c r="J6408" s="115">
        <v>342</v>
      </c>
      <c r="K6408" s="115">
        <v>59</v>
      </c>
    </row>
    <row r="6409" spans="1:11" x14ac:dyDescent="0.25">
      <c r="A6409" s="115" t="s">
        <v>1239</v>
      </c>
      <c r="B6409" s="115" t="s">
        <v>6990</v>
      </c>
      <c r="D6409" s="115" t="s">
        <v>12471</v>
      </c>
      <c r="E6409" s="115" t="s">
        <v>6991</v>
      </c>
      <c r="F6409" s="115">
        <v>-1246</v>
      </c>
      <c r="G6409" s="115">
        <v>114</v>
      </c>
      <c r="H6409" s="115">
        <v>0</v>
      </c>
      <c r="I6409" s="115">
        <v>34</v>
      </c>
      <c r="J6409" s="115">
        <v>-225</v>
      </c>
      <c r="K6409" s="115">
        <v>0</v>
      </c>
    </row>
    <row r="6410" spans="1:11" x14ac:dyDescent="0.25">
      <c r="B6410" s="115" t="s">
        <v>1241</v>
      </c>
      <c r="D6410" s="115" t="s">
        <v>12472</v>
      </c>
      <c r="E6410" s="115" t="s">
        <v>6992</v>
      </c>
      <c r="F6410" s="115">
        <v>0</v>
      </c>
      <c r="G6410" s="115">
        <v>-133</v>
      </c>
      <c r="H6410" s="115">
        <v>120</v>
      </c>
      <c r="I6410" s="115">
        <v>7</v>
      </c>
      <c r="J6410" s="115">
        <v>-127</v>
      </c>
      <c r="K6410" s="115">
        <v>0</v>
      </c>
    </row>
    <row r="6411" spans="1:11" x14ac:dyDescent="0.25">
      <c r="B6411" s="115" t="s">
        <v>1241</v>
      </c>
      <c r="D6411" s="115" t="s">
        <v>12473</v>
      </c>
      <c r="E6411" s="115" t="s">
        <v>6993</v>
      </c>
      <c r="F6411" s="115">
        <v>840</v>
      </c>
      <c r="G6411" s="115">
        <v>0</v>
      </c>
      <c r="H6411" s="115">
        <v>7909</v>
      </c>
      <c r="I6411" s="115">
        <v>135</v>
      </c>
      <c r="J6411" s="115">
        <v>125</v>
      </c>
      <c r="K6411" s="115">
        <v>0</v>
      </c>
    </row>
    <row r="6412" spans="1:11" x14ac:dyDescent="0.25">
      <c r="A6412" s="115" t="s">
        <v>1239</v>
      </c>
      <c r="B6412" s="115" t="s">
        <v>6994</v>
      </c>
      <c r="D6412" s="115" t="s">
        <v>12474</v>
      </c>
      <c r="E6412" s="115" t="s">
        <v>6995</v>
      </c>
      <c r="F6412" s="115">
        <v>-393</v>
      </c>
      <c r="G6412" s="115">
        <v>-64</v>
      </c>
      <c r="H6412" s="115">
        <v>-149</v>
      </c>
      <c r="I6412" s="115">
        <v>603</v>
      </c>
      <c r="J6412" s="115">
        <v>0</v>
      </c>
      <c r="K6412" s="115">
        <v>190</v>
      </c>
    </row>
    <row r="6413" spans="1:11" x14ac:dyDescent="0.25">
      <c r="B6413" s="115" t="s">
        <v>1241</v>
      </c>
      <c r="D6413" s="115" t="s">
        <v>12475</v>
      </c>
      <c r="E6413" s="115" t="s">
        <v>6996</v>
      </c>
      <c r="F6413" s="115">
        <v>0</v>
      </c>
      <c r="G6413" s="115">
        <v>51</v>
      </c>
      <c r="H6413" s="115">
        <v>0</v>
      </c>
      <c r="I6413" s="115">
        <v>0</v>
      </c>
      <c r="J6413" s="115">
        <v>-68</v>
      </c>
      <c r="K6413" s="115">
        <v>0</v>
      </c>
    </row>
    <row r="6414" spans="1:11" x14ac:dyDescent="0.25">
      <c r="B6414" s="115" t="s">
        <v>6997</v>
      </c>
      <c r="D6414" s="115" t="s">
        <v>12476</v>
      </c>
      <c r="E6414" s="115" t="s">
        <v>6998</v>
      </c>
      <c r="F6414" s="115">
        <v>0</v>
      </c>
      <c r="G6414" s="115">
        <v>0</v>
      </c>
      <c r="H6414" s="115">
        <v>0</v>
      </c>
      <c r="I6414" s="115">
        <v>0</v>
      </c>
      <c r="J6414" s="115">
        <v>875</v>
      </c>
      <c r="K6414" s="115">
        <v>0</v>
      </c>
    </row>
    <row r="6415" spans="1:11" x14ac:dyDescent="0.25">
      <c r="A6415" s="115">
        <v>7</v>
      </c>
      <c r="B6415" s="115" t="s">
        <v>6999</v>
      </c>
      <c r="D6415" s="115" t="s">
        <v>12477</v>
      </c>
      <c r="E6415" s="115" t="s">
        <v>7000</v>
      </c>
      <c r="F6415" s="115">
        <v>-400</v>
      </c>
      <c r="G6415" s="115">
        <v>-35686</v>
      </c>
      <c r="H6415" s="115">
        <v>243</v>
      </c>
      <c r="I6415" s="115">
        <v>0</v>
      </c>
      <c r="J6415" s="115">
        <v>0</v>
      </c>
      <c r="K6415" s="115">
        <v>0</v>
      </c>
    </row>
    <row r="6416" spans="1:11" x14ac:dyDescent="0.25">
      <c r="A6416" s="115">
        <v>1</v>
      </c>
      <c r="B6416" s="115" t="s">
        <v>7001</v>
      </c>
      <c r="D6416" s="115" t="s">
        <v>12478</v>
      </c>
      <c r="E6416" s="115" t="s">
        <v>7002</v>
      </c>
      <c r="F6416" s="115">
        <v>-825</v>
      </c>
      <c r="G6416" s="115">
        <v>0</v>
      </c>
      <c r="H6416" s="115">
        <v>436</v>
      </c>
      <c r="I6416" s="115">
        <v>0</v>
      </c>
      <c r="J6416" s="115">
        <v>0</v>
      </c>
      <c r="K6416" s="115">
        <v>-26</v>
      </c>
    </row>
    <row r="6417" spans="1:11" x14ac:dyDescent="0.25">
      <c r="B6417" s="115" t="s">
        <v>7003</v>
      </c>
      <c r="D6417" s="115" t="s">
        <v>12479</v>
      </c>
      <c r="E6417" s="115" t="s">
        <v>1242</v>
      </c>
      <c r="F6417" s="115">
        <v>0</v>
      </c>
      <c r="G6417" s="115">
        <v>0</v>
      </c>
      <c r="H6417" s="115">
        <v>0</v>
      </c>
      <c r="I6417" s="115">
        <v>0</v>
      </c>
      <c r="J6417" s="115">
        <v>0</v>
      </c>
      <c r="K6417" s="115">
        <v>0</v>
      </c>
    </row>
    <row r="6418" spans="1:11" x14ac:dyDescent="0.25">
      <c r="B6418" s="115" t="s">
        <v>1241</v>
      </c>
      <c r="D6418" s="115" t="s">
        <v>12480</v>
      </c>
      <c r="E6418" s="115" t="s">
        <v>7004</v>
      </c>
      <c r="F6418" s="115">
        <v>2860</v>
      </c>
      <c r="G6418" s="115">
        <v>-1648</v>
      </c>
      <c r="H6418" s="115">
        <v>-391</v>
      </c>
      <c r="I6418" s="115">
        <v>0</v>
      </c>
      <c r="J6418" s="115">
        <v>-1045</v>
      </c>
      <c r="K6418" s="115">
        <v>-33972</v>
      </c>
    </row>
    <row r="6419" spans="1:11" x14ac:dyDescent="0.25">
      <c r="B6419" s="115" t="s">
        <v>1241</v>
      </c>
      <c r="D6419" s="115" t="s">
        <v>12481</v>
      </c>
      <c r="E6419" s="115" t="s">
        <v>7005</v>
      </c>
      <c r="F6419" s="115">
        <v>0</v>
      </c>
      <c r="G6419" s="115">
        <v>1415</v>
      </c>
      <c r="H6419" s="115">
        <v>1050</v>
      </c>
      <c r="I6419" s="115">
        <v>-865</v>
      </c>
      <c r="J6419" s="115">
        <v>-634</v>
      </c>
      <c r="K6419" s="115">
        <v>-668</v>
      </c>
    </row>
    <row r="6420" spans="1:11" x14ac:dyDescent="0.25">
      <c r="A6420" s="115">
        <v>-1</v>
      </c>
      <c r="B6420" s="115" t="s">
        <v>7006</v>
      </c>
      <c r="D6420" s="115" t="s">
        <v>12482</v>
      </c>
      <c r="E6420" s="115" t="s">
        <v>7007</v>
      </c>
      <c r="F6420" s="115">
        <v>0</v>
      </c>
      <c r="G6420" s="115">
        <v>-1408</v>
      </c>
      <c r="H6420" s="115">
        <v>0</v>
      </c>
      <c r="I6420" s="115">
        <v>-641</v>
      </c>
      <c r="J6420" s="115">
        <v>0</v>
      </c>
      <c r="K6420" s="115">
        <v>0</v>
      </c>
    </row>
    <row r="6421" spans="1:11" x14ac:dyDescent="0.25">
      <c r="A6421" s="115" t="s">
        <v>1239</v>
      </c>
      <c r="B6421" s="115" t="s">
        <v>7008</v>
      </c>
      <c r="D6421" s="115" t="s">
        <v>12483</v>
      </c>
      <c r="E6421" s="115" t="s">
        <v>7009</v>
      </c>
      <c r="F6421" s="115">
        <v>0</v>
      </c>
      <c r="G6421" s="115">
        <v>0</v>
      </c>
      <c r="H6421" s="115">
        <v>1555</v>
      </c>
      <c r="I6421" s="115">
        <v>0</v>
      </c>
      <c r="J6421" s="115">
        <v>3444</v>
      </c>
      <c r="K6421" s="115">
        <v>-828</v>
      </c>
    </row>
    <row r="6422" spans="1:11" x14ac:dyDescent="0.25">
      <c r="A6422" s="115">
        <v>-1</v>
      </c>
      <c r="B6422" s="115" t="s">
        <v>7010</v>
      </c>
      <c r="C6422" s="115" t="s">
        <v>1239</v>
      </c>
      <c r="D6422" s="115" t="s">
        <v>12484</v>
      </c>
      <c r="E6422" s="115" t="s">
        <v>7011</v>
      </c>
      <c r="F6422" s="115">
        <v>-657</v>
      </c>
      <c r="G6422" s="115">
        <v>-610</v>
      </c>
      <c r="H6422" s="115">
        <v>-440</v>
      </c>
      <c r="I6422" s="115">
        <v>-638</v>
      </c>
      <c r="J6422" s="115">
        <v>0</v>
      </c>
      <c r="K6422" s="115">
        <v>0</v>
      </c>
    </row>
    <row r="6423" spans="1:11" x14ac:dyDescent="0.25">
      <c r="B6423" s="115" t="s">
        <v>1241</v>
      </c>
      <c r="D6423" s="115" t="s">
        <v>12485</v>
      </c>
      <c r="E6423" s="115" t="s">
        <v>7012</v>
      </c>
      <c r="F6423" s="115">
        <v>0</v>
      </c>
      <c r="G6423" s="115">
        <v>76</v>
      </c>
      <c r="H6423" s="115">
        <v>-24</v>
      </c>
      <c r="I6423" s="115">
        <v>529</v>
      </c>
      <c r="J6423" s="115">
        <v>12</v>
      </c>
      <c r="K6423" s="115">
        <v>426</v>
      </c>
    </row>
    <row r="6424" spans="1:11" x14ac:dyDescent="0.25">
      <c r="B6424" s="115" t="s">
        <v>1345</v>
      </c>
      <c r="D6424" s="115" t="s">
        <v>12486</v>
      </c>
      <c r="E6424" s="115" t="s">
        <v>7013</v>
      </c>
      <c r="F6424" s="115">
        <v>0</v>
      </c>
      <c r="G6424" s="115">
        <v>153</v>
      </c>
      <c r="H6424" s="115">
        <v>450</v>
      </c>
      <c r="I6424" s="115">
        <v>0</v>
      </c>
      <c r="J6424" s="115">
        <v>0</v>
      </c>
      <c r="K6424" s="115">
        <v>0</v>
      </c>
    </row>
    <row r="6425" spans="1:11" x14ac:dyDescent="0.25">
      <c r="B6425" s="115" t="s">
        <v>7014</v>
      </c>
      <c r="D6425" s="115" t="s">
        <v>12487</v>
      </c>
      <c r="E6425" s="115" t="s">
        <v>1242</v>
      </c>
      <c r="F6425" s="115">
        <v>425</v>
      </c>
      <c r="G6425" s="115">
        <v>0</v>
      </c>
      <c r="H6425" s="115">
        <v>0</v>
      </c>
      <c r="I6425" s="115">
        <v>0</v>
      </c>
      <c r="J6425" s="115">
        <v>0</v>
      </c>
      <c r="K6425" s="115">
        <v>0</v>
      </c>
    </row>
    <row r="6426" spans="1:11" x14ac:dyDescent="0.25">
      <c r="B6426" s="115" t="s">
        <v>1241</v>
      </c>
      <c r="D6426" s="115" t="s">
        <v>8710</v>
      </c>
      <c r="E6426" s="115" t="s">
        <v>1242</v>
      </c>
      <c r="F6426" s="115">
        <v>0</v>
      </c>
      <c r="G6426" s="115">
        <v>0</v>
      </c>
      <c r="H6426" s="115">
        <v>0</v>
      </c>
      <c r="I6426" s="115">
        <v>0</v>
      </c>
      <c r="J6426" s="115">
        <v>0</v>
      </c>
      <c r="K6426" s="115">
        <v>0</v>
      </c>
    </row>
    <row r="6427" spans="1:11" x14ac:dyDescent="0.25">
      <c r="B6427" s="115" t="s">
        <v>5526</v>
      </c>
      <c r="D6427" s="115" t="s">
        <v>12488</v>
      </c>
      <c r="E6427" s="115" t="s">
        <v>7015</v>
      </c>
      <c r="F6427" s="115">
        <v>0</v>
      </c>
      <c r="G6427" s="115">
        <v>0</v>
      </c>
      <c r="H6427" s="115">
        <v>833</v>
      </c>
      <c r="I6427" s="115">
        <v>-358</v>
      </c>
      <c r="J6427" s="115">
        <v>-22</v>
      </c>
      <c r="K6427" s="115">
        <v>-2074</v>
      </c>
    </row>
    <row r="6428" spans="1:11" x14ac:dyDescent="0.25">
      <c r="A6428" s="115">
        <v>-2</v>
      </c>
      <c r="B6428" s="115" t="s">
        <v>7016</v>
      </c>
      <c r="C6428" s="115" t="s">
        <v>1239</v>
      </c>
      <c r="D6428" s="115" t="s">
        <v>12489</v>
      </c>
      <c r="E6428" s="115" t="s">
        <v>7017</v>
      </c>
      <c r="F6428" s="115">
        <v>-911</v>
      </c>
      <c r="G6428" s="115">
        <v>830</v>
      </c>
      <c r="H6428" s="115">
        <v>-501</v>
      </c>
      <c r="I6428" s="115">
        <v>-165</v>
      </c>
      <c r="J6428" s="115">
        <v>-2176</v>
      </c>
      <c r="K6428" s="115">
        <v>-1513</v>
      </c>
    </row>
    <row r="6429" spans="1:11" x14ac:dyDescent="0.25">
      <c r="A6429" s="115" t="s">
        <v>1239</v>
      </c>
      <c r="B6429" s="115" t="s">
        <v>7018</v>
      </c>
      <c r="D6429" s="115" t="s">
        <v>12490</v>
      </c>
      <c r="E6429" s="115">
        <f>-1578  -1571  -3560  -1427  -1462</f>
        <v>-9598</v>
      </c>
      <c r="F6429" s="115">
        <v>-1493</v>
      </c>
      <c r="G6429" s="115">
        <v>-1578</v>
      </c>
      <c r="H6429" s="115">
        <v>-1571</v>
      </c>
      <c r="I6429" s="115">
        <v>-3560</v>
      </c>
      <c r="J6429" s="115">
        <v>-1427</v>
      </c>
      <c r="K6429" s="115">
        <v>-1462</v>
      </c>
    </row>
    <row r="6430" spans="1:11" x14ac:dyDescent="0.25">
      <c r="A6430" s="115">
        <v>-1</v>
      </c>
      <c r="B6430" s="115" t="s">
        <v>7019</v>
      </c>
      <c r="C6430" s="115" t="s">
        <v>1239</v>
      </c>
      <c r="D6430" s="115" t="s">
        <v>12491</v>
      </c>
      <c r="E6430" s="115">
        <f>-2906  -1026  -1476  -1505  -2271</f>
        <v>-9184</v>
      </c>
      <c r="F6430" s="115">
        <v>-1362</v>
      </c>
      <c r="G6430" s="115">
        <v>-2906</v>
      </c>
      <c r="H6430" s="115">
        <v>-1026</v>
      </c>
      <c r="I6430" s="115">
        <v>-1476</v>
      </c>
      <c r="J6430" s="115">
        <v>-1505</v>
      </c>
      <c r="K6430" s="115">
        <v>-2271</v>
      </c>
    </row>
    <row r="6431" spans="1:11" x14ac:dyDescent="0.25">
      <c r="A6431" s="115">
        <v>-1</v>
      </c>
      <c r="B6431" s="115" t="s">
        <v>7020</v>
      </c>
      <c r="C6431" s="115" t="s">
        <v>1239</v>
      </c>
      <c r="D6431" s="115" t="s">
        <v>12492</v>
      </c>
      <c r="E6431" s="115" t="s">
        <v>7021</v>
      </c>
      <c r="F6431" s="115">
        <v>129</v>
      </c>
      <c r="G6431" s="115">
        <v>-274</v>
      </c>
      <c r="H6431" s="115">
        <v>-298</v>
      </c>
      <c r="I6431" s="115">
        <v>-326</v>
      </c>
      <c r="J6431" s="115">
        <v>-312</v>
      </c>
      <c r="K6431" s="115">
        <v>1663</v>
      </c>
    </row>
    <row r="6432" spans="1:11" x14ac:dyDescent="0.25">
      <c r="B6432" s="115" t="s">
        <v>7022</v>
      </c>
      <c r="D6432" s="115" t="s">
        <v>12493</v>
      </c>
      <c r="E6432" s="115" t="s">
        <v>7023</v>
      </c>
      <c r="F6432" s="115">
        <v>-618</v>
      </c>
      <c r="G6432" s="115">
        <v>41</v>
      </c>
      <c r="H6432" s="115">
        <v>29</v>
      </c>
      <c r="I6432" s="115">
        <v>-2</v>
      </c>
      <c r="J6432" s="115">
        <v>129</v>
      </c>
      <c r="K6432" s="115">
        <v>351</v>
      </c>
    </row>
    <row r="6433" spans="1:11" x14ac:dyDescent="0.25">
      <c r="B6433" s="115" t="s">
        <v>7024</v>
      </c>
      <c r="D6433" s="115" t="s">
        <v>12494</v>
      </c>
      <c r="E6433" s="115" t="s">
        <v>7025</v>
      </c>
      <c r="F6433" s="115">
        <v>33558</v>
      </c>
      <c r="G6433" s="115">
        <v>43052</v>
      </c>
      <c r="H6433" s="115">
        <v>43013</v>
      </c>
      <c r="I6433" s="115">
        <v>34747</v>
      </c>
      <c r="J6433" s="115">
        <v>142</v>
      </c>
      <c r="K6433" s="115">
        <v>-15403</v>
      </c>
    </row>
    <row r="6434" spans="1:11" x14ac:dyDescent="0.25">
      <c r="B6434" s="115" t="s">
        <v>7026</v>
      </c>
      <c r="D6434" s="115" t="s">
        <v>12495</v>
      </c>
      <c r="E6434" s="115" t="s">
        <v>7027</v>
      </c>
      <c r="F6434" s="115">
        <v>0</v>
      </c>
      <c r="G6434" s="115">
        <v>77</v>
      </c>
      <c r="H6434" s="115">
        <v>0</v>
      </c>
      <c r="I6434" s="115">
        <v>0</v>
      </c>
      <c r="J6434" s="115">
        <v>0</v>
      </c>
      <c r="K6434" s="115">
        <v>-15</v>
      </c>
    </row>
    <row r="6435" spans="1:11" x14ac:dyDescent="0.25">
      <c r="B6435" s="115" t="s">
        <v>3113</v>
      </c>
      <c r="D6435" s="115" t="s">
        <v>12496</v>
      </c>
      <c r="E6435" s="115" t="s">
        <v>7028</v>
      </c>
      <c r="F6435" s="115">
        <v>0</v>
      </c>
      <c r="G6435" s="115">
        <v>0</v>
      </c>
      <c r="H6435" s="115">
        <v>0</v>
      </c>
      <c r="I6435" s="115">
        <v>-18</v>
      </c>
      <c r="J6435" s="115">
        <v>0</v>
      </c>
      <c r="K6435" s="115">
        <v>0</v>
      </c>
    </row>
    <row r="6436" spans="1:11" x14ac:dyDescent="0.25">
      <c r="B6436" s="115" t="s">
        <v>1366</v>
      </c>
      <c r="D6436" s="115" t="s">
        <v>12497</v>
      </c>
      <c r="E6436" s="115" t="s">
        <v>7029</v>
      </c>
      <c r="F6436" s="115">
        <v>-106</v>
      </c>
      <c r="G6436" s="115">
        <v>-149</v>
      </c>
      <c r="H6436" s="115">
        <v>-45</v>
      </c>
      <c r="I6436" s="115">
        <v>0</v>
      </c>
      <c r="J6436" s="115">
        <v>-678</v>
      </c>
      <c r="K6436" s="115">
        <v>-16248</v>
      </c>
    </row>
    <row r="6437" spans="1:11" x14ac:dyDescent="0.25">
      <c r="B6437" s="115" t="s">
        <v>7030</v>
      </c>
      <c r="D6437" s="115" t="s">
        <v>12498</v>
      </c>
      <c r="E6437" s="115" t="s">
        <v>7031</v>
      </c>
      <c r="F6437" s="115">
        <v>0</v>
      </c>
      <c r="G6437" s="115">
        <v>201</v>
      </c>
      <c r="H6437" s="115">
        <v>0</v>
      </c>
      <c r="I6437" s="115">
        <v>0</v>
      </c>
      <c r="J6437" s="115">
        <v>0</v>
      </c>
      <c r="K6437" s="115">
        <v>0</v>
      </c>
    </row>
    <row r="6438" spans="1:11" x14ac:dyDescent="0.25">
      <c r="B6438" s="115" t="s">
        <v>7032</v>
      </c>
      <c r="D6438" s="115" t="s">
        <v>12499</v>
      </c>
      <c r="E6438" s="115" t="s">
        <v>7033</v>
      </c>
      <c r="F6438" s="115">
        <v>0</v>
      </c>
      <c r="G6438" s="115">
        <v>698</v>
      </c>
      <c r="H6438" s="115">
        <v>0</v>
      </c>
      <c r="I6438" s="115">
        <v>324</v>
      </c>
      <c r="J6438" s="115">
        <v>0</v>
      </c>
      <c r="K6438" s="115">
        <v>0</v>
      </c>
    </row>
    <row r="6439" spans="1:11" x14ac:dyDescent="0.25">
      <c r="B6439" s="115" t="s">
        <v>1241</v>
      </c>
      <c r="D6439" s="115" t="s">
        <v>12500</v>
      </c>
      <c r="E6439" s="115" t="s">
        <v>7034</v>
      </c>
      <c r="F6439" s="115">
        <v>0</v>
      </c>
      <c r="G6439" s="115">
        <v>-1164</v>
      </c>
      <c r="H6439" s="115">
        <v>560</v>
      </c>
      <c r="I6439" s="115">
        <v>0</v>
      </c>
      <c r="J6439" s="115">
        <v>0</v>
      </c>
      <c r="K6439" s="115">
        <v>-1192</v>
      </c>
    </row>
    <row r="6440" spans="1:11" x14ac:dyDescent="0.25">
      <c r="A6440" s="115">
        <v>-15</v>
      </c>
      <c r="B6440" s="115" t="s">
        <v>3027</v>
      </c>
      <c r="D6440" s="115" t="s">
        <v>12501</v>
      </c>
      <c r="E6440" s="115" t="s">
        <v>7035</v>
      </c>
      <c r="F6440" s="115">
        <v>0</v>
      </c>
      <c r="G6440" s="115">
        <v>0</v>
      </c>
      <c r="H6440" s="115">
        <v>0</v>
      </c>
      <c r="I6440" s="115">
        <v>-1798</v>
      </c>
      <c r="J6440" s="115">
        <v>-243</v>
      </c>
      <c r="K6440" s="115">
        <v>-70</v>
      </c>
    </row>
    <row r="6441" spans="1:11" x14ac:dyDescent="0.25">
      <c r="B6441" s="115" t="s">
        <v>1241</v>
      </c>
      <c r="D6441" s="115" t="s">
        <v>12502</v>
      </c>
      <c r="E6441" s="115" t="s">
        <v>7036</v>
      </c>
      <c r="F6441" s="115">
        <v>0</v>
      </c>
      <c r="G6441" s="115">
        <v>882</v>
      </c>
      <c r="H6441" s="115">
        <v>621</v>
      </c>
      <c r="I6441" s="115">
        <v>524</v>
      </c>
      <c r="J6441" s="115">
        <v>928</v>
      </c>
      <c r="K6441" s="115">
        <v>-2640</v>
      </c>
    </row>
    <row r="6442" spans="1:11" x14ac:dyDescent="0.25">
      <c r="B6442" s="115" t="s">
        <v>7037</v>
      </c>
      <c r="D6442" s="115" t="s">
        <v>12503</v>
      </c>
      <c r="E6442" s="115" t="s">
        <v>7038</v>
      </c>
      <c r="F6442" s="115">
        <v>0</v>
      </c>
      <c r="G6442" s="115">
        <v>0</v>
      </c>
      <c r="H6442" s="115">
        <v>0</v>
      </c>
      <c r="I6442" s="115">
        <v>1144</v>
      </c>
      <c r="J6442" s="115">
        <v>0</v>
      </c>
      <c r="K6442" s="115">
        <v>287</v>
      </c>
    </row>
    <row r="6443" spans="1:11" x14ac:dyDescent="0.25">
      <c r="B6443" s="115" t="s">
        <v>7039</v>
      </c>
      <c r="D6443" s="115" t="s">
        <v>12504</v>
      </c>
      <c r="E6443" s="115" t="s">
        <v>7040</v>
      </c>
      <c r="F6443" s="115">
        <v>-18403</v>
      </c>
      <c r="G6443" s="115">
        <v>64</v>
      </c>
      <c r="H6443" s="115">
        <v>72</v>
      </c>
      <c r="I6443" s="115">
        <v>445</v>
      </c>
      <c r="J6443" s="115">
        <v>0</v>
      </c>
      <c r="K6443" s="115">
        <v>1554</v>
      </c>
    </row>
    <row r="6444" spans="1:11" x14ac:dyDescent="0.25">
      <c r="B6444" s="115" t="s">
        <v>7041</v>
      </c>
      <c r="D6444" s="115" t="s">
        <v>12505</v>
      </c>
      <c r="E6444" s="115" t="s">
        <v>7042</v>
      </c>
      <c r="F6444" s="115">
        <v>68</v>
      </c>
      <c r="G6444" s="115">
        <v>-60</v>
      </c>
      <c r="H6444" s="115">
        <v>0</v>
      </c>
      <c r="I6444" s="115">
        <v>0</v>
      </c>
      <c r="J6444" s="115">
        <v>0</v>
      </c>
      <c r="K6444" s="115">
        <v>-138</v>
      </c>
    </row>
    <row r="6445" spans="1:11" x14ac:dyDescent="0.25">
      <c r="A6445" s="115" t="s">
        <v>1239</v>
      </c>
      <c r="B6445" s="115" t="s">
        <v>4391</v>
      </c>
      <c r="D6445" s="115" t="s">
        <v>12506</v>
      </c>
      <c r="E6445" s="115" t="s">
        <v>7043</v>
      </c>
      <c r="F6445" s="115">
        <v>27</v>
      </c>
      <c r="G6445" s="115">
        <v>-90</v>
      </c>
      <c r="H6445" s="115">
        <v>0</v>
      </c>
      <c r="I6445" s="115">
        <v>0</v>
      </c>
      <c r="J6445" s="115">
        <v>0</v>
      </c>
      <c r="K6445" s="115">
        <v>0</v>
      </c>
    </row>
    <row r="6446" spans="1:11" x14ac:dyDescent="0.25">
      <c r="B6446" s="115" t="s">
        <v>7044</v>
      </c>
      <c r="D6446" s="115" t="s">
        <v>12507</v>
      </c>
      <c r="E6446" s="115" t="s">
        <v>7045</v>
      </c>
      <c r="F6446" s="115">
        <v>64</v>
      </c>
      <c r="G6446" s="115">
        <v>60</v>
      </c>
      <c r="H6446" s="115">
        <v>0</v>
      </c>
      <c r="I6446" s="115">
        <v>-856</v>
      </c>
      <c r="J6446" s="115">
        <v>-17778</v>
      </c>
      <c r="K6446" s="115">
        <v>-135</v>
      </c>
    </row>
    <row r="6447" spans="1:11" x14ac:dyDescent="0.25">
      <c r="A6447" s="115" t="s">
        <v>1239</v>
      </c>
      <c r="B6447" s="115" t="s">
        <v>7046</v>
      </c>
      <c r="D6447" s="115" t="s">
        <v>12508</v>
      </c>
      <c r="E6447" s="115" t="s">
        <v>7047</v>
      </c>
      <c r="F6447" s="115">
        <v>1328</v>
      </c>
      <c r="G6447" s="115">
        <v>0</v>
      </c>
      <c r="H6447" s="115">
        <v>99</v>
      </c>
      <c r="I6447" s="115">
        <v>0</v>
      </c>
      <c r="J6447" s="115">
        <v>0</v>
      </c>
      <c r="K6447" s="115">
        <v>-120</v>
      </c>
    </row>
    <row r="6448" spans="1:11" x14ac:dyDescent="0.25">
      <c r="B6448" s="115" t="s">
        <v>2181</v>
      </c>
      <c r="D6448" s="115" t="s">
        <v>12509</v>
      </c>
      <c r="E6448" s="115" t="s">
        <v>7048</v>
      </c>
      <c r="F6448" s="115">
        <v>0</v>
      </c>
      <c r="G6448" s="115">
        <v>-89</v>
      </c>
      <c r="H6448" s="115">
        <v>0</v>
      </c>
      <c r="I6448" s="115">
        <v>-31</v>
      </c>
      <c r="J6448" s="115">
        <v>-15</v>
      </c>
      <c r="K6448" s="115">
        <v>25</v>
      </c>
    </row>
    <row r="6449" spans="1:11" x14ac:dyDescent="0.25">
      <c r="B6449" s="115" t="s">
        <v>1241</v>
      </c>
      <c r="D6449" s="115" t="s">
        <v>12510</v>
      </c>
      <c r="E6449" s="115" t="s">
        <v>7049</v>
      </c>
      <c r="F6449" s="115">
        <v>0</v>
      </c>
      <c r="G6449" s="115">
        <v>728</v>
      </c>
      <c r="H6449" s="115">
        <v>0</v>
      </c>
      <c r="I6449" s="115">
        <v>3642</v>
      </c>
      <c r="J6449" s="115">
        <v>144</v>
      </c>
      <c r="K6449" s="115">
        <v>128</v>
      </c>
    </row>
    <row r="6450" spans="1:11" x14ac:dyDescent="0.25">
      <c r="B6450" s="115" t="s">
        <v>7050</v>
      </c>
      <c r="C6450" s="115">
        <v>-1</v>
      </c>
      <c r="D6450" s="115" t="s">
        <v>12511</v>
      </c>
      <c r="E6450" s="115" t="s">
        <v>7051</v>
      </c>
      <c r="F6450" s="115">
        <v>0</v>
      </c>
      <c r="G6450" s="115">
        <v>0</v>
      </c>
      <c r="H6450" s="115">
        <v>0</v>
      </c>
      <c r="I6450" s="115">
        <v>2214</v>
      </c>
      <c r="J6450" s="115">
        <v>1467</v>
      </c>
      <c r="K6450" s="115">
        <v>334</v>
      </c>
    </row>
    <row r="6451" spans="1:11" x14ac:dyDescent="0.25">
      <c r="A6451" s="115" t="s">
        <v>1239</v>
      </c>
      <c r="B6451" s="115" t="s">
        <v>7052</v>
      </c>
      <c r="D6451" s="115" t="s">
        <v>12512</v>
      </c>
      <c r="E6451" s="115" t="s">
        <v>7053</v>
      </c>
      <c r="F6451" s="115">
        <v>0</v>
      </c>
      <c r="G6451" s="115">
        <v>0</v>
      </c>
      <c r="H6451" s="115">
        <v>50</v>
      </c>
      <c r="I6451" s="115">
        <v>0</v>
      </c>
      <c r="J6451" s="115">
        <v>-189</v>
      </c>
      <c r="K6451" s="115">
        <v>0</v>
      </c>
    </row>
    <row r="6452" spans="1:11" x14ac:dyDescent="0.25">
      <c r="A6452" s="115" t="s">
        <v>1239</v>
      </c>
      <c r="B6452" s="115" t="s">
        <v>1988</v>
      </c>
      <c r="D6452" s="115" t="s">
        <v>12513</v>
      </c>
      <c r="E6452" s="115" t="s">
        <v>7054</v>
      </c>
      <c r="F6452" s="115">
        <v>0</v>
      </c>
      <c r="G6452" s="115">
        <v>0</v>
      </c>
      <c r="H6452" s="115">
        <v>0</v>
      </c>
      <c r="I6452" s="115">
        <v>0</v>
      </c>
      <c r="J6452" s="115">
        <v>0</v>
      </c>
      <c r="K6452" s="115">
        <v>391</v>
      </c>
    </row>
    <row r="6453" spans="1:11" x14ac:dyDescent="0.25">
      <c r="B6453" s="115" t="s">
        <v>7055</v>
      </c>
      <c r="D6453" s="115" t="s">
        <v>12514</v>
      </c>
      <c r="E6453" s="115" t="s">
        <v>7056</v>
      </c>
      <c r="F6453" s="115">
        <v>0</v>
      </c>
      <c r="G6453" s="115">
        <v>244</v>
      </c>
      <c r="H6453" s="115">
        <v>-18067</v>
      </c>
      <c r="I6453" s="115">
        <v>0</v>
      </c>
      <c r="J6453" s="115">
        <v>0</v>
      </c>
      <c r="K6453" s="115">
        <v>0</v>
      </c>
    </row>
    <row r="6454" spans="1:11" x14ac:dyDescent="0.25">
      <c r="B6454" s="115" t="s">
        <v>1241</v>
      </c>
      <c r="C6454" s="115" t="s">
        <v>1239</v>
      </c>
      <c r="D6454" s="115" t="s">
        <v>12515</v>
      </c>
      <c r="E6454" s="115" t="s">
        <v>7057</v>
      </c>
      <c r="F6454" s="115">
        <v>-252</v>
      </c>
      <c r="G6454" s="115">
        <v>-228</v>
      </c>
      <c r="H6454" s="115">
        <v>13</v>
      </c>
      <c r="I6454" s="115">
        <v>-193</v>
      </c>
      <c r="J6454" s="115">
        <v>0</v>
      </c>
      <c r="K6454" s="115">
        <v>0</v>
      </c>
    </row>
    <row r="6455" spans="1:11" x14ac:dyDescent="0.25">
      <c r="B6455" s="115" t="s">
        <v>1241</v>
      </c>
      <c r="D6455" s="115" t="s">
        <v>12516</v>
      </c>
      <c r="E6455" s="115" t="s">
        <v>7058</v>
      </c>
      <c r="F6455" s="115">
        <v>-550</v>
      </c>
      <c r="G6455" s="115">
        <v>0</v>
      </c>
      <c r="H6455" s="115">
        <v>0</v>
      </c>
      <c r="I6455" s="115">
        <v>3</v>
      </c>
      <c r="J6455" s="115">
        <v>5</v>
      </c>
      <c r="K6455" s="115">
        <v>0</v>
      </c>
    </row>
    <row r="6456" spans="1:11" x14ac:dyDescent="0.25">
      <c r="B6456" s="115" t="s">
        <v>1241</v>
      </c>
      <c r="D6456" s="115" t="s">
        <v>12517</v>
      </c>
      <c r="E6456" s="115" t="s">
        <v>7059</v>
      </c>
      <c r="F6456" s="115">
        <v>0</v>
      </c>
      <c r="G6456" s="115">
        <v>2906</v>
      </c>
      <c r="H6456" s="115">
        <v>-883</v>
      </c>
      <c r="I6456" s="115">
        <v>-58</v>
      </c>
      <c r="J6456" s="115">
        <v>665</v>
      </c>
      <c r="K6456" s="115">
        <v>27</v>
      </c>
    </row>
    <row r="6457" spans="1:11" x14ac:dyDescent="0.25">
      <c r="B6457" s="115" t="s">
        <v>7060</v>
      </c>
      <c r="D6457" s="115" t="s">
        <v>12518</v>
      </c>
      <c r="E6457" s="115" t="s">
        <v>1242</v>
      </c>
      <c r="F6457" s="115">
        <v>-312</v>
      </c>
      <c r="G6457" s="115">
        <v>0</v>
      </c>
      <c r="H6457" s="115">
        <v>0</v>
      </c>
      <c r="I6457" s="115">
        <v>0</v>
      </c>
      <c r="J6457" s="115">
        <v>0</v>
      </c>
      <c r="K6457" s="115">
        <v>0</v>
      </c>
    </row>
    <row r="6458" spans="1:11" x14ac:dyDescent="0.25">
      <c r="B6458" s="115" t="s">
        <v>1241</v>
      </c>
      <c r="D6458" s="115" t="s">
        <v>12519</v>
      </c>
      <c r="E6458" s="115" t="s">
        <v>7061</v>
      </c>
      <c r="F6458" s="115">
        <v>141</v>
      </c>
      <c r="G6458" s="115">
        <v>-118</v>
      </c>
      <c r="H6458" s="115">
        <v>-38</v>
      </c>
      <c r="I6458" s="115">
        <v>289</v>
      </c>
      <c r="J6458" s="115">
        <v>0</v>
      </c>
      <c r="K6458" s="115">
        <v>0</v>
      </c>
    </row>
    <row r="6459" spans="1:11" x14ac:dyDescent="0.25">
      <c r="B6459" s="115" t="s">
        <v>5064</v>
      </c>
      <c r="D6459" s="115" t="s">
        <v>12520</v>
      </c>
      <c r="E6459" s="115" t="s">
        <v>7062</v>
      </c>
      <c r="F6459" s="115">
        <v>0</v>
      </c>
      <c r="G6459" s="115">
        <v>0</v>
      </c>
      <c r="H6459" s="115">
        <v>0</v>
      </c>
      <c r="I6459" s="115">
        <v>0</v>
      </c>
      <c r="J6459" s="115">
        <v>-1184</v>
      </c>
      <c r="K6459" s="115">
        <v>0</v>
      </c>
    </row>
    <row r="6460" spans="1:11" x14ac:dyDescent="0.25">
      <c r="A6460" s="115">
        <v>-3</v>
      </c>
      <c r="B6460" s="115" t="s">
        <v>7063</v>
      </c>
      <c r="D6460" s="115" t="s">
        <v>8710</v>
      </c>
      <c r="E6460" s="115" t="s">
        <v>1242</v>
      </c>
      <c r="F6460" s="115">
        <v>0</v>
      </c>
      <c r="G6460" s="115">
        <v>0</v>
      </c>
      <c r="H6460" s="115">
        <v>0</v>
      </c>
      <c r="I6460" s="115">
        <v>0</v>
      </c>
      <c r="J6460" s="115">
        <v>0</v>
      </c>
      <c r="K6460" s="115">
        <v>0</v>
      </c>
    </row>
    <row r="6461" spans="1:11" x14ac:dyDescent="0.25">
      <c r="B6461" s="115" t="s">
        <v>1241</v>
      </c>
      <c r="D6461" s="115" t="s">
        <v>12521</v>
      </c>
      <c r="E6461" s="115" t="s">
        <v>7064</v>
      </c>
      <c r="F6461" s="115">
        <v>0</v>
      </c>
      <c r="G6461" s="115">
        <v>0</v>
      </c>
      <c r="H6461" s="115">
        <v>0</v>
      </c>
      <c r="I6461" s="115">
        <v>-818</v>
      </c>
      <c r="J6461" s="115">
        <v>0</v>
      </c>
      <c r="K6461" s="115">
        <v>0</v>
      </c>
    </row>
    <row r="6462" spans="1:11" x14ac:dyDescent="0.25">
      <c r="B6462" s="115" t="s">
        <v>1241</v>
      </c>
      <c r="D6462" s="115" t="s">
        <v>12522</v>
      </c>
      <c r="E6462" s="115">
        <f>-3356  -2250  -1463  -1997  -2244</f>
        <v>-11310</v>
      </c>
      <c r="F6462" s="115">
        <v>-75</v>
      </c>
      <c r="G6462" s="115">
        <v>-3356</v>
      </c>
      <c r="H6462" s="115">
        <v>-2250</v>
      </c>
      <c r="I6462" s="115">
        <v>-1463</v>
      </c>
      <c r="J6462" s="115">
        <v>-1997</v>
      </c>
      <c r="K6462" s="115">
        <v>-2244</v>
      </c>
    </row>
    <row r="6463" spans="1:11" x14ac:dyDescent="0.25">
      <c r="A6463" s="115">
        <v>2</v>
      </c>
      <c r="B6463" s="115" t="s">
        <v>7065</v>
      </c>
      <c r="D6463" s="115" t="s">
        <v>12523</v>
      </c>
      <c r="E6463" s="115" t="s">
        <v>7066</v>
      </c>
      <c r="F6463" s="115">
        <v>-5075</v>
      </c>
      <c r="G6463" s="115">
        <v>-8859</v>
      </c>
      <c r="H6463" s="115">
        <v>-2838</v>
      </c>
      <c r="I6463" s="115">
        <v>-2931</v>
      </c>
      <c r="J6463" s="115">
        <v>-1555</v>
      </c>
      <c r="K6463" s="115">
        <v>7054</v>
      </c>
    </row>
    <row r="6464" spans="1:11" x14ac:dyDescent="0.25">
      <c r="B6464" s="115" t="s">
        <v>7044</v>
      </c>
      <c r="D6464" s="115" t="s">
        <v>12524</v>
      </c>
      <c r="E6464" s="115" t="s">
        <v>7067</v>
      </c>
      <c r="F6464" s="115">
        <v>-404</v>
      </c>
      <c r="G6464" s="115">
        <v>238</v>
      </c>
      <c r="H6464" s="115">
        <v>-107</v>
      </c>
      <c r="I6464" s="115">
        <v>-341</v>
      </c>
      <c r="J6464" s="115">
        <v>-1320</v>
      </c>
      <c r="K6464" s="115">
        <v>124</v>
      </c>
    </row>
    <row r="6465" spans="1:11" x14ac:dyDescent="0.25">
      <c r="A6465" s="115" t="s">
        <v>1239</v>
      </c>
      <c r="B6465" s="115" t="s">
        <v>7068</v>
      </c>
      <c r="C6465" s="115" t="s">
        <v>1239</v>
      </c>
      <c r="D6465" s="115" t="s">
        <v>12525</v>
      </c>
      <c r="E6465" s="115" t="s">
        <v>7069</v>
      </c>
      <c r="F6465" s="115">
        <v>-317</v>
      </c>
      <c r="G6465" s="115">
        <v>-365</v>
      </c>
      <c r="H6465" s="115">
        <v>-746</v>
      </c>
      <c r="I6465" s="115">
        <v>362</v>
      </c>
      <c r="J6465" s="115">
        <v>-550</v>
      </c>
      <c r="K6465" s="115">
        <v>-570</v>
      </c>
    </row>
    <row r="6466" spans="1:11" x14ac:dyDescent="0.25">
      <c r="A6466" s="115" t="s">
        <v>1239</v>
      </c>
      <c r="B6466" s="115" t="s">
        <v>7070</v>
      </c>
      <c r="D6466" s="115" t="s">
        <v>12526</v>
      </c>
      <c r="E6466" s="115" t="s">
        <v>7071</v>
      </c>
      <c r="F6466" s="115">
        <v>25</v>
      </c>
      <c r="G6466" s="115">
        <v>-16</v>
      </c>
      <c r="H6466" s="115">
        <v>-298</v>
      </c>
      <c r="I6466" s="115">
        <v>443</v>
      </c>
      <c r="J6466" s="115">
        <v>-366</v>
      </c>
      <c r="K6466" s="115">
        <v>-528</v>
      </c>
    </row>
    <row r="6467" spans="1:11" x14ac:dyDescent="0.25">
      <c r="A6467" s="115" t="s">
        <v>1239</v>
      </c>
      <c r="B6467" s="115" t="s">
        <v>7072</v>
      </c>
      <c r="D6467" s="115" t="s">
        <v>12527</v>
      </c>
      <c r="E6467" s="115" t="s">
        <v>7073</v>
      </c>
      <c r="F6467" s="115">
        <v>73</v>
      </c>
      <c r="G6467" s="115">
        <v>346</v>
      </c>
      <c r="H6467" s="115">
        <v>297</v>
      </c>
      <c r="I6467" s="115">
        <v>181</v>
      </c>
      <c r="J6467" s="115">
        <v>171</v>
      </c>
      <c r="K6467" s="115">
        <v>185</v>
      </c>
    </row>
    <row r="6468" spans="1:11" x14ac:dyDescent="0.25">
      <c r="B6468" s="115" t="s">
        <v>7074</v>
      </c>
      <c r="C6468" s="115">
        <v>2</v>
      </c>
      <c r="D6468" s="115" t="s">
        <v>12528</v>
      </c>
      <c r="E6468" s="115" t="s">
        <v>7075</v>
      </c>
      <c r="F6468" s="115">
        <v>20447</v>
      </c>
      <c r="G6468" s="115">
        <v>17828</v>
      </c>
      <c r="H6468" s="115">
        <v>388</v>
      </c>
      <c r="I6468" s="115">
        <v>-18875</v>
      </c>
      <c r="J6468" s="115">
        <v>183</v>
      </c>
      <c r="K6468" s="115">
        <v>36</v>
      </c>
    </row>
    <row r="6469" spans="1:11" x14ac:dyDescent="0.25">
      <c r="B6469" s="115" t="s">
        <v>2260</v>
      </c>
      <c r="D6469" s="115" t="s">
        <v>12529</v>
      </c>
      <c r="E6469" s="115" t="s">
        <v>7076</v>
      </c>
      <c r="F6469" s="115">
        <v>0</v>
      </c>
      <c r="G6469" s="115">
        <v>0</v>
      </c>
      <c r="H6469" s="115">
        <v>0</v>
      </c>
      <c r="I6469" s="115">
        <v>1</v>
      </c>
      <c r="J6469" s="115">
        <v>-17</v>
      </c>
      <c r="K6469" s="115">
        <v>0</v>
      </c>
    </row>
    <row r="6470" spans="1:11" x14ac:dyDescent="0.25">
      <c r="B6470" s="115" t="s">
        <v>1241</v>
      </c>
      <c r="D6470" s="115" t="s">
        <v>12530</v>
      </c>
      <c r="E6470" s="115" t="s">
        <v>7077</v>
      </c>
      <c r="F6470" s="115">
        <v>0</v>
      </c>
      <c r="G6470" s="115">
        <v>13</v>
      </c>
      <c r="H6470" s="115">
        <v>0</v>
      </c>
      <c r="I6470" s="115">
        <v>0</v>
      </c>
      <c r="J6470" s="115">
        <v>330</v>
      </c>
      <c r="K6470" s="115">
        <v>0</v>
      </c>
    </row>
    <row r="6471" spans="1:11" x14ac:dyDescent="0.25">
      <c r="A6471" s="115" t="s">
        <v>1239</v>
      </c>
      <c r="B6471" s="115" t="s">
        <v>7078</v>
      </c>
      <c r="D6471" s="115" t="s">
        <v>12531</v>
      </c>
      <c r="E6471" s="115" t="s">
        <v>7079</v>
      </c>
      <c r="F6471" s="115">
        <v>-140</v>
      </c>
      <c r="G6471" s="115">
        <v>0</v>
      </c>
      <c r="H6471" s="115">
        <v>-705</v>
      </c>
      <c r="I6471" s="115">
        <v>-28991</v>
      </c>
      <c r="J6471" s="115">
        <v>29</v>
      </c>
      <c r="K6471" s="115">
        <v>-530</v>
      </c>
    </row>
    <row r="6472" spans="1:11" x14ac:dyDescent="0.25">
      <c r="B6472" s="115" t="s">
        <v>7080</v>
      </c>
      <c r="D6472" s="115" t="s">
        <v>12532</v>
      </c>
      <c r="E6472" s="115" t="s">
        <v>7081</v>
      </c>
      <c r="F6472" s="115">
        <v>0</v>
      </c>
      <c r="G6472" s="115">
        <v>0</v>
      </c>
      <c r="H6472" s="115">
        <v>0</v>
      </c>
      <c r="I6472" s="115">
        <v>0</v>
      </c>
      <c r="J6472" s="115">
        <v>0</v>
      </c>
      <c r="K6472" s="115">
        <v>208</v>
      </c>
    </row>
    <row r="6473" spans="1:11" x14ac:dyDescent="0.25">
      <c r="B6473" s="115" t="s">
        <v>1241</v>
      </c>
      <c r="D6473" s="115" t="s">
        <v>12533</v>
      </c>
      <c r="E6473" s="115" t="s">
        <v>7082</v>
      </c>
      <c r="F6473" s="115">
        <v>0</v>
      </c>
      <c r="G6473" s="115">
        <v>-288</v>
      </c>
      <c r="H6473" s="115">
        <v>0</v>
      </c>
      <c r="I6473" s="115">
        <v>0</v>
      </c>
      <c r="J6473" s="115">
        <v>0</v>
      </c>
      <c r="K6473" s="115">
        <v>0</v>
      </c>
    </row>
    <row r="6474" spans="1:11" x14ac:dyDescent="0.25">
      <c r="B6474" s="115" t="s">
        <v>1487</v>
      </c>
      <c r="D6474" s="115" t="s">
        <v>12534</v>
      </c>
      <c r="E6474" s="115" t="s">
        <v>7083</v>
      </c>
      <c r="F6474" s="115">
        <v>1363</v>
      </c>
      <c r="G6474" s="115">
        <v>0</v>
      </c>
      <c r="H6474" s="115">
        <v>0</v>
      </c>
      <c r="I6474" s="115">
        <v>-714</v>
      </c>
      <c r="J6474" s="115">
        <v>-18444</v>
      </c>
      <c r="K6474" s="115">
        <v>0</v>
      </c>
    </row>
    <row r="6475" spans="1:11" x14ac:dyDescent="0.25">
      <c r="A6475" s="115" t="s">
        <v>1239</v>
      </c>
      <c r="B6475" s="115" t="s">
        <v>7084</v>
      </c>
      <c r="D6475" s="115" t="s">
        <v>12535</v>
      </c>
      <c r="E6475" s="115" t="s">
        <v>7085</v>
      </c>
      <c r="F6475" s="115">
        <v>0</v>
      </c>
      <c r="G6475" s="115">
        <v>-1735</v>
      </c>
      <c r="H6475" s="115">
        <v>-161</v>
      </c>
      <c r="I6475" s="115">
        <v>-17</v>
      </c>
      <c r="J6475" s="115">
        <v>0</v>
      </c>
      <c r="K6475" s="115">
        <v>0</v>
      </c>
    </row>
    <row r="6476" spans="1:11" x14ac:dyDescent="0.25">
      <c r="B6476" s="115" t="s">
        <v>7086</v>
      </c>
      <c r="D6476" s="115" t="s">
        <v>12536</v>
      </c>
      <c r="E6476" s="115" t="s">
        <v>7087</v>
      </c>
      <c r="F6476" s="115">
        <v>-363</v>
      </c>
      <c r="G6476" s="115">
        <v>65</v>
      </c>
      <c r="H6476" s="115">
        <v>-283</v>
      </c>
      <c r="I6476" s="115">
        <v>-388</v>
      </c>
      <c r="J6476" s="115">
        <v>-13</v>
      </c>
      <c r="K6476" s="115">
        <v>-412</v>
      </c>
    </row>
    <row r="6477" spans="1:11" x14ac:dyDescent="0.25">
      <c r="B6477" s="115" t="s">
        <v>1241</v>
      </c>
      <c r="D6477" s="115" t="s">
        <v>12537</v>
      </c>
      <c r="E6477" s="115" t="s">
        <v>7088</v>
      </c>
      <c r="F6477" s="115">
        <v>0</v>
      </c>
      <c r="G6477" s="115">
        <v>840</v>
      </c>
      <c r="H6477" s="115">
        <v>0</v>
      </c>
      <c r="I6477" s="115">
        <v>1187</v>
      </c>
      <c r="J6477" s="115">
        <v>73</v>
      </c>
      <c r="K6477" s="115">
        <v>143</v>
      </c>
    </row>
    <row r="6478" spans="1:11" x14ac:dyDescent="0.25">
      <c r="B6478" s="115" t="s">
        <v>7089</v>
      </c>
      <c r="C6478" s="115">
        <v>-2</v>
      </c>
      <c r="D6478" s="115" t="s">
        <v>12538</v>
      </c>
      <c r="E6478" s="115" t="s">
        <v>7090</v>
      </c>
      <c r="F6478" s="115">
        <v>-1093</v>
      </c>
      <c r="G6478" s="115">
        <v>-683</v>
      </c>
      <c r="H6478" s="115">
        <v>0</v>
      </c>
      <c r="I6478" s="115">
        <v>-5886</v>
      </c>
      <c r="J6478" s="115">
        <v>-1657</v>
      </c>
      <c r="K6478" s="115">
        <v>-2543</v>
      </c>
    </row>
    <row r="6479" spans="1:11" x14ac:dyDescent="0.25">
      <c r="A6479" s="115" t="s">
        <v>1239</v>
      </c>
      <c r="B6479" s="115" t="s">
        <v>7091</v>
      </c>
      <c r="D6479" s="115" t="s">
        <v>12539</v>
      </c>
      <c r="E6479" s="115" t="s">
        <v>7092</v>
      </c>
      <c r="F6479" s="115">
        <v>0</v>
      </c>
      <c r="G6479" s="115">
        <v>0</v>
      </c>
      <c r="H6479" s="115">
        <v>0</v>
      </c>
      <c r="I6479" s="115">
        <v>517</v>
      </c>
      <c r="J6479" s="115">
        <v>-427</v>
      </c>
      <c r="K6479" s="115">
        <v>0</v>
      </c>
    </row>
    <row r="6480" spans="1:11" x14ac:dyDescent="0.25">
      <c r="B6480" s="115" t="s">
        <v>7093</v>
      </c>
      <c r="D6480" s="115" t="s">
        <v>12540</v>
      </c>
      <c r="E6480" s="115" t="s">
        <v>7094</v>
      </c>
      <c r="F6480" s="115">
        <v>0</v>
      </c>
      <c r="G6480" s="115">
        <v>0</v>
      </c>
      <c r="H6480" s="115">
        <v>0</v>
      </c>
      <c r="I6480" s="115">
        <v>0</v>
      </c>
      <c r="J6480" s="115">
        <v>0</v>
      </c>
      <c r="K6480" s="115">
        <v>690</v>
      </c>
    </row>
    <row r="6481" spans="1:11" x14ac:dyDescent="0.25">
      <c r="B6481" s="115" t="s">
        <v>7095</v>
      </c>
      <c r="D6481" s="115" t="s">
        <v>12541</v>
      </c>
      <c r="E6481" s="115" t="s">
        <v>7096</v>
      </c>
      <c r="F6481" s="115">
        <v>0</v>
      </c>
      <c r="G6481" s="115">
        <v>-990</v>
      </c>
      <c r="H6481" s="115">
        <v>-21699</v>
      </c>
      <c r="I6481" s="115">
        <v>-125</v>
      </c>
      <c r="J6481" s="115">
        <v>-108</v>
      </c>
      <c r="K6481" s="115">
        <v>327</v>
      </c>
    </row>
    <row r="6482" spans="1:11" x14ac:dyDescent="0.25">
      <c r="A6482" s="115" t="s">
        <v>1239</v>
      </c>
      <c r="B6482" s="115" t="s">
        <v>7097</v>
      </c>
      <c r="D6482" s="115" t="s">
        <v>12542</v>
      </c>
      <c r="E6482" s="115" t="s">
        <v>7098</v>
      </c>
      <c r="F6482" s="115">
        <v>214</v>
      </c>
      <c r="G6482" s="115">
        <v>0</v>
      </c>
      <c r="H6482" s="115">
        <v>0</v>
      </c>
      <c r="I6482" s="115">
        <v>-72</v>
      </c>
      <c r="J6482" s="115">
        <v>153</v>
      </c>
      <c r="K6482" s="115">
        <v>0</v>
      </c>
    </row>
    <row r="6483" spans="1:11" x14ac:dyDescent="0.25">
      <c r="B6483" s="115" t="s">
        <v>1923</v>
      </c>
      <c r="D6483" s="115" t="s">
        <v>12543</v>
      </c>
      <c r="E6483" s="115" t="s">
        <v>7099</v>
      </c>
      <c r="F6483" s="115">
        <v>0</v>
      </c>
      <c r="G6483" s="115">
        <v>285</v>
      </c>
      <c r="H6483" s="115">
        <v>96</v>
      </c>
      <c r="I6483" s="115">
        <v>-268</v>
      </c>
      <c r="J6483" s="115">
        <v>0</v>
      </c>
      <c r="K6483" s="115">
        <v>0</v>
      </c>
    </row>
    <row r="6484" spans="1:11" x14ac:dyDescent="0.25">
      <c r="B6484" s="115" t="s">
        <v>1241</v>
      </c>
      <c r="D6484" s="115" t="s">
        <v>12544</v>
      </c>
      <c r="E6484" s="115" t="s">
        <v>7100</v>
      </c>
      <c r="F6484" s="115">
        <v>0</v>
      </c>
      <c r="G6484" s="115">
        <v>4582</v>
      </c>
      <c r="H6484" s="115">
        <v>162</v>
      </c>
      <c r="I6484" s="115">
        <v>109</v>
      </c>
      <c r="J6484" s="115">
        <v>0</v>
      </c>
      <c r="K6484" s="115">
        <v>-515</v>
      </c>
    </row>
    <row r="6485" spans="1:11" x14ac:dyDescent="0.25">
      <c r="A6485" s="115">
        <v>-22</v>
      </c>
      <c r="B6485" s="115" t="s">
        <v>7101</v>
      </c>
      <c r="D6485" s="115" t="s">
        <v>12545</v>
      </c>
      <c r="E6485" s="115" t="s">
        <v>7102</v>
      </c>
      <c r="F6485" s="115">
        <v>0</v>
      </c>
      <c r="G6485" s="115">
        <v>2256</v>
      </c>
      <c r="H6485" s="115">
        <v>2276</v>
      </c>
      <c r="I6485" s="115">
        <v>533</v>
      </c>
      <c r="J6485" s="115">
        <v>-550</v>
      </c>
      <c r="K6485" s="115">
        <v>-553</v>
      </c>
    </row>
    <row r="6486" spans="1:11" x14ac:dyDescent="0.25">
      <c r="B6486" s="115" t="s">
        <v>7103</v>
      </c>
      <c r="D6486" s="115" t="s">
        <v>12546</v>
      </c>
      <c r="E6486" s="115" t="s">
        <v>7104</v>
      </c>
      <c r="F6486" s="115">
        <v>36</v>
      </c>
      <c r="G6486" s="115">
        <v>0</v>
      </c>
      <c r="H6486" s="115">
        <v>-475</v>
      </c>
      <c r="I6486" s="115">
        <v>0</v>
      </c>
      <c r="J6486" s="115">
        <v>-742</v>
      </c>
      <c r="K6486" s="115">
        <v>0</v>
      </c>
    </row>
    <row r="6487" spans="1:11" x14ac:dyDescent="0.25">
      <c r="B6487" s="115" t="s">
        <v>1241</v>
      </c>
      <c r="D6487" s="115" t="s">
        <v>12547</v>
      </c>
      <c r="E6487" s="115" t="s">
        <v>7105</v>
      </c>
      <c r="F6487" s="115">
        <v>0</v>
      </c>
      <c r="G6487" s="115">
        <v>0</v>
      </c>
      <c r="H6487" s="115">
        <v>0</v>
      </c>
      <c r="I6487" s="115">
        <v>508</v>
      </c>
      <c r="J6487" s="115">
        <v>0</v>
      </c>
      <c r="K6487" s="115">
        <v>1666</v>
      </c>
    </row>
    <row r="6488" spans="1:11" x14ac:dyDescent="0.25">
      <c r="A6488" s="115">
        <v>-1</v>
      </c>
      <c r="B6488" s="115" t="s">
        <v>7106</v>
      </c>
      <c r="D6488" s="115" t="s">
        <v>12548</v>
      </c>
      <c r="E6488" s="115" t="s">
        <v>1242</v>
      </c>
      <c r="F6488" s="115">
        <v>-21815</v>
      </c>
      <c r="G6488" s="115">
        <v>0</v>
      </c>
      <c r="H6488" s="115">
        <v>0</v>
      </c>
      <c r="I6488" s="115">
        <v>0</v>
      </c>
      <c r="J6488" s="115">
        <v>0</v>
      </c>
      <c r="K6488" s="115">
        <v>0</v>
      </c>
    </row>
    <row r="6489" spans="1:11" x14ac:dyDescent="0.25">
      <c r="A6489" s="115">
        <v>-1</v>
      </c>
      <c r="B6489" s="115" t="s">
        <v>7107</v>
      </c>
      <c r="D6489" s="115" t="s">
        <v>12549</v>
      </c>
      <c r="E6489" s="115" t="s">
        <v>7108</v>
      </c>
      <c r="F6489" s="115">
        <v>-130</v>
      </c>
      <c r="G6489" s="115">
        <v>-317</v>
      </c>
      <c r="H6489" s="115">
        <v>0</v>
      </c>
      <c r="I6489" s="115">
        <v>0</v>
      </c>
      <c r="J6489" s="115">
        <v>0</v>
      </c>
      <c r="K6489" s="115">
        <v>0</v>
      </c>
    </row>
    <row r="6490" spans="1:11" x14ac:dyDescent="0.25">
      <c r="A6490" s="115">
        <v>-1</v>
      </c>
      <c r="B6490" s="115" t="s">
        <v>7109</v>
      </c>
      <c r="D6490" s="115" t="s">
        <v>12550</v>
      </c>
      <c r="E6490" s="115" t="s">
        <v>7110</v>
      </c>
      <c r="F6490" s="115">
        <v>0</v>
      </c>
      <c r="G6490" s="115">
        <v>230</v>
      </c>
      <c r="H6490" s="115">
        <v>259</v>
      </c>
      <c r="I6490" s="115">
        <v>0</v>
      </c>
      <c r="J6490" s="115">
        <v>0</v>
      </c>
      <c r="K6490" s="115">
        <v>0</v>
      </c>
    </row>
    <row r="6491" spans="1:11" x14ac:dyDescent="0.25">
      <c r="B6491" s="115" t="s">
        <v>7111</v>
      </c>
      <c r="D6491" s="115" t="s">
        <v>12551</v>
      </c>
      <c r="E6491" s="115" t="s">
        <v>7112</v>
      </c>
      <c r="F6491" s="115">
        <v>-977</v>
      </c>
      <c r="G6491" s="115">
        <v>-375</v>
      </c>
      <c r="H6491" s="115">
        <v>542</v>
      </c>
      <c r="I6491" s="115">
        <v>-450</v>
      </c>
      <c r="J6491" s="115">
        <v>100</v>
      </c>
      <c r="K6491" s="115">
        <v>-70</v>
      </c>
    </row>
    <row r="6492" spans="1:11" x14ac:dyDescent="0.25">
      <c r="B6492" s="115" t="s">
        <v>7113</v>
      </c>
      <c r="D6492" s="115" t="s">
        <v>12552</v>
      </c>
      <c r="E6492" s="115" t="s">
        <v>1242</v>
      </c>
      <c r="F6492" s="115">
        <v>0</v>
      </c>
      <c r="G6492" s="115">
        <v>0</v>
      </c>
      <c r="H6492" s="115">
        <v>0</v>
      </c>
      <c r="I6492" s="115">
        <v>0</v>
      </c>
      <c r="J6492" s="115">
        <v>0</v>
      </c>
      <c r="K6492" s="115">
        <v>0</v>
      </c>
    </row>
    <row r="6493" spans="1:11" x14ac:dyDescent="0.25">
      <c r="A6493" s="115" t="s">
        <v>1239</v>
      </c>
      <c r="B6493" s="115" t="s">
        <v>7114</v>
      </c>
      <c r="D6493" s="115" t="s">
        <v>12553</v>
      </c>
      <c r="E6493" s="115" t="s">
        <v>7115</v>
      </c>
      <c r="F6493" s="115">
        <v>129</v>
      </c>
      <c r="G6493" s="115">
        <v>1035</v>
      </c>
      <c r="H6493" s="115">
        <v>0</v>
      </c>
      <c r="I6493" s="115">
        <v>0</v>
      </c>
      <c r="J6493" s="115">
        <v>9</v>
      </c>
      <c r="K6493" s="115">
        <v>0</v>
      </c>
    </row>
    <row r="6494" spans="1:11" x14ac:dyDescent="0.25">
      <c r="B6494" s="115" t="s">
        <v>7116</v>
      </c>
      <c r="D6494" s="115" t="s">
        <v>12554</v>
      </c>
      <c r="E6494" s="115" t="s">
        <v>7117</v>
      </c>
      <c r="F6494" s="115">
        <v>0</v>
      </c>
      <c r="G6494" s="115">
        <v>0</v>
      </c>
      <c r="H6494" s="115">
        <v>-1237</v>
      </c>
      <c r="I6494" s="115">
        <v>0</v>
      </c>
      <c r="J6494" s="115">
        <v>-4112</v>
      </c>
      <c r="K6494" s="115">
        <v>-2198</v>
      </c>
    </row>
    <row r="6495" spans="1:11" x14ac:dyDescent="0.25">
      <c r="B6495" s="115" t="s">
        <v>1241</v>
      </c>
      <c r="D6495" s="115" t="s">
        <v>8710</v>
      </c>
      <c r="E6495" s="115" t="s">
        <v>1242</v>
      </c>
      <c r="F6495" s="115">
        <v>0</v>
      </c>
      <c r="G6495" s="115">
        <v>0</v>
      </c>
      <c r="H6495" s="115">
        <v>0</v>
      </c>
      <c r="I6495" s="115">
        <v>0</v>
      </c>
      <c r="J6495" s="115">
        <v>0</v>
      </c>
      <c r="K6495" s="115">
        <v>0</v>
      </c>
    </row>
    <row r="6496" spans="1:11" x14ac:dyDescent="0.25">
      <c r="B6496" s="115" t="s">
        <v>1241</v>
      </c>
      <c r="D6496" s="115" t="s">
        <v>12555</v>
      </c>
      <c r="E6496" s="115" t="s">
        <v>7118</v>
      </c>
      <c r="F6496" s="115">
        <v>0</v>
      </c>
      <c r="G6496" s="115">
        <v>-1060</v>
      </c>
      <c r="H6496" s="115">
        <v>0</v>
      </c>
      <c r="I6496" s="115">
        <v>0</v>
      </c>
      <c r="J6496" s="115">
        <v>0</v>
      </c>
      <c r="K6496" s="115">
        <v>0</v>
      </c>
    </row>
    <row r="6497" spans="1:11" x14ac:dyDescent="0.25">
      <c r="B6497" s="115" t="s">
        <v>7119</v>
      </c>
      <c r="D6497" s="115" t="s">
        <v>12556</v>
      </c>
      <c r="E6497" s="115" t="s">
        <v>7120</v>
      </c>
      <c r="F6497" s="115">
        <v>-1440</v>
      </c>
      <c r="G6497" s="115">
        <v>-4911</v>
      </c>
      <c r="H6497" s="115">
        <v>-1795</v>
      </c>
      <c r="I6497" s="115">
        <v>-3496</v>
      </c>
      <c r="J6497" s="115">
        <v>2937</v>
      </c>
      <c r="K6497" s="115">
        <v>-563</v>
      </c>
    </row>
    <row r="6498" spans="1:11" x14ac:dyDescent="0.25">
      <c r="A6498" s="115" t="s">
        <v>1239</v>
      </c>
      <c r="B6498" s="115" t="s">
        <v>7121</v>
      </c>
      <c r="D6498" s="115" t="s">
        <v>12557</v>
      </c>
      <c r="E6498" s="115" t="s">
        <v>7122</v>
      </c>
      <c r="F6498" s="115">
        <v>-9060</v>
      </c>
      <c r="G6498" s="115">
        <v>-1363</v>
      </c>
      <c r="H6498" s="115">
        <v>-2039</v>
      </c>
      <c r="I6498" s="115">
        <v>6234</v>
      </c>
      <c r="J6498" s="115">
        <v>0</v>
      </c>
      <c r="K6498" s="115">
        <v>-756</v>
      </c>
    </row>
    <row r="6499" spans="1:11" x14ac:dyDescent="0.25">
      <c r="B6499" s="115" t="s">
        <v>7123</v>
      </c>
      <c r="C6499" s="115" t="s">
        <v>1239</v>
      </c>
      <c r="D6499" s="115" t="s">
        <v>12558</v>
      </c>
      <c r="E6499" s="115" t="s">
        <v>7124</v>
      </c>
      <c r="F6499" s="115">
        <v>-914</v>
      </c>
      <c r="G6499" s="115">
        <v>-502</v>
      </c>
      <c r="H6499" s="115">
        <v>-1311</v>
      </c>
      <c r="I6499" s="115">
        <v>-339</v>
      </c>
      <c r="J6499" s="115">
        <v>90</v>
      </c>
      <c r="K6499" s="115">
        <v>-150</v>
      </c>
    </row>
    <row r="6500" spans="1:11" x14ac:dyDescent="0.25">
      <c r="A6500" s="115">
        <v>-1</v>
      </c>
      <c r="B6500" s="115" t="s">
        <v>7125</v>
      </c>
      <c r="D6500" s="115" t="s">
        <v>12559</v>
      </c>
      <c r="E6500" s="115" t="s">
        <v>7126</v>
      </c>
      <c r="F6500" s="115">
        <v>-784</v>
      </c>
      <c r="G6500" s="115">
        <v>-408</v>
      </c>
      <c r="H6500" s="115">
        <v>134</v>
      </c>
      <c r="I6500" s="115">
        <v>-645</v>
      </c>
      <c r="J6500" s="115">
        <v>-803</v>
      </c>
      <c r="K6500" s="115">
        <v>-1058</v>
      </c>
    </row>
    <row r="6501" spans="1:11" x14ac:dyDescent="0.25">
      <c r="B6501" s="115" t="s">
        <v>7127</v>
      </c>
      <c r="D6501" s="115" t="s">
        <v>12560</v>
      </c>
      <c r="E6501" s="115" t="s">
        <v>7128</v>
      </c>
      <c r="F6501" s="115">
        <v>-12</v>
      </c>
      <c r="G6501" s="115">
        <v>-339</v>
      </c>
      <c r="H6501" s="115">
        <v>1519</v>
      </c>
      <c r="I6501" s="115">
        <v>-1100</v>
      </c>
      <c r="J6501" s="115">
        <v>-1490</v>
      </c>
      <c r="K6501" s="115">
        <v>87</v>
      </c>
    </row>
    <row r="6502" spans="1:11" x14ac:dyDescent="0.25">
      <c r="B6502" s="115" t="s">
        <v>7129</v>
      </c>
      <c r="D6502" s="115" t="s">
        <v>12561</v>
      </c>
      <c r="E6502" s="115" t="s">
        <v>7130</v>
      </c>
      <c r="F6502" s="115">
        <v>271</v>
      </c>
      <c r="G6502" s="115">
        <v>235</v>
      </c>
      <c r="H6502" s="115">
        <v>308</v>
      </c>
      <c r="I6502" s="115">
        <v>185</v>
      </c>
      <c r="J6502" s="115">
        <v>198</v>
      </c>
      <c r="K6502" s="115">
        <v>22687</v>
      </c>
    </row>
    <row r="6503" spans="1:11" x14ac:dyDescent="0.25">
      <c r="A6503" s="115">
        <v>30</v>
      </c>
      <c r="B6503" s="115" t="s">
        <v>7131</v>
      </c>
      <c r="C6503" s="115">
        <v>2</v>
      </c>
      <c r="D6503" s="115" t="s">
        <v>12562</v>
      </c>
      <c r="E6503" s="115" t="s">
        <v>7132</v>
      </c>
      <c r="F6503" s="115">
        <v>16402</v>
      </c>
      <c r="G6503" s="115">
        <v>467</v>
      </c>
      <c r="H6503" s="115">
        <v>-15057</v>
      </c>
      <c r="I6503" s="115">
        <v>36</v>
      </c>
      <c r="J6503" s="115">
        <v>-534</v>
      </c>
      <c r="K6503" s="115">
        <v>500</v>
      </c>
    </row>
    <row r="6504" spans="1:11" x14ac:dyDescent="0.25">
      <c r="B6504" s="115" t="s">
        <v>1241</v>
      </c>
      <c r="D6504" s="115" t="s">
        <v>12563</v>
      </c>
      <c r="E6504" s="115" t="s">
        <v>7133</v>
      </c>
      <c r="F6504" s="115">
        <v>0</v>
      </c>
      <c r="G6504" s="115">
        <v>0</v>
      </c>
      <c r="H6504" s="115">
        <v>19</v>
      </c>
      <c r="I6504" s="115">
        <v>-12</v>
      </c>
      <c r="J6504" s="115">
        <v>0</v>
      </c>
      <c r="K6504" s="115">
        <v>0</v>
      </c>
    </row>
    <row r="6505" spans="1:11" x14ac:dyDescent="0.25">
      <c r="B6505" s="115" t="s">
        <v>1241</v>
      </c>
      <c r="D6505" s="115" t="s">
        <v>12564</v>
      </c>
      <c r="E6505" s="115" t="s">
        <v>7134</v>
      </c>
      <c r="F6505" s="115">
        <v>-8</v>
      </c>
      <c r="G6505" s="115">
        <v>0</v>
      </c>
      <c r="H6505" s="115">
        <v>0</v>
      </c>
      <c r="I6505" s="115">
        <v>111</v>
      </c>
      <c r="J6505" s="115">
        <v>0</v>
      </c>
      <c r="K6505" s="115">
        <v>-130</v>
      </c>
    </row>
    <row r="6506" spans="1:11" x14ac:dyDescent="0.25">
      <c r="B6506" s="115" t="s">
        <v>7135</v>
      </c>
      <c r="D6506" s="115" t="s">
        <v>12565</v>
      </c>
      <c r="E6506" s="115" t="s">
        <v>7136</v>
      </c>
      <c r="F6506" s="115">
        <v>0</v>
      </c>
      <c r="G6506" s="115">
        <v>-478</v>
      </c>
      <c r="H6506" s="115">
        <v>-22443</v>
      </c>
      <c r="I6506" s="115">
        <v>-858</v>
      </c>
      <c r="J6506" s="115">
        <v>-353</v>
      </c>
      <c r="K6506" s="115">
        <v>97</v>
      </c>
    </row>
    <row r="6507" spans="1:11" x14ac:dyDescent="0.25">
      <c r="A6507" s="115" t="s">
        <v>1239</v>
      </c>
      <c r="B6507" s="115" t="s">
        <v>1455</v>
      </c>
      <c r="D6507" s="115" t="s">
        <v>12566</v>
      </c>
      <c r="E6507" s="115" t="s">
        <v>7137</v>
      </c>
      <c r="F6507" s="115">
        <v>0</v>
      </c>
      <c r="G6507" s="115">
        <v>0</v>
      </c>
      <c r="H6507" s="115">
        <v>0</v>
      </c>
      <c r="I6507" s="115">
        <v>0</v>
      </c>
      <c r="J6507" s="115">
        <v>80</v>
      </c>
      <c r="K6507" s="115">
        <v>0</v>
      </c>
    </row>
    <row r="6508" spans="1:11" x14ac:dyDescent="0.25">
      <c r="B6508" s="115" t="s">
        <v>1241</v>
      </c>
      <c r="D6508" s="115" t="s">
        <v>12567</v>
      </c>
      <c r="E6508" s="115" t="s">
        <v>1242</v>
      </c>
      <c r="F6508" s="115">
        <v>-248</v>
      </c>
      <c r="G6508" s="115">
        <v>0</v>
      </c>
      <c r="H6508" s="115">
        <v>0</v>
      </c>
      <c r="I6508" s="115">
        <v>0</v>
      </c>
      <c r="J6508" s="115">
        <v>0</v>
      </c>
      <c r="K6508" s="115">
        <v>0</v>
      </c>
    </row>
    <row r="6509" spans="1:11" x14ac:dyDescent="0.25">
      <c r="B6509" s="115" t="s">
        <v>5526</v>
      </c>
      <c r="C6509" s="115" t="s">
        <v>1239</v>
      </c>
      <c r="D6509" s="115" t="s">
        <v>12568</v>
      </c>
      <c r="E6509" s="115" t="s">
        <v>7138</v>
      </c>
      <c r="F6509" s="115">
        <v>0</v>
      </c>
      <c r="G6509" s="115">
        <v>0</v>
      </c>
      <c r="H6509" s="115">
        <v>-396</v>
      </c>
      <c r="I6509" s="115">
        <v>-15005</v>
      </c>
      <c r="J6509" s="115">
        <v>0</v>
      </c>
      <c r="K6509" s="115">
        <v>-209</v>
      </c>
    </row>
    <row r="6510" spans="1:11" x14ac:dyDescent="0.25">
      <c r="B6510" s="115" t="s">
        <v>1241</v>
      </c>
      <c r="D6510" s="115" t="s">
        <v>12569</v>
      </c>
      <c r="E6510" s="115" t="s">
        <v>7139</v>
      </c>
      <c r="F6510" s="115">
        <v>-945</v>
      </c>
      <c r="G6510" s="115">
        <v>-148</v>
      </c>
      <c r="H6510" s="115">
        <v>-30</v>
      </c>
      <c r="I6510" s="115">
        <v>0</v>
      </c>
      <c r="J6510" s="115">
        <v>0</v>
      </c>
      <c r="K6510" s="115">
        <v>142</v>
      </c>
    </row>
    <row r="6511" spans="1:11" x14ac:dyDescent="0.25">
      <c r="B6511" s="115" t="s">
        <v>2803</v>
      </c>
      <c r="D6511" s="115" t="s">
        <v>12570</v>
      </c>
      <c r="E6511" s="115" t="s">
        <v>7140</v>
      </c>
      <c r="F6511" s="115">
        <v>96</v>
      </c>
      <c r="G6511" s="115">
        <v>-150</v>
      </c>
      <c r="H6511" s="115">
        <v>-178</v>
      </c>
      <c r="I6511" s="115">
        <v>82</v>
      </c>
      <c r="J6511" s="115">
        <v>-138</v>
      </c>
      <c r="K6511" s="115">
        <v>0</v>
      </c>
    </row>
    <row r="6512" spans="1:11" x14ac:dyDescent="0.25">
      <c r="B6512" s="115" t="s">
        <v>1241</v>
      </c>
      <c r="D6512" s="115" t="s">
        <v>12571</v>
      </c>
      <c r="E6512" s="115" t="s">
        <v>7141</v>
      </c>
      <c r="F6512" s="115">
        <v>474</v>
      </c>
      <c r="G6512" s="115">
        <v>0</v>
      </c>
      <c r="H6512" s="115">
        <v>808</v>
      </c>
      <c r="I6512" s="115">
        <v>92</v>
      </c>
      <c r="J6512" s="115">
        <v>-11</v>
      </c>
      <c r="K6512" s="115">
        <v>0</v>
      </c>
    </row>
    <row r="6513" spans="1:11" x14ac:dyDescent="0.25">
      <c r="A6513" s="115" t="s">
        <v>1239</v>
      </c>
      <c r="B6513" s="115" t="s">
        <v>7142</v>
      </c>
      <c r="D6513" s="115" t="s">
        <v>12572</v>
      </c>
      <c r="E6513" s="115" t="s">
        <v>7143</v>
      </c>
      <c r="F6513" s="115">
        <v>367</v>
      </c>
      <c r="G6513" s="115">
        <v>0</v>
      </c>
      <c r="H6513" s="115">
        <v>1160</v>
      </c>
      <c r="I6513" s="115">
        <v>407</v>
      </c>
      <c r="J6513" s="115">
        <v>-461</v>
      </c>
      <c r="K6513" s="115">
        <v>85</v>
      </c>
    </row>
    <row r="6514" spans="1:11" x14ac:dyDescent="0.25">
      <c r="B6514" s="115" t="s">
        <v>5955</v>
      </c>
      <c r="D6514" s="115" t="s">
        <v>12573</v>
      </c>
      <c r="E6514" s="115" t="s">
        <v>7144</v>
      </c>
      <c r="F6514" s="115">
        <v>0</v>
      </c>
      <c r="G6514" s="115">
        <v>0</v>
      </c>
      <c r="H6514" s="115">
        <v>-35</v>
      </c>
      <c r="I6514" s="115">
        <v>-48</v>
      </c>
      <c r="J6514" s="115">
        <v>0</v>
      </c>
      <c r="K6514" s="115">
        <v>-64</v>
      </c>
    </row>
    <row r="6515" spans="1:11" x14ac:dyDescent="0.25">
      <c r="B6515" s="115" t="s">
        <v>7145</v>
      </c>
      <c r="D6515" s="115" t="s">
        <v>12574</v>
      </c>
      <c r="E6515" s="115" t="s">
        <v>7146</v>
      </c>
      <c r="F6515" s="115">
        <v>0</v>
      </c>
      <c r="G6515" s="115">
        <v>0</v>
      </c>
      <c r="H6515" s="115">
        <v>0</v>
      </c>
      <c r="I6515" s="115">
        <v>0</v>
      </c>
      <c r="J6515" s="115">
        <v>636</v>
      </c>
      <c r="K6515" s="115">
        <v>0</v>
      </c>
    </row>
    <row r="6516" spans="1:11" x14ac:dyDescent="0.25">
      <c r="A6516" s="115">
        <v>3</v>
      </c>
      <c r="B6516" s="115" t="s">
        <v>7147</v>
      </c>
      <c r="D6516" s="115" t="s">
        <v>12575</v>
      </c>
      <c r="E6516" s="115" t="s">
        <v>7148</v>
      </c>
      <c r="F6516" s="115">
        <v>-621</v>
      </c>
      <c r="G6516" s="115">
        <v>-17775</v>
      </c>
      <c r="H6516" s="115">
        <v>320</v>
      </c>
      <c r="I6516" s="115">
        <v>-1634</v>
      </c>
      <c r="J6516" s="115">
        <v>-1569</v>
      </c>
      <c r="K6516" s="115">
        <v>-6694</v>
      </c>
    </row>
    <row r="6517" spans="1:11" x14ac:dyDescent="0.25">
      <c r="A6517" s="115">
        <v>-6</v>
      </c>
      <c r="B6517" s="115" t="s">
        <v>7149</v>
      </c>
      <c r="D6517" s="115" t="s">
        <v>12576</v>
      </c>
      <c r="E6517" s="115" t="s">
        <v>7150</v>
      </c>
      <c r="F6517" s="115">
        <v>0</v>
      </c>
      <c r="G6517" s="115">
        <v>0</v>
      </c>
      <c r="H6517" s="115">
        <v>-1055</v>
      </c>
      <c r="I6517" s="115">
        <v>250</v>
      </c>
      <c r="J6517" s="115">
        <v>0</v>
      </c>
      <c r="K6517" s="115">
        <v>-3</v>
      </c>
    </row>
    <row r="6518" spans="1:11" x14ac:dyDescent="0.25">
      <c r="B6518" s="115" t="s">
        <v>1241</v>
      </c>
      <c r="D6518" s="115" t="s">
        <v>12577</v>
      </c>
      <c r="E6518" s="115" t="s">
        <v>7151</v>
      </c>
      <c r="F6518" s="115">
        <v>-1659</v>
      </c>
      <c r="G6518" s="115">
        <v>107</v>
      </c>
      <c r="H6518" s="115">
        <v>1047</v>
      </c>
      <c r="I6518" s="115">
        <v>0</v>
      </c>
      <c r="J6518" s="115">
        <v>0</v>
      </c>
      <c r="K6518" s="115">
        <v>0</v>
      </c>
    </row>
    <row r="6519" spans="1:11" x14ac:dyDescent="0.25">
      <c r="B6519" s="115" t="s">
        <v>1241</v>
      </c>
      <c r="D6519" s="115" t="s">
        <v>12578</v>
      </c>
      <c r="E6519" s="115" t="s">
        <v>7152</v>
      </c>
      <c r="F6519" s="115">
        <v>4326</v>
      </c>
      <c r="G6519" s="115">
        <v>426</v>
      </c>
      <c r="H6519" s="115">
        <v>-495</v>
      </c>
      <c r="I6519" s="115">
        <v>0</v>
      </c>
      <c r="J6519" s="115">
        <v>-368</v>
      </c>
      <c r="K6519" s="115">
        <v>-18872</v>
      </c>
    </row>
    <row r="6520" spans="1:11" x14ac:dyDescent="0.25">
      <c r="B6520" s="115" t="s">
        <v>2335</v>
      </c>
      <c r="D6520" s="115" t="s">
        <v>12579</v>
      </c>
      <c r="E6520" s="115" t="s">
        <v>7153</v>
      </c>
      <c r="F6520" s="115">
        <v>1639</v>
      </c>
      <c r="G6520" s="115">
        <v>1505</v>
      </c>
      <c r="H6520" s="115">
        <v>448</v>
      </c>
      <c r="I6520" s="115">
        <v>-521</v>
      </c>
      <c r="J6520" s="115">
        <v>-476</v>
      </c>
      <c r="K6520" s="115">
        <v>0</v>
      </c>
    </row>
    <row r="6521" spans="1:11" x14ac:dyDescent="0.25">
      <c r="B6521" s="115" t="s">
        <v>1517</v>
      </c>
      <c r="D6521" s="115" t="s">
        <v>12580</v>
      </c>
      <c r="E6521" s="115" t="s">
        <v>7154</v>
      </c>
      <c r="F6521" s="115">
        <v>0</v>
      </c>
      <c r="G6521" s="115">
        <v>-328</v>
      </c>
      <c r="H6521" s="115">
        <v>0</v>
      </c>
      <c r="I6521" s="115">
        <v>-521</v>
      </c>
      <c r="J6521" s="115">
        <v>0</v>
      </c>
      <c r="K6521" s="115">
        <v>0</v>
      </c>
    </row>
    <row r="6522" spans="1:11" x14ac:dyDescent="0.25">
      <c r="B6522" s="115" t="s">
        <v>1241</v>
      </c>
      <c r="D6522" s="115" t="s">
        <v>12581</v>
      </c>
      <c r="E6522" s="115" t="s">
        <v>7155</v>
      </c>
      <c r="F6522" s="115">
        <v>0</v>
      </c>
      <c r="G6522" s="115">
        <v>0</v>
      </c>
      <c r="H6522" s="115">
        <v>408</v>
      </c>
      <c r="I6522" s="115">
        <v>0</v>
      </c>
      <c r="J6522" s="115">
        <v>1226</v>
      </c>
      <c r="K6522" s="115">
        <v>-864</v>
      </c>
    </row>
    <row r="6523" spans="1:11" x14ac:dyDescent="0.25">
      <c r="A6523" s="115" t="s">
        <v>1239</v>
      </c>
      <c r="B6523" s="115" t="s">
        <v>7156</v>
      </c>
      <c r="D6523" s="115" t="s">
        <v>12582</v>
      </c>
      <c r="E6523" s="115" t="s">
        <v>7157</v>
      </c>
      <c r="F6523" s="115">
        <v>0</v>
      </c>
      <c r="G6523" s="115">
        <v>0</v>
      </c>
      <c r="H6523" s="115">
        <v>0</v>
      </c>
      <c r="I6523" s="115">
        <v>0</v>
      </c>
      <c r="J6523" s="115">
        <v>0</v>
      </c>
      <c r="K6523" s="115">
        <v>-1410</v>
      </c>
    </row>
    <row r="6524" spans="1:11" x14ac:dyDescent="0.25">
      <c r="A6524" s="115" t="s">
        <v>1239</v>
      </c>
      <c r="B6524" s="115" t="s">
        <v>7158</v>
      </c>
      <c r="D6524" s="115" t="s">
        <v>12583</v>
      </c>
      <c r="E6524" s="115" t="s">
        <v>7159</v>
      </c>
      <c r="F6524" s="115">
        <v>-231</v>
      </c>
      <c r="G6524" s="115">
        <v>0</v>
      </c>
      <c r="H6524" s="115">
        <v>0</v>
      </c>
      <c r="I6524" s="115">
        <v>0</v>
      </c>
      <c r="J6524" s="115">
        <v>0</v>
      </c>
      <c r="K6524" s="115">
        <v>-961</v>
      </c>
    </row>
    <row r="6525" spans="1:11" x14ac:dyDescent="0.25">
      <c r="B6525" s="115" t="s">
        <v>7160</v>
      </c>
      <c r="D6525" s="115" t="s">
        <v>12584</v>
      </c>
      <c r="E6525" s="115" t="s">
        <v>2010</v>
      </c>
      <c r="F6525" s="115">
        <v>131</v>
      </c>
      <c r="G6525" s="115">
        <v>158</v>
      </c>
      <c r="H6525" s="115">
        <v>0</v>
      </c>
      <c r="I6525" s="115">
        <v>0</v>
      </c>
      <c r="J6525" s="115">
        <v>0</v>
      </c>
      <c r="K6525" s="115">
        <v>0</v>
      </c>
    </row>
    <row r="6526" spans="1:11" x14ac:dyDescent="0.25">
      <c r="A6526" s="115" t="s">
        <v>1239</v>
      </c>
      <c r="B6526" s="115" t="s">
        <v>7161</v>
      </c>
      <c r="D6526" s="115" t="s">
        <v>12585</v>
      </c>
      <c r="E6526" s="115" t="s">
        <v>7162</v>
      </c>
      <c r="F6526" s="115">
        <v>-358</v>
      </c>
      <c r="G6526" s="115">
        <v>715</v>
      </c>
      <c r="H6526" s="115">
        <v>-163</v>
      </c>
      <c r="I6526" s="115">
        <v>260</v>
      </c>
      <c r="J6526" s="115">
        <v>150</v>
      </c>
      <c r="K6526" s="115">
        <v>2235</v>
      </c>
    </row>
    <row r="6527" spans="1:11" x14ac:dyDescent="0.25">
      <c r="A6527" s="115">
        <v>1</v>
      </c>
      <c r="B6527" s="115" t="s">
        <v>7163</v>
      </c>
      <c r="D6527" s="115" t="s">
        <v>12586</v>
      </c>
      <c r="E6527" s="115" t="s">
        <v>7164</v>
      </c>
      <c r="F6527" s="115">
        <v>0</v>
      </c>
      <c r="G6527" s="115">
        <v>0</v>
      </c>
      <c r="H6527" s="115">
        <v>0</v>
      </c>
      <c r="I6527" s="115">
        <v>0</v>
      </c>
      <c r="J6527" s="115">
        <v>0</v>
      </c>
      <c r="K6527" s="115">
        <v>-76</v>
      </c>
    </row>
    <row r="6528" spans="1:11" x14ac:dyDescent="0.25">
      <c r="B6528" s="115" t="s">
        <v>7165</v>
      </c>
      <c r="D6528" s="115" t="s">
        <v>12587</v>
      </c>
      <c r="E6528" s="115" t="s">
        <v>7166</v>
      </c>
      <c r="F6528" s="115">
        <v>409</v>
      </c>
      <c r="G6528" s="115">
        <v>0</v>
      </c>
      <c r="H6528" s="115">
        <v>0</v>
      </c>
      <c r="I6528" s="115">
        <v>70</v>
      </c>
      <c r="J6528" s="115">
        <v>0</v>
      </c>
      <c r="K6528" s="115">
        <v>253</v>
      </c>
    </row>
    <row r="6529" spans="1:11" x14ac:dyDescent="0.25">
      <c r="A6529" s="115" t="s">
        <v>1239</v>
      </c>
      <c r="B6529" s="115" t="s">
        <v>7167</v>
      </c>
      <c r="D6529" s="115" t="s">
        <v>12588</v>
      </c>
      <c r="E6529" s="115" t="s">
        <v>7168</v>
      </c>
      <c r="F6529" s="115">
        <v>0</v>
      </c>
      <c r="G6529" s="115">
        <v>-713</v>
      </c>
      <c r="H6529" s="115">
        <v>0</v>
      </c>
      <c r="I6529" s="115">
        <v>-1570</v>
      </c>
      <c r="J6529" s="115">
        <v>-376</v>
      </c>
      <c r="K6529" s="115">
        <v>0</v>
      </c>
    </row>
    <row r="6530" spans="1:11" x14ac:dyDescent="0.25">
      <c r="B6530" s="115" t="s">
        <v>1241</v>
      </c>
      <c r="D6530" s="115" t="s">
        <v>8710</v>
      </c>
      <c r="E6530" s="115" t="s">
        <v>1242</v>
      </c>
      <c r="F6530" s="115">
        <v>0</v>
      </c>
      <c r="G6530" s="115">
        <v>0</v>
      </c>
      <c r="H6530" s="115">
        <v>0</v>
      </c>
      <c r="I6530" s="115">
        <v>0</v>
      </c>
      <c r="J6530" s="115">
        <v>0</v>
      </c>
      <c r="K6530" s="115">
        <v>0</v>
      </c>
    </row>
    <row r="6531" spans="1:11" x14ac:dyDescent="0.25">
      <c r="B6531" s="115" t="s">
        <v>1241</v>
      </c>
      <c r="D6531" s="115" t="s">
        <v>12589</v>
      </c>
      <c r="E6531" s="115" t="s">
        <v>1242</v>
      </c>
      <c r="F6531" s="115">
        <v>-768</v>
      </c>
      <c r="G6531" s="115">
        <v>0</v>
      </c>
      <c r="H6531" s="115">
        <v>0</v>
      </c>
      <c r="I6531" s="115">
        <v>0</v>
      </c>
      <c r="J6531" s="115">
        <v>0</v>
      </c>
      <c r="K6531" s="115">
        <v>0</v>
      </c>
    </row>
    <row r="6532" spans="1:11" x14ac:dyDescent="0.25">
      <c r="B6532" s="115" t="s">
        <v>7169</v>
      </c>
      <c r="D6532" s="115" t="s">
        <v>12590</v>
      </c>
      <c r="E6532" s="115" t="s">
        <v>7170</v>
      </c>
      <c r="F6532" s="115">
        <v>-1183</v>
      </c>
      <c r="G6532" s="115">
        <v>-4703</v>
      </c>
      <c r="H6532" s="115">
        <v>-2570</v>
      </c>
      <c r="I6532" s="115">
        <v>2614</v>
      </c>
      <c r="J6532" s="115">
        <v>-458</v>
      </c>
      <c r="K6532" s="115">
        <v>-48</v>
      </c>
    </row>
    <row r="6533" spans="1:11" x14ac:dyDescent="0.25">
      <c r="A6533" s="115" t="s">
        <v>1239</v>
      </c>
      <c r="B6533" s="115" t="s">
        <v>7171</v>
      </c>
      <c r="C6533" s="115" t="s">
        <v>1239</v>
      </c>
      <c r="D6533" s="115" t="s">
        <v>12591</v>
      </c>
      <c r="E6533" s="115" t="s">
        <v>7172</v>
      </c>
      <c r="F6533" s="115">
        <v>-5719</v>
      </c>
      <c r="G6533" s="115">
        <v>-1936</v>
      </c>
      <c r="H6533" s="115">
        <v>5025</v>
      </c>
      <c r="I6533" s="115">
        <v>0</v>
      </c>
      <c r="J6533" s="115">
        <v>-398</v>
      </c>
      <c r="K6533" s="115">
        <v>-95</v>
      </c>
    </row>
    <row r="6534" spans="1:11" x14ac:dyDescent="0.25">
      <c r="B6534" s="115" t="s">
        <v>7173</v>
      </c>
      <c r="D6534" s="115" t="s">
        <v>12592</v>
      </c>
      <c r="E6534" s="115">
        <f>-817   -220     -3  -1217   -636</f>
        <v>-2893</v>
      </c>
      <c r="F6534" s="115">
        <v>615</v>
      </c>
      <c r="G6534" s="115">
        <v>-817</v>
      </c>
      <c r="H6534" s="115">
        <v>-220</v>
      </c>
      <c r="I6534" s="115">
        <v>-3</v>
      </c>
      <c r="J6534" s="115">
        <v>-1217</v>
      </c>
      <c r="K6534" s="115">
        <v>-636</v>
      </c>
    </row>
    <row r="6535" spans="1:11" x14ac:dyDescent="0.25">
      <c r="A6535" s="115" t="s">
        <v>1239</v>
      </c>
      <c r="B6535" s="115" t="s">
        <v>7174</v>
      </c>
      <c r="D6535" s="115" t="s">
        <v>12593</v>
      </c>
      <c r="E6535" s="115" t="s">
        <v>7175</v>
      </c>
      <c r="F6535" s="115">
        <v>-218</v>
      </c>
      <c r="G6535" s="115">
        <v>-223</v>
      </c>
      <c r="H6535" s="115">
        <v>482</v>
      </c>
      <c r="I6535" s="115">
        <v>-394</v>
      </c>
      <c r="J6535" s="115">
        <v>-1050</v>
      </c>
      <c r="K6535" s="115">
        <v>240</v>
      </c>
    </row>
    <row r="6536" spans="1:11" x14ac:dyDescent="0.25">
      <c r="B6536" s="115" t="s">
        <v>7176</v>
      </c>
      <c r="D6536" s="115" t="s">
        <v>12594</v>
      </c>
      <c r="E6536" s="115" t="s">
        <v>7177</v>
      </c>
      <c r="F6536" s="115">
        <v>-511</v>
      </c>
      <c r="G6536" s="115">
        <v>-897</v>
      </c>
      <c r="H6536" s="115">
        <v>2169</v>
      </c>
      <c r="I6536" s="115">
        <v>-1322</v>
      </c>
      <c r="J6536" s="115">
        <v>-98</v>
      </c>
      <c r="K6536" s="115">
        <v>44</v>
      </c>
    </row>
    <row r="6537" spans="1:11" x14ac:dyDescent="0.25">
      <c r="B6537" s="115" t="s">
        <v>7178</v>
      </c>
      <c r="D6537" s="115" t="s">
        <v>12595</v>
      </c>
      <c r="E6537" s="115" t="s">
        <v>7179</v>
      </c>
      <c r="F6537" s="115">
        <v>112</v>
      </c>
      <c r="G6537" s="115">
        <v>92</v>
      </c>
      <c r="H6537" s="115">
        <v>153</v>
      </c>
      <c r="I6537" s="115">
        <v>270</v>
      </c>
      <c r="J6537" s="115">
        <v>18156</v>
      </c>
      <c r="K6537" s="115">
        <v>21617</v>
      </c>
    </row>
    <row r="6538" spans="1:11" x14ac:dyDescent="0.25">
      <c r="A6538" s="115">
        <v>24</v>
      </c>
      <c r="B6538" s="115" t="s">
        <v>7180</v>
      </c>
      <c r="C6538" s="115">
        <v>1</v>
      </c>
      <c r="D6538" s="115" t="s">
        <v>12596</v>
      </c>
      <c r="E6538" s="115" t="s">
        <v>7181</v>
      </c>
      <c r="F6538" s="115">
        <v>10572</v>
      </c>
      <c r="G6538" s="115">
        <v>209</v>
      </c>
      <c r="H6538" s="115">
        <v>-20431</v>
      </c>
      <c r="I6538" s="115">
        <v>-274</v>
      </c>
      <c r="J6538" s="115">
        <v>43</v>
      </c>
      <c r="K6538" s="115">
        <v>458</v>
      </c>
    </row>
    <row r="6539" spans="1:11" x14ac:dyDescent="0.25">
      <c r="B6539" s="115" t="s">
        <v>1241</v>
      </c>
      <c r="D6539" s="115" t="s">
        <v>12597</v>
      </c>
      <c r="E6539" s="115" t="s">
        <v>7182</v>
      </c>
      <c r="F6539" s="115">
        <v>0</v>
      </c>
      <c r="G6539" s="115">
        <v>0</v>
      </c>
      <c r="H6539" s="115">
        <v>71</v>
      </c>
      <c r="I6539" s="115">
        <v>9</v>
      </c>
      <c r="J6539" s="115">
        <v>0</v>
      </c>
      <c r="K6539" s="115">
        <v>0</v>
      </c>
    </row>
    <row r="6540" spans="1:11" x14ac:dyDescent="0.25">
      <c r="B6540" s="115" t="s">
        <v>1241</v>
      </c>
      <c r="D6540" s="115" t="s">
        <v>12598</v>
      </c>
      <c r="E6540" s="115" t="s">
        <v>7183</v>
      </c>
      <c r="F6540" s="115">
        <v>-10</v>
      </c>
      <c r="G6540" s="115">
        <v>0</v>
      </c>
      <c r="H6540" s="115">
        <v>0</v>
      </c>
      <c r="I6540" s="115">
        <v>118</v>
      </c>
      <c r="J6540" s="115">
        <v>0</v>
      </c>
      <c r="K6540" s="115">
        <v>-142</v>
      </c>
    </row>
    <row r="6541" spans="1:11" x14ac:dyDescent="0.25">
      <c r="B6541" s="115" t="s">
        <v>7184</v>
      </c>
      <c r="D6541" s="115" t="s">
        <v>12599</v>
      </c>
      <c r="E6541" s="115">
        <f>-265 -28752   -131   -563    -22</f>
        <v>-29733</v>
      </c>
      <c r="F6541" s="115">
        <v>0</v>
      </c>
      <c r="G6541" s="115">
        <v>-265</v>
      </c>
      <c r="H6541" s="115">
        <v>-28752</v>
      </c>
      <c r="I6541" s="115">
        <v>-131</v>
      </c>
      <c r="J6541" s="115">
        <v>-563</v>
      </c>
      <c r="K6541" s="115">
        <v>-22</v>
      </c>
    </row>
    <row r="6542" spans="1:11" x14ac:dyDescent="0.25">
      <c r="A6542" s="115" t="s">
        <v>1239</v>
      </c>
      <c r="B6542" s="115" t="s">
        <v>7185</v>
      </c>
      <c r="D6542" s="115" t="s">
        <v>12600</v>
      </c>
      <c r="E6542" s="115" t="s">
        <v>7186</v>
      </c>
      <c r="F6542" s="115">
        <v>0</v>
      </c>
      <c r="G6542" s="115">
        <v>0</v>
      </c>
      <c r="H6542" s="115">
        <v>0</v>
      </c>
      <c r="I6542" s="115">
        <v>0</v>
      </c>
      <c r="J6542" s="115">
        <v>-36</v>
      </c>
      <c r="K6542" s="115">
        <v>0</v>
      </c>
    </row>
    <row r="6543" spans="1:11" x14ac:dyDescent="0.25">
      <c r="B6543" s="115" t="s">
        <v>1241</v>
      </c>
      <c r="D6543" s="115" t="s">
        <v>12601</v>
      </c>
      <c r="E6543" s="115" t="s">
        <v>1242</v>
      </c>
      <c r="F6543" s="115">
        <v>-104</v>
      </c>
      <c r="G6543" s="115">
        <v>0</v>
      </c>
      <c r="H6543" s="115">
        <v>0</v>
      </c>
      <c r="I6543" s="115">
        <v>0</v>
      </c>
      <c r="J6543" s="115">
        <v>0</v>
      </c>
      <c r="K6543" s="115">
        <v>0</v>
      </c>
    </row>
    <row r="6544" spans="1:11" x14ac:dyDescent="0.25">
      <c r="A6544" s="115" t="s">
        <v>1239</v>
      </c>
      <c r="B6544" s="115" t="s">
        <v>7187</v>
      </c>
      <c r="D6544" s="115" t="s">
        <v>12602</v>
      </c>
      <c r="E6544" s="115" t="s">
        <v>7188</v>
      </c>
      <c r="F6544" s="115">
        <v>0</v>
      </c>
      <c r="G6544" s="115">
        <v>0</v>
      </c>
      <c r="H6544" s="115">
        <v>-491</v>
      </c>
      <c r="I6544" s="115">
        <v>-20240</v>
      </c>
      <c r="J6544" s="115">
        <v>0</v>
      </c>
      <c r="K6544" s="115">
        <v>-258</v>
      </c>
    </row>
    <row r="6545" spans="1:11" x14ac:dyDescent="0.25">
      <c r="B6545" s="115" t="s">
        <v>1241</v>
      </c>
      <c r="D6545" s="115" t="s">
        <v>12603</v>
      </c>
      <c r="E6545" s="115" t="s">
        <v>7189</v>
      </c>
      <c r="F6545" s="115">
        <v>-1010</v>
      </c>
      <c r="G6545" s="115">
        <v>-71</v>
      </c>
      <c r="H6545" s="115">
        <v>7</v>
      </c>
      <c r="I6545" s="115">
        <v>0</v>
      </c>
      <c r="J6545" s="115">
        <v>0</v>
      </c>
      <c r="K6545" s="115">
        <v>179</v>
      </c>
    </row>
    <row r="6546" spans="1:11" x14ac:dyDescent="0.25">
      <c r="B6546" s="115" t="s">
        <v>1923</v>
      </c>
      <c r="D6546" s="115" t="s">
        <v>12604</v>
      </c>
      <c r="E6546" s="115" t="s">
        <v>7190</v>
      </c>
      <c r="F6546" s="115">
        <v>102</v>
      </c>
      <c r="G6546" s="115">
        <v>-113</v>
      </c>
      <c r="H6546" s="115">
        <v>-140</v>
      </c>
      <c r="I6546" s="115">
        <v>112</v>
      </c>
      <c r="J6546" s="115">
        <v>-17</v>
      </c>
      <c r="K6546" s="115">
        <v>0</v>
      </c>
    </row>
    <row r="6547" spans="1:11" x14ac:dyDescent="0.25">
      <c r="B6547" s="115" t="s">
        <v>1241</v>
      </c>
      <c r="D6547" s="115" t="s">
        <v>12605</v>
      </c>
      <c r="E6547" s="115" t="s">
        <v>7191</v>
      </c>
      <c r="F6547" s="115">
        <v>499</v>
      </c>
      <c r="G6547" s="115">
        <v>0</v>
      </c>
      <c r="H6547" s="115">
        <v>778</v>
      </c>
      <c r="I6547" s="115">
        <v>158</v>
      </c>
      <c r="J6547" s="115">
        <v>11</v>
      </c>
      <c r="K6547" s="115">
        <v>0</v>
      </c>
    </row>
    <row r="6548" spans="1:11" x14ac:dyDescent="0.25">
      <c r="A6548" s="115" t="s">
        <v>1239</v>
      </c>
      <c r="B6548" s="115" t="s">
        <v>7192</v>
      </c>
      <c r="D6548" s="115" t="s">
        <v>12606</v>
      </c>
      <c r="E6548" s="115" t="s">
        <v>7193</v>
      </c>
      <c r="F6548" s="115">
        <v>428</v>
      </c>
      <c r="G6548" s="115">
        <v>0</v>
      </c>
      <c r="H6548" s="115">
        <v>1014</v>
      </c>
      <c r="I6548" s="115">
        <v>-44</v>
      </c>
      <c r="J6548" s="115">
        <v>-468</v>
      </c>
      <c r="K6548" s="115">
        <v>198</v>
      </c>
    </row>
    <row r="6549" spans="1:11" x14ac:dyDescent="0.25">
      <c r="B6549" s="115" t="s">
        <v>7194</v>
      </c>
      <c r="D6549" s="115" t="s">
        <v>12607</v>
      </c>
      <c r="E6549" s="115" t="s">
        <v>7195</v>
      </c>
      <c r="F6549" s="115">
        <v>0</v>
      </c>
      <c r="G6549" s="115">
        <v>0</v>
      </c>
      <c r="H6549" s="115">
        <v>-54</v>
      </c>
      <c r="I6549" s="115">
        <v>-17</v>
      </c>
      <c r="J6549" s="115">
        <v>0</v>
      </c>
      <c r="K6549" s="115">
        <v>-48</v>
      </c>
    </row>
    <row r="6550" spans="1:11" x14ac:dyDescent="0.25">
      <c r="B6550" s="115">
        <f>-37     -9</f>
        <v>-46</v>
      </c>
      <c r="D6550" s="115" t="s">
        <v>12608</v>
      </c>
      <c r="E6550" s="115" t="s">
        <v>7196</v>
      </c>
      <c r="F6550" s="115">
        <v>0</v>
      </c>
      <c r="G6550" s="115">
        <v>0</v>
      </c>
      <c r="H6550" s="115">
        <v>0</v>
      </c>
      <c r="I6550" s="115">
        <v>0</v>
      </c>
      <c r="J6550" s="115">
        <v>779</v>
      </c>
      <c r="K6550" s="115">
        <v>0</v>
      </c>
    </row>
    <row r="6551" spans="1:11" x14ac:dyDescent="0.25">
      <c r="A6551" s="115">
        <v>5</v>
      </c>
      <c r="B6551" s="115" t="s">
        <v>7197</v>
      </c>
      <c r="D6551" s="115" t="s">
        <v>12609</v>
      </c>
      <c r="E6551" s="115" t="s">
        <v>7198</v>
      </c>
      <c r="F6551" s="115">
        <v>-992</v>
      </c>
      <c r="G6551" s="115">
        <v>-23923</v>
      </c>
      <c r="H6551" s="115">
        <v>-31</v>
      </c>
      <c r="I6551" s="115">
        <v>-139</v>
      </c>
      <c r="J6551" s="115">
        <v>314</v>
      </c>
      <c r="K6551" s="115">
        <v>47</v>
      </c>
    </row>
    <row r="6552" spans="1:11" x14ac:dyDescent="0.25">
      <c r="B6552" s="115" t="s">
        <v>7199</v>
      </c>
      <c r="D6552" s="115" t="s">
        <v>12610</v>
      </c>
      <c r="E6552" s="115" t="s">
        <v>7200</v>
      </c>
      <c r="F6552" s="115">
        <v>0</v>
      </c>
      <c r="G6552" s="115">
        <v>0</v>
      </c>
      <c r="H6552" s="115">
        <v>-68</v>
      </c>
      <c r="I6552" s="115">
        <v>157</v>
      </c>
      <c r="J6552" s="115">
        <v>0</v>
      </c>
      <c r="K6552" s="115">
        <v>74</v>
      </c>
    </row>
    <row r="6553" spans="1:11" x14ac:dyDescent="0.25">
      <c r="B6553" s="115" t="s">
        <v>1241</v>
      </c>
      <c r="D6553" s="115" t="s">
        <v>12611</v>
      </c>
      <c r="E6553" s="115" t="s">
        <v>7201</v>
      </c>
      <c r="F6553" s="115">
        <v>9</v>
      </c>
      <c r="G6553" s="115">
        <v>-8</v>
      </c>
      <c r="H6553" s="115">
        <v>-155</v>
      </c>
      <c r="I6553" s="115">
        <v>0</v>
      </c>
      <c r="J6553" s="115">
        <v>0</v>
      </c>
      <c r="K6553" s="115">
        <v>0</v>
      </c>
    </row>
    <row r="6554" spans="1:11" x14ac:dyDescent="0.25">
      <c r="B6554" s="115" t="s">
        <v>1241</v>
      </c>
      <c r="D6554" s="115" t="s">
        <v>12612</v>
      </c>
      <c r="E6554" s="115" t="s">
        <v>7202</v>
      </c>
      <c r="F6554" s="115">
        <v>4792</v>
      </c>
      <c r="G6554" s="115">
        <v>236</v>
      </c>
      <c r="H6554" s="115">
        <v>155</v>
      </c>
      <c r="I6554" s="115">
        <v>0</v>
      </c>
      <c r="J6554" s="115">
        <v>304</v>
      </c>
      <c r="K6554" s="115">
        <v>-26294</v>
      </c>
    </row>
    <row r="6555" spans="1:11" x14ac:dyDescent="0.25">
      <c r="A6555" s="115">
        <v>2</v>
      </c>
      <c r="B6555" s="115" t="s">
        <v>7203</v>
      </c>
      <c r="D6555" s="115" t="s">
        <v>12613</v>
      </c>
      <c r="E6555" s="115" t="s">
        <v>7204</v>
      </c>
      <c r="F6555" s="115">
        <v>-6953</v>
      </c>
      <c r="G6555" s="115">
        <v>-1320</v>
      </c>
      <c r="H6555" s="115">
        <v>-1546</v>
      </c>
      <c r="I6555" s="115">
        <v>-2034</v>
      </c>
      <c r="J6555" s="115">
        <v>-1003</v>
      </c>
      <c r="K6555" s="115">
        <v>0</v>
      </c>
    </row>
    <row r="6556" spans="1:11" x14ac:dyDescent="0.25">
      <c r="A6556" s="115" t="s">
        <v>1239</v>
      </c>
      <c r="B6556" s="115" t="s">
        <v>4708</v>
      </c>
      <c r="D6556" s="115" t="s">
        <v>12614</v>
      </c>
      <c r="E6556" s="115" t="s">
        <v>7205</v>
      </c>
      <c r="F6556" s="115">
        <v>0</v>
      </c>
      <c r="G6556" s="115">
        <v>-846</v>
      </c>
      <c r="H6556" s="115">
        <v>0</v>
      </c>
      <c r="I6556" s="115">
        <v>54</v>
      </c>
      <c r="J6556" s="115">
        <v>0</v>
      </c>
      <c r="K6556" s="115">
        <v>0</v>
      </c>
    </row>
    <row r="6557" spans="1:11" x14ac:dyDescent="0.25">
      <c r="B6557" s="115" t="s">
        <v>1241</v>
      </c>
      <c r="D6557" s="115" t="s">
        <v>12615</v>
      </c>
      <c r="E6557" s="115" t="s">
        <v>7206</v>
      </c>
      <c r="F6557" s="115">
        <v>0</v>
      </c>
      <c r="G6557" s="115">
        <v>0</v>
      </c>
      <c r="H6557" s="115">
        <v>219</v>
      </c>
      <c r="I6557" s="115">
        <v>0</v>
      </c>
      <c r="J6557" s="115">
        <v>1592</v>
      </c>
      <c r="K6557" s="115">
        <v>-571</v>
      </c>
    </row>
    <row r="6558" spans="1:11" x14ac:dyDescent="0.25">
      <c r="A6558" s="115">
        <v>-1</v>
      </c>
      <c r="B6558" s="115" t="s">
        <v>7207</v>
      </c>
      <c r="D6558" s="115" t="s">
        <v>12616</v>
      </c>
      <c r="E6558" s="115" t="s">
        <v>7208</v>
      </c>
      <c r="F6558" s="115">
        <v>0</v>
      </c>
      <c r="G6558" s="115">
        <v>0</v>
      </c>
      <c r="H6558" s="115">
        <v>0</v>
      </c>
      <c r="I6558" s="115">
        <v>0</v>
      </c>
      <c r="J6558" s="115">
        <v>0</v>
      </c>
      <c r="K6558" s="115">
        <v>-1542</v>
      </c>
    </row>
    <row r="6559" spans="1:11" x14ac:dyDescent="0.25">
      <c r="A6559" s="115" t="s">
        <v>1239</v>
      </c>
      <c r="B6559" s="115" t="s">
        <v>7209</v>
      </c>
      <c r="D6559" s="115" t="s">
        <v>12617</v>
      </c>
      <c r="E6559" s="115" t="s">
        <v>7210</v>
      </c>
      <c r="F6559" s="115">
        <v>-243</v>
      </c>
      <c r="G6559" s="115">
        <v>0</v>
      </c>
      <c r="H6559" s="115">
        <v>0</v>
      </c>
      <c r="I6559" s="115">
        <v>0</v>
      </c>
      <c r="J6559" s="115">
        <v>0</v>
      </c>
      <c r="K6559" s="115">
        <v>-1305</v>
      </c>
    </row>
    <row r="6560" spans="1:11" x14ac:dyDescent="0.25">
      <c r="B6560" s="115" t="s">
        <v>7211</v>
      </c>
      <c r="D6560" s="115" t="s">
        <v>12618</v>
      </c>
      <c r="E6560" s="115" t="s">
        <v>7212</v>
      </c>
      <c r="F6560" s="115">
        <v>257</v>
      </c>
      <c r="G6560" s="115">
        <v>30</v>
      </c>
      <c r="H6560" s="115">
        <v>0</v>
      </c>
      <c r="I6560" s="115">
        <v>0</v>
      </c>
      <c r="J6560" s="115">
        <v>0</v>
      </c>
      <c r="K6560" s="115">
        <v>0</v>
      </c>
    </row>
    <row r="6561" spans="1:11" x14ac:dyDescent="0.25">
      <c r="B6561" s="115" t="s">
        <v>7213</v>
      </c>
      <c r="D6561" s="115" t="s">
        <v>12619</v>
      </c>
      <c r="E6561" s="115" t="s">
        <v>7214</v>
      </c>
      <c r="F6561" s="115">
        <v>-295</v>
      </c>
      <c r="G6561" s="115">
        <v>1113</v>
      </c>
      <c r="H6561" s="115">
        <v>-204</v>
      </c>
      <c r="I6561" s="115">
        <v>9</v>
      </c>
      <c r="J6561" s="115">
        <v>-151</v>
      </c>
      <c r="K6561" s="115">
        <v>325</v>
      </c>
    </row>
    <row r="6562" spans="1:11" x14ac:dyDescent="0.25">
      <c r="A6562" s="115">
        <v>1</v>
      </c>
      <c r="B6562" s="115" t="s">
        <v>7215</v>
      </c>
      <c r="D6562" s="115" t="s">
        <v>12620</v>
      </c>
      <c r="E6562" s="115" t="s">
        <v>3678</v>
      </c>
      <c r="F6562" s="115">
        <v>0</v>
      </c>
      <c r="G6562" s="115">
        <v>0</v>
      </c>
      <c r="H6562" s="115">
        <v>0</v>
      </c>
      <c r="I6562" s="115">
        <v>0</v>
      </c>
      <c r="J6562" s="115">
        <v>0</v>
      </c>
      <c r="K6562" s="115">
        <v>8</v>
      </c>
    </row>
    <row r="6563" spans="1:11" x14ac:dyDescent="0.25">
      <c r="B6563" s="115" t="s">
        <v>7216</v>
      </c>
      <c r="D6563" s="115" t="s">
        <v>12621</v>
      </c>
      <c r="E6563" s="115" t="s">
        <v>7217</v>
      </c>
      <c r="F6563" s="115">
        <v>75</v>
      </c>
      <c r="G6563" s="115">
        <v>0</v>
      </c>
      <c r="H6563" s="115">
        <v>0</v>
      </c>
      <c r="I6563" s="115">
        <v>-5</v>
      </c>
      <c r="J6563" s="115">
        <v>0</v>
      </c>
      <c r="K6563" s="115">
        <v>294</v>
      </c>
    </row>
    <row r="6564" spans="1:11" x14ac:dyDescent="0.25">
      <c r="A6564" s="115" t="s">
        <v>1239</v>
      </c>
      <c r="B6564" s="115" t="s">
        <v>7218</v>
      </c>
      <c r="D6564" s="115" t="s">
        <v>12622</v>
      </c>
      <c r="E6564" s="115" t="s">
        <v>7219</v>
      </c>
      <c r="F6564" s="115">
        <v>0</v>
      </c>
      <c r="G6564" s="115">
        <v>-1268</v>
      </c>
      <c r="H6564" s="115">
        <v>0</v>
      </c>
      <c r="I6564" s="115">
        <v>-2349</v>
      </c>
      <c r="J6564" s="115">
        <v>342</v>
      </c>
      <c r="K6564" s="115">
        <v>0</v>
      </c>
    </row>
    <row r="6565" spans="1:11" x14ac:dyDescent="0.25">
      <c r="B6565" s="115" t="s">
        <v>1241</v>
      </c>
      <c r="D6565" s="115" t="s">
        <v>8710</v>
      </c>
      <c r="E6565" s="115" t="s">
        <v>1242</v>
      </c>
      <c r="F6565" s="115">
        <v>0</v>
      </c>
      <c r="G6565" s="115">
        <v>0</v>
      </c>
      <c r="H6565" s="115">
        <v>0</v>
      </c>
      <c r="I6565" s="115">
        <v>0</v>
      </c>
      <c r="J6565" s="115">
        <v>0</v>
      </c>
      <c r="K6565" s="115">
        <v>0</v>
      </c>
    </row>
    <row r="6566" spans="1:11" x14ac:dyDescent="0.25">
      <c r="B6566" s="115" t="s">
        <v>1241</v>
      </c>
      <c r="D6566" s="115" t="s">
        <v>12623</v>
      </c>
      <c r="E6566" s="115" t="s">
        <v>1242</v>
      </c>
      <c r="F6566" s="115">
        <v>-979</v>
      </c>
      <c r="G6566" s="115">
        <v>0</v>
      </c>
      <c r="H6566" s="115">
        <v>0</v>
      </c>
      <c r="I6566" s="115">
        <v>0</v>
      </c>
      <c r="J6566" s="115">
        <v>0</v>
      </c>
      <c r="K6566" s="115">
        <v>0</v>
      </c>
    </row>
    <row r="6567" spans="1:11" x14ac:dyDescent="0.25">
      <c r="B6567" s="115" t="s">
        <v>7220</v>
      </c>
      <c r="C6567" s="115" t="s">
        <v>1239</v>
      </c>
      <c r="D6567" s="115" t="s">
        <v>12624</v>
      </c>
      <c r="E6567" s="115" t="s">
        <v>7221</v>
      </c>
      <c r="F6567" s="115">
        <v>-1912</v>
      </c>
      <c r="G6567" s="115">
        <v>-2359</v>
      </c>
      <c r="H6567" s="115">
        <v>-6843</v>
      </c>
      <c r="I6567" s="115">
        <v>3317</v>
      </c>
      <c r="J6567" s="115">
        <v>-504</v>
      </c>
      <c r="K6567" s="115">
        <v>-155</v>
      </c>
    </row>
    <row r="6568" spans="1:11" x14ac:dyDescent="0.25">
      <c r="A6568" s="115" t="s">
        <v>1239</v>
      </c>
      <c r="B6568" s="115" t="s">
        <v>7222</v>
      </c>
      <c r="C6568" s="115" t="s">
        <v>1239</v>
      </c>
      <c r="D6568" s="115" t="s">
        <v>12625</v>
      </c>
      <c r="E6568" s="115" t="s">
        <v>7223</v>
      </c>
      <c r="F6568" s="115">
        <v>-1841</v>
      </c>
      <c r="G6568" s="115">
        <v>-11760</v>
      </c>
      <c r="H6568" s="115">
        <v>5210</v>
      </c>
      <c r="I6568" s="115">
        <v>0</v>
      </c>
      <c r="J6568" s="115">
        <v>-476</v>
      </c>
      <c r="K6568" s="115">
        <v>-294</v>
      </c>
    </row>
    <row r="6569" spans="1:11" x14ac:dyDescent="0.25">
      <c r="A6569" s="115" t="s">
        <v>1239</v>
      </c>
      <c r="B6569" s="115" t="s">
        <v>7224</v>
      </c>
      <c r="D6569" s="115">
        <f>-415    -86   -467   -603   -267   -364   -183   -605</f>
        <v>-2990</v>
      </c>
      <c r="E6569" s="115">
        <f>-603   -267   -364   -183   -605</f>
        <v>-2022</v>
      </c>
      <c r="F6569" s="115">
        <v>-467</v>
      </c>
      <c r="G6569" s="115">
        <v>-603</v>
      </c>
      <c r="H6569" s="115">
        <v>-267</v>
      </c>
      <c r="I6569" s="115">
        <v>-364</v>
      </c>
      <c r="J6569" s="115">
        <v>-183</v>
      </c>
      <c r="K6569" s="115">
        <v>-605</v>
      </c>
    </row>
    <row r="6570" spans="1:11" x14ac:dyDescent="0.25">
      <c r="A6570" s="115" t="s">
        <v>1239</v>
      </c>
      <c r="B6570" s="115" t="s">
        <v>7225</v>
      </c>
      <c r="D6570" s="115">
        <f>-532  -1281   -359   -476   -589   -272   -235    -76</f>
        <v>-3820</v>
      </c>
      <c r="E6570" s="115">
        <f>-476   -589   -272   -235    -76</f>
        <v>-1648</v>
      </c>
      <c r="F6570" s="115">
        <v>-359</v>
      </c>
      <c r="G6570" s="115">
        <v>-476</v>
      </c>
      <c r="H6570" s="115">
        <v>-589</v>
      </c>
      <c r="I6570" s="115">
        <v>-272</v>
      </c>
      <c r="J6570" s="115">
        <v>-235</v>
      </c>
      <c r="K6570" s="115">
        <v>-76</v>
      </c>
    </row>
    <row r="6571" spans="1:11" x14ac:dyDescent="0.25">
      <c r="B6571" s="115" t="s">
        <v>7226</v>
      </c>
      <c r="D6571" s="115" t="s">
        <v>12626</v>
      </c>
      <c r="E6571" s="115" t="s">
        <v>7227</v>
      </c>
      <c r="F6571" s="115">
        <v>-343</v>
      </c>
      <c r="G6571" s="115">
        <v>-540</v>
      </c>
      <c r="H6571" s="115">
        <v>-815</v>
      </c>
      <c r="I6571" s="115">
        <v>1520</v>
      </c>
      <c r="J6571" s="115">
        <v>89</v>
      </c>
      <c r="K6571" s="115">
        <v>66</v>
      </c>
    </row>
    <row r="6572" spans="1:11" x14ac:dyDescent="0.25">
      <c r="B6572" s="115" t="s">
        <v>7228</v>
      </c>
      <c r="D6572" s="115" t="s">
        <v>12627</v>
      </c>
      <c r="E6572" s="115" t="s">
        <v>7229</v>
      </c>
      <c r="F6572" s="115">
        <v>82</v>
      </c>
      <c r="G6572" s="115">
        <v>164</v>
      </c>
      <c r="H6572" s="115">
        <v>79</v>
      </c>
      <c r="I6572" s="115">
        <v>189</v>
      </c>
      <c r="J6572" s="115">
        <v>24461</v>
      </c>
      <c r="K6572" s="115">
        <v>29575</v>
      </c>
    </row>
    <row r="6573" spans="1:11" x14ac:dyDescent="0.25">
      <c r="A6573" s="115">
        <v>29</v>
      </c>
      <c r="B6573" s="115" t="s">
        <v>7230</v>
      </c>
      <c r="C6573" s="115">
        <v>2</v>
      </c>
      <c r="D6573" s="115" t="s">
        <v>12628</v>
      </c>
      <c r="E6573" s="115" t="s">
        <v>7231</v>
      </c>
      <c r="F6573" s="115">
        <v>18417</v>
      </c>
      <c r="G6573" s="115">
        <v>15573</v>
      </c>
      <c r="H6573" s="115">
        <v>489</v>
      </c>
      <c r="I6573" s="115">
        <v>-22088</v>
      </c>
      <c r="J6573" s="115">
        <v>-227</v>
      </c>
      <c r="K6573" s="115">
        <v>-185</v>
      </c>
    </row>
    <row r="6574" spans="1:11" x14ac:dyDescent="0.25">
      <c r="B6574" s="115" t="s">
        <v>4507</v>
      </c>
      <c r="D6574" s="115" t="s">
        <v>12629</v>
      </c>
      <c r="E6574" s="115" t="s">
        <v>7232</v>
      </c>
      <c r="F6574" s="115">
        <v>0</v>
      </c>
      <c r="G6574" s="115">
        <v>0</v>
      </c>
      <c r="H6574" s="115">
        <v>0</v>
      </c>
      <c r="I6574" s="115">
        <v>26</v>
      </c>
      <c r="J6574" s="115">
        <v>88</v>
      </c>
      <c r="K6574" s="115">
        <v>0</v>
      </c>
    </row>
    <row r="6575" spans="1:11" x14ac:dyDescent="0.25">
      <c r="B6575" s="115" t="s">
        <v>1241</v>
      </c>
      <c r="D6575" s="115" t="s">
        <v>12630</v>
      </c>
      <c r="E6575" s="115" t="s">
        <v>7233</v>
      </c>
      <c r="F6575" s="115">
        <v>0</v>
      </c>
      <c r="G6575" s="115">
        <v>-163</v>
      </c>
      <c r="H6575" s="115">
        <v>0</v>
      </c>
      <c r="I6575" s="115">
        <v>0</v>
      </c>
      <c r="J6575" s="115">
        <v>481</v>
      </c>
      <c r="K6575" s="115">
        <v>0</v>
      </c>
    </row>
    <row r="6576" spans="1:11" x14ac:dyDescent="0.25">
      <c r="A6576" s="115" t="s">
        <v>1239</v>
      </c>
      <c r="B6576" s="115" t="s">
        <v>7234</v>
      </c>
      <c r="D6576" s="115" t="s">
        <v>12631</v>
      </c>
      <c r="E6576" s="115" t="s">
        <v>7235</v>
      </c>
      <c r="F6576" s="115">
        <v>-159</v>
      </c>
      <c r="G6576" s="115">
        <v>0</v>
      </c>
      <c r="H6576" s="115">
        <v>67</v>
      </c>
      <c r="I6576" s="115">
        <v>-29507</v>
      </c>
      <c r="J6576" s="115">
        <v>-556</v>
      </c>
      <c r="K6576" s="115">
        <v>-446</v>
      </c>
    </row>
    <row r="6577" spans="1:11" x14ac:dyDescent="0.25">
      <c r="A6577" s="115" t="s">
        <v>1239</v>
      </c>
      <c r="B6577" s="115" t="s">
        <v>7236</v>
      </c>
      <c r="D6577" s="115" t="s">
        <v>12632</v>
      </c>
      <c r="E6577" s="115" t="s">
        <v>7237</v>
      </c>
      <c r="F6577" s="115">
        <v>0</v>
      </c>
      <c r="G6577" s="115">
        <v>0</v>
      </c>
      <c r="H6577" s="115">
        <v>0</v>
      </c>
      <c r="I6577" s="115">
        <v>0</v>
      </c>
      <c r="J6577" s="115">
        <v>0</v>
      </c>
      <c r="K6577" s="115">
        <v>-84</v>
      </c>
    </row>
    <row r="6578" spans="1:11" x14ac:dyDescent="0.25">
      <c r="B6578" s="115" t="s">
        <v>1241</v>
      </c>
      <c r="D6578" s="115" t="s">
        <v>12633</v>
      </c>
      <c r="E6578" s="115" t="s">
        <v>7238</v>
      </c>
      <c r="F6578" s="115">
        <v>0</v>
      </c>
      <c r="G6578" s="115">
        <v>208</v>
      </c>
      <c r="H6578" s="115">
        <v>0</v>
      </c>
      <c r="I6578" s="115">
        <v>0</v>
      </c>
      <c r="J6578" s="115">
        <v>0</v>
      </c>
      <c r="K6578" s="115">
        <v>0</v>
      </c>
    </row>
    <row r="6579" spans="1:11" x14ac:dyDescent="0.25">
      <c r="B6579" s="115" t="s">
        <v>5153</v>
      </c>
      <c r="D6579" s="115" t="s">
        <v>12634</v>
      </c>
      <c r="E6579" s="115" t="s">
        <v>7239</v>
      </c>
      <c r="F6579" s="115">
        <v>1093</v>
      </c>
      <c r="G6579" s="115">
        <v>0</v>
      </c>
      <c r="H6579" s="115">
        <v>0</v>
      </c>
      <c r="I6579" s="115">
        <v>-1041</v>
      </c>
      <c r="J6579" s="115">
        <v>-22312</v>
      </c>
      <c r="K6579" s="115">
        <v>0</v>
      </c>
    </row>
    <row r="6580" spans="1:11" x14ac:dyDescent="0.25">
      <c r="A6580" s="115" t="s">
        <v>1239</v>
      </c>
      <c r="B6580" s="115" t="s">
        <v>7240</v>
      </c>
      <c r="D6580" s="115" t="s">
        <v>12635</v>
      </c>
      <c r="E6580" s="115" t="s">
        <v>7241</v>
      </c>
      <c r="F6580" s="115">
        <v>0</v>
      </c>
      <c r="G6580" s="115">
        <v>-2941</v>
      </c>
      <c r="H6580" s="115">
        <v>-273</v>
      </c>
      <c r="I6580" s="115">
        <v>-38</v>
      </c>
      <c r="J6580" s="115">
        <v>0</v>
      </c>
      <c r="K6580" s="115">
        <v>0</v>
      </c>
    </row>
    <row r="6581" spans="1:11" x14ac:dyDescent="0.25">
      <c r="B6581" s="115" t="s">
        <v>7242</v>
      </c>
      <c r="D6581" s="115" t="s">
        <v>12636</v>
      </c>
      <c r="E6581" s="115" t="s">
        <v>7243</v>
      </c>
      <c r="F6581" s="115">
        <v>-721</v>
      </c>
      <c r="G6581" s="115">
        <v>1</v>
      </c>
      <c r="H6581" s="115">
        <v>-564</v>
      </c>
      <c r="I6581" s="115">
        <v>-864</v>
      </c>
      <c r="J6581" s="115">
        <v>-361</v>
      </c>
      <c r="K6581" s="115">
        <v>-902</v>
      </c>
    </row>
    <row r="6582" spans="1:11" x14ac:dyDescent="0.25">
      <c r="B6582" s="115" t="s">
        <v>1241</v>
      </c>
      <c r="D6582" s="115" t="s">
        <v>12637</v>
      </c>
      <c r="E6582" s="115" t="s">
        <v>7244</v>
      </c>
      <c r="F6582" s="115">
        <v>0</v>
      </c>
      <c r="G6582" s="115">
        <v>1310</v>
      </c>
      <c r="H6582" s="115">
        <v>0</v>
      </c>
      <c r="I6582" s="115">
        <v>2011</v>
      </c>
      <c r="J6582" s="115">
        <v>35</v>
      </c>
      <c r="K6582" s="115">
        <v>545</v>
      </c>
    </row>
    <row r="6583" spans="1:11" x14ac:dyDescent="0.25">
      <c r="B6583" s="115" t="s">
        <v>7245</v>
      </c>
      <c r="C6583" s="115">
        <v>-2</v>
      </c>
      <c r="D6583" s="115" t="s">
        <v>12638</v>
      </c>
      <c r="E6583" s="115" t="s">
        <v>7246</v>
      </c>
      <c r="F6583" s="115">
        <v>156</v>
      </c>
      <c r="G6583" s="115">
        <v>146</v>
      </c>
      <c r="H6583" s="115">
        <v>0</v>
      </c>
      <c r="I6583" s="115">
        <v>2749</v>
      </c>
      <c r="J6583" s="115">
        <v>2442</v>
      </c>
      <c r="K6583" s="115">
        <v>-544</v>
      </c>
    </row>
    <row r="6584" spans="1:11" x14ac:dyDescent="0.25">
      <c r="B6584" s="115" t="s">
        <v>7247</v>
      </c>
      <c r="D6584" s="115" t="s">
        <v>12639</v>
      </c>
      <c r="E6584" s="115" t="s">
        <v>7248</v>
      </c>
      <c r="F6584" s="115">
        <v>0</v>
      </c>
      <c r="G6584" s="115">
        <v>0</v>
      </c>
      <c r="H6584" s="115">
        <v>0</v>
      </c>
      <c r="I6584" s="115">
        <v>-84</v>
      </c>
      <c r="J6584" s="115">
        <v>-139</v>
      </c>
      <c r="K6584" s="115">
        <v>0</v>
      </c>
    </row>
    <row r="6585" spans="1:11" x14ac:dyDescent="0.25">
      <c r="B6585" s="115">
        <f>-49    -35</f>
        <v>-84</v>
      </c>
      <c r="D6585" s="115" t="s">
        <v>12640</v>
      </c>
      <c r="E6585" s="115" t="s">
        <v>7249</v>
      </c>
      <c r="F6585" s="115">
        <v>0</v>
      </c>
      <c r="G6585" s="115">
        <v>0</v>
      </c>
      <c r="H6585" s="115">
        <v>0</v>
      </c>
      <c r="I6585" s="115">
        <v>0</v>
      </c>
      <c r="J6585" s="115">
        <v>0</v>
      </c>
      <c r="K6585" s="115">
        <v>750</v>
      </c>
    </row>
    <row r="6586" spans="1:11" x14ac:dyDescent="0.25">
      <c r="B6586" s="115" t="s">
        <v>7250</v>
      </c>
      <c r="D6586" s="115" t="s">
        <v>12641</v>
      </c>
      <c r="E6586" s="115">
        <f>-1141 -25347   -185   -135    -64</f>
        <v>-26872</v>
      </c>
      <c r="F6586" s="115">
        <v>0</v>
      </c>
      <c r="G6586" s="115">
        <v>-1141</v>
      </c>
      <c r="H6586" s="115">
        <v>-25347</v>
      </c>
      <c r="I6586" s="115">
        <v>-185</v>
      </c>
      <c r="J6586" s="115">
        <v>-135</v>
      </c>
      <c r="K6586" s="115">
        <v>-64</v>
      </c>
    </row>
    <row r="6587" spans="1:11" x14ac:dyDescent="0.25">
      <c r="A6587" s="115" t="s">
        <v>1239</v>
      </c>
      <c r="B6587" s="115" t="s">
        <v>7251</v>
      </c>
      <c r="D6587" s="115" t="s">
        <v>12642</v>
      </c>
      <c r="E6587" s="115" t="s">
        <v>7252</v>
      </c>
      <c r="F6587" s="115">
        <v>150</v>
      </c>
      <c r="G6587" s="115">
        <v>0</v>
      </c>
      <c r="H6587" s="115">
        <v>0</v>
      </c>
      <c r="I6587" s="115">
        <v>-499</v>
      </c>
      <c r="J6587" s="115">
        <v>194</v>
      </c>
      <c r="K6587" s="115">
        <v>0</v>
      </c>
    </row>
    <row r="6588" spans="1:11" x14ac:dyDescent="0.25">
      <c r="B6588" s="115" t="s">
        <v>7253</v>
      </c>
      <c r="D6588" s="115" t="s">
        <v>12643</v>
      </c>
      <c r="E6588" s="115" t="s">
        <v>7254</v>
      </c>
      <c r="F6588" s="115">
        <v>0</v>
      </c>
      <c r="G6588" s="115">
        <v>-24</v>
      </c>
      <c r="H6588" s="115">
        <v>57</v>
      </c>
      <c r="I6588" s="115">
        <v>-126</v>
      </c>
      <c r="J6588" s="115">
        <v>0</v>
      </c>
      <c r="K6588" s="115">
        <v>0</v>
      </c>
    </row>
    <row r="6589" spans="1:11" x14ac:dyDescent="0.25">
      <c r="B6589" s="115" t="s">
        <v>1241</v>
      </c>
      <c r="D6589" s="115" t="s">
        <v>12644</v>
      </c>
      <c r="E6589" s="115" t="s">
        <v>7255</v>
      </c>
      <c r="F6589" s="115">
        <v>0</v>
      </c>
      <c r="G6589" s="115">
        <v>4587</v>
      </c>
      <c r="H6589" s="115">
        <v>222</v>
      </c>
      <c r="I6589" s="115">
        <v>204</v>
      </c>
      <c r="J6589" s="115">
        <v>0</v>
      </c>
      <c r="K6589" s="115">
        <v>-581</v>
      </c>
    </row>
    <row r="6590" spans="1:11" x14ac:dyDescent="0.25">
      <c r="A6590" s="115">
        <v>-27</v>
      </c>
      <c r="B6590" s="115" t="s">
        <v>7256</v>
      </c>
      <c r="D6590" s="115" t="s">
        <v>12645</v>
      </c>
      <c r="E6590" s="115" t="s">
        <v>7257</v>
      </c>
      <c r="F6590" s="115">
        <v>0</v>
      </c>
      <c r="G6590" s="115">
        <v>3784</v>
      </c>
      <c r="H6590" s="115">
        <v>3991</v>
      </c>
      <c r="I6590" s="115">
        <v>530</v>
      </c>
      <c r="J6590" s="115">
        <v>-535</v>
      </c>
      <c r="K6590" s="115">
        <v>-536</v>
      </c>
    </row>
    <row r="6591" spans="1:11" x14ac:dyDescent="0.25">
      <c r="B6591" s="115" t="s">
        <v>5906</v>
      </c>
      <c r="D6591" s="115" t="s">
        <v>12646</v>
      </c>
      <c r="E6591" s="115" t="s">
        <v>7258</v>
      </c>
      <c r="F6591" s="115">
        <v>83</v>
      </c>
      <c r="G6591" s="115">
        <v>0</v>
      </c>
      <c r="H6591" s="115">
        <v>-614</v>
      </c>
      <c r="I6591" s="115">
        <v>0</v>
      </c>
      <c r="J6591" s="115">
        <v>-781</v>
      </c>
      <c r="K6591" s="115">
        <v>0</v>
      </c>
    </row>
    <row r="6592" spans="1:11" x14ac:dyDescent="0.25">
      <c r="B6592" s="115" t="s">
        <v>1241</v>
      </c>
      <c r="D6592" s="115" t="s">
        <v>12647</v>
      </c>
      <c r="E6592" s="115" t="s">
        <v>7259</v>
      </c>
      <c r="F6592" s="115">
        <v>0</v>
      </c>
      <c r="G6592" s="115">
        <v>0</v>
      </c>
      <c r="H6592" s="115">
        <v>0</v>
      </c>
      <c r="I6592" s="115">
        <v>547</v>
      </c>
      <c r="J6592" s="115">
        <v>0</v>
      </c>
      <c r="K6592" s="115">
        <v>1959</v>
      </c>
    </row>
    <row r="6593" spans="1:11" x14ac:dyDescent="0.25">
      <c r="A6593" s="115">
        <v>-1</v>
      </c>
      <c r="B6593" s="115" t="s">
        <v>7260</v>
      </c>
      <c r="D6593" s="115" t="s">
        <v>12648</v>
      </c>
      <c r="E6593" s="115" t="s">
        <v>1242</v>
      </c>
      <c r="F6593" s="115">
        <v>-27617</v>
      </c>
      <c r="G6593" s="115">
        <v>0</v>
      </c>
      <c r="H6593" s="115">
        <v>0</v>
      </c>
      <c r="I6593" s="115">
        <v>0</v>
      </c>
      <c r="J6593" s="115">
        <v>0</v>
      </c>
      <c r="K6593" s="115">
        <v>0</v>
      </c>
    </row>
    <row r="6594" spans="1:11" x14ac:dyDescent="0.25">
      <c r="A6594" s="115">
        <v>-1</v>
      </c>
      <c r="B6594" s="115" t="s">
        <v>7261</v>
      </c>
      <c r="D6594" s="115" t="s">
        <v>12649</v>
      </c>
      <c r="E6594" s="115" t="s">
        <v>7262</v>
      </c>
      <c r="F6594" s="115">
        <v>-788</v>
      </c>
      <c r="G6594" s="115">
        <v>-1519</v>
      </c>
      <c r="H6594" s="115">
        <v>0</v>
      </c>
      <c r="I6594" s="115">
        <v>0</v>
      </c>
      <c r="J6594" s="115">
        <v>0</v>
      </c>
      <c r="K6594" s="115">
        <v>0</v>
      </c>
    </row>
    <row r="6595" spans="1:11" x14ac:dyDescent="0.25">
      <c r="A6595" s="115" t="s">
        <v>1239</v>
      </c>
      <c r="B6595" s="115" t="s">
        <v>7263</v>
      </c>
      <c r="D6595" s="115" t="s">
        <v>12650</v>
      </c>
      <c r="E6595" s="115" t="s">
        <v>7264</v>
      </c>
      <c r="F6595" s="115">
        <v>0</v>
      </c>
      <c r="G6595" s="115">
        <v>2136</v>
      </c>
      <c r="H6595" s="115">
        <v>-110</v>
      </c>
      <c r="I6595" s="115">
        <v>0</v>
      </c>
      <c r="J6595" s="115">
        <v>0</v>
      </c>
      <c r="K6595" s="115">
        <v>0</v>
      </c>
    </row>
    <row r="6596" spans="1:11" x14ac:dyDescent="0.25">
      <c r="B6596" s="115" t="s">
        <v>4982</v>
      </c>
      <c r="D6596" s="115" t="s">
        <v>12651</v>
      </c>
      <c r="E6596" s="115" t="s">
        <v>7265</v>
      </c>
      <c r="F6596" s="115">
        <v>-604</v>
      </c>
      <c r="G6596" s="115">
        <v>-2168</v>
      </c>
      <c r="H6596" s="115">
        <v>4391</v>
      </c>
      <c r="I6596" s="115">
        <v>662</v>
      </c>
      <c r="J6596" s="115">
        <v>614</v>
      </c>
      <c r="K6596" s="115">
        <v>300</v>
      </c>
    </row>
    <row r="6597" spans="1:11" x14ac:dyDescent="0.25">
      <c r="A6597" s="115">
        <v>1</v>
      </c>
      <c r="B6597" s="115" t="s">
        <v>7266</v>
      </c>
      <c r="D6597" s="115" t="s">
        <v>12652</v>
      </c>
      <c r="E6597" s="115" t="s">
        <v>1242</v>
      </c>
      <c r="F6597" s="115">
        <v>0</v>
      </c>
      <c r="G6597" s="115">
        <v>0</v>
      </c>
      <c r="H6597" s="115">
        <v>0</v>
      </c>
      <c r="I6597" s="115">
        <v>0</v>
      </c>
      <c r="J6597" s="115">
        <v>0</v>
      </c>
      <c r="K6597" s="115">
        <v>0</v>
      </c>
    </row>
    <row r="6598" spans="1:11" x14ac:dyDescent="0.25">
      <c r="A6598" s="115" t="s">
        <v>1239</v>
      </c>
      <c r="B6598" s="115" t="s">
        <v>7267</v>
      </c>
      <c r="D6598" s="115" t="s">
        <v>12653</v>
      </c>
      <c r="E6598" s="115" t="s">
        <v>7268</v>
      </c>
      <c r="F6598" s="115">
        <v>164</v>
      </c>
      <c r="G6598" s="115">
        <v>309</v>
      </c>
      <c r="H6598" s="115">
        <v>0</v>
      </c>
      <c r="I6598" s="115">
        <v>0</v>
      </c>
      <c r="J6598" s="115">
        <v>65</v>
      </c>
      <c r="K6598" s="115">
        <v>0</v>
      </c>
    </row>
    <row r="6599" spans="1:11" x14ac:dyDescent="0.25">
      <c r="B6599" s="115" t="s">
        <v>7269</v>
      </c>
      <c r="D6599" s="115" t="s">
        <v>12654</v>
      </c>
      <c r="E6599" s="115" t="s">
        <v>7270</v>
      </c>
      <c r="F6599" s="115">
        <v>0</v>
      </c>
      <c r="G6599" s="115">
        <v>0</v>
      </c>
      <c r="H6599" s="115">
        <v>-192</v>
      </c>
      <c r="I6599" s="115">
        <v>0</v>
      </c>
      <c r="J6599" s="115">
        <v>-8341</v>
      </c>
      <c r="K6599" s="115">
        <v>-7682</v>
      </c>
    </row>
    <row r="6600" spans="1:11" x14ac:dyDescent="0.25">
      <c r="B6600" s="115" t="s">
        <v>1241</v>
      </c>
      <c r="D6600" s="115" t="s">
        <v>8710</v>
      </c>
      <c r="E6600" s="115" t="s">
        <v>1242</v>
      </c>
      <c r="F6600" s="115">
        <v>0</v>
      </c>
      <c r="G6600" s="115">
        <v>0</v>
      </c>
      <c r="H6600" s="115">
        <v>0</v>
      </c>
      <c r="I6600" s="115">
        <v>0</v>
      </c>
      <c r="J6600" s="115">
        <v>0</v>
      </c>
      <c r="K6600" s="115">
        <v>0</v>
      </c>
    </row>
    <row r="6601" spans="1:11" x14ac:dyDescent="0.25">
      <c r="B6601" s="115" t="s">
        <v>1241</v>
      </c>
      <c r="D6601" s="115" t="s">
        <v>12655</v>
      </c>
      <c r="E6601" s="115" t="s">
        <v>7271</v>
      </c>
      <c r="F6601" s="115">
        <v>0</v>
      </c>
      <c r="G6601" s="115">
        <v>-383</v>
      </c>
      <c r="H6601" s="115">
        <v>0</v>
      </c>
      <c r="I6601" s="115">
        <v>0</v>
      </c>
      <c r="J6601" s="115">
        <v>0</v>
      </c>
      <c r="K6601" s="115">
        <v>0</v>
      </c>
    </row>
    <row r="6602" spans="1:11" x14ac:dyDescent="0.25">
      <c r="B6602" s="115" t="s">
        <v>7272</v>
      </c>
      <c r="D6602" s="115" t="s">
        <v>12656</v>
      </c>
      <c r="E6602" s="115" t="s">
        <v>7273</v>
      </c>
      <c r="F6602" s="115">
        <v>-1826</v>
      </c>
      <c r="G6602" s="115">
        <v>-1849</v>
      </c>
      <c r="H6602" s="115">
        <v>-2057</v>
      </c>
      <c r="I6602" s="115">
        <v>-3709</v>
      </c>
      <c r="J6602" s="115">
        <v>1048</v>
      </c>
      <c r="K6602" s="115">
        <v>-631</v>
      </c>
    </row>
    <row r="6603" spans="1:11" x14ac:dyDescent="0.25">
      <c r="A6603" s="115" t="s">
        <v>1239</v>
      </c>
      <c r="B6603" s="115" t="s">
        <v>7274</v>
      </c>
      <c r="D6603" s="115" t="s">
        <v>12657</v>
      </c>
      <c r="E6603" s="115" t="s">
        <v>7275</v>
      </c>
      <c r="F6603" s="115">
        <v>-968</v>
      </c>
      <c r="G6603" s="115">
        <v>-913</v>
      </c>
      <c r="H6603" s="115">
        <v>-490</v>
      </c>
      <c r="I6603" s="115">
        <v>2362</v>
      </c>
      <c r="J6603" s="115">
        <v>0</v>
      </c>
      <c r="K6603" s="115">
        <v>-1808</v>
      </c>
    </row>
    <row r="6604" spans="1:11" x14ac:dyDescent="0.25">
      <c r="A6604" s="115">
        <v>-1</v>
      </c>
      <c r="B6604" s="115" t="s">
        <v>7276</v>
      </c>
      <c r="C6604" s="115" t="s">
        <v>1239</v>
      </c>
      <c r="D6604" s="115" t="s">
        <v>12658</v>
      </c>
      <c r="E6604" s="115">
        <f>-1616  -2460  -1109  -1501  -1181</f>
        <v>-7867</v>
      </c>
      <c r="F6604" s="115">
        <v>-1011</v>
      </c>
      <c r="G6604" s="115">
        <v>-1616</v>
      </c>
      <c r="H6604" s="115">
        <v>-2460</v>
      </c>
      <c r="I6604" s="115">
        <v>-1109</v>
      </c>
      <c r="J6604" s="115">
        <v>-1501</v>
      </c>
      <c r="K6604" s="115">
        <v>-1181</v>
      </c>
    </row>
    <row r="6605" spans="1:11" x14ac:dyDescent="0.25">
      <c r="A6605" s="115">
        <v>-2</v>
      </c>
      <c r="B6605" s="115" t="s">
        <v>7277</v>
      </c>
      <c r="C6605" s="115" t="s">
        <v>1239</v>
      </c>
      <c r="D6605" s="115" t="s">
        <v>12659</v>
      </c>
      <c r="E6605" s="115">
        <f>-1160  -1666  -1887  -1790   -899</f>
        <v>-7402</v>
      </c>
      <c r="F6605" s="115">
        <v>-1544</v>
      </c>
      <c r="G6605" s="115">
        <v>-1160</v>
      </c>
      <c r="H6605" s="115">
        <v>-1666</v>
      </c>
      <c r="I6605" s="115">
        <v>-1887</v>
      </c>
      <c r="J6605" s="115">
        <v>-1790</v>
      </c>
      <c r="K6605" s="115">
        <v>-899</v>
      </c>
    </row>
    <row r="6606" spans="1:11" x14ac:dyDescent="0.25">
      <c r="A6606" s="115" t="s">
        <v>1239</v>
      </c>
      <c r="B6606" s="115" t="s">
        <v>7278</v>
      </c>
      <c r="D6606" s="115" t="s">
        <v>12660</v>
      </c>
      <c r="E6606" s="115" t="s">
        <v>7279</v>
      </c>
      <c r="F6606" s="115">
        <v>-1464</v>
      </c>
      <c r="G6606" s="115">
        <v>-64</v>
      </c>
      <c r="H6606" s="115">
        <v>-1018</v>
      </c>
      <c r="I6606" s="115">
        <v>-1130</v>
      </c>
      <c r="J6606" s="115">
        <v>-1896</v>
      </c>
      <c r="K6606" s="115">
        <v>1308</v>
      </c>
    </row>
    <row r="6607" spans="1:11" x14ac:dyDescent="0.25">
      <c r="B6607" s="115" t="s">
        <v>7280</v>
      </c>
      <c r="D6607" s="115" t="s">
        <v>12661</v>
      </c>
      <c r="E6607" s="115" t="s">
        <v>7281</v>
      </c>
      <c r="F6607" s="115">
        <v>242</v>
      </c>
      <c r="G6607" s="115">
        <v>141</v>
      </c>
      <c r="H6607" s="115">
        <v>73</v>
      </c>
      <c r="I6607" s="115">
        <v>176</v>
      </c>
      <c r="J6607" s="115">
        <v>106</v>
      </c>
      <c r="K6607" s="115">
        <v>25567</v>
      </c>
    </row>
    <row r="6608" spans="1:11" x14ac:dyDescent="0.25">
      <c r="A6608" s="115">
        <v>31</v>
      </c>
      <c r="B6608" s="115" t="s">
        <v>7282</v>
      </c>
      <c r="C6608" s="115">
        <v>2</v>
      </c>
      <c r="D6608" s="115" t="s">
        <v>12662</v>
      </c>
      <c r="E6608" s="115" t="s">
        <v>7283</v>
      </c>
      <c r="F6608" s="115">
        <v>13451</v>
      </c>
      <c r="G6608" s="115">
        <v>23093</v>
      </c>
      <c r="H6608" s="115">
        <v>18427</v>
      </c>
      <c r="I6608" s="115">
        <v>12951</v>
      </c>
      <c r="J6608" s="115">
        <v>328</v>
      </c>
      <c r="K6608" s="115">
        <v>-30849</v>
      </c>
    </row>
    <row r="6609" spans="1:11" x14ac:dyDescent="0.25">
      <c r="A6609" s="115" t="s">
        <v>1239</v>
      </c>
      <c r="B6609" s="115" t="s">
        <v>7284</v>
      </c>
      <c r="D6609" s="115" t="s">
        <v>12663</v>
      </c>
      <c r="E6609" s="115" t="s">
        <v>7285</v>
      </c>
      <c r="F6609" s="115">
        <v>0</v>
      </c>
      <c r="G6609" s="115">
        <v>-15</v>
      </c>
      <c r="H6609" s="115">
        <v>0</v>
      </c>
      <c r="I6609" s="115">
        <v>0</v>
      </c>
      <c r="J6609" s="115">
        <v>0</v>
      </c>
      <c r="K6609" s="115">
        <v>199</v>
      </c>
    </row>
    <row r="6610" spans="1:11" x14ac:dyDescent="0.25">
      <c r="B6610" s="115" t="s">
        <v>7286</v>
      </c>
      <c r="D6610" s="115" t="s">
        <v>12664</v>
      </c>
      <c r="E6610" s="115" t="s">
        <v>7287</v>
      </c>
      <c r="F6610" s="115">
        <v>0</v>
      </c>
      <c r="G6610" s="115">
        <v>0</v>
      </c>
      <c r="H6610" s="115">
        <v>0</v>
      </c>
      <c r="I6610" s="115">
        <v>-74</v>
      </c>
      <c r="J6610" s="115">
        <v>0</v>
      </c>
      <c r="K6610" s="115">
        <v>0</v>
      </c>
    </row>
    <row r="6611" spans="1:11" x14ac:dyDescent="0.25">
      <c r="B6611" s="115" t="s">
        <v>4379</v>
      </c>
      <c r="D6611" s="115" t="s">
        <v>12665</v>
      </c>
      <c r="E6611" s="115" t="s">
        <v>7288</v>
      </c>
      <c r="F6611" s="115">
        <v>-252</v>
      </c>
      <c r="G6611" s="115">
        <v>-3</v>
      </c>
      <c r="H6611" s="115">
        <v>5</v>
      </c>
      <c r="I6611" s="115">
        <v>0</v>
      </c>
      <c r="J6611" s="115">
        <v>34</v>
      </c>
      <c r="K6611" s="115">
        <v>-26256</v>
      </c>
    </row>
    <row r="6612" spans="1:11" x14ac:dyDescent="0.25">
      <c r="B6612" s="115">
        <f>-36    -20</f>
        <v>-56</v>
      </c>
      <c r="D6612" s="115" t="s">
        <v>12666</v>
      </c>
      <c r="E6612" s="115" t="s">
        <v>7289</v>
      </c>
      <c r="F6612" s="115">
        <v>0</v>
      </c>
      <c r="G6612" s="115">
        <v>91</v>
      </c>
      <c r="H6612" s="115">
        <v>0</v>
      </c>
      <c r="I6612" s="115">
        <v>0</v>
      </c>
      <c r="J6612" s="115">
        <v>0</v>
      </c>
      <c r="K6612" s="115">
        <v>0</v>
      </c>
    </row>
    <row r="6613" spans="1:11" x14ac:dyDescent="0.25">
      <c r="B6613" s="115" t="s">
        <v>3895</v>
      </c>
      <c r="D6613" s="115" t="s">
        <v>12667</v>
      </c>
      <c r="E6613" s="115" t="s">
        <v>7290</v>
      </c>
      <c r="F6613" s="115">
        <v>0</v>
      </c>
      <c r="G6613" s="115">
        <v>110</v>
      </c>
      <c r="H6613" s="115">
        <v>0</v>
      </c>
      <c r="I6613" s="115">
        <v>102</v>
      </c>
      <c r="J6613" s="115">
        <v>0</v>
      </c>
      <c r="K6613" s="115">
        <v>0</v>
      </c>
    </row>
    <row r="6614" spans="1:11" x14ac:dyDescent="0.25">
      <c r="B6614" s="115" t="s">
        <v>1241</v>
      </c>
      <c r="D6614" s="115" t="s">
        <v>12668</v>
      </c>
      <c r="E6614" s="115" t="s">
        <v>7291</v>
      </c>
      <c r="F6614" s="115">
        <v>0</v>
      </c>
      <c r="G6614" s="115">
        <v>-151</v>
      </c>
      <c r="H6614" s="115">
        <v>282</v>
      </c>
      <c r="I6614" s="115">
        <v>0</v>
      </c>
      <c r="J6614" s="115">
        <v>0</v>
      </c>
      <c r="K6614" s="115">
        <v>1348</v>
      </c>
    </row>
    <row r="6615" spans="1:11" x14ac:dyDescent="0.25">
      <c r="A6615" s="115">
        <v>-45</v>
      </c>
      <c r="B6615" s="115" t="s">
        <v>7292</v>
      </c>
      <c r="D6615" s="115" t="s">
        <v>12669</v>
      </c>
      <c r="E6615" s="115" t="s">
        <v>7293</v>
      </c>
      <c r="F6615" s="115">
        <v>0</v>
      </c>
      <c r="G6615" s="115">
        <v>0</v>
      </c>
      <c r="H6615" s="115">
        <v>0</v>
      </c>
      <c r="I6615" s="115">
        <v>696</v>
      </c>
      <c r="J6615" s="115">
        <v>13</v>
      </c>
      <c r="K6615" s="115">
        <v>71</v>
      </c>
    </row>
    <row r="6616" spans="1:11" x14ac:dyDescent="0.25">
      <c r="B6616" s="115" t="s">
        <v>1241</v>
      </c>
      <c r="D6616" s="115" t="s">
        <v>12670</v>
      </c>
      <c r="E6616" s="115" t="s">
        <v>7294</v>
      </c>
      <c r="F6616" s="115">
        <v>0</v>
      </c>
      <c r="G6616" s="115">
        <v>1272</v>
      </c>
      <c r="H6616" s="115">
        <v>1266</v>
      </c>
      <c r="I6616" s="115">
        <v>129</v>
      </c>
      <c r="J6616" s="115">
        <v>2146</v>
      </c>
      <c r="K6616" s="115">
        <v>471</v>
      </c>
    </row>
    <row r="6617" spans="1:11" x14ac:dyDescent="0.25">
      <c r="B6617" s="115" t="s">
        <v>7295</v>
      </c>
      <c r="D6617" s="115" t="s">
        <v>12671</v>
      </c>
      <c r="E6617" s="115" t="s">
        <v>7296</v>
      </c>
      <c r="F6617" s="115">
        <v>0</v>
      </c>
      <c r="G6617" s="115">
        <v>0</v>
      </c>
      <c r="H6617" s="115">
        <v>0</v>
      </c>
      <c r="I6617" s="115">
        <v>-1204</v>
      </c>
      <c r="J6617" s="115">
        <v>0</v>
      </c>
      <c r="K6617" s="115">
        <v>2845</v>
      </c>
    </row>
    <row r="6618" spans="1:11" x14ac:dyDescent="0.25">
      <c r="A6618" s="115">
        <v>3</v>
      </c>
      <c r="B6618" s="115" t="s">
        <v>7297</v>
      </c>
      <c r="D6618" s="115" t="s">
        <v>12672</v>
      </c>
      <c r="E6618" s="115" t="s">
        <v>7298</v>
      </c>
      <c r="F6618" s="115">
        <v>-43007</v>
      </c>
      <c r="G6618" s="115">
        <v>-774</v>
      </c>
      <c r="H6618" s="115">
        <v>-400</v>
      </c>
      <c r="I6618" s="115">
        <v>236</v>
      </c>
      <c r="J6618" s="115">
        <v>0</v>
      </c>
      <c r="K6618" s="115">
        <v>-690</v>
      </c>
    </row>
    <row r="6619" spans="1:11" x14ac:dyDescent="0.25">
      <c r="A6619" s="115" t="s">
        <v>1239</v>
      </c>
      <c r="B6619" s="115" t="s">
        <v>7299</v>
      </c>
      <c r="D6619" s="115" t="s">
        <v>12673</v>
      </c>
      <c r="E6619" s="115" t="s">
        <v>7300</v>
      </c>
      <c r="F6619" s="115">
        <v>-544</v>
      </c>
      <c r="G6619" s="115">
        <v>813</v>
      </c>
      <c r="H6619" s="115">
        <v>0</v>
      </c>
      <c r="I6619" s="115">
        <v>0</v>
      </c>
      <c r="J6619" s="115">
        <v>0</v>
      </c>
      <c r="K6619" s="115">
        <v>-2736</v>
      </c>
    </row>
    <row r="6620" spans="1:11" x14ac:dyDescent="0.25">
      <c r="A6620" s="115">
        <v>-7</v>
      </c>
      <c r="B6620" s="115" t="s">
        <v>2402</v>
      </c>
      <c r="C6620" s="115" t="s">
        <v>1239</v>
      </c>
      <c r="D6620" s="115" t="s">
        <v>12674</v>
      </c>
      <c r="E6620" s="115" t="s">
        <v>7301</v>
      </c>
      <c r="F6620" s="115">
        <v>790</v>
      </c>
      <c r="G6620" s="115">
        <v>1523</v>
      </c>
      <c r="H6620" s="115">
        <v>0</v>
      </c>
      <c r="I6620" s="115">
        <v>0</v>
      </c>
      <c r="J6620" s="115">
        <v>0</v>
      </c>
      <c r="K6620" s="115">
        <v>0</v>
      </c>
    </row>
    <row r="6621" spans="1:11" x14ac:dyDescent="0.25">
      <c r="B6621" s="115" t="s">
        <v>7302</v>
      </c>
      <c r="D6621" s="115" t="s">
        <v>12675</v>
      </c>
      <c r="E6621" s="115" t="s">
        <v>7303</v>
      </c>
      <c r="F6621" s="115">
        <v>1096</v>
      </c>
      <c r="G6621" s="115">
        <v>794</v>
      </c>
      <c r="H6621" s="115">
        <v>0</v>
      </c>
      <c r="I6621" s="115">
        <v>-539</v>
      </c>
      <c r="J6621" s="115">
        <v>-41325</v>
      </c>
      <c r="K6621" s="115">
        <v>19</v>
      </c>
    </row>
    <row r="6622" spans="1:11" x14ac:dyDescent="0.25">
      <c r="B6622" s="115" t="s">
        <v>7304</v>
      </c>
      <c r="D6622" s="115" t="s">
        <v>12676</v>
      </c>
      <c r="E6622" s="115" t="s">
        <v>7305</v>
      </c>
      <c r="F6622" s="115">
        <v>348</v>
      </c>
      <c r="G6622" s="115">
        <v>0</v>
      </c>
      <c r="H6622" s="115">
        <v>59</v>
      </c>
      <c r="I6622" s="115">
        <v>0</v>
      </c>
      <c r="J6622" s="115">
        <v>0</v>
      </c>
      <c r="K6622" s="115">
        <v>23</v>
      </c>
    </row>
    <row r="6623" spans="1:11" x14ac:dyDescent="0.25">
      <c r="B6623" s="115" t="s">
        <v>7306</v>
      </c>
      <c r="D6623" s="115" t="s">
        <v>12677</v>
      </c>
      <c r="E6623" s="115" t="s">
        <v>7307</v>
      </c>
      <c r="F6623" s="115">
        <v>0</v>
      </c>
      <c r="G6623" s="115">
        <v>11</v>
      </c>
      <c r="H6623" s="115">
        <v>0</v>
      </c>
      <c r="I6623" s="115">
        <v>-228</v>
      </c>
      <c r="J6623" s="115">
        <v>-141</v>
      </c>
      <c r="K6623" s="115">
        <v>-409</v>
      </c>
    </row>
    <row r="6624" spans="1:11" x14ac:dyDescent="0.25">
      <c r="B6624" s="115" t="s">
        <v>1241</v>
      </c>
      <c r="D6624" s="115" t="s">
        <v>12678</v>
      </c>
      <c r="E6624" s="115" t="s">
        <v>7308</v>
      </c>
      <c r="F6624" s="115">
        <v>0</v>
      </c>
      <c r="G6624" s="115">
        <v>201</v>
      </c>
      <c r="H6624" s="115">
        <v>0</v>
      </c>
      <c r="I6624" s="115">
        <v>43</v>
      </c>
      <c r="J6624" s="115">
        <v>93</v>
      </c>
      <c r="K6624" s="115">
        <v>-118</v>
      </c>
    </row>
    <row r="6625" spans="1:11" x14ac:dyDescent="0.25">
      <c r="B6625" s="115" t="s">
        <v>7309</v>
      </c>
      <c r="C6625" s="115">
        <v>-4</v>
      </c>
      <c r="D6625" s="115" t="s">
        <v>12679</v>
      </c>
      <c r="E6625" s="115" t="s">
        <v>7310</v>
      </c>
      <c r="F6625" s="115">
        <v>0</v>
      </c>
      <c r="G6625" s="115">
        <v>0</v>
      </c>
      <c r="H6625" s="115">
        <v>0</v>
      </c>
      <c r="I6625" s="115">
        <v>2881</v>
      </c>
      <c r="J6625" s="115">
        <v>3594</v>
      </c>
      <c r="K6625" s="115">
        <v>2304</v>
      </c>
    </row>
    <row r="6626" spans="1:11" x14ac:dyDescent="0.25">
      <c r="A6626" s="115">
        <v>-1</v>
      </c>
      <c r="B6626" s="115" t="s">
        <v>7311</v>
      </c>
      <c r="D6626" s="115" t="s">
        <v>12680</v>
      </c>
      <c r="E6626" s="115" t="s">
        <v>7312</v>
      </c>
      <c r="F6626" s="115">
        <v>0</v>
      </c>
      <c r="G6626" s="115">
        <v>0</v>
      </c>
      <c r="H6626" s="115">
        <v>77</v>
      </c>
      <c r="I6626" s="115">
        <v>0</v>
      </c>
      <c r="J6626" s="115">
        <v>-719</v>
      </c>
      <c r="K6626" s="115">
        <v>0</v>
      </c>
    </row>
    <row r="6627" spans="1:11" x14ac:dyDescent="0.25">
      <c r="A6627" s="115">
        <v>-1</v>
      </c>
      <c r="B6627" s="115" t="s">
        <v>6252</v>
      </c>
      <c r="D6627" s="115" t="s">
        <v>12681</v>
      </c>
      <c r="E6627" s="115" t="s">
        <v>7313</v>
      </c>
      <c r="F6627" s="115">
        <v>0</v>
      </c>
      <c r="G6627" s="115">
        <v>0</v>
      </c>
      <c r="H6627" s="115">
        <v>0</v>
      </c>
      <c r="I6627" s="115">
        <v>0</v>
      </c>
      <c r="J6627" s="115">
        <v>0</v>
      </c>
      <c r="K6627" s="115">
        <v>177</v>
      </c>
    </row>
    <row r="6628" spans="1:11" x14ac:dyDescent="0.25">
      <c r="B6628" s="115" t="s">
        <v>7314</v>
      </c>
      <c r="C6628" s="115" t="s">
        <v>1239</v>
      </c>
      <c r="D6628" s="115" t="s">
        <v>12682</v>
      </c>
      <c r="E6628" s="115" t="s">
        <v>7315</v>
      </c>
      <c r="F6628" s="115">
        <v>0</v>
      </c>
      <c r="G6628" s="115">
        <v>1043</v>
      </c>
      <c r="H6628" s="115">
        <v>-41350</v>
      </c>
      <c r="I6628" s="115">
        <v>0</v>
      </c>
      <c r="J6628" s="115">
        <v>0</v>
      </c>
      <c r="K6628" s="115">
        <v>0</v>
      </c>
    </row>
    <row r="6629" spans="1:11" x14ac:dyDescent="0.25">
      <c r="B6629" s="115" t="s">
        <v>1241</v>
      </c>
      <c r="C6629" s="115" t="s">
        <v>1239</v>
      </c>
      <c r="D6629" s="115" t="s">
        <v>12683</v>
      </c>
      <c r="E6629" s="115" t="s">
        <v>7316</v>
      </c>
      <c r="F6629" s="115">
        <v>-561</v>
      </c>
      <c r="G6629" s="115">
        <v>-729</v>
      </c>
      <c r="H6629" s="115">
        <v>-88</v>
      </c>
      <c r="I6629" s="115">
        <v>0</v>
      </c>
      <c r="J6629" s="115">
        <v>0</v>
      </c>
      <c r="K6629" s="115">
        <v>0</v>
      </c>
    </row>
    <row r="6630" spans="1:11" x14ac:dyDescent="0.25">
      <c r="B6630" s="115" t="s">
        <v>1241</v>
      </c>
      <c r="C6630" s="115" t="s">
        <v>1239</v>
      </c>
      <c r="D6630" s="115" t="s">
        <v>12684</v>
      </c>
      <c r="E6630" s="115" t="s">
        <v>7317</v>
      </c>
      <c r="F6630" s="115">
        <v>-1890</v>
      </c>
      <c r="G6630" s="115">
        <v>0</v>
      </c>
      <c r="H6630" s="115">
        <v>0</v>
      </c>
      <c r="I6630" s="115">
        <v>178</v>
      </c>
      <c r="J6630" s="115">
        <v>9</v>
      </c>
      <c r="K6630" s="115">
        <v>0</v>
      </c>
    </row>
    <row r="6631" spans="1:11" x14ac:dyDescent="0.25">
      <c r="B6631" s="115" t="s">
        <v>1241</v>
      </c>
      <c r="D6631" s="115" t="s">
        <v>12685</v>
      </c>
      <c r="E6631" s="115" t="s">
        <v>7318</v>
      </c>
      <c r="F6631" s="115">
        <v>0</v>
      </c>
      <c r="G6631" s="115">
        <v>-314</v>
      </c>
      <c r="H6631" s="115">
        <v>-2544</v>
      </c>
      <c r="I6631" s="115">
        <v>-771</v>
      </c>
      <c r="J6631" s="115">
        <v>2549</v>
      </c>
      <c r="K6631" s="115">
        <v>581</v>
      </c>
    </row>
    <row r="6632" spans="1:11" x14ac:dyDescent="0.25">
      <c r="B6632" s="115" t="s">
        <v>7319</v>
      </c>
      <c r="D6632" s="115" t="s">
        <v>12686</v>
      </c>
      <c r="E6632" s="115" t="s">
        <v>1242</v>
      </c>
      <c r="F6632" s="115">
        <v>432</v>
      </c>
      <c r="G6632" s="115">
        <v>0</v>
      </c>
      <c r="H6632" s="115">
        <v>0</v>
      </c>
      <c r="I6632" s="115">
        <v>0</v>
      </c>
      <c r="J6632" s="115">
        <v>0</v>
      </c>
      <c r="K6632" s="115">
        <v>0</v>
      </c>
    </row>
    <row r="6633" spans="1:11" x14ac:dyDescent="0.25">
      <c r="B6633" s="115" t="s">
        <v>1241</v>
      </c>
      <c r="D6633" s="115" t="s">
        <v>12687</v>
      </c>
      <c r="E6633" s="115" t="s">
        <v>7320</v>
      </c>
      <c r="F6633" s="115">
        <v>2076</v>
      </c>
      <c r="G6633" s="115">
        <v>-208</v>
      </c>
      <c r="H6633" s="115">
        <v>1305</v>
      </c>
      <c r="I6633" s="115">
        <v>-177</v>
      </c>
      <c r="J6633" s="115">
        <v>0</v>
      </c>
      <c r="K6633" s="115">
        <v>0</v>
      </c>
    </row>
    <row r="6634" spans="1:11" x14ac:dyDescent="0.25">
      <c r="B6634" s="115" t="s">
        <v>1500</v>
      </c>
      <c r="D6634" s="115" t="s">
        <v>12688</v>
      </c>
      <c r="E6634" s="115" t="s">
        <v>7321</v>
      </c>
      <c r="F6634" s="115">
        <v>0</v>
      </c>
      <c r="G6634" s="115">
        <v>0</v>
      </c>
      <c r="H6634" s="115">
        <v>0</v>
      </c>
      <c r="I6634" s="115">
        <v>0</v>
      </c>
      <c r="J6634" s="115">
        <v>-1130</v>
      </c>
      <c r="K6634" s="115">
        <v>0</v>
      </c>
    </row>
    <row r="6635" spans="1:11" x14ac:dyDescent="0.25">
      <c r="A6635" s="115">
        <v>-2</v>
      </c>
      <c r="B6635" s="115" t="s">
        <v>7322</v>
      </c>
      <c r="D6635" s="115" t="s">
        <v>8710</v>
      </c>
      <c r="E6635" s="115" t="s">
        <v>1242</v>
      </c>
      <c r="F6635" s="115">
        <v>0</v>
      </c>
      <c r="G6635" s="115">
        <v>0</v>
      </c>
      <c r="H6635" s="115">
        <v>0</v>
      </c>
      <c r="I6635" s="115">
        <v>0</v>
      </c>
      <c r="J6635" s="115">
        <v>0</v>
      </c>
      <c r="K6635" s="115">
        <v>0</v>
      </c>
    </row>
    <row r="6636" spans="1:11" x14ac:dyDescent="0.25">
      <c r="B6636" s="115" t="s">
        <v>1241</v>
      </c>
      <c r="D6636" s="115" t="s">
        <v>12689</v>
      </c>
      <c r="E6636" s="115" t="s">
        <v>7323</v>
      </c>
      <c r="F6636" s="115">
        <v>0</v>
      </c>
      <c r="G6636" s="115">
        <v>0</v>
      </c>
      <c r="H6636" s="115">
        <v>0</v>
      </c>
      <c r="I6636" s="115">
        <v>-1750</v>
      </c>
      <c r="J6636" s="115">
        <v>0</v>
      </c>
      <c r="K6636" s="115">
        <v>0</v>
      </c>
    </row>
    <row r="6637" spans="1:11" x14ac:dyDescent="0.25">
      <c r="B6637" s="115" t="s">
        <v>1241</v>
      </c>
      <c r="D6637" s="115" t="s">
        <v>12690</v>
      </c>
      <c r="E6637" s="115" t="s">
        <v>7324</v>
      </c>
      <c r="F6637" s="115">
        <v>189</v>
      </c>
      <c r="G6637" s="115">
        <v>46</v>
      </c>
      <c r="H6637" s="115">
        <v>5477</v>
      </c>
      <c r="I6637" s="115">
        <v>-4479</v>
      </c>
      <c r="J6637" s="115">
        <v>740</v>
      </c>
      <c r="K6637" s="115">
        <v>-3177</v>
      </c>
    </row>
    <row r="6638" spans="1:11" x14ac:dyDescent="0.25">
      <c r="A6638" s="115">
        <v>1</v>
      </c>
      <c r="B6638" s="115" t="s">
        <v>7325</v>
      </c>
      <c r="D6638" s="115" t="s">
        <v>12691</v>
      </c>
      <c r="E6638" s="115" t="s">
        <v>7326</v>
      </c>
      <c r="F6638" s="115">
        <v>360</v>
      </c>
      <c r="G6638" s="115">
        <v>7120</v>
      </c>
      <c r="H6638" s="115">
        <v>-2547</v>
      </c>
      <c r="I6638" s="115">
        <v>2200</v>
      </c>
      <c r="J6638" s="115">
        <v>1500</v>
      </c>
      <c r="K6638" s="115">
        <v>-1924</v>
      </c>
    </row>
    <row r="6639" spans="1:11" x14ac:dyDescent="0.25">
      <c r="B6639" s="115" t="s">
        <v>7327</v>
      </c>
      <c r="C6639" s="115">
        <v>-1</v>
      </c>
      <c r="D6639" s="115" t="s">
        <v>12692</v>
      </c>
      <c r="E6639" s="115" t="s">
        <v>7328</v>
      </c>
      <c r="F6639" s="115">
        <v>-362</v>
      </c>
      <c r="G6639" s="115">
        <v>-598</v>
      </c>
      <c r="H6639" s="115">
        <v>3190</v>
      </c>
      <c r="I6639" s="115">
        <v>268</v>
      </c>
      <c r="J6639" s="115">
        <v>-1840</v>
      </c>
      <c r="K6639" s="115">
        <v>237</v>
      </c>
    </row>
    <row r="6640" spans="1:11" x14ac:dyDescent="0.25">
      <c r="A6640" s="115">
        <v>3</v>
      </c>
      <c r="B6640" s="115" t="s">
        <v>7329</v>
      </c>
      <c r="C6640" s="115" t="s">
        <v>1239</v>
      </c>
      <c r="D6640" s="115" t="s">
        <v>12693</v>
      </c>
      <c r="E6640" s="115" t="s">
        <v>7330</v>
      </c>
      <c r="F6640" s="115">
        <v>1764</v>
      </c>
      <c r="G6640" s="115">
        <v>345</v>
      </c>
      <c r="H6640" s="115">
        <v>-1327</v>
      </c>
      <c r="I6640" s="115">
        <v>2378</v>
      </c>
      <c r="J6640" s="115">
        <v>4058</v>
      </c>
      <c r="K6640" s="115">
        <v>-263</v>
      </c>
    </row>
    <row r="6641" spans="1:11" x14ac:dyDescent="0.25">
      <c r="A6641" s="115" t="s">
        <v>1239</v>
      </c>
      <c r="B6641" s="115" t="s">
        <v>7331</v>
      </c>
      <c r="D6641" s="115" t="s">
        <v>12694</v>
      </c>
      <c r="E6641" s="115" t="s">
        <v>7332</v>
      </c>
      <c r="F6641" s="115">
        <v>152</v>
      </c>
      <c r="G6641" s="115">
        <v>204</v>
      </c>
      <c r="H6641" s="115">
        <v>-913</v>
      </c>
      <c r="I6641" s="115">
        <v>-459</v>
      </c>
      <c r="J6641" s="115">
        <v>438</v>
      </c>
      <c r="K6641" s="115">
        <v>-29</v>
      </c>
    </row>
    <row r="6642" spans="1:11" x14ac:dyDescent="0.25">
      <c r="A6642" s="115">
        <v>-1</v>
      </c>
      <c r="B6642" s="115" t="s">
        <v>7333</v>
      </c>
      <c r="D6642" s="115" t="s">
        <v>12695</v>
      </c>
      <c r="E6642" s="115" t="s">
        <v>7334</v>
      </c>
      <c r="F6642" s="115">
        <v>739</v>
      </c>
      <c r="G6642" s="115">
        <v>558</v>
      </c>
      <c r="H6642" s="115">
        <v>138</v>
      </c>
      <c r="I6642" s="115">
        <v>-25</v>
      </c>
      <c r="J6642" s="115">
        <v>68</v>
      </c>
      <c r="K6642" s="115">
        <v>43</v>
      </c>
    </row>
    <row r="6643" spans="1:11" x14ac:dyDescent="0.25">
      <c r="B6643" s="115" t="s">
        <v>7335</v>
      </c>
      <c r="C6643" s="115">
        <v>4</v>
      </c>
      <c r="D6643" s="115" t="s">
        <v>12696</v>
      </c>
      <c r="E6643" s="115" t="s">
        <v>7336</v>
      </c>
      <c r="F6643" s="115">
        <v>36863</v>
      </c>
      <c r="G6643" s="115">
        <v>33630</v>
      </c>
      <c r="H6643" s="115">
        <v>18092</v>
      </c>
      <c r="I6643" s="115">
        <v>23723</v>
      </c>
      <c r="J6643" s="115">
        <v>17622</v>
      </c>
      <c r="K6643" s="115">
        <v>24683</v>
      </c>
    </row>
    <row r="6644" spans="1:11" x14ac:dyDescent="0.25">
      <c r="A6644" s="115">
        <v>26</v>
      </c>
      <c r="B6644" s="115" t="s">
        <v>7337</v>
      </c>
      <c r="C6644" s="115">
        <v>-3</v>
      </c>
      <c r="D6644" s="115" t="s">
        <v>12697</v>
      </c>
      <c r="E6644" s="115" t="s">
        <v>7338</v>
      </c>
      <c r="F6644" s="115">
        <v>-30</v>
      </c>
      <c r="G6644" s="115">
        <v>154</v>
      </c>
      <c r="H6644" s="115">
        <v>0</v>
      </c>
      <c r="I6644" s="115">
        <v>0</v>
      </c>
      <c r="J6644" s="115">
        <v>6</v>
      </c>
      <c r="K6644" s="115">
        <v>0</v>
      </c>
    </row>
    <row r="6645" spans="1:11" x14ac:dyDescent="0.25">
      <c r="B6645" s="115" t="s">
        <v>1241</v>
      </c>
      <c r="D6645" s="115" t="s">
        <v>12698</v>
      </c>
      <c r="E6645" s="115" t="s">
        <v>1242</v>
      </c>
      <c r="F6645" s="115">
        <v>0</v>
      </c>
      <c r="G6645" s="115">
        <v>0</v>
      </c>
      <c r="H6645" s="115">
        <v>0</v>
      </c>
      <c r="I6645" s="115">
        <v>0</v>
      </c>
      <c r="J6645" s="115">
        <v>0</v>
      </c>
      <c r="K6645" s="115">
        <v>0</v>
      </c>
    </row>
    <row r="6646" spans="1:11" x14ac:dyDescent="0.25">
      <c r="B6646" s="115" t="s">
        <v>2991</v>
      </c>
      <c r="D6646" s="115" t="s">
        <v>12699</v>
      </c>
      <c r="E6646" s="115" t="s">
        <v>7339</v>
      </c>
      <c r="F6646" s="115">
        <v>0</v>
      </c>
      <c r="G6646" s="115">
        <v>-162</v>
      </c>
      <c r="H6646" s="115">
        <v>0</v>
      </c>
      <c r="I6646" s="115">
        <v>-240</v>
      </c>
      <c r="J6646" s="115">
        <v>2</v>
      </c>
      <c r="K6646" s="115">
        <v>-32</v>
      </c>
    </row>
    <row r="6647" spans="1:11" x14ac:dyDescent="0.25">
      <c r="B6647" s="115" t="s">
        <v>4729</v>
      </c>
      <c r="C6647" s="115">
        <v>-2</v>
      </c>
      <c r="D6647" s="115" t="s">
        <v>12700</v>
      </c>
      <c r="E6647" s="115" t="s">
        <v>7340</v>
      </c>
      <c r="F6647" s="115">
        <v>-121</v>
      </c>
      <c r="G6647" s="115">
        <v>-260</v>
      </c>
      <c r="H6647" s="115">
        <v>-353</v>
      </c>
      <c r="I6647" s="115">
        <v>0</v>
      </c>
      <c r="J6647" s="115">
        <v>83</v>
      </c>
      <c r="K6647" s="115">
        <v>0</v>
      </c>
    </row>
    <row r="6648" spans="1:11" x14ac:dyDescent="0.25">
      <c r="B6648" s="115" t="s">
        <v>1241</v>
      </c>
      <c r="D6648" s="115" t="s">
        <v>12701</v>
      </c>
      <c r="E6648" s="115" t="s">
        <v>7341</v>
      </c>
      <c r="F6648" s="115">
        <v>-30</v>
      </c>
      <c r="G6648" s="115">
        <v>0</v>
      </c>
      <c r="H6648" s="115">
        <v>0</v>
      </c>
      <c r="I6648" s="115">
        <v>0</v>
      </c>
      <c r="J6648" s="115">
        <v>148</v>
      </c>
      <c r="K6648" s="115">
        <v>0</v>
      </c>
    </row>
    <row r="6649" spans="1:11" x14ac:dyDescent="0.25">
      <c r="B6649" s="115" t="s">
        <v>1648</v>
      </c>
      <c r="D6649" s="115" t="s">
        <v>12702</v>
      </c>
      <c r="E6649" s="115" t="s">
        <v>7342</v>
      </c>
      <c r="F6649" s="115">
        <v>0</v>
      </c>
      <c r="G6649" s="115">
        <v>0</v>
      </c>
      <c r="H6649" s="115">
        <v>64</v>
      </c>
      <c r="I6649" s="115">
        <v>0</v>
      </c>
      <c r="J6649" s="115">
        <v>-28</v>
      </c>
      <c r="K6649" s="115">
        <v>275</v>
      </c>
    </row>
    <row r="6650" spans="1:11" x14ac:dyDescent="0.25">
      <c r="B6650" s="115" t="s">
        <v>1241</v>
      </c>
      <c r="D6650" s="115" t="s">
        <v>12703</v>
      </c>
      <c r="E6650" s="115" t="s">
        <v>7343</v>
      </c>
      <c r="F6650" s="115">
        <v>0</v>
      </c>
      <c r="G6650" s="115">
        <v>-370</v>
      </c>
      <c r="H6650" s="115">
        <v>0</v>
      </c>
      <c r="I6650" s="115">
        <v>0</v>
      </c>
      <c r="J6650" s="115">
        <v>0</v>
      </c>
      <c r="K6650" s="115">
        <v>0</v>
      </c>
    </row>
    <row r="6651" spans="1:11" x14ac:dyDescent="0.25">
      <c r="A6651" s="115" t="s">
        <v>1239</v>
      </c>
      <c r="B6651" s="115" t="s">
        <v>7344</v>
      </c>
      <c r="D6651" s="115" t="s">
        <v>12704</v>
      </c>
      <c r="E6651" s="115" t="s">
        <v>7345</v>
      </c>
      <c r="F6651" s="115">
        <v>0</v>
      </c>
      <c r="G6651" s="115">
        <v>-624</v>
      </c>
      <c r="H6651" s="115">
        <v>-108</v>
      </c>
      <c r="I6651" s="115">
        <v>0</v>
      </c>
      <c r="J6651" s="115">
        <v>197</v>
      </c>
      <c r="K6651" s="115">
        <v>-67</v>
      </c>
    </row>
    <row r="6652" spans="1:11" x14ac:dyDescent="0.25">
      <c r="A6652" s="115">
        <v>1</v>
      </c>
      <c r="B6652" s="115" t="s">
        <v>7346</v>
      </c>
      <c r="D6652" s="115" t="s">
        <v>12705</v>
      </c>
      <c r="E6652" s="115" t="s">
        <v>1242</v>
      </c>
      <c r="F6652" s="115">
        <v>-763</v>
      </c>
      <c r="G6652" s="115">
        <v>0</v>
      </c>
      <c r="H6652" s="115">
        <v>0</v>
      </c>
      <c r="I6652" s="115">
        <v>0</v>
      </c>
      <c r="J6652" s="115">
        <v>0</v>
      </c>
      <c r="K6652" s="115">
        <v>0</v>
      </c>
    </row>
    <row r="6653" spans="1:11" x14ac:dyDescent="0.25">
      <c r="A6653" s="115">
        <v>-1</v>
      </c>
      <c r="B6653" s="115" t="s">
        <v>1557</v>
      </c>
      <c r="D6653" s="115" t="s">
        <v>12706</v>
      </c>
      <c r="E6653" s="115" t="s">
        <v>7347</v>
      </c>
      <c r="F6653" s="115">
        <v>1474</v>
      </c>
      <c r="G6653" s="115">
        <v>0</v>
      </c>
      <c r="H6653" s="115">
        <v>-388</v>
      </c>
      <c r="I6653" s="115">
        <v>-42209</v>
      </c>
      <c r="J6653" s="115">
        <v>-11</v>
      </c>
      <c r="K6653" s="115">
        <v>-73</v>
      </c>
    </row>
    <row r="6654" spans="1:11" x14ac:dyDescent="0.25">
      <c r="B6654" s="115" t="s">
        <v>2057</v>
      </c>
      <c r="D6654" s="115" t="s">
        <v>12707</v>
      </c>
      <c r="E6654" s="115" t="s">
        <v>7348</v>
      </c>
      <c r="F6654" s="115">
        <v>-79</v>
      </c>
      <c r="G6654" s="115">
        <v>-24</v>
      </c>
      <c r="H6654" s="115">
        <v>0</v>
      </c>
      <c r="I6654" s="115">
        <v>-19</v>
      </c>
      <c r="J6654" s="115">
        <v>14</v>
      </c>
      <c r="K6654" s="115">
        <v>0</v>
      </c>
    </row>
    <row r="6655" spans="1:11" x14ac:dyDescent="0.25">
      <c r="B6655" s="115" t="s">
        <v>1241</v>
      </c>
      <c r="D6655" s="115" t="s">
        <v>12708</v>
      </c>
      <c r="E6655" s="115" t="s">
        <v>7349</v>
      </c>
      <c r="F6655" s="115">
        <v>0</v>
      </c>
      <c r="G6655" s="115">
        <v>74</v>
      </c>
      <c r="H6655" s="115">
        <v>-248</v>
      </c>
      <c r="I6655" s="115">
        <v>-214</v>
      </c>
      <c r="J6655" s="115">
        <v>-600</v>
      </c>
      <c r="K6655" s="115">
        <v>0</v>
      </c>
    </row>
    <row r="6656" spans="1:11" x14ac:dyDescent="0.25">
      <c r="B6656" s="115" t="s">
        <v>1241</v>
      </c>
      <c r="D6656" s="115" t="s">
        <v>12709</v>
      </c>
      <c r="E6656" s="115" t="s">
        <v>7350</v>
      </c>
      <c r="F6656" s="115">
        <v>-21</v>
      </c>
      <c r="G6656" s="115">
        <v>0</v>
      </c>
      <c r="H6656" s="115">
        <v>412</v>
      </c>
      <c r="I6656" s="115">
        <v>27</v>
      </c>
      <c r="J6656" s="115">
        <v>-155</v>
      </c>
      <c r="K6656" s="115">
        <v>0</v>
      </c>
    </row>
    <row r="6657" spans="1:11" x14ac:dyDescent="0.25">
      <c r="A6657" s="115" t="s">
        <v>1239</v>
      </c>
      <c r="B6657" s="115" t="s">
        <v>7351</v>
      </c>
      <c r="C6657" s="115" t="s">
        <v>1239</v>
      </c>
      <c r="D6657" s="115" t="s">
        <v>12710</v>
      </c>
      <c r="E6657" s="115" t="s">
        <v>7352</v>
      </c>
      <c r="F6657" s="115">
        <v>-494</v>
      </c>
      <c r="G6657" s="115">
        <v>-303</v>
      </c>
      <c r="H6657" s="115">
        <v>153</v>
      </c>
      <c r="I6657" s="115">
        <v>682</v>
      </c>
      <c r="J6657" s="115">
        <v>0</v>
      </c>
      <c r="K6657" s="115">
        <v>557</v>
      </c>
    </row>
    <row r="6658" spans="1:11" x14ac:dyDescent="0.25">
      <c r="B6658" s="115" t="s">
        <v>1241</v>
      </c>
      <c r="D6658" s="115" t="s">
        <v>12711</v>
      </c>
      <c r="E6658" s="115" t="s">
        <v>7353</v>
      </c>
      <c r="F6658" s="115">
        <v>0</v>
      </c>
      <c r="G6658" s="115">
        <v>3061</v>
      </c>
      <c r="H6658" s="115">
        <v>0</v>
      </c>
      <c r="I6658" s="115">
        <v>0</v>
      </c>
      <c r="J6658" s="115">
        <v>-1349</v>
      </c>
      <c r="K6658" s="115">
        <v>0</v>
      </c>
    </row>
    <row r="6659" spans="1:11" x14ac:dyDescent="0.25">
      <c r="A6659" s="115">
        <v>2</v>
      </c>
      <c r="B6659" s="115" t="s">
        <v>7354</v>
      </c>
      <c r="D6659" s="115" t="s">
        <v>12712</v>
      </c>
      <c r="E6659" s="115" t="s">
        <v>7355</v>
      </c>
      <c r="F6659" s="115">
        <v>0</v>
      </c>
      <c r="G6659" s="115">
        <v>0</v>
      </c>
      <c r="H6659" s="115">
        <v>0</v>
      </c>
      <c r="I6659" s="115">
        <v>0</v>
      </c>
      <c r="J6659" s="115">
        <v>-160</v>
      </c>
      <c r="K6659" s="115">
        <v>0</v>
      </c>
    </row>
    <row r="6660" spans="1:11" x14ac:dyDescent="0.25">
      <c r="B6660" s="115" t="s">
        <v>7356</v>
      </c>
      <c r="D6660" s="115" t="s">
        <v>12713</v>
      </c>
      <c r="E6660" s="115" t="s">
        <v>7357</v>
      </c>
      <c r="F6660" s="115">
        <v>-204</v>
      </c>
      <c r="G6660" s="115">
        <v>-49283</v>
      </c>
      <c r="H6660" s="115">
        <v>515</v>
      </c>
      <c r="I6660" s="115">
        <v>0</v>
      </c>
      <c r="J6660" s="115">
        <v>0</v>
      </c>
      <c r="K6660" s="115">
        <v>0</v>
      </c>
    </row>
    <row r="6661" spans="1:11" x14ac:dyDescent="0.25">
      <c r="A6661" s="115">
        <v>2</v>
      </c>
      <c r="B6661" s="115" t="s">
        <v>7358</v>
      </c>
      <c r="D6661" s="115" t="s">
        <v>12714</v>
      </c>
      <c r="E6661" s="115" t="s">
        <v>7359</v>
      </c>
      <c r="F6661" s="115">
        <v>-1248</v>
      </c>
      <c r="G6661" s="115">
        <v>0</v>
      </c>
      <c r="H6661" s="115">
        <v>316</v>
      </c>
      <c r="I6661" s="115">
        <v>0</v>
      </c>
      <c r="J6661" s="115">
        <v>0</v>
      </c>
      <c r="K6661" s="115">
        <v>21</v>
      </c>
    </row>
    <row r="6662" spans="1:11" x14ac:dyDescent="0.25">
      <c r="B6662" s="115" t="s">
        <v>7360</v>
      </c>
      <c r="D6662" s="115" t="s">
        <v>12715</v>
      </c>
      <c r="E6662" s="115" t="s">
        <v>1242</v>
      </c>
      <c r="F6662" s="115">
        <v>0</v>
      </c>
      <c r="G6662" s="115">
        <v>0</v>
      </c>
      <c r="H6662" s="115">
        <v>0</v>
      </c>
      <c r="I6662" s="115">
        <v>0</v>
      </c>
      <c r="J6662" s="115">
        <v>0</v>
      </c>
      <c r="K6662" s="115">
        <v>0</v>
      </c>
    </row>
    <row r="6663" spans="1:11" x14ac:dyDescent="0.25">
      <c r="B6663" s="115" t="s">
        <v>1241</v>
      </c>
      <c r="D6663" s="115" t="s">
        <v>12716</v>
      </c>
      <c r="E6663" s="115" t="s">
        <v>7361</v>
      </c>
      <c r="F6663" s="115">
        <v>-2697</v>
      </c>
      <c r="G6663" s="115">
        <v>-2868</v>
      </c>
      <c r="H6663" s="115">
        <v>-1009</v>
      </c>
      <c r="I6663" s="115">
        <v>0</v>
      </c>
      <c r="J6663" s="115">
        <v>1130</v>
      </c>
      <c r="K6663" s="115">
        <v>-41423</v>
      </c>
    </row>
    <row r="6664" spans="1:11" x14ac:dyDescent="0.25">
      <c r="B6664" s="115" t="s">
        <v>1241</v>
      </c>
      <c r="D6664" s="115" t="s">
        <v>12717</v>
      </c>
      <c r="E6664" s="115">
        <f>-4021  -1451   -597   -746   -148</f>
        <v>-6963</v>
      </c>
      <c r="F6664" s="115">
        <v>0</v>
      </c>
      <c r="G6664" s="115">
        <v>-4021</v>
      </c>
      <c r="H6664" s="115">
        <v>-1451</v>
      </c>
      <c r="I6664" s="115">
        <v>-597</v>
      </c>
      <c r="J6664" s="115">
        <v>-746</v>
      </c>
      <c r="K6664" s="115">
        <v>-148</v>
      </c>
    </row>
    <row r="6665" spans="1:11" x14ac:dyDescent="0.25">
      <c r="B6665" s="115" t="s">
        <v>7362</v>
      </c>
      <c r="D6665" s="115" t="s">
        <v>12718</v>
      </c>
      <c r="E6665" s="115" t="s">
        <v>7363</v>
      </c>
      <c r="F6665" s="115">
        <v>0</v>
      </c>
      <c r="G6665" s="115">
        <v>-2582</v>
      </c>
      <c r="H6665" s="115">
        <v>0</v>
      </c>
      <c r="I6665" s="115">
        <v>-1605</v>
      </c>
      <c r="J6665" s="115">
        <v>0</v>
      </c>
      <c r="K6665" s="115">
        <v>0</v>
      </c>
    </row>
    <row r="6666" spans="1:11" x14ac:dyDescent="0.25">
      <c r="B6666" s="115" t="s">
        <v>1817</v>
      </c>
      <c r="D6666" s="115" t="s">
        <v>12719</v>
      </c>
      <c r="E6666" s="115" t="s">
        <v>7364</v>
      </c>
      <c r="F6666" s="115">
        <v>0</v>
      </c>
      <c r="G6666" s="115">
        <v>0</v>
      </c>
      <c r="H6666" s="115">
        <v>-1286</v>
      </c>
      <c r="I6666" s="115">
        <v>0</v>
      </c>
      <c r="J6666" s="115">
        <v>-84</v>
      </c>
      <c r="K6666" s="115">
        <v>-2528</v>
      </c>
    </row>
    <row r="6667" spans="1:11" x14ac:dyDescent="0.25">
      <c r="A6667" s="115" t="s">
        <v>1239</v>
      </c>
      <c r="B6667" s="115" t="s">
        <v>7365</v>
      </c>
      <c r="D6667" s="115" t="s">
        <v>12720</v>
      </c>
      <c r="E6667" s="115" t="s">
        <v>7366</v>
      </c>
      <c r="F6667" s="115">
        <v>362</v>
      </c>
      <c r="G6667" s="115">
        <v>285</v>
      </c>
      <c r="H6667" s="115">
        <v>-415</v>
      </c>
      <c r="I6667" s="115">
        <v>274</v>
      </c>
      <c r="J6667" s="115">
        <v>0</v>
      </c>
      <c r="K6667" s="115">
        <v>0</v>
      </c>
    </row>
    <row r="6668" spans="1:11" x14ac:dyDescent="0.25">
      <c r="B6668" s="115" t="s">
        <v>1241</v>
      </c>
      <c r="D6668" s="115" t="s">
        <v>12721</v>
      </c>
      <c r="E6668" s="115" t="s">
        <v>7367</v>
      </c>
      <c r="F6668" s="115">
        <v>0</v>
      </c>
      <c r="G6668" s="115">
        <v>-1037</v>
      </c>
      <c r="H6668" s="115">
        <v>-344</v>
      </c>
      <c r="I6668" s="115">
        <v>659</v>
      </c>
      <c r="J6668" s="115">
        <v>-198</v>
      </c>
      <c r="K6668" s="115">
        <v>421</v>
      </c>
    </row>
    <row r="6669" spans="1:11" x14ac:dyDescent="0.25">
      <c r="A6669" s="115" t="s">
        <v>1239</v>
      </c>
      <c r="B6669" s="115" t="s">
        <v>4285</v>
      </c>
      <c r="D6669" s="115" t="s">
        <v>12722</v>
      </c>
      <c r="E6669" s="115" t="s">
        <v>7368</v>
      </c>
      <c r="F6669" s="115">
        <v>0</v>
      </c>
      <c r="G6669" s="115">
        <v>224</v>
      </c>
      <c r="H6669" s="115">
        <v>-23</v>
      </c>
      <c r="I6669" s="115">
        <v>0</v>
      </c>
      <c r="J6669" s="115">
        <v>0</v>
      </c>
      <c r="K6669" s="115">
        <v>0</v>
      </c>
    </row>
    <row r="6670" spans="1:11" x14ac:dyDescent="0.25">
      <c r="B6670" s="115" t="s">
        <v>7369</v>
      </c>
      <c r="D6670" s="115" t="s">
        <v>12723</v>
      </c>
      <c r="E6670" s="115" t="s">
        <v>1242</v>
      </c>
      <c r="F6670" s="115">
        <v>-909</v>
      </c>
      <c r="G6670" s="115">
        <v>0</v>
      </c>
      <c r="H6670" s="115">
        <v>0</v>
      </c>
      <c r="I6670" s="115">
        <v>0</v>
      </c>
      <c r="J6670" s="115">
        <v>0</v>
      </c>
      <c r="K6670" s="115">
        <v>0</v>
      </c>
    </row>
    <row r="6671" spans="1:11" x14ac:dyDescent="0.25">
      <c r="B6671" s="115" t="s">
        <v>1241</v>
      </c>
      <c r="D6671" s="115" t="s">
        <v>8710</v>
      </c>
      <c r="E6671" s="115" t="s">
        <v>1242</v>
      </c>
      <c r="F6671" s="115">
        <v>0</v>
      </c>
      <c r="G6671" s="115">
        <v>0</v>
      </c>
      <c r="H6671" s="115">
        <v>0</v>
      </c>
      <c r="I6671" s="115">
        <v>0</v>
      </c>
      <c r="J6671" s="115">
        <v>0</v>
      </c>
      <c r="K6671" s="115">
        <v>0</v>
      </c>
    </row>
    <row r="6672" spans="1:11" x14ac:dyDescent="0.25">
      <c r="A6672" s="115">
        <v>-1</v>
      </c>
      <c r="B6672" s="115" t="s">
        <v>2740</v>
      </c>
      <c r="D6672" s="115" t="s">
        <v>12724</v>
      </c>
      <c r="E6672" s="115" t="s">
        <v>7370</v>
      </c>
      <c r="F6672" s="115">
        <v>0</v>
      </c>
      <c r="G6672" s="115">
        <v>0</v>
      </c>
      <c r="H6672" s="115">
        <v>378</v>
      </c>
      <c r="I6672" s="115">
        <v>62</v>
      </c>
      <c r="J6672" s="115">
        <v>-54</v>
      </c>
      <c r="K6672" s="115">
        <v>4137</v>
      </c>
    </row>
    <row r="6673" spans="1:11" x14ac:dyDescent="0.25">
      <c r="B6673" s="115" t="s">
        <v>7371</v>
      </c>
      <c r="C6673" s="115" t="s">
        <v>1239</v>
      </c>
      <c r="D6673" s="115" t="s">
        <v>12725</v>
      </c>
      <c r="E6673" s="115" t="s">
        <v>7372</v>
      </c>
      <c r="F6673" s="115">
        <v>-45</v>
      </c>
      <c r="G6673" s="115">
        <v>-1</v>
      </c>
      <c r="H6673" s="115">
        <v>707</v>
      </c>
      <c r="I6673" s="115">
        <v>204</v>
      </c>
      <c r="J6673" s="115">
        <v>7358</v>
      </c>
      <c r="K6673" s="115">
        <v>2116</v>
      </c>
    </row>
    <row r="6674" spans="1:11" x14ac:dyDescent="0.25">
      <c r="A6674" s="115">
        <v>-2</v>
      </c>
      <c r="B6674" s="115" t="s">
        <v>7373</v>
      </c>
      <c r="C6674" s="115" t="s">
        <v>1239</v>
      </c>
      <c r="D6674" s="115" t="s">
        <v>12726</v>
      </c>
      <c r="E6674" s="115" t="s">
        <v>7374</v>
      </c>
      <c r="F6674" s="115">
        <v>-167</v>
      </c>
      <c r="G6674" s="115">
        <v>4362</v>
      </c>
      <c r="H6674" s="115">
        <v>-15121</v>
      </c>
      <c r="I6674" s="115">
        <v>-401</v>
      </c>
      <c r="J6674" s="115">
        <v>868</v>
      </c>
      <c r="K6674" s="115">
        <v>134</v>
      </c>
    </row>
    <row r="6675" spans="1:11" x14ac:dyDescent="0.25">
      <c r="A6675" s="115">
        <v>4</v>
      </c>
      <c r="B6675" s="115" t="s">
        <v>7375</v>
      </c>
      <c r="C6675" s="115" t="s">
        <v>1239</v>
      </c>
      <c r="D6675" s="115" t="s">
        <v>12727</v>
      </c>
      <c r="E6675" s="115" t="s">
        <v>7376</v>
      </c>
      <c r="F6675" s="115">
        <v>4745</v>
      </c>
      <c r="G6675" s="115">
        <v>-1436</v>
      </c>
      <c r="H6675" s="115">
        <v>-258</v>
      </c>
      <c r="I6675" s="115">
        <v>438</v>
      </c>
      <c r="J6675" s="115">
        <v>1976</v>
      </c>
      <c r="K6675" s="115">
        <v>-1354</v>
      </c>
    </row>
    <row r="6676" spans="1:11" x14ac:dyDescent="0.25">
      <c r="A6676" s="115">
        <v>1</v>
      </c>
      <c r="B6676" s="115" t="s">
        <v>7377</v>
      </c>
      <c r="D6676" s="115" t="s">
        <v>12728</v>
      </c>
      <c r="E6676" s="115" t="s">
        <v>7378</v>
      </c>
      <c r="F6676" s="115">
        <v>-585</v>
      </c>
      <c r="G6676" s="115">
        <v>-354</v>
      </c>
      <c r="H6676" s="115">
        <v>234</v>
      </c>
      <c r="I6676" s="115">
        <v>626</v>
      </c>
      <c r="J6676" s="115">
        <v>272</v>
      </c>
      <c r="K6676" s="115">
        <v>-814</v>
      </c>
    </row>
    <row r="6677" spans="1:11" x14ac:dyDescent="0.25">
      <c r="A6677" s="115" t="s">
        <v>1239</v>
      </c>
      <c r="B6677" s="115" t="s">
        <v>7379</v>
      </c>
      <c r="D6677" s="115" t="s">
        <v>12729</v>
      </c>
      <c r="E6677" s="115" t="s">
        <v>7380</v>
      </c>
      <c r="F6677" s="115">
        <v>1402</v>
      </c>
      <c r="G6677" s="115">
        <v>763</v>
      </c>
      <c r="H6677" s="115">
        <v>2075</v>
      </c>
      <c r="I6677" s="115">
        <v>941</v>
      </c>
      <c r="J6677" s="115">
        <v>972</v>
      </c>
      <c r="K6677" s="115">
        <v>-53</v>
      </c>
    </row>
    <row r="6678" spans="1:11" x14ac:dyDescent="0.25">
      <c r="B6678" s="115">
        <f>-57   -131</f>
        <v>-188</v>
      </c>
      <c r="D6678" s="115" t="s">
        <v>12730</v>
      </c>
      <c r="E6678" s="115" t="s">
        <v>7381</v>
      </c>
      <c r="F6678" s="115">
        <v>33674</v>
      </c>
      <c r="G6678" s="115">
        <v>39759</v>
      </c>
      <c r="H6678" s="115">
        <v>43012</v>
      </c>
      <c r="I6678" s="115">
        <v>37098</v>
      </c>
      <c r="J6678" s="115">
        <v>33701</v>
      </c>
      <c r="K6678" s="115">
        <v>19604</v>
      </c>
    </row>
    <row r="6679" spans="1:11" x14ac:dyDescent="0.25">
      <c r="A6679" s="115">
        <v>21</v>
      </c>
      <c r="B6679" s="115" t="s">
        <v>7382</v>
      </c>
      <c r="C6679" s="115">
        <v>2</v>
      </c>
      <c r="D6679" s="115" t="s">
        <v>12731</v>
      </c>
      <c r="E6679" s="115" t="s">
        <v>7383</v>
      </c>
      <c r="F6679" s="115">
        <v>47183</v>
      </c>
      <c r="G6679" s="115">
        <v>408</v>
      </c>
      <c r="H6679" s="115">
        <v>-30221</v>
      </c>
      <c r="I6679" s="115">
        <v>73</v>
      </c>
      <c r="J6679" s="115">
        <v>-49</v>
      </c>
      <c r="K6679" s="115">
        <v>211</v>
      </c>
    </row>
    <row r="6680" spans="1:11" x14ac:dyDescent="0.25">
      <c r="B6680" s="115" t="s">
        <v>1241</v>
      </c>
      <c r="D6680" s="115" t="s">
        <v>12732</v>
      </c>
      <c r="E6680" s="115" t="s">
        <v>7384</v>
      </c>
      <c r="F6680" s="115">
        <v>0</v>
      </c>
      <c r="G6680" s="115">
        <v>0</v>
      </c>
      <c r="H6680" s="115">
        <v>-406</v>
      </c>
      <c r="I6680" s="115">
        <v>301</v>
      </c>
      <c r="J6680" s="115">
        <v>0</v>
      </c>
      <c r="K6680" s="115">
        <v>0</v>
      </c>
    </row>
    <row r="6681" spans="1:11" x14ac:dyDescent="0.25">
      <c r="B6681" s="115" t="s">
        <v>1241</v>
      </c>
      <c r="D6681" s="115" t="s">
        <v>12733</v>
      </c>
      <c r="E6681" s="115" t="s">
        <v>7385</v>
      </c>
      <c r="F6681" s="115">
        <v>-64</v>
      </c>
      <c r="G6681" s="115">
        <v>0</v>
      </c>
      <c r="H6681" s="115">
        <v>0</v>
      </c>
      <c r="I6681" s="115">
        <v>120</v>
      </c>
      <c r="J6681" s="115">
        <v>0</v>
      </c>
      <c r="K6681" s="115">
        <v>-160</v>
      </c>
    </row>
    <row r="6682" spans="1:11" x14ac:dyDescent="0.25">
      <c r="B6682" s="115" t="s">
        <v>7386</v>
      </c>
      <c r="D6682" s="115" t="s">
        <v>12734</v>
      </c>
      <c r="E6682" s="115" t="s">
        <v>7387</v>
      </c>
      <c r="F6682" s="115">
        <v>0</v>
      </c>
      <c r="G6682" s="115">
        <v>14</v>
      </c>
      <c r="H6682" s="115">
        <v>-25857</v>
      </c>
      <c r="I6682" s="115">
        <v>-31</v>
      </c>
      <c r="J6682" s="115">
        <v>-42</v>
      </c>
      <c r="K6682" s="115">
        <v>-237</v>
      </c>
    </row>
    <row r="6683" spans="1:11" x14ac:dyDescent="0.25">
      <c r="A6683" s="115" t="s">
        <v>1239</v>
      </c>
      <c r="B6683" s="115" t="s">
        <v>3513</v>
      </c>
      <c r="D6683" s="115" t="s">
        <v>12735</v>
      </c>
      <c r="E6683" s="115" t="s">
        <v>7388</v>
      </c>
      <c r="F6683" s="115">
        <v>0</v>
      </c>
      <c r="G6683" s="115">
        <v>0</v>
      </c>
      <c r="H6683" s="115">
        <v>0</v>
      </c>
      <c r="I6683" s="115">
        <v>0</v>
      </c>
      <c r="J6683" s="115">
        <v>13</v>
      </c>
      <c r="K6683" s="115">
        <v>0</v>
      </c>
    </row>
    <row r="6684" spans="1:11" x14ac:dyDescent="0.25">
      <c r="B6684" s="115" t="s">
        <v>1241</v>
      </c>
      <c r="D6684" s="115" t="s">
        <v>12736</v>
      </c>
      <c r="E6684" s="115" t="s">
        <v>1242</v>
      </c>
      <c r="F6684" s="115">
        <v>41</v>
      </c>
      <c r="G6684" s="115">
        <v>0</v>
      </c>
      <c r="H6684" s="115">
        <v>0</v>
      </c>
      <c r="I6684" s="115">
        <v>0</v>
      </c>
      <c r="J6684" s="115">
        <v>0</v>
      </c>
      <c r="K6684" s="115">
        <v>0</v>
      </c>
    </row>
    <row r="6685" spans="1:11" x14ac:dyDescent="0.25">
      <c r="B6685" s="115" t="s">
        <v>4706</v>
      </c>
      <c r="D6685" s="115" t="s">
        <v>12737</v>
      </c>
      <c r="E6685" s="115" t="s">
        <v>7389</v>
      </c>
      <c r="F6685" s="115">
        <v>0</v>
      </c>
      <c r="G6685" s="115">
        <v>0</v>
      </c>
      <c r="H6685" s="115">
        <v>621</v>
      </c>
      <c r="I6685" s="115">
        <v>-42878</v>
      </c>
      <c r="J6685" s="115">
        <v>0</v>
      </c>
      <c r="K6685" s="115">
        <v>198</v>
      </c>
    </row>
    <row r="6686" spans="1:11" x14ac:dyDescent="0.25">
      <c r="B6686" s="115" t="s">
        <v>1241</v>
      </c>
      <c r="D6686" s="115" t="s">
        <v>12738</v>
      </c>
      <c r="E6686" s="115" t="s">
        <v>7390</v>
      </c>
      <c r="F6686" s="115">
        <v>108</v>
      </c>
      <c r="G6686" s="115">
        <v>271</v>
      </c>
      <c r="H6686" s="115">
        <v>611</v>
      </c>
      <c r="I6686" s="115">
        <v>0</v>
      </c>
      <c r="J6686" s="115">
        <v>0</v>
      </c>
      <c r="K6686" s="115">
        <v>228</v>
      </c>
    </row>
    <row r="6687" spans="1:11" x14ac:dyDescent="0.25">
      <c r="A6687" s="115" t="s">
        <v>1239</v>
      </c>
      <c r="B6687" s="115" t="s">
        <v>3948</v>
      </c>
      <c r="D6687" s="115" t="s">
        <v>12739</v>
      </c>
      <c r="E6687" s="115" t="s">
        <v>7391</v>
      </c>
      <c r="F6687" s="115">
        <v>-44</v>
      </c>
      <c r="G6687" s="115">
        <v>2081</v>
      </c>
      <c r="H6687" s="115">
        <v>-429</v>
      </c>
      <c r="I6687" s="115">
        <v>-224</v>
      </c>
      <c r="J6687" s="115">
        <v>-365</v>
      </c>
      <c r="K6687" s="115">
        <v>0</v>
      </c>
    </row>
    <row r="6688" spans="1:11" x14ac:dyDescent="0.25">
      <c r="B6688" s="115" t="s">
        <v>1241</v>
      </c>
      <c r="D6688" s="115" t="s">
        <v>12740</v>
      </c>
      <c r="E6688" s="115" t="s">
        <v>7392</v>
      </c>
      <c r="F6688" s="115">
        <v>-573</v>
      </c>
      <c r="G6688" s="115">
        <v>0</v>
      </c>
      <c r="H6688" s="115">
        <v>2178</v>
      </c>
      <c r="I6688" s="115">
        <v>2687</v>
      </c>
      <c r="J6688" s="115">
        <v>622</v>
      </c>
      <c r="K6688" s="115">
        <v>0</v>
      </c>
    </row>
    <row r="6689" spans="1:11" x14ac:dyDescent="0.25">
      <c r="A6689" s="115" t="s">
        <v>1239</v>
      </c>
      <c r="B6689" s="115" t="s">
        <v>7393</v>
      </c>
      <c r="D6689" s="115" t="s">
        <v>12741</v>
      </c>
      <c r="E6689" s="115" t="s">
        <v>7394</v>
      </c>
      <c r="F6689" s="115">
        <v>26</v>
      </c>
      <c r="G6689" s="115">
        <v>0</v>
      </c>
      <c r="H6689" s="115">
        <v>558</v>
      </c>
      <c r="I6689" s="115">
        <v>-32</v>
      </c>
      <c r="J6689" s="115">
        <v>78</v>
      </c>
      <c r="K6689" s="115">
        <v>58</v>
      </c>
    </row>
    <row r="6690" spans="1:11" x14ac:dyDescent="0.25">
      <c r="B6690" s="115" t="s">
        <v>7395</v>
      </c>
      <c r="D6690" s="115" t="s">
        <v>12742</v>
      </c>
      <c r="E6690" s="115" t="s">
        <v>7396</v>
      </c>
      <c r="F6690" s="115">
        <v>0</v>
      </c>
      <c r="G6690" s="115">
        <v>0</v>
      </c>
      <c r="H6690" s="115">
        <v>-17</v>
      </c>
      <c r="I6690" s="115">
        <v>164</v>
      </c>
      <c r="J6690" s="115">
        <v>0</v>
      </c>
      <c r="K6690" s="115">
        <v>135</v>
      </c>
    </row>
    <row r="6691" spans="1:11" x14ac:dyDescent="0.25">
      <c r="B6691" s="126">
        <v>14731</v>
      </c>
      <c r="D6691" s="115" t="s">
        <v>12743</v>
      </c>
      <c r="E6691" s="115" t="s">
        <v>7397</v>
      </c>
      <c r="F6691" s="115">
        <v>0</v>
      </c>
      <c r="G6691" s="115">
        <v>0</v>
      </c>
      <c r="H6691" s="115">
        <v>0</v>
      </c>
      <c r="I6691" s="115">
        <v>0</v>
      </c>
      <c r="J6691" s="115">
        <v>192</v>
      </c>
      <c r="K6691" s="115">
        <v>0</v>
      </c>
    </row>
    <row r="6692" spans="1:11" x14ac:dyDescent="0.25">
      <c r="B6692" s="115" t="s">
        <v>7398</v>
      </c>
      <c r="D6692" s="115" t="s">
        <v>12744</v>
      </c>
      <c r="E6692" s="115" t="s">
        <v>7399</v>
      </c>
      <c r="F6692" s="115">
        <v>-495</v>
      </c>
      <c r="G6692" s="115">
        <v>-40539</v>
      </c>
      <c r="H6692" s="115">
        <v>-6</v>
      </c>
      <c r="I6692" s="115">
        <v>-15</v>
      </c>
      <c r="J6692" s="115">
        <v>14</v>
      </c>
      <c r="K6692" s="115">
        <v>14</v>
      </c>
    </row>
    <row r="6693" spans="1:11" x14ac:dyDescent="0.25">
      <c r="B6693" s="115" t="s">
        <v>7400</v>
      </c>
      <c r="D6693" s="115" t="s">
        <v>12745</v>
      </c>
      <c r="E6693" s="115" t="s">
        <v>7401</v>
      </c>
      <c r="F6693" s="115">
        <v>0</v>
      </c>
      <c r="G6693" s="115">
        <v>0</v>
      </c>
      <c r="H6693" s="115">
        <v>22</v>
      </c>
      <c r="I6693" s="115">
        <v>29</v>
      </c>
      <c r="J6693" s="115">
        <v>0</v>
      </c>
      <c r="K6693" s="115">
        <v>-12</v>
      </c>
    </row>
    <row r="6694" spans="1:11" x14ac:dyDescent="0.25">
      <c r="B6694" s="115" t="s">
        <v>1241</v>
      </c>
      <c r="D6694" s="115" t="s">
        <v>12746</v>
      </c>
      <c r="E6694" s="115" t="s">
        <v>7402</v>
      </c>
      <c r="F6694" s="115">
        <v>-18</v>
      </c>
      <c r="G6694" s="115">
        <v>-42</v>
      </c>
      <c r="H6694" s="115">
        <v>74</v>
      </c>
      <c r="I6694" s="115">
        <v>0</v>
      </c>
      <c r="J6694" s="115">
        <v>0</v>
      </c>
      <c r="K6694" s="115">
        <v>0</v>
      </c>
    </row>
    <row r="6695" spans="1:11" x14ac:dyDescent="0.25">
      <c r="B6695" s="115" t="s">
        <v>1241</v>
      </c>
      <c r="D6695" s="115" t="s">
        <v>12747</v>
      </c>
      <c r="E6695" s="115" t="s">
        <v>7403</v>
      </c>
      <c r="F6695" s="115">
        <v>32</v>
      </c>
      <c r="G6695" s="115">
        <v>239</v>
      </c>
      <c r="H6695" s="115">
        <v>16</v>
      </c>
      <c r="I6695" s="115">
        <v>0</v>
      </c>
      <c r="J6695" s="115">
        <v>122</v>
      </c>
      <c r="K6695" s="115">
        <v>-51376</v>
      </c>
    </row>
    <row r="6696" spans="1:11" x14ac:dyDescent="0.25">
      <c r="A6696" s="115" t="s">
        <v>1239</v>
      </c>
      <c r="B6696" s="115" t="s">
        <v>4654</v>
      </c>
      <c r="D6696" s="115" t="s">
        <v>12748</v>
      </c>
      <c r="E6696" s="115" t="s">
        <v>7404</v>
      </c>
      <c r="F6696" s="115">
        <v>593</v>
      </c>
      <c r="G6696" s="115">
        <v>1153</v>
      </c>
      <c r="H6696" s="115">
        <v>-397</v>
      </c>
      <c r="I6696" s="115">
        <v>-685</v>
      </c>
      <c r="J6696" s="115">
        <v>-566</v>
      </c>
      <c r="K6696" s="115">
        <v>0</v>
      </c>
    </row>
    <row r="6697" spans="1:11" x14ac:dyDescent="0.25">
      <c r="A6697" s="115">
        <v>1</v>
      </c>
      <c r="B6697" s="115" t="s">
        <v>4535</v>
      </c>
      <c r="D6697" s="115" t="s">
        <v>12749</v>
      </c>
      <c r="E6697" s="115" t="s">
        <v>7405</v>
      </c>
      <c r="F6697" s="115">
        <v>0</v>
      </c>
      <c r="G6697" s="115">
        <v>-9241</v>
      </c>
      <c r="H6697" s="115">
        <v>0</v>
      </c>
      <c r="I6697" s="115">
        <v>-7696</v>
      </c>
      <c r="J6697" s="115">
        <v>0</v>
      </c>
      <c r="K6697" s="115">
        <v>0</v>
      </c>
    </row>
    <row r="6698" spans="1:11" x14ac:dyDescent="0.25">
      <c r="B6698" s="115" t="s">
        <v>1241</v>
      </c>
      <c r="D6698" s="115" t="s">
        <v>12750</v>
      </c>
      <c r="E6698" s="115" t="s">
        <v>7406</v>
      </c>
      <c r="F6698" s="115">
        <v>0</v>
      </c>
      <c r="G6698" s="115">
        <v>0</v>
      </c>
      <c r="H6698" s="115">
        <v>-258</v>
      </c>
      <c r="I6698" s="115">
        <v>0</v>
      </c>
      <c r="J6698" s="115">
        <v>-3161</v>
      </c>
      <c r="K6698" s="115">
        <v>-1276</v>
      </c>
    </row>
    <row r="6699" spans="1:11" x14ac:dyDescent="0.25">
      <c r="B6699" s="115" t="s">
        <v>7407</v>
      </c>
      <c r="D6699" s="115" t="s">
        <v>12751</v>
      </c>
      <c r="E6699" s="115" t="s">
        <v>7408</v>
      </c>
      <c r="F6699" s="115">
        <v>0</v>
      </c>
      <c r="G6699" s="115">
        <v>0</v>
      </c>
      <c r="H6699" s="115">
        <v>0</v>
      </c>
      <c r="I6699" s="115">
        <v>0</v>
      </c>
      <c r="J6699" s="115">
        <v>0</v>
      </c>
      <c r="K6699" s="115">
        <v>-3542</v>
      </c>
    </row>
    <row r="6700" spans="1:11" x14ac:dyDescent="0.25">
      <c r="A6700" s="115" t="s">
        <v>1239</v>
      </c>
      <c r="B6700" s="115" t="s">
        <v>7409</v>
      </c>
      <c r="D6700" s="115" t="s">
        <v>12752</v>
      </c>
      <c r="E6700" s="115" t="s">
        <v>7410</v>
      </c>
      <c r="F6700" s="115">
        <v>-34</v>
      </c>
      <c r="G6700" s="115">
        <v>0</v>
      </c>
      <c r="H6700" s="115">
        <v>0</v>
      </c>
      <c r="I6700" s="115">
        <v>0</v>
      </c>
      <c r="J6700" s="115">
        <v>0</v>
      </c>
      <c r="K6700" s="115">
        <v>-1582</v>
      </c>
    </row>
    <row r="6701" spans="1:11" x14ac:dyDescent="0.25">
      <c r="B6701" s="115" t="s">
        <v>7411</v>
      </c>
      <c r="D6701" s="115" t="s">
        <v>12753</v>
      </c>
      <c r="E6701" s="115" t="s">
        <v>7412</v>
      </c>
      <c r="F6701" s="115">
        <v>140</v>
      </c>
      <c r="G6701" s="115">
        <v>-32</v>
      </c>
      <c r="H6701" s="115">
        <v>0</v>
      </c>
      <c r="I6701" s="115">
        <v>0</v>
      </c>
      <c r="J6701" s="115">
        <v>0</v>
      </c>
      <c r="K6701" s="115">
        <v>0</v>
      </c>
    </row>
    <row r="6702" spans="1:11" x14ac:dyDescent="0.25">
      <c r="A6702" s="115" t="s">
        <v>1239</v>
      </c>
      <c r="B6702" s="115" t="s">
        <v>2794</v>
      </c>
      <c r="D6702" s="115" t="s">
        <v>12754</v>
      </c>
      <c r="E6702" s="115" t="s">
        <v>7413</v>
      </c>
      <c r="F6702" s="115">
        <v>-770</v>
      </c>
      <c r="G6702" s="115">
        <v>2290</v>
      </c>
      <c r="H6702" s="115">
        <v>370</v>
      </c>
      <c r="I6702" s="115">
        <v>116</v>
      </c>
      <c r="J6702" s="115">
        <v>266</v>
      </c>
      <c r="K6702" s="115">
        <v>218</v>
      </c>
    </row>
    <row r="6703" spans="1:11" x14ac:dyDescent="0.25">
      <c r="A6703" s="115" t="s">
        <v>1239</v>
      </c>
      <c r="B6703" s="115" t="s">
        <v>7414</v>
      </c>
      <c r="D6703" s="115" t="s">
        <v>12755</v>
      </c>
      <c r="E6703" s="115" t="s">
        <v>7415</v>
      </c>
      <c r="F6703" s="115">
        <v>0</v>
      </c>
      <c r="G6703" s="115">
        <v>0</v>
      </c>
      <c r="H6703" s="115">
        <v>0</v>
      </c>
      <c r="I6703" s="115">
        <v>0</v>
      </c>
      <c r="J6703" s="115">
        <v>0</v>
      </c>
      <c r="K6703" s="115">
        <v>-68</v>
      </c>
    </row>
    <row r="6704" spans="1:11" x14ac:dyDescent="0.25">
      <c r="A6704" s="115" t="s">
        <v>1239</v>
      </c>
      <c r="B6704" s="115" t="s">
        <v>7416</v>
      </c>
      <c r="D6704" s="115" t="s">
        <v>12756</v>
      </c>
      <c r="E6704" s="115" t="s">
        <v>7417</v>
      </c>
      <c r="F6704" s="115">
        <v>99</v>
      </c>
      <c r="G6704" s="115">
        <v>0</v>
      </c>
      <c r="H6704" s="115">
        <v>0</v>
      </c>
      <c r="I6704" s="115">
        <v>55</v>
      </c>
      <c r="J6704" s="115">
        <v>0</v>
      </c>
      <c r="K6704" s="115">
        <v>202</v>
      </c>
    </row>
    <row r="6705" spans="1:11" x14ac:dyDescent="0.25">
      <c r="A6705" s="115" t="s">
        <v>1239</v>
      </c>
      <c r="B6705" s="115" t="s">
        <v>2765</v>
      </c>
      <c r="D6705" s="115" t="s">
        <v>12757</v>
      </c>
      <c r="E6705" s="115" t="s">
        <v>7418</v>
      </c>
      <c r="F6705" s="115">
        <v>0</v>
      </c>
      <c r="G6705" s="115">
        <v>-222</v>
      </c>
      <c r="H6705" s="115">
        <v>0</v>
      </c>
      <c r="I6705" s="115">
        <v>-1234</v>
      </c>
      <c r="J6705" s="115">
        <v>-407</v>
      </c>
      <c r="K6705" s="115">
        <v>0</v>
      </c>
    </row>
    <row r="6706" spans="1:11" x14ac:dyDescent="0.25">
      <c r="B6706" s="115" t="s">
        <v>1241</v>
      </c>
      <c r="D6706" s="115" t="s">
        <v>8710</v>
      </c>
      <c r="E6706" s="115" t="s">
        <v>1242</v>
      </c>
      <c r="F6706" s="115">
        <v>0</v>
      </c>
      <c r="G6706" s="115">
        <v>0</v>
      </c>
      <c r="H6706" s="115">
        <v>0</v>
      </c>
      <c r="I6706" s="115">
        <v>0</v>
      </c>
      <c r="J6706" s="115">
        <v>0</v>
      </c>
      <c r="K6706" s="115">
        <v>0</v>
      </c>
    </row>
    <row r="6707" spans="1:11" x14ac:dyDescent="0.25">
      <c r="B6707" s="115" t="s">
        <v>1241</v>
      </c>
      <c r="D6707" s="115" t="s">
        <v>12758</v>
      </c>
      <c r="E6707" s="115" t="s">
        <v>1242</v>
      </c>
      <c r="F6707" s="115">
        <v>-1093</v>
      </c>
      <c r="G6707" s="115">
        <v>0</v>
      </c>
      <c r="H6707" s="115">
        <v>0</v>
      </c>
      <c r="I6707" s="115">
        <v>0</v>
      </c>
      <c r="J6707" s="115">
        <v>0</v>
      </c>
      <c r="K6707" s="115">
        <v>0</v>
      </c>
    </row>
    <row r="6708" spans="1:11" x14ac:dyDescent="0.25">
      <c r="B6708" s="115" t="s">
        <v>7419</v>
      </c>
      <c r="D6708" s="115" t="s">
        <v>12759</v>
      </c>
      <c r="E6708" s="115" t="s">
        <v>7420</v>
      </c>
      <c r="F6708" s="115">
        <v>-587</v>
      </c>
      <c r="G6708" s="115">
        <v>-772</v>
      </c>
      <c r="H6708" s="115">
        <v>-7427</v>
      </c>
      <c r="I6708" s="115">
        <v>2859</v>
      </c>
      <c r="J6708" s="115">
        <v>-13</v>
      </c>
      <c r="K6708" s="115">
        <v>-39</v>
      </c>
    </row>
    <row r="6709" spans="1:11" x14ac:dyDescent="0.25">
      <c r="B6709" s="115" t="s">
        <v>7421</v>
      </c>
      <c r="D6709" s="115" t="s">
        <v>12760</v>
      </c>
      <c r="E6709" s="115" t="s">
        <v>7422</v>
      </c>
      <c r="F6709" s="115">
        <v>1306</v>
      </c>
      <c r="G6709" s="115">
        <v>-2779</v>
      </c>
      <c r="H6709" s="115">
        <v>-1202</v>
      </c>
      <c r="I6709" s="115">
        <v>0</v>
      </c>
      <c r="J6709" s="115">
        <v>457</v>
      </c>
      <c r="K6709" s="115">
        <v>2451</v>
      </c>
    </row>
    <row r="6710" spans="1:11" x14ac:dyDescent="0.25">
      <c r="A6710" s="115">
        <v>2</v>
      </c>
      <c r="B6710" s="115" t="s">
        <v>7423</v>
      </c>
      <c r="D6710" s="115" t="s">
        <v>12761</v>
      </c>
      <c r="E6710" s="115" t="s">
        <v>7424</v>
      </c>
      <c r="F6710" s="115">
        <v>497</v>
      </c>
      <c r="G6710" s="115">
        <v>3937</v>
      </c>
      <c r="H6710" s="115">
        <v>4377</v>
      </c>
      <c r="I6710" s="115">
        <v>511</v>
      </c>
      <c r="J6710" s="115">
        <v>496</v>
      </c>
      <c r="K6710" s="115">
        <v>2382</v>
      </c>
    </row>
    <row r="6711" spans="1:11" x14ac:dyDescent="0.25">
      <c r="A6711" s="115">
        <v>2</v>
      </c>
      <c r="B6711" s="115" t="s">
        <v>7425</v>
      </c>
      <c r="D6711" s="115" t="s">
        <v>12762</v>
      </c>
      <c r="E6711" s="115" t="s">
        <v>7426</v>
      </c>
      <c r="F6711" s="115">
        <v>-513</v>
      </c>
      <c r="G6711" s="115">
        <v>131</v>
      </c>
      <c r="H6711" s="115">
        <v>119</v>
      </c>
      <c r="I6711" s="115">
        <v>4932</v>
      </c>
      <c r="J6711" s="115">
        <v>-181</v>
      </c>
      <c r="K6711" s="115">
        <v>917</v>
      </c>
    </row>
    <row r="6712" spans="1:11" x14ac:dyDescent="0.25">
      <c r="A6712" s="115" t="s">
        <v>1239</v>
      </c>
      <c r="B6712" s="115" t="s">
        <v>7427</v>
      </c>
      <c r="D6712" s="115" t="s">
        <v>12763</v>
      </c>
      <c r="E6712" s="115" t="s">
        <v>7428</v>
      </c>
      <c r="F6712" s="115">
        <v>-71</v>
      </c>
      <c r="G6712" s="115">
        <v>-198</v>
      </c>
      <c r="H6712" s="115">
        <v>-366</v>
      </c>
      <c r="I6712" s="115">
        <v>-902</v>
      </c>
      <c r="J6712" s="115">
        <v>1172</v>
      </c>
      <c r="K6712" s="115">
        <v>298</v>
      </c>
    </row>
    <row r="6713" spans="1:11" x14ac:dyDescent="0.25">
      <c r="A6713" s="115" t="s">
        <v>1239</v>
      </c>
      <c r="B6713" s="115" t="s">
        <v>7429</v>
      </c>
      <c r="D6713" s="115" t="s">
        <v>12764</v>
      </c>
      <c r="E6713" s="115" t="s">
        <v>7430</v>
      </c>
      <c r="F6713" s="115">
        <v>49</v>
      </c>
      <c r="G6713" s="115">
        <v>-309</v>
      </c>
      <c r="H6713" s="115">
        <v>244</v>
      </c>
      <c r="I6713" s="115">
        <v>12</v>
      </c>
      <c r="J6713" s="115">
        <v>31328</v>
      </c>
      <c r="K6713" s="115">
        <v>38240</v>
      </c>
    </row>
    <row r="6714" spans="1:11" x14ac:dyDescent="0.25">
      <c r="A6714" s="115">
        <v>38</v>
      </c>
      <c r="B6714" s="115" t="s">
        <v>7431</v>
      </c>
      <c r="C6714" s="115">
        <v>3</v>
      </c>
      <c r="D6714" s="115" t="s">
        <v>12765</v>
      </c>
      <c r="E6714" s="115" t="s">
        <v>7432</v>
      </c>
      <c r="F6714" s="115">
        <v>21209</v>
      </c>
      <c r="G6714" s="115">
        <v>17062</v>
      </c>
      <c r="H6714" s="115">
        <v>25923</v>
      </c>
      <c r="I6714" s="115">
        <v>25700</v>
      </c>
      <c r="J6714" s="115">
        <v>49051</v>
      </c>
      <c r="K6714" s="115">
        <v>49171</v>
      </c>
    </row>
    <row r="6715" spans="1:11" x14ac:dyDescent="0.25">
      <c r="B6715" s="115" t="s">
        <v>7433</v>
      </c>
      <c r="D6715" s="115" t="s">
        <v>12766</v>
      </c>
      <c r="E6715" s="115" t="s">
        <v>7434</v>
      </c>
      <c r="F6715" s="115">
        <v>1009</v>
      </c>
      <c r="G6715" s="115">
        <v>0</v>
      </c>
      <c r="H6715" s="115">
        <v>0</v>
      </c>
      <c r="I6715" s="115">
        <v>-79</v>
      </c>
      <c r="J6715" s="115">
        <v>0</v>
      </c>
      <c r="K6715" s="115">
        <v>0</v>
      </c>
    </row>
    <row r="6716" spans="1:11" x14ac:dyDescent="0.25">
      <c r="B6716" s="115" t="s">
        <v>7435</v>
      </c>
      <c r="D6716" s="115" t="s">
        <v>12767</v>
      </c>
      <c r="E6716" s="115" t="s">
        <v>1663</v>
      </c>
      <c r="F6716" s="115">
        <v>0</v>
      </c>
      <c r="G6716" s="115">
        <v>0</v>
      </c>
      <c r="H6716" s="115">
        <v>0</v>
      </c>
      <c r="I6716" s="115">
        <v>0</v>
      </c>
      <c r="J6716" s="115">
        <v>0</v>
      </c>
      <c r="K6716" s="115">
        <v>53</v>
      </c>
    </row>
    <row r="6717" spans="1:11" x14ac:dyDescent="0.25">
      <c r="B6717" s="115" t="s">
        <v>1241</v>
      </c>
      <c r="D6717" s="115" t="s">
        <v>12768</v>
      </c>
      <c r="E6717" s="115" t="s">
        <v>7436</v>
      </c>
      <c r="F6717" s="115">
        <v>-109</v>
      </c>
      <c r="G6717" s="115">
        <v>0</v>
      </c>
      <c r="H6717" s="115">
        <v>-59</v>
      </c>
      <c r="I6717" s="115">
        <v>90</v>
      </c>
      <c r="J6717" s="115">
        <v>2</v>
      </c>
      <c r="K6717" s="115">
        <v>0</v>
      </c>
    </row>
    <row r="6718" spans="1:11" x14ac:dyDescent="0.25">
      <c r="A6718" s="115" t="s">
        <v>1239</v>
      </c>
      <c r="B6718" s="115" t="s">
        <v>7437</v>
      </c>
      <c r="D6718" s="115" t="s">
        <v>12769</v>
      </c>
      <c r="E6718" s="115" t="s">
        <v>7438</v>
      </c>
      <c r="F6718" s="115">
        <v>108</v>
      </c>
      <c r="G6718" s="115">
        <v>-101</v>
      </c>
      <c r="H6718" s="115">
        <v>0</v>
      </c>
      <c r="I6718" s="115">
        <v>58</v>
      </c>
      <c r="J6718" s="115">
        <v>0</v>
      </c>
      <c r="K6718" s="115">
        <v>0</v>
      </c>
    </row>
    <row r="6719" spans="1:11" x14ac:dyDescent="0.25">
      <c r="B6719" s="115" t="s">
        <v>1241</v>
      </c>
      <c r="D6719" s="115" t="s">
        <v>12770</v>
      </c>
      <c r="E6719" s="115" t="s">
        <v>7439</v>
      </c>
      <c r="F6719" s="115">
        <v>0</v>
      </c>
      <c r="G6719" s="115">
        <v>0</v>
      </c>
      <c r="H6719" s="115">
        <v>0</v>
      </c>
      <c r="I6719" s="115">
        <v>-73</v>
      </c>
      <c r="J6719" s="115">
        <v>0</v>
      </c>
      <c r="K6719" s="115">
        <v>29</v>
      </c>
    </row>
    <row r="6720" spans="1:11" x14ac:dyDescent="0.25">
      <c r="B6720" s="115" t="s">
        <v>1241</v>
      </c>
      <c r="D6720" s="115" t="s">
        <v>12771</v>
      </c>
      <c r="E6720" s="115" t="s">
        <v>7440</v>
      </c>
      <c r="F6720" s="115">
        <v>0</v>
      </c>
      <c r="G6720" s="115">
        <v>-62</v>
      </c>
      <c r="H6720" s="115">
        <v>0</v>
      </c>
      <c r="I6720" s="115">
        <v>-718</v>
      </c>
      <c r="J6720" s="115">
        <v>356</v>
      </c>
      <c r="K6720" s="115">
        <v>0</v>
      </c>
    </row>
    <row r="6721" spans="1:11" x14ac:dyDescent="0.25">
      <c r="B6721" s="115" t="s">
        <v>7441</v>
      </c>
      <c r="C6721" s="115">
        <v>-4</v>
      </c>
      <c r="D6721" s="115" t="s">
        <v>12772</v>
      </c>
      <c r="E6721" s="115" t="s">
        <v>7442</v>
      </c>
      <c r="F6721" s="115">
        <v>175</v>
      </c>
      <c r="G6721" s="115">
        <v>0</v>
      </c>
      <c r="H6721" s="115">
        <v>0</v>
      </c>
      <c r="I6721" s="115">
        <v>0</v>
      </c>
      <c r="J6721" s="115">
        <v>0</v>
      </c>
      <c r="K6721" s="115">
        <v>-1660</v>
      </c>
    </row>
    <row r="6722" spans="1:11" x14ac:dyDescent="0.25">
      <c r="A6722" s="115">
        <v>1</v>
      </c>
      <c r="B6722" s="115" t="s">
        <v>7443</v>
      </c>
      <c r="D6722" s="115" t="s">
        <v>12773</v>
      </c>
      <c r="E6722" s="115" t="s">
        <v>7444</v>
      </c>
      <c r="F6722" s="115">
        <v>79</v>
      </c>
      <c r="G6722" s="115">
        <v>519</v>
      </c>
      <c r="H6722" s="115">
        <v>0</v>
      </c>
      <c r="I6722" s="115">
        <v>43</v>
      </c>
      <c r="J6722" s="115">
        <v>1140</v>
      </c>
      <c r="K6722" s="115">
        <v>99</v>
      </c>
    </row>
    <row r="6723" spans="1:11" x14ac:dyDescent="0.25">
      <c r="A6723" s="115">
        <v>1</v>
      </c>
      <c r="B6723" s="115" t="s">
        <v>7445</v>
      </c>
      <c r="D6723" s="115" t="s">
        <v>12774</v>
      </c>
      <c r="E6723" s="115" t="s">
        <v>7446</v>
      </c>
      <c r="F6723" s="115">
        <v>0</v>
      </c>
      <c r="G6723" s="115">
        <v>0</v>
      </c>
      <c r="H6723" s="115">
        <v>0</v>
      </c>
      <c r="I6723" s="115">
        <v>0</v>
      </c>
      <c r="J6723" s="115">
        <v>0</v>
      </c>
      <c r="K6723" s="115">
        <v>614</v>
      </c>
    </row>
    <row r="6724" spans="1:11" x14ac:dyDescent="0.25">
      <c r="B6724" s="115" t="s">
        <v>7447</v>
      </c>
      <c r="D6724" s="115" t="s">
        <v>12775</v>
      </c>
      <c r="E6724" s="115" t="s">
        <v>7448</v>
      </c>
      <c r="F6724" s="115">
        <v>0</v>
      </c>
      <c r="G6724" s="115">
        <v>195</v>
      </c>
      <c r="H6724" s="115">
        <v>-41460</v>
      </c>
      <c r="I6724" s="115">
        <v>56</v>
      </c>
      <c r="J6724" s="115">
        <v>244</v>
      </c>
      <c r="K6724" s="115">
        <v>114</v>
      </c>
    </row>
    <row r="6725" spans="1:11" x14ac:dyDescent="0.25">
      <c r="B6725" s="115" t="s">
        <v>7449</v>
      </c>
      <c r="D6725" s="115" t="s">
        <v>12776</v>
      </c>
      <c r="E6725" s="115" t="s">
        <v>7450</v>
      </c>
      <c r="F6725" s="115">
        <v>-49</v>
      </c>
      <c r="G6725" s="115">
        <v>0</v>
      </c>
      <c r="H6725" s="115">
        <v>188</v>
      </c>
      <c r="I6725" s="115">
        <v>-374</v>
      </c>
      <c r="J6725" s="115">
        <v>0</v>
      </c>
      <c r="K6725" s="115">
        <v>0</v>
      </c>
    </row>
    <row r="6726" spans="1:11" x14ac:dyDescent="0.25">
      <c r="B6726" s="115" t="s">
        <v>3656</v>
      </c>
      <c r="C6726" s="115" t="s">
        <v>1239</v>
      </c>
      <c r="D6726" s="115" t="s">
        <v>12777</v>
      </c>
      <c r="E6726" s="115" t="s">
        <v>7451</v>
      </c>
      <c r="F6726" s="115">
        <v>-734</v>
      </c>
      <c r="G6726" s="115">
        <v>6</v>
      </c>
      <c r="H6726" s="115">
        <v>6</v>
      </c>
      <c r="I6726" s="115">
        <v>-218</v>
      </c>
      <c r="J6726" s="115">
        <v>0</v>
      </c>
      <c r="K6726" s="115">
        <v>0</v>
      </c>
    </row>
    <row r="6727" spans="1:11" x14ac:dyDescent="0.25">
      <c r="B6727" s="115" t="s">
        <v>1241</v>
      </c>
      <c r="D6727" s="115" t="s">
        <v>12778</v>
      </c>
      <c r="E6727" s="115" t="s">
        <v>7452</v>
      </c>
      <c r="F6727" s="115">
        <v>0</v>
      </c>
      <c r="G6727" s="115">
        <v>353</v>
      </c>
      <c r="H6727" s="115">
        <v>-228</v>
      </c>
      <c r="I6727" s="115">
        <v>-9</v>
      </c>
      <c r="J6727" s="115">
        <v>0</v>
      </c>
      <c r="K6727" s="115">
        <v>-93</v>
      </c>
    </row>
    <row r="6728" spans="1:11" x14ac:dyDescent="0.25">
      <c r="A6728" s="115">
        <v>-40</v>
      </c>
      <c r="B6728" s="115" t="s">
        <v>7453</v>
      </c>
      <c r="D6728" s="115" t="s">
        <v>12779</v>
      </c>
      <c r="E6728" s="115" t="s">
        <v>7454</v>
      </c>
      <c r="F6728" s="115">
        <v>-93</v>
      </c>
      <c r="G6728" s="115">
        <v>1803</v>
      </c>
      <c r="H6728" s="115">
        <v>1931</v>
      </c>
      <c r="I6728" s="115">
        <v>0</v>
      </c>
      <c r="J6728" s="115">
        <v>67</v>
      </c>
      <c r="K6728" s="115">
        <v>0</v>
      </c>
    </row>
    <row r="6729" spans="1:11" x14ac:dyDescent="0.25">
      <c r="B6729" s="115" t="s">
        <v>7455</v>
      </c>
      <c r="D6729" s="115" t="s">
        <v>12780</v>
      </c>
      <c r="E6729" s="115" t="s">
        <v>7456</v>
      </c>
      <c r="F6729" s="115">
        <v>282</v>
      </c>
      <c r="G6729" s="115">
        <v>0</v>
      </c>
      <c r="H6729" s="115">
        <v>0</v>
      </c>
      <c r="I6729" s="115">
        <v>-39</v>
      </c>
      <c r="J6729" s="115">
        <v>0</v>
      </c>
      <c r="K6729" s="115">
        <v>141</v>
      </c>
    </row>
    <row r="6730" spans="1:11" x14ac:dyDescent="0.25">
      <c r="B6730" s="115" t="s">
        <v>7457</v>
      </c>
      <c r="D6730" s="115" t="s">
        <v>12781</v>
      </c>
      <c r="E6730" s="115" t="s">
        <v>7458</v>
      </c>
      <c r="F6730" s="115">
        <v>0</v>
      </c>
      <c r="G6730" s="115">
        <v>0</v>
      </c>
      <c r="H6730" s="115">
        <v>0</v>
      </c>
      <c r="I6730" s="115">
        <v>-44</v>
      </c>
      <c r="J6730" s="115">
        <v>0</v>
      </c>
      <c r="K6730" s="115">
        <v>-237</v>
      </c>
    </row>
    <row r="6731" spans="1:11" x14ac:dyDescent="0.25">
      <c r="B6731" s="115" t="s">
        <v>7459</v>
      </c>
      <c r="D6731" s="115" t="s">
        <v>12782</v>
      </c>
      <c r="E6731" s="115" t="s">
        <v>7460</v>
      </c>
      <c r="F6731" s="115">
        <v>-48285</v>
      </c>
      <c r="G6731" s="115">
        <v>425</v>
      </c>
      <c r="H6731" s="115">
        <v>0</v>
      </c>
      <c r="I6731" s="115">
        <v>0</v>
      </c>
      <c r="J6731" s="115">
        <v>0</v>
      </c>
      <c r="K6731" s="115">
        <v>3683</v>
      </c>
    </row>
    <row r="6732" spans="1:11" x14ac:dyDescent="0.25">
      <c r="A6732" s="115">
        <v>5</v>
      </c>
      <c r="B6732" s="115" t="s">
        <v>7461</v>
      </c>
      <c r="C6732" s="115" t="s">
        <v>1239</v>
      </c>
      <c r="D6732" s="115" t="s">
        <v>12783</v>
      </c>
      <c r="E6732" s="115" t="s">
        <v>7462</v>
      </c>
      <c r="F6732" s="115">
        <v>0</v>
      </c>
      <c r="G6732" s="115">
        <v>-1</v>
      </c>
      <c r="H6732" s="115">
        <v>0</v>
      </c>
      <c r="I6732" s="115">
        <v>0</v>
      </c>
      <c r="J6732" s="115">
        <v>113</v>
      </c>
      <c r="K6732" s="115">
        <v>0</v>
      </c>
    </row>
    <row r="6733" spans="1:11" x14ac:dyDescent="0.25">
      <c r="A6733" s="115" t="s">
        <v>1239</v>
      </c>
      <c r="B6733" s="115" t="s">
        <v>7463</v>
      </c>
      <c r="C6733" s="115" t="s">
        <v>1239</v>
      </c>
      <c r="D6733" s="115" t="s">
        <v>12784</v>
      </c>
      <c r="E6733" s="115" t="s">
        <v>1242</v>
      </c>
      <c r="F6733" s="115">
        <v>0</v>
      </c>
      <c r="G6733" s="115">
        <v>0</v>
      </c>
      <c r="H6733" s="115">
        <v>0</v>
      </c>
      <c r="I6733" s="115">
        <v>0</v>
      </c>
      <c r="J6733" s="115">
        <v>0</v>
      </c>
      <c r="K6733" s="115">
        <v>0</v>
      </c>
    </row>
    <row r="6734" spans="1:11" x14ac:dyDescent="0.25">
      <c r="B6734" s="115" t="s">
        <v>2549</v>
      </c>
      <c r="D6734" s="115" t="s">
        <v>12785</v>
      </c>
      <c r="E6734" s="115" t="s">
        <v>7464</v>
      </c>
      <c r="F6734" s="115">
        <v>-2876</v>
      </c>
      <c r="G6734" s="115">
        <v>-834</v>
      </c>
      <c r="H6734" s="115">
        <v>0</v>
      </c>
      <c r="I6734" s="115">
        <v>3235</v>
      </c>
      <c r="J6734" s="115">
        <v>-42589</v>
      </c>
      <c r="K6734" s="115">
        <v>0</v>
      </c>
    </row>
    <row r="6735" spans="1:11" x14ac:dyDescent="0.25">
      <c r="B6735" s="115" t="s">
        <v>1241</v>
      </c>
      <c r="D6735" s="115" t="s">
        <v>12786</v>
      </c>
      <c r="E6735" s="115">
        <f>-5510  -1360  -1311  -1628  -2086</f>
        <v>-11895</v>
      </c>
      <c r="F6735" s="115">
        <v>-5429</v>
      </c>
      <c r="G6735" s="115">
        <v>-5510</v>
      </c>
      <c r="H6735" s="115">
        <v>-1360</v>
      </c>
      <c r="I6735" s="115">
        <v>-1311</v>
      </c>
      <c r="J6735" s="115">
        <v>-1628</v>
      </c>
      <c r="K6735" s="115">
        <v>-2086</v>
      </c>
    </row>
    <row r="6736" spans="1:11" x14ac:dyDescent="0.25">
      <c r="B6736" s="115" t="s">
        <v>1241</v>
      </c>
      <c r="D6736" s="115" t="s">
        <v>12787</v>
      </c>
      <c r="E6736" s="115" t="s">
        <v>7465</v>
      </c>
      <c r="F6736" s="115">
        <v>-13795</v>
      </c>
      <c r="G6736" s="115">
        <v>0</v>
      </c>
      <c r="H6736" s="115">
        <v>-8285</v>
      </c>
      <c r="I6736" s="115">
        <v>0</v>
      </c>
      <c r="J6736" s="115">
        <v>0</v>
      </c>
      <c r="K6736" s="115">
        <v>1097</v>
      </c>
    </row>
    <row r="6737" spans="1:11" x14ac:dyDescent="0.25">
      <c r="A6737" s="115" t="s">
        <v>1239</v>
      </c>
      <c r="B6737" s="115" t="s">
        <v>3670</v>
      </c>
      <c r="D6737" s="115" t="s">
        <v>12788</v>
      </c>
      <c r="E6737" s="115" t="s">
        <v>7466</v>
      </c>
      <c r="F6737" s="115">
        <v>0</v>
      </c>
      <c r="G6737" s="115">
        <v>-2102</v>
      </c>
      <c r="H6737" s="115">
        <v>0</v>
      </c>
      <c r="I6737" s="115">
        <v>-879</v>
      </c>
      <c r="J6737" s="115">
        <v>-1724</v>
      </c>
      <c r="K6737" s="115">
        <v>-1426</v>
      </c>
    </row>
    <row r="6738" spans="1:11" x14ac:dyDescent="0.25">
      <c r="B6738" s="115" t="s">
        <v>7467</v>
      </c>
      <c r="D6738" s="115" t="s">
        <v>12789</v>
      </c>
      <c r="E6738" s="115" t="s">
        <v>7468</v>
      </c>
      <c r="F6738" s="115">
        <v>-126</v>
      </c>
      <c r="G6738" s="115">
        <v>-1821</v>
      </c>
      <c r="H6738" s="115">
        <v>-768</v>
      </c>
      <c r="I6738" s="115">
        <v>0</v>
      </c>
      <c r="J6738" s="115">
        <v>0</v>
      </c>
      <c r="K6738" s="115">
        <v>0</v>
      </c>
    </row>
    <row r="6739" spans="1:11" x14ac:dyDescent="0.25">
      <c r="B6739" s="115" t="s">
        <v>1241</v>
      </c>
      <c r="D6739" s="115" t="s">
        <v>12790</v>
      </c>
      <c r="E6739" s="115" t="s">
        <v>7469</v>
      </c>
      <c r="F6739" s="115">
        <v>-386</v>
      </c>
      <c r="G6739" s="115">
        <v>-269</v>
      </c>
      <c r="H6739" s="115">
        <v>3120</v>
      </c>
      <c r="I6739" s="115">
        <v>-159</v>
      </c>
      <c r="J6739" s="115">
        <v>2033</v>
      </c>
      <c r="K6739" s="115">
        <v>-56</v>
      </c>
    </row>
    <row r="6740" spans="1:11" x14ac:dyDescent="0.25">
      <c r="B6740" s="115" t="s">
        <v>1241</v>
      </c>
      <c r="D6740" s="115" t="s">
        <v>12791</v>
      </c>
      <c r="E6740" s="115" t="s">
        <v>7470</v>
      </c>
      <c r="F6740" s="115">
        <v>269</v>
      </c>
      <c r="G6740" s="115">
        <v>232</v>
      </c>
      <c r="H6740" s="115">
        <v>0</v>
      </c>
      <c r="I6740" s="115">
        <v>0</v>
      </c>
      <c r="J6740" s="115">
        <v>0</v>
      </c>
      <c r="K6740" s="115">
        <v>0</v>
      </c>
    </row>
    <row r="6741" spans="1:11" x14ac:dyDescent="0.25">
      <c r="B6741" s="115" t="s">
        <v>2719</v>
      </c>
      <c r="C6741" s="115" t="s">
        <v>1239</v>
      </c>
      <c r="D6741" s="115" t="s">
        <v>12792</v>
      </c>
      <c r="E6741" s="115" t="s">
        <v>1242</v>
      </c>
      <c r="F6741" s="115">
        <v>0</v>
      </c>
      <c r="G6741" s="115">
        <v>0</v>
      </c>
      <c r="H6741" s="115">
        <v>0</v>
      </c>
      <c r="I6741" s="115">
        <v>0</v>
      </c>
      <c r="J6741" s="115">
        <v>0</v>
      </c>
      <c r="K6741" s="115">
        <v>0</v>
      </c>
    </row>
    <row r="6742" spans="1:11" x14ac:dyDescent="0.25">
      <c r="B6742" s="115" t="s">
        <v>1241</v>
      </c>
      <c r="D6742" s="115" t="s">
        <v>12793</v>
      </c>
      <c r="E6742" s="115" t="s">
        <v>7471</v>
      </c>
      <c r="F6742" s="115">
        <v>0</v>
      </c>
      <c r="G6742" s="115">
        <v>0</v>
      </c>
      <c r="H6742" s="115">
        <v>0</v>
      </c>
      <c r="I6742" s="115">
        <v>0</v>
      </c>
      <c r="J6742" s="115">
        <v>0</v>
      </c>
      <c r="K6742" s="115">
        <v>61</v>
      </c>
    </row>
    <row r="6743" spans="1:11" x14ac:dyDescent="0.25">
      <c r="B6743" s="115" t="s">
        <v>1241</v>
      </c>
      <c r="D6743" s="115" t="s">
        <v>12794</v>
      </c>
      <c r="E6743" s="115" t="s">
        <v>7472</v>
      </c>
      <c r="F6743" s="115">
        <v>0</v>
      </c>
      <c r="G6743" s="115">
        <v>427</v>
      </c>
      <c r="H6743" s="115">
        <v>398</v>
      </c>
      <c r="I6743" s="115">
        <v>8</v>
      </c>
      <c r="J6743" s="115">
        <v>4177</v>
      </c>
      <c r="K6743" s="115">
        <v>1690</v>
      </c>
    </row>
    <row r="6744" spans="1:11" x14ac:dyDescent="0.25">
      <c r="A6744" s="115">
        <v>1</v>
      </c>
      <c r="B6744" s="115" t="s">
        <v>7473</v>
      </c>
      <c r="D6744" s="115" t="s">
        <v>12795</v>
      </c>
      <c r="E6744" s="115" t="s">
        <v>7474</v>
      </c>
      <c r="F6744" s="115">
        <v>69</v>
      </c>
      <c r="G6744" s="115">
        <v>469</v>
      </c>
      <c r="H6744" s="115">
        <v>421</v>
      </c>
      <c r="I6744" s="115">
        <v>402</v>
      </c>
      <c r="J6744" s="115">
        <v>1746</v>
      </c>
      <c r="K6744" s="115">
        <v>1474</v>
      </c>
    </row>
    <row r="6745" spans="1:11" x14ac:dyDescent="0.25">
      <c r="A6745" s="115">
        <v>1</v>
      </c>
      <c r="B6745" s="115" t="s">
        <v>7475</v>
      </c>
      <c r="D6745" s="115" t="s">
        <v>12796</v>
      </c>
      <c r="E6745" s="115" t="s">
        <v>7476</v>
      </c>
      <c r="F6745" s="115">
        <v>2559</v>
      </c>
      <c r="G6745" s="115">
        <v>2354</v>
      </c>
      <c r="H6745" s="115">
        <v>-251</v>
      </c>
      <c r="I6745" s="115">
        <v>3108</v>
      </c>
      <c r="J6745" s="115">
        <v>1251</v>
      </c>
      <c r="K6745" s="115">
        <v>1827</v>
      </c>
    </row>
    <row r="6746" spans="1:11" x14ac:dyDescent="0.25">
      <c r="A6746" s="115" t="s">
        <v>1239</v>
      </c>
      <c r="B6746" s="115" t="s">
        <v>7477</v>
      </c>
      <c r="D6746" s="115" t="s">
        <v>12797</v>
      </c>
      <c r="E6746" s="115" t="s">
        <v>7478</v>
      </c>
      <c r="F6746" s="115">
        <v>-636</v>
      </c>
      <c r="G6746" s="115">
        <v>2105</v>
      </c>
      <c r="H6746" s="115">
        <v>1338</v>
      </c>
      <c r="I6746" s="115">
        <v>1342</v>
      </c>
      <c r="J6746" s="115">
        <v>-685</v>
      </c>
      <c r="K6746" s="115">
        <v>2718</v>
      </c>
    </row>
    <row r="6747" spans="1:11" x14ac:dyDescent="0.25">
      <c r="B6747" s="115" t="s">
        <v>7479</v>
      </c>
      <c r="D6747" s="115" t="s">
        <v>12798</v>
      </c>
      <c r="E6747" s="115" t="s">
        <v>7480</v>
      </c>
      <c r="F6747" s="115">
        <v>-934</v>
      </c>
      <c r="G6747" s="115">
        <v>-282</v>
      </c>
      <c r="H6747" s="115">
        <v>-515</v>
      </c>
      <c r="I6747" s="115">
        <v>-281</v>
      </c>
      <c r="J6747" s="115">
        <v>160</v>
      </c>
      <c r="K6747" s="115">
        <v>534</v>
      </c>
    </row>
    <row r="6748" spans="1:11" x14ac:dyDescent="0.25">
      <c r="A6748" s="115" t="s">
        <v>1239</v>
      </c>
      <c r="B6748" s="115" t="s">
        <v>7481</v>
      </c>
      <c r="C6748" s="115" t="s">
        <v>1239</v>
      </c>
      <c r="D6748" s="115" t="s">
        <v>12799</v>
      </c>
      <c r="E6748" s="115" t="s">
        <v>7482</v>
      </c>
      <c r="F6748" s="115">
        <v>62</v>
      </c>
      <c r="G6748" s="115">
        <v>-108</v>
      </c>
      <c r="H6748" s="115">
        <v>137</v>
      </c>
      <c r="I6748" s="115">
        <v>2626</v>
      </c>
      <c r="J6748" s="115">
        <v>267</v>
      </c>
      <c r="K6748" s="115">
        <v>187</v>
      </c>
    </row>
    <row r="6749" spans="1:11" x14ac:dyDescent="0.25">
      <c r="B6749" s="115" t="s">
        <v>7483</v>
      </c>
      <c r="D6749" s="115" t="s">
        <v>12800</v>
      </c>
      <c r="E6749" s="115" t="s">
        <v>7484</v>
      </c>
      <c r="F6749" s="115">
        <v>37559</v>
      </c>
      <c r="G6749" s="115">
        <v>37522</v>
      </c>
      <c r="H6749" s="115">
        <v>34794</v>
      </c>
      <c r="I6749" s="115">
        <v>35346</v>
      </c>
      <c r="J6749" s="115">
        <v>16411</v>
      </c>
      <c r="K6749" s="115">
        <v>21596</v>
      </c>
    </row>
    <row r="6750" spans="1:11" x14ac:dyDescent="0.25">
      <c r="A6750" s="115">
        <v>17</v>
      </c>
      <c r="B6750" s="115" t="s">
        <v>7485</v>
      </c>
      <c r="C6750" s="115">
        <v>2</v>
      </c>
      <c r="D6750" s="115" t="s">
        <v>12801</v>
      </c>
      <c r="E6750" s="115" t="s">
        <v>7486</v>
      </c>
      <c r="F6750" s="115">
        <v>50686</v>
      </c>
      <c r="G6750" s="115">
        <v>44081</v>
      </c>
      <c r="H6750" s="115">
        <v>326</v>
      </c>
      <c r="I6750" s="115">
        <v>-32220</v>
      </c>
      <c r="J6750" s="115">
        <v>-286</v>
      </c>
      <c r="K6750" s="115">
        <v>-20</v>
      </c>
    </row>
    <row r="6751" spans="1:11" x14ac:dyDescent="0.25">
      <c r="B6751" s="115" t="s">
        <v>2592</v>
      </c>
      <c r="D6751" s="115" t="s">
        <v>12802</v>
      </c>
      <c r="E6751" s="115" t="s">
        <v>7487</v>
      </c>
      <c r="F6751" s="115">
        <v>0</v>
      </c>
      <c r="G6751" s="115">
        <v>0</v>
      </c>
      <c r="H6751" s="115">
        <v>0</v>
      </c>
      <c r="I6751" s="115">
        <v>-32</v>
      </c>
      <c r="J6751" s="115">
        <v>67</v>
      </c>
      <c r="K6751" s="115">
        <v>0</v>
      </c>
    </row>
    <row r="6752" spans="1:11" x14ac:dyDescent="0.25">
      <c r="B6752" s="115" t="s">
        <v>1241</v>
      </c>
      <c r="D6752" s="115" t="s">
        <v>12803</v>
      </c>
      <c r="E6752" s="115" t="s">
        <v>7488</v>
      </c>
      <c r="F6752" s="115">
        <v>0</v>
      </c>
      <c r="G6752" s="115">
        <v>-42</v>
      </c>
      <c r="H6752" s="115">
        <v>0</v>
      </c>
      <c r="I6752" s="115">
        <v>0</v>
      </c>
      <c r="J6752" s="115">
        <v>68</v>
      </c>
      <c r="K6752" s="115">
        <v>0</v>
      </c>
    </row>
    <row r="6753" spans="1:11" x14ac:dyDescent="0.25">
      <c r="B6753" s="115" t="s">
        <v>7489</v>
      </c>
      <c r="D6753" s="115" t="s">
        <v>12804</v>
      </c>
      <c r="E6753" s="115" t="s">
        <v>7490</v>
      </c>
      <c r="F6753" s="115">
        <v>-5</v>
      </c>
      <c r="G6753" s="115">
        <v>0</v>
      </c>
      <c r="H6753" s="115">
        <v>92</v>
      </c>
      <c r="I6753" s="115">
        <v>-27780</v>
      </c>
      <c r="J6753" s="115">
        <v>-135</v>
      </c>
      <c r="K6753" s="115">
        <v>-253</v>
      </c>
    </row>
    <row r="6754" spans="1:11" x14ac:dyDescent="0.25">
      <c r="A6754" s="115" t="s">
        <v>1239</v>
      </c>
      <c r="B6754" s="115" t="s">
        <v>7491</v>
      </c>
      <c r="D6754" s="115" t="s">
        <v>12805</v>
      </c>
      <c r="E6754" s="115" t="s">
        <v>7492</v>
      </c>
      <c r="F6754" s="115">
        <v>0</v>
      </c>
      <c r="G6754" s="115">
        <v>0</v>
      </c>
      <c r="H6754" s="115">
        <v>0</v>
      </c>
      <c r="I6754" s="115">
        <v>0</v>
      </c>
      <c r="J6754" s="115">
        <v>0</v>
      </c>
      <c r="K6754" s="115">
        <v>72</v>
      </c>
    </row>
    <row r="6755" spans="1:11" x14ac:dyDescent="0.25">
      <c r="B6755" s="115" t="s">
        <v>1241</v>
      </c>
      <c r="D6755" s="115" t="s">
        <v>12806</v>
      </c>
      <c r="E6755" s="115" t="s">
        <v>7493</v>
      </c>
      <c r="F6755" s="115">
        <v>0</v>
      </c>
      <c r="G6755" s="115">
        <v>-26</v>
      </c>
      <c r="H6755" s="115">
        <v>0</v>
      </c>
      <c r="I6755" s="115">
        <v>0</v>
      </c>
      <c r="J6755" s="115">
        <v>0</v>
      </c>
      <c r="K6755" s="115">
        <v>0</v>
      </c>
    </row>
    <row r="6756" spans="1:11" x14ac:dyDescent="0.25">
      <c r="B6756" s="115" t="s">
        <v>7494</v>
      </c>
      <c r="D6756" s="115" t="s">
        <v>12807</v>
      </c>
      <c r="E6756" s="115" t="s">
        <v>7495</v>
      </c>
      <c r="F6756" s="115">
        <v>299</v>
      </c>
      <c r="G6756" s="115">
        <v>0</v>
      </c>
      <c r="H6756" s="115">
        <v>0</v>
      </c>
      <c r="I6756" s="115">
        <v>139</v>
      </c>
      <c r="J6756" s="115">
        <v>-43834</v>
      </c>
      <c r="K6756" s="115">
        <v>0</v>
      </c>
    </row>
    <row r="6757" spans="1:11" x14ac:dyDescent="0.25">
      <c r="A6757" s="115" t="s">
        <v>1239</v>
      </c>
      <c r="B6757" s="115" t="s">
        <v>7496</v>
      </c>
      <c r="D6757" s="115" t="s">
        <v>12808</v>
      </c>
      <c r="E6757" s="115" t="s">
        <v>7497</v>
      </c>
      <c r="F6757" s="115">
        <v>0</v>
      </c>
      <c r="G6757" s="115">
        <v>2</v>
      </c>
      <c r="H6757" s="115">
        <v>137</v>
      </c>
      <c r="I6757" s="115">
        <v>156</v>
      </c>
      <c r="J6757" s="115">
        <v>0</v>
      </c>
      <c r="K6757" s="115">
        <v>0</v>
      </c>
    </row>
    <row r="6758" spans="1:11" x14ac:dyDescent="0.25">
      <c r="A6758" s="115" t="s">
        <v>1239</v>
      </c>
      <c r="B6758" s="115" t="s">
        <v>7498</v>
      </c>
      <c r="D6758" s="115" t="s">
        <v>12809</v>
      </c>
      <c r="E6758" s="115" t="s">
        <v>7499</v>
      </c>
      <c r="F6758" s="115">
        <v>-88</v>
      </c>
      <c r="G6758" s="115">
        <v>0</v>
      </c>
      <c r="H6758" s="115">
        <v>-55</v>
      </c>
      <c r="I6758" s="115">
        <v>-54</v>
      </c>
      <c r="J6758" s="115">
        <v>-174</v>
      </c>
      <c r="K6758" s="115">
        <v>-81</v>
      </c>
    </row>
    <row r="6759" spans="1:11" x14ac:dyDescent="0.25">
      <c r="B6759" s="115" t="s">
        <v>1241</v>
      </c>
      <c r="D6759" s="115" t="s">
        <v>12810</v>
      </c>
      <c r="E6759" s="115" t="s">
        <v>7500</v>
      </c>
      <c r="F6759" s="115">
        <v>0</v>
      </c>
      <c r="G6759" s="115">
        <v>-283</v>
      </c>
      <c r="H6759" s="115">
        <v>0</v>
      </c>
      <c r="I6759" s="115">
        <v>27</v>
      </c>
      <c r="J6759" s="115">
        <v>-276</v>
      </c>
      <c r="K6759" s="115">
        <v>67</v>
      </c>
    </row>
    <row r="6760" spans="1:11" x14ac:dyDescent="0.25">
      <c r="B6760" s="115" t="s">
        <v>7501</v>
      </c>
      <c r="C6760" s="115">
        <v>-4</v>
      </c>
      <c r="D6760" s="115" t="s">
        <v>12811</v>
      </c>
      <c r="E6760" s="115" t="s">
        <v>7502</v>
      </c>
      <c r="F6760" s="115">
        <v>301</v>
      </c>
      <c r="G6760" s="115">
        <v>275</v>
      </c>
      <c r="H6760" s="115">
        <v>0</v>
      </c>
      <c r="I6760" s="115">
        <v>110</v>
      </c>
      <c r="J6760" s="115">
        <v>1275</v>
      </c>
      <c r="K6760" s="115">
        <v>206</v>
      </c>
    </row>
    <row r="6761" spans="1:11" x14ac:dyDescent="0.25">
      <c r="B6761" s="115" t="s">
        <v>6140</v>
      </c>
      <c r="D6761" s="115" t="s">
        <v>12812</v>
      </c>
      <c r="E6761" s="115" t="s">
        <v>7503</v>
      </c>
      <c r="F6761" s="115">
        <v>0</v>
      </c>
      <c r="G6761" s="115">
        <v>0</v>
      </c>
      <c r="H6761" s="115">
        <v>0</v>
      </c>
      <c r="I6761" s="115">
        <v>1</v>
      </c>
      <c r="J6761" s="115">
        <v>69</v>
      </c>
      <c r="K6761" s="115">
        <v>0</v>
      </c>
    </row>
    <row r="6762" spans="1:11" x14ac:dyDescent="0.25">
      <c r="B6762" s="115" t="s">
        <v>7504</v>
      </c>
      <c r="D6762" s="115" t="s">
        <v>12813</v>
      </c>
      <c r="E6762" s="115" t="s">
        <v>7505</v>
      </c>
      <c r="F6762" s="115">
        <v>0</v>
      </c>
      <c r="G6762" s="115">
        <v>0</v>
      </c>
      <c r="H6762" s="115">
        <v>0</v>
      </c>
      <c r="I6762" s="115">
        <v>0</v>
      </c>
      <c r="J6762" s="115">
        <v>0</v>
      </c>
      <c r="K6762" s="115">
        <v>-454</v>
      </c>
    </row>
    <row r="6763" spans="1:11" x14ac:dyDescent="0.25">
      <c r="B6763" s="115" t="s">
        <v>7506</v>
      </c>
      <c r="D6763" s="115" t="s">
        <v>12814</v>
      </c>
      <c r="E6763" s="115" t="s">
        <v>7507</v>
      </c>
      <c r="F6763" s="115">
        <v>0</v>
      </c>
      <c r="G6763" s="115">
        <v>25</v>
      </c>
      <c r="H6763" s="115">
        <v>-48868</v>
      </c>
      <c r="I6763" s="115">
        <v>-1002</v>
      </c>
      <c r="J6763" s="115">
        <v>-978</v>
      </c>
      <c r="K6763" s="115">
        <v>172</v>
      </c>
    </row>
    <row r="6764" spans="1:11" x14ac:dyDescent="0.25">
      <c r="A6764" s="115" t="s">
        <v>1239</v>
      </c>
      <c r="B6764" s="115" t="s">
        <v>7508</v>
      </c>
      <c r="D6764" s="115" t="s">
        <v>12815</v>
      </c>
      <c r="E6764" s="115" t="s">
        <v>7509</v>
      </c>
      <c r="F6764" s="115">
        <v>486</v>
      </c>
      <c r="G6764" s="115">
        <v>0</v>
      </c>
      <c r="H6764" s="115">
        <v>0</v>
      </c>
      <c r="I6764" s="115">
        <v>110</v>
      </c>
      <c r="J6764" s="115">
        <v>65</v>
      </c>
      <c r="K6764" s="115">
        <v>0</v>
      </c>
    </row>
    <row r="6765" spans="1:11" x14ac:dyDescent="0.25">
      <c r="A6765" s="115" t="s">
        <v>1239</v>
      </c>
      <c r="B6765" s="115" t="s">
        <v>7510</v>
      </c>
      <c r="D6765" s="115" t="s">
        <v>12816</v>
      </c>
      <c r="E6765" s="115" t="s">
        <v>7511</v>
      </c>
      <c r="F6765" s="115">
        <v>0</v>
      </c>
      <c r="G6765" s="115">
        <v>737</v>
      </c>
      <c r="H6765" s="115">
        <v>788</v>
      </c>
      <c r="I6765" s="115">
        <v>-694</v>
      </c>
      <c r="J6765" s="115">
        <v>0</v>
      </c>
      <c r="K6765" s="115">
        <v>0</v>
      </c>
    </row>
    <row r="6766" spans="1:11" x14ac:dyDescent="0.25">
      <c r="B6766" s="115" t="s">
        <v>1241</v>
      </c>
      <c r="D6766" s="115" t="s">
        <v>12817</v>
      </c>
      <c r="E6766" s="115" t="s">
        <v>7512</v>
      </c>
      <c r="F6766" s="115">
        <v>0</v>
      </c>
      <c r="G6766" s="115">
        <v>-136</v>
      </c>
      <c r="H6766" s="115">
        <v>3027</v>
      </c>
      <c r="I6766" s="115">
        <v>1377</v>
      </c>
      <c r="J6766" s="115">
        <v>0</v>
      </c>
      <c r="K6766" s="115">
        <v>369</v>
      </c>
    </row>
    <row r="6767" spans="1:11" x14ac:dyDescent="0.25">
      <c r="A6767" s="115">
        <v>-54</v>
      </c>
      <c r="B6767" s="115" t="s">
        <v>7513</v>
      </c>
      <c r="D6767" s="115" t="s">
        <v>12818</v>
      </c>
      <c r="E6767" s="115" t="s">
        <v>7514</v>
      </c>
      <c r="F6767" s="115">
        <v>0</v>
      </c>
      <c r="G6767" s="115">
        <v>2173</v>
      </c>
      <c r="H6767" s="115">
        <v>3314</v>
      </c>
      <c r="I6767" s="115">
        <v>2457</v>
      </c>
      <c r="J6767" s="115">
        <v>-1486</v>
      </c>
      <c r="K6767" s="115">
        <v>-1376</v>
      </c>
    </row>
    <row r="6768" spans="1:11" x14ac:dyDescent="0.25">
      <c r="B6768" s="115" t="s">
        <v>7515</v>
      </c>
      <c r="D6768" s="115" t="s">
        <v>12819</v>
      </c>
      <c r="E6768" s="115" t="s">
        <v>7516</v>
      </c>
      <c r="F6768" s="115">
        <v>98</v>
      </c>
      <c r="G6768" s="115">
        <v>0</v>
      </c>
      <c r="H6768" s="115">
        <v>-857</v>
      </c>
      <c r="I6768" s="115">
        <v>0</v>
      </c>
      <c r="J6768" s="115">
        <v>-1363</v>
      </c>
      <c r="K6768" s="115">
        <v>0</v>
      </c>
    </row>
    <row r="6769" spans="1:11" x14ac:dyDescent="0.25">
      <c r="B6769" s="115" t="s">
        <v>1241</v>
      </c>
      <c r="D6769" s="115" t="s">
        <v>12820</v>
      </c>
      <c r="E6769" s="115" t="s">
        <v>7517</v>
      </c>
      <c r="F6769" s="115">
        <v>0</v>
      </c>
      <c r="G6769" s="115">
        <v>0</v>
      </c>
      <c r="H6769" s="115">
        <v>0</v>
      </c>
      <c r="I6769" s="115">
        <v>-143</v>
      </c>
      <c r="J6769" s="115">
        <v>0</v>
      </c>
      <c r="K6769" s="115">
        <v>-3664</v>
      </c>
    </row>
    <row r="6770" spans="1:11" x14ac:dyDescent="0.25">
      <c r="A6770" s="115">
        <v>-3</v>
      </c>
      <c r="B6770" s="115" t="s">
        <v>7518</v>
      </c>
      <c r="D6770" s="115" t="s">
        <v>12821</v>
      </c>
      <c r="E6770" s="115" t="s">
        <v>1242</v>
      </c>
      <c r="F6770" s="115">
        <v>-45286</v>
      </c>
      <c r="G6770" s="115">
        <v>0</v>
      </c>
      <c r="H6770" s="115">
        <v>0</v>
      </c>
      <c r="I6770" s="115">
        <v>0</v>
      </c>
      <c r="J6770" s="115">
        <v>0</v>
      </c>
      <c r="K6770" s="115">
        <v>0</v>
      </c>
    </row>
    <row r="6771" spans="1:11" x14ac:dyDescent="0.25">
      <c r="A6771" s="115">
        <v>-3</v>
      </c>
      <c r="B6771" s="115" t="s">
        <v>7519</v>
      </c>
      <c r="D6771" s="115" t="s">
        <v>12822</v>
      </c>
      <c r="E6771" s="115" t="s">
        <v>7520</v>
      </c>
      <c r="F6771" s="115">
        <v>-12</v>
      </c>
      <c r="G6771" s="115">
        <v>26</v>
      </c>
      <c r="H6771" s="115">
        <v>0</v>
      </c>
      <c r="I6771" s="115">
        <v>0</v>
      </c>
      <c r="J6771" s="115">
        <v>0</v>
      </c>
      <c r="K6771" s="115">
        <v>0</v>
      </c>
    </row>
    <row r="6772" spans="1:11" x14ac:dyDescent="0.25">
      <c r="A6772" s="115">
        <v>-2</v>
      </c>
      <c r="B6772" s="115" t="s">
        <v>7167</v>
      </c>
      <c r="C6772" s="115" t="s">
        <v>1239</v>
      </c>
      <c r="D6772" s="115" t="s">
        <v>12823</v>
      </c>
      <c r="E6772" s="115" t="s">
        <v>7521</v>
      </c>
      <c r="F6772" s="115">
        <v>0</v>
      </c>
      <c r="G6772" s="115">
        <v>437</v>
      </c>
      <c r="H6772" s="115">
        <v>-287</v>
      </c>
      <c r="I6772" s="115">
        <v>0</v>
      </c>
      <c r="J6772" s="115">
        <v>0</v>
      </c>
      <c r="K6772" s="115">
        <v>0</v>
      </c>
    </row>
    <row r="6773" spans="1:11" x14ac:dyDescent="0.25">
      <c r="B6773" s="115" t="s">
        <v>7522</v>
      </c>
      <c r="D6773" s="115" t="s">
        <v>12824</v>
      </c>
      <c r="E6773" s="115" t="s">
        <v>7523</v>
      </c>
      <c r="F6773" s="115">
        <v>-3067</v>
      </c>
      <c r="G6773" s="115">
        <v>-756</v>
      </c>
      <c r="H6773" s="115">
        <v>3960</v>
      </c>
      <c r="I6773" s="115">
        <v>1008</v>
      </c>
      <c r="J6773" s="115">
        <v>830</v>
      </c>
      <c r="K6773" s="115">
        <v>621</v>
      </c>
    </row>
    <row r="6774" spans="1:11" x14ac:dyDescent="0.25">
      <c r="B6774" s="115" t="s">
        <v>7524</v>
      </c>
      <c r="D6774" s="115" t="s">
        <v>12825</v>
      </c>
      <c r="E6774" s="115" t="s">
        <v>1242</v>
      </c>
      <c r="F6774" s="115">
        <v>0</v>
      </c>
      <c r="G6774" s="115">
        <v>0</v>
      </c>
      <c r="H6774" s="115">
        <v>0</v>
      </c>
      <c r="I6774" s="115">
        <v>0</v>
      </c>
      <c r="J6774" s="115">
        <v>0</v>
      </c>
      <c r="K6774" s="115">
        <v>0</v>
      </c>
    </row>
    <row r="6775" spans="1:11" x14ac:dyDescent="0.25">
      <c r="B6775" s="115" t="s">
        <v>7525</v>
      </c>
      <c r="D6775" s="115" t="s">
        <v>12826</v>
      </c>
      <c r="E6775" s="115" t="s">
        <v>7526</v>
      </c>
      <c r="F6775" s="115">
        <v>397</v>
      </c>
      <c r="G6775" s="115">
        <v>-302</v>
      </c>
      <c r="H6775" s="115">
        <v>0</v>
      </c>
      <c r="I6775" s="115">
        <v>0</v>
      </c>
      <c r="J6775" s="115">
        <v>142</v>
      </c>
      <c r="K6775" s="115">
        <v>0</v>
      </c>
    </row>
    <row r="6776" spans="1:11" x14ac:dyDescent="0.25">
      <c r="B6776" s="115" t="s">
        <v>7527</v>
      </c>
      <c r="D6776" s="115" t="s">
        <v>12827</v>
      </c>
      <c r="E6776" s="115" t="s">
        <v>7528</v>
      </c>
      <c r="F6776" s="115">
        <v>0</v>
      </c>
      <c r="G6776" s="115">
        <v>0</v>
      </c>
      <c r="H6776" s="115">
        <v>-2421</v>
      </c>
      <c r="I6776" s="115">
        <v>0</v>
      </c>
      <c r="J6776" s="115">
        <v>-291</v>
      </c>
      <c r="K6776" s="115">
        <v>280</v>
      </c>
    </row>
    <row r="6777" spans="1:11" x14ac:dyDescent="0.25">
      <c r="B6777" s="115" t="s">
        <v>1241</v>
      </c>
      <c r="D6777" s="115" t="s">
        <v>8710</v>
      </c>
      <c r="E6777" s="115" t="s">
        <v>1242</v>
      </c>
      <c r="F6777" s="115">
        <v>0</v>
      </c>
      <c r="G6777" s="115">
        <v>0</v>
      </c>
      <c r="H6777" s="115">
        <v>0</v>
      </c>
      <c r="I6777" s="115">
        <v>0</v>
      </c>
      <c r="J6777" s="115">
        <v>0</v>
      </c>
      <c r="K6777" s="115">
        <v>0</v>
      </c>
    </row>
    <row r="6778" spans="1:11" x14ac:dyDescent="0.25">
      <c r="B6778" s="115" t="s">
        <v>1241</v>
      </c>
      <c r="D6778" s="115" t="s">
        <v>12828</v>
      </c>
      <c r="E6778" s="115" t="s">
        <v>7529</v>
      </c>
      <c r="F6778" s="115">
        <v>0</v>
      </c>
      <c r="G6778" s="115">
        <v>-1753</v>
      </c>
      <c r="H6778" s="115">
        <v>0</v>
      </c>
      <c r="I6778" s="115">
        <v>0</v>
      </c>
      <c r="J6778" s="115">
        <v>0</v>
      </c>
      <c r="K6778" s="115">
        <v>0</v>
      </c>
    </row>
    <row r="6779" spans="1:11" x14ac:dyDescent="0.25">
      <c r="B6779" s="115" t="s">
        <v>7530</v>
      </c>
      <c r="D6779" s="115" t="s">
        <v>12829</v>
      </c>
      <c r="E6779" s="115" t="s">
        <v>7531</v>
      </c>
      <c r="F6779" s="115">
        <v>2628</v>
      </c>
      <c r="G6779" s="115">
        <v>6003</v>
      </c>
      <c r="H6779" s="115">
        <v>7023</v>
      </c>
      <c r="I6779" s="115">
        <v>-1297</v>
      </c>
      <c r="J6779" s="115">
        <v>-5773</v>
      </c>
      <c r="K6779" s="115">
        <v>-127</v>
      </c>
    </row>
    <row r="6780" spans="1:11" x14ac:dyDescent="0.25">
      <c r="B6780" s="115" t="s">
        <v>7532</v>
      </c>
      <c r="D6780" s="115" t="s">
        <v>12830</v>
      </c>
      <c r="E6780" s="115" t="s">
        <v>7533</v>
      </c>
      <c r="F6780" s="115">
        <v>8266</v>
      </c>
      <c r="G6780" s="115">
        <v>8199</v>
      </c>
      <c r="H6780" s="115">
        <v>3172</v>
      </c>
      <c r="I6780" s="115">
        <v>-9171</v>
      </c>
      <c r="J6780" s="115">
        <v>0</v>
      </c>
      <c r="K6780" s="115">
        <v>856</v>
      </c>
    </row>
    <row r="6781" spans="1:11" x14ac:dyDescent="0.25">
      <c r="A6781" s="115" t="s">
        <v>1239</v>
      </c>
      <c r="B6781" s="115" t="s">
        <v>7534</v>
      </c>
      <c r="C6781" s="115" t="s">
        <v>1239</v>
      </c>
      <c r="D6781" s="115" t="s">
        <v>12831</v>
      </c>
      <c r="E6781" s="115" t="s">
        <v>7535</v>
      </c>
      <c r="F6781" s="115">
        <v>805</v>
      </c>
      <c r="G6781" s="115">
        <v>256</v>
      </c>
      <c r="H6781" s="115">
        <v>-1400</v>
      </c>
      <c r="I6781" s="115">
        <v>1263</v>
      </c>
      <c r="J6781" s="115">
        <v>-1852</v>
      </c>
      <c r="K6781" s="115">
        <v>273</v>
      </c>
    </row>
    <row r="6782" spans="1:11" x14ac:dyDescent="0.25">
      <c r="A6782" s="115">
        <v>-1</v>
      </c>
      <c r="B6782" s="115" t="s">
        <v>7536</v>
      </c>
      <c r="D6782" s="115" t="s">
        <v>12832</v>
      </c>
      <c r="E6782" s="115" t="s">
        <v>7537</v>
      </c>
      <c r="F6782" s="115">
        <v>-1470</v>
      </c>
      <c r="G6782" s="115">
        <v>622</v>
      </c>
      <c r="H6782" s="115">
        <v>-119</v>
      </c>
      <c r="I6782" s="115">
        <v>1290</v>
      </c>
      <c r="J6782" s="115">
        <v>-647</v>
      </c>
      <c r="K6782" s="115">
        <v>635</v>
      </c>
    </row>
    <row r="6783" spans="1:11" x14ac:dyDescent="0.25">
      <c r="B6783" s="115" t="s">
        <v>7538</v>
      </c>
      <c r="D6783" s="115" t="s">
        <v>12833</v>
      </c>
      <c r="E6783" s="115" t="s">
        <v>7539</v>
      </c>
      <c r="F6783" s="115">
        <v>-1026</v>
      </c>
      <c r="G6783" s="115">
        <v>-294</v>
      </c>
      <c r="H6783" s="115">
        <v>-489</v>
      </c>
      <c r="I6783" s="115">
        <v>-303</v>
      </c>
      <c r="J6783" s="115">
        <v>-1690</v>
      </c>
      <c r="K6783" s="115">
        <v>1410</v>
      </c>
    </row>
    <row r="6784" spans="1:11" x14ac:dyDescent="0.25">
      <c r="B6784" s="115" t="s">
        <v>7540</v>
      </c>
      <c r="D6784" s="115" t="s">
        <v>12834</v>
      </c>
      <c r="E6784" s="115" t="s">
        <v>7541</v>
      </c>
      <c r="F6784" s="115">
        <v>415</v>
      </c>
      <c r="G6784" s="115">
        <v>225</v>
      </c>
      <c r="H6784" s="115">
        <v>104</v>
      </c>
      <c r="I6784" s="115">
        <v>325</v>
      </c>
      <c r="J6784" s="115">
        <v>153</v>
      </c>
      <c r="K6784" s="115">
        <v>33881</v>
      </c>
    </row>
    <row r="6785" spans="1:11" x14ac:dyDescent="0.25">
      <c r="A6785" s="115">
        <v>40</v>
      </c>
      <c r="B6785" s="115" t="s">
        <v>7542</v>
      </c>
      <c r="C6785" s="115">
        <v>3</v>
      </c>
      <c r="D6785" s="115" t="s">
        <v>12835</v>
      </c>
      <c r="E6785" s="115" t="s">
        <v>7543</v>
      </c>
      <c r="F6785" s="115">
        <v>18375</v>
      </c>
      <c r="G6785" s="115">
        <v>23623</v>
      </c>
      <c r="H6785" s="115">
        <v>18027</v>
      </c>
      <c r="I6785" s="115">
        <v>25476</v>
      </c>
      <c r="J6785" s="115">
        <v>28034</v>
      </c>
      <c r="K6785" s="115">
        <v>59875</v>
      </c>
    </row>
    <row r="6786" spans="1:11" x14ac:dyDescent="0.25">
      <c r="A6786" s="115">
        <v>58</v>
      </c>
      <c r="B6786" s="115" t="s">
        <v>7544</v>
      </c>
      <c r="C6786" s="115">
        <v>5</v>
      </c>
      <c r="D6786" s="115" t="s">
        <v>12836</v>
      </c>
      <c r="E6786" s="115" t="s">
        <v>7545</v>
      </c>
      <c r="F6786" s="115">
        <v>-31932</v>
      </c>
      <c r="G6786" s="115">
        <v>110</v>
      </c>
      <c r="H6786" s="115">
        <v>-23</v>
      </c>
      <c r="I6786" s="115">
        <v>205</v>
      </c>
      <c r="J6786" s="115">
        <v>0</v>
      </c>
      <c r="K6786" s="115">
        <v>0</v>
      </c>
    </row>
    <row r="6787" spans="1:11" x14ac:dyDescent="0.25">
      <c r="B6787" s="115" t="s">
        <v>7546</v>
      </c>
      <c r="D6787" s="115" t="s">
        <v>12837</v>
      </c>
      <c r="E6787" s="115" t="s">
        <v>7547</v>
      </c>
      <c r="F6787" s="115">
        <v>-2</v>
      </c>
      <c r="G6787" s="115">
        <v>23</v>
      </c>
      <c r="H6787" s="115">
        <v>0</v>
      </c>
      <c r="I6787" s="115">
        <v>0</v>
      </c>
      <c r="J6787" s="115">
        <v>0</v>
      </c>
      <c r="K6787" s="115">
        <v>0</v>
      </c>
    </row>
    <row r="6788" spans="1:11" x14ac:dyDescent="0.25">
      <c r="B6788" s="115" t="s">
        <v>1241</v>
      </c>
      <c r="D6788" s="115" t="s">
        <v>12838</v>
      </c>
      <c r="E6788" s="115" t="s">
        <v>7548</v>
      </c>
      <c r="F6788" s="115">
        <v>0</v>
      </c>
      <c r="G6788" s="115">
        <v>58</v>
      </c>
      <c r="H6788" s="115">
        <v>0</v>
      </c>
      <c r="I6788" s="115">
        <v>-48</v>
      </c>
      <c r="J6788" s="115">
        <v>0</v>
      </c>
      <c r="K6788" s="115">
        <v>-74</v>
      </c>
    </row>
    <row r="6789" spans="1:11" x14ac:dyDescent="0.25">
      <c r="A6789" s="115" t="s">
        <v>1239</v>
      </c>
      <c r="B6789" s="115" t="s">
        <v>7549</v>
      </c>
      <c r="D6789" s="115" t="s">
        <v>12839</v>
      </c>
      <c r="E6789" s="115" t="s">
        <v>7550</v>
      </c>
      <c r="F6789" s="115">
        <v>-26853</v>
      </c>
      <c r="G6789" s="115">
        <v>-91</v>
      </c>
      <c r="H6789" s="115">
        <v>-178</v>
      </c>
      <c r="I6789" s="115">
        <v>-130</v>
      </c>
      <c r="J6789" s="115">
        <v>-338</v>
      </c>
      <c r="K6789" s="115">
        <v>0</v>
      </c>
    </row>
    <row r="6790" spans="1:11" x14ac:dyDescent="0.25">
      <c r="B6790" s="115" t="s">
        <v>7551</v>
      </c>
      <c r="D6790" s="115" t="s">
        <v>12840</v>
      </c>
      <c r="E6790" s="115" t="s">
        <v>7552</v>
      </c>
      <c r="F6790" s="115">
        <v>0</v>
      </c>
      <c r="G6790" s="115">
        <v>0</v>
      </c>
      <c r="H6790" s="115">
        <v>55</v>
      </c>
      <c r="I6790" s="115">
        <v>0</v>
      </c>
      <c r="J6790" s="115">
        <v>0</v>
      </c>
      <c r="K6790" s="115">
        <v>0</v>
      </c>
    </row>
    <row r="6791" spans="1:11" x14ac:dyDescent="0.25">
      <c r="B6791" s="115" t="s">
        <v>7553</v>
      </c>
      <c r="D6791" s="115" t="s">
        <v>12841</v>
      </c>
      <c r="E6791" s="115" t="s">
        <v>7554</v>
      </c>
      <c r="F6791" s="115">
        <v>0</v>
      </c>
      <c r="G6791" s="115">
        <v>0</v>
      </c>
      <c r="H6791" s="115">
        <v>0</v>
      </c>
      <c r="I6791" s="115">
        <v>0</v>
      </c>
      <c r="J6791" s="115">
        <v>135</v>
      </c>
      <c r="K6791" s="115">
        <v>0</v>
      </c>
    </row>
    <row r="6792" spans="1:11" x14ac:dyDescent="0.25">
      <c r="B6792" s="115" t="s">
        <v>7555</v>
      </c>
      <c r="D6792" s="115" t="s">
        <v>12842</v>
      </c>
      <c r="E6792" s="115" t="s">
        <v>7556</v>
      </c>
      <c r="F6792" s="115">
        <v>194</v>
      </c>
      <c r="G6792" s="115">
        <v>-41727</v>
      </c>
      <c r="H6792" s="115">
        <v>0</v>
      </c>
      <c r="I6792" s="115">
        <v>-283</v>
      </c>
      <c r="J6792" s="115">
        <v>0</v>
      </c>
      <c r="K6792" s="115">
        <v>0</v>
      </c>
    </row>
    <row r="6793" spans="1:11" x14ac:dyDescent="0.25">
      <c r="B6793" s="115" t="s">
        <v>1241</v>
      </c>
      <c r="D6793" s="115" t="s">
        <v>12843</v>
      </c>
      <c r="E6793" s="115" t="s">
        <v>7557</v>
      </c>
      <c r="F6793" s="115">
        <v>104</v>
      </c>
      <c r="G6793" s="115">
        <v>0</v>
      </c>
      <c r="H6793" s="115">
        <v>0</v>
      </c>
      <c r="I6793" s="115">
        <v>-44</v>
      </c>
      <c r="J6793" s="115">
        <v>-42</v>
      </c>
      <c r="K6793" s="115">
        <v>0</v>
      </c>
    </row>
    <row r="6794" spans="1:11" x14ac:dyDescent="0.25">
      <c r="B6794" s="115">
        <f>-23   -405</f>
        <v>-428</v>
      </c>
      <c r="D6794" s="115" t="s">
        <v>12844</v>
      </c>
      <c r="E6794" s="115" t="s">
        <v>7558</v>
      </c>
      <c r="F6794" s="115">
        <v>-92</v>
      </c>
      <c r="G6794" s="115">
        <v>-83</v>
      </c>
      <c r="H6794" s="115">
        <v>-262</v>
      </c>
      <c r="I6794" s="115">
        <v>0</v>
      </c>
      <c r="J6794" s="115">
        <v>0</v>
      </c>
      <c r="K6794" s="115">
        <v>0</v>
      </c>
    </row>
    <row r="6795" spans="1:11" x14ac:dyDescent="0.25">
      <c r="B6795" s="115" t="s">
        <v>1241</v>
      </c>
      <c r="D6795" s="115" t="s">
        <v>12845</v>
      </c>
      <c r="E6795" s="115" t="s">
        <v>7559</v>
      </c>
      <c r="F6795" s="115">
        <v>266</v>
      </c>
      <c r="G6795" s="115">
        <v>-268</v>
      </c>
      <c r="H6795" s="115">
        <v>41</v>
      </c>
      <c r="I6795" s="115">
        <v>0</v>
      </c>
      <c r="J6795" s="115">
        <v>-149</v>
      </c>
      <c r="K6795" s="115">
        <v>-47737</v>
      </c>
    </row>
    <row r="6796" spans="1:11" x14ac:dyDescent="0.25">
      <c r="A6796" s="115">
        <v>1</v>
      </c>
      <c r="B6796" s="115" t="s">
        <v>7560</v>
      </c>
      <c r="D6796" s="115" t="s">
        <v>12846</v>
      </c>
      <c r="E6796" s="115" t="s">
        <v>7561</v>
      </c>
      <c r="F6796" s="115">
        <v>-75</v>
      </c>
      <c r="G6796" s="115">
        <v>1542</v>
      </c>
      <c r="H6796" s="115">
        <v>263</v>
      </c>
      <c r="I6796" s="115">
        <v>374</v>
      </c>
      <c r="J6796" s="115">
        <v>0</v>
      </c>
      <c r="K6796" s="115">
        <v>-286</v>
      </c>
    </row>
    <row r="6797" spans="1:11" x14ac:dyDescent="0.25">
      <c r="A6797" s="115" t="s">
        <v>1239</v>
      </c>
      <c r="B6797" s="115" t="s">
        <v>2135</v>
      </c>
      <c r="D6797" s="115" t="s">
        <v>12847</v>
      </c>
      <c r="E6797" s="115" t="s">
        <v>7562</v>
      </c>
      <c r="F6797" s="115">
        <v>-217</v>
      </c>
      <c r="G6797" s="115">
        <v>2772</v>
      </c>
      <c r="H6797" s="115">
        <v>0</v>
      </c>
      <c r="I6797" s="115">
        <v>1768</v>
      </c>
      <c r="J6797" s="115">
        <v>27</v>
      </c>
      <c r="K6797" s="115">
        <v>16</v>
      </c>
    </row>
    <row r="6798" spans="1:11" x14ac:dyDescent="0.25">
      <c r="B6798" s="115" t="s">
        <v>7563</v>
      </c>
      <c r="D6798" s="115" t="s">
        <v>12848</v>
      </c>
      <c r="E6798" s="115" t="s">
        <v>7564</v>
      </c>
      <c r="F6798" s="115">
        <v>0</v>
      </c>
      <c r="G6798" s="115">
        <v>0</v>
      </c>
      <c r="H6798" s="115">
        <v>-247</v>
      </c>
      <c r="I6798" s="115">
        <v>0</v>
      </c>
      <c r="J6798" s="115">
        <v>2079</v>
      </c>
      <c r="K6798" s="115">
        <v>2386</v>
      </c>
    </row>
    <row r="6799" spans="1:11" x14ac:dyDescent="0.25">
      <c r="B6799" s="115" t="s">
        <v>7565</v>
      </c>
      <c r="D6799" s="115" t="s">
        <v>12849</v>
      </c>
      <c r="E6799" s="115" t="s">
        <v>7566</v>
      </c>
      <c r="F6799" s="115">
        <v>-144</v>
      </c>
      <c r="G6799" s="115">
        <v>17</v>
      </c>
      <c r="H6799" s="115">
        <v>174</v>
      </c>
      <c r="I6799" s="115">
        <v>51</v>
      </c>
      <c r="J6799" s="115">
        <v>375</v>
      </c>
      <c r="K6799" s="115">
        <v>381</v>
      </c>
    </row>
    <row r="6800" spans="1:11" x14ac:dyDescent="0.25">
      <c r="B6800" s="115" t="s">
        <v>4729</v>
      </c>
      <c r="D6800" s="115" t="s">
        <v>12850</v>
      </c>
      <c r="E6800" s="115" t="s">
        <v>7567</v>
      </c>
      <c r="F6800" s="115">
        <v>-117</v>
      </c>
      <c r="G6800" s="115">
        <v>36</v>
      </c>
      <c r="H6800" s="115">
        <v>0</v>
      </c>
      <c r="I6800" s="115">
        <v>147</v>
      </c>
      <c r="J6800" s="115">
        <v>0</v>
      </c>
      <c r="K6800" s="115">
        <v>0</v>
      </c>
    </row>
    <row r="6801" spans="1:11" x14ac:dyDescent="0.25">
      <c r="B6801" s="115" t="s">
        <v>7568</v>
      </c>
      <c r="D6801" s="115" t="s">
        <v>12851</v>
      </c>
      <c r="E6801" s="115" t="s">
        <v>1242</v>
      </c>
      <c r="F6801" s="115">
        <v>148</v>
      </c>
      <c r="G6801" s="115">
        <v>0</v>
      </c>
      <c r="H6801" s="115">
        <v>0</v>
      </c>
      <c r="I6801" s="115">
        <v>0</v>
      </c>
      <c r="J6801" s="115">
        <v>0</v>
      </c>
      <c r="K6801" s="115">
        <v>0</v>
      </c>
    </row>
    <row r="6802" spans="1:11" x14ac:dyDescent="0.25">
      <c r="A6802" s="115" t="s">
        <v>1239</v>
      </c>
      <c r="B6802" s="115" t="s">
        <v>7569</v>
      </c>
      <c r="D6802" s="115" t="s">
        <v>12852</v>
      </c>
      <c r="E6802" s="115" t="s">
        <v>7570</v>
      </c>
      <c r="F6802" s="115">
        <v>-90</v>
      </c>
      <c r="G6802" s="115">
        <v>0</v>
      </c>
      <c r="H6802" s="115">
        <v>-621</v>
      </c>
      <c r="I6802" s="115">
        <v>-59752</v>
      </c>
      <c r="J6802" s="115">
        <v>-209</v>
      </c>
      <c r="K6802" s="115">
        <v>0</v>
      </c>
    </row>
    <row r="6803" spans="1:11" x14ac:dyDescent="0.25">
      <c r="B6803" s="115" t="s">
        <v>1241</v>
      </c>
      <c r="D6803" s="115" t="s">
        <v>12853</v>
      </c>
      <c r="E6803" s="115" t="s">
        <v>7571</v>
      </c>
      <c r="F6803" s="115">
        <v>3631</v>
      </c>
      <c r="G6803" s="115">
        <v>-850</v>
      </c>
      <c r="H6803" s="115">
        <v>-1080</v>
      </c>
      <c r="I6803" s="115">
        <v>0</v>
      </c>
      <c r="J6803" s="115">
        <v>93</v>
      </c>
      <c r="K6803" s="115">
        <v>0</v>
      </c>
    </row>
    <row r="6804" spans="1:11" x14ac:dyDescent="0.25">
      <c r="B6804" s="115" t="s">
        <v>2926</v>
      </c>
      <c r="D6804" s="115" t="s">
        <v>12854</v>
      </c>
      <c r="E6804" s="115" t="s">
        <v>7572</v>
      </c>
      <c r="F6804" s="115">
        <v>0</v>
      </c>
      <c r="G6804" s="115">
        <v>693</v>
      </c>
      <c r="H6804" s="115">
        <v>0</v>
      </c>
      <c r="I6804" s="115">
        <v>0</v>
      </c>
      <c r="J6804" s="115">
        <v>0</v>
      </c>
      <c r="K6804" s="115">
        <v>0</v>
      </c>
    </row>
    <row r="6805" spans="1:11" x14ac:dyDescent="0.25">
      <c r="B6805" s="115" t="s">
        <v>1241</v>
      </c>
      <c r="D6805" s="115" t="s">
        <v>12855</v>
      </c>
      <c r="E6805" s="115" t="s">
        <v>7573</v>
      </c>
      <c r="F6805" s="115">
        <v>-15</v>
      </c>
      <c r="G6805" s="115">
        <v>0</v>
      </c>
      <c r="H6805" s="115">
        <v>-497</v>
      </c>
      <c r="I6805" s="115">
        <v>1002</v>
      </c>
      <c r="J6805" s="115">
        <v>1186</v>
      </c>
      <c r="K6805" s="115">
        <v>0</v>
      </c>
    </row>
    <row r="6806" spans="1:11" x14ac:dyDescent="0.25">
      <c r="A6806" s="115">
        <v>1</v>
      </c>
      <c r="B6806" s="115" t="s">
        <v>7574</v>
      </c>
      <c r="D6806" s="115" t="s">
        <v>12856</v>
      </c>
      <c r="E6806" s="115" t="s">
        <v>7575</v>
      </c>
      <c r="F6806" s="115">
        <v>0</v>
      </c>
      <c r="G6806" s="115">
        <v>0</v>
      </c>
      <c r="H6806" s="115">
        <v>0</v>
      </c>
      <c r="I6806" s="115">
        <v>-3416</v>
      </c>
      <c r="J6806" s="115">
        <v>-1674</v>
      </c>
      <c r="K6806" s="115">
        <v>-622</v>
      </c>
    </row>
    <row r="6807" spans="1:11" x14ac:dyDescent="0.25">
      <c r="A6807" s="115" t="s">
        <v>1239</v>
      </c>
      <c r="B6807" s="115" t="s">
        <v>7576</v>
      </c>
      <c r="D6807" s="115" t="s">
        <v>12857</v>
      </c>
      <c r="E6807" s="115" t="s">
        <v>7577</v>
      </c>
      <c r="F6807" s="115">
        <v>0</v>
      </c>
      <c r="G6807" s="115">
        <v>0</v>
      </c>
      <c r="H6807" s="115">
        <v>0</v>
      </c>
      <c r="I6807" s="115">
        <v>-2560</v>
      </c>
      <c r="J6807" s="115">
        <v>0</v>
      </c>
      <c r="K6807" s="115">
        <v>-1610</v>
      </c>
    </row>
    <row r="6808" spans="1:11" x14ac:dyDescent="0.25">
      <c r="B6808" s="115" t="s">
        <v>1241</v>
      </c>
      <c r="D6808" s="115" t="s">
        <v>12858</v>
      </c>
      <c r="E6808" s="115" t="s">
        <v>7578</v>
      </c>
      <c r="F6808" s="115">
        <v>0</v>
      </c>
      <c r="G6808" s="115">
        <v>0</v>
      </c>
      <c r="H6808" s="115">
        <v>0</v>
      </c>
      <c r="I6808" s="115">
        <v>0</v>
      </c>
      <c r="J6808" s="115">
        <v>-1531</v>
      </c>
      <c r="K6808" s="115">
        <v>0</v>
      </c>
    </row>
    <row r="6809" spans="1:11" x14ac:dyDescent="0.25">
      <c r="A6809" s="115" t="s">
        <v>1239</v>
      </c>
      <c r="B6809" s="115" t="s">
        <v>7579</v>
      </c>
      <c r="D6809" s="115" t="s">
        <v>12859</v>
      </c>
      <c r="E6809" s="115" t="s">
        <v>7580</v>
      </c>
      <c r="F6809" s="115">
        <v>214</v>
      </c>
      <c r="G6809" s="115">
        <v>382</v>
      </c>
      <c r="H6809" s="115">
        <v>340</v>
      </c>
      <c r="I6809" s="115">
        <v>389</v>
      </c>
      <c r="J6809" s="115">
        <v>-149</v>
      </c>
      <c r="K6809" s="115">
        <v>-74</v>
      </c>
    </row>
    <row r="6810" spans="1:11" x14ac:dyDescent="0.25">
      <c r="B6810" s="115" t="s">
        <v>1241</v>
      </c>
      <c r="D6810" s="115" t="s">
        <v>12860</v>
      </c>
      <c r="E6810" s="115" t="s">
        <v>7581</v>
      </c>
      <c r="F6810" s="115">
        <v>0</v>
      </c>
      <c r="G6810" s="115">
        <v>0</v>
      </c>
      <c r="H6810" s="115">
        <v>0</v>
      </c>
      <c r="I6810" s="115">
        <v>12</v>
      </c>
      <c r="J6810" s="115">
        <v>51</v>
      </c>
      <c r="K6810" s="115">
        <v>-138</v>
      </c>
    </row>
    <row r="6811" spans="1:11" x14ac:dyDescent="0.25">
      <c r="B6811" s="126">
        <v>30316</v>
      </c>
      <c r="D6811" s="115" t="s">
        <v>12861</v>
      </c>
      <c r="E6811" s="115" t="s">
        <v>7582</v>
      </c>
      <c r="F6811" s="115">
        <v>0</v>
      </c>
      <c r="G6811" s="115">
        <v>124</v>
      </c>
      <c r="H6811" s="115">
        <v>0</v>
      </c>
      <c r="I6811" s="115">
        <v>239</v>
      </c>
      <c r="J6811" s="115">
        <v>7</v>
      </c>
      <c r="K6811" s="115">
        <v>0</v>
      </c>
    </row>
    <row r="6812" spans="1:11" x14ac:dyDescent="0.25">
      <c r="B6812" s="115" t="s">
        <v>1241</v>
      </c>
      <c r="D6812" s="115" t="s">
        <v>12862</v>
      </c>
      <c r="E6812" s="115" t="s">
        <v>7583</v>
      </c>
      <c r="F6812" s="115">
        <v>0</v>
      </c>
      <c r="G6812" s="115">
        <v>-1021</v>
      </c>
      <c r="H6812" s="115">
        <v>-1059</v>
      </c>
      <c r="I6812" s="115">
        <v>0</v>
      </c>
      <c r="J6812" s="115">
        <v>0</v>
      </c>
      <c r="K6812" s="115">
        <v>0</v>
      </c>
    </row>
    <row r="6813" spans="1:11" x14ac:dyDescent="0.25">
      <c r="B6813" s="115" t="s">
        <v>1241</v>
      </c>
      <c r="D6813" s="115" t="s">
        <v>8710</v>
      </c>
      <c r="E6813" s="115" t="s">
        <v>1242</v>
      </c>
      <c r="F6813" s="115">
        <v>0</v>
      </c>
      <c r="G6813" s="115">
        <v>0</v>
      </c>
      <c r="H6813" s="115">
        <v>0</v>
      </c>
      <c r="I6813" s="115">
        <v>0</v>
      </c>
      <c r="J6813" s="115">
        <v>0</v>
      </c>
      <c r="K6813" s="115">
        <v>0</v>
      </c>
    </row>
    <row r="6814" spans="1:11" x14ac:dyDescent="0.25">
      <c r="B6814" s="115" t="s">
        <v>1241</v>
      </c>
      <c r="C6814" s="115" t="s">
        <v>1239</v>
      </c>
      <c r="D6814" s="115" t="s">
        <v>12863</v>
      </c>
      <c r="E6814" s="115" t="s">
        <v>7584</v>
      </c>
      <c r="F6814" s="115">
        <v>0</v>
      </c>
      <c r="G6814" s="115">
        <v>0</v>
      </c>
      <c r="H6814" s="115">
        <v>0</v>
      </c>
      <c r="I6814" s="115">
        <v>0</v>
      </c>
      <c r="J6814" s="115">
        <v>-56</v>
      </c>
      <c r="K6814" s="115">
        <v>184</v>
      </c>
    </row>
    <row r="6815" spans="1:11" x14ac:dyDescent="0.25">
      <c r="B6815" s="115" t="s">
        <v>7585</v>
      </c>
      <c r="D6815" s="115" t="s">
        <v>12864</v>
      </c>
      <c r="E6815" s="115" t="s">
        <v>7586</v>
      </c>
      <c r="F6815" s="115">
        <v>3837</v>
      </c>
      <c r="G6815" s="115">
        <v>-814</v>
      </c>
      <c r="H6815" s="115">
        <v>59</v>
      </c>
      <c r="I6815" s="115">
        <v>44</v>
      </c>
      <c r="J6815" s="115">
        <v>999</v>
      </c>
      <c r="K6815" s="115">
        <v>151</v>
      </c>
    </row>
    <row r="6816" spans="1:11" x14ac:dyDescent="0.25">
      <c r="A6816" s="115">
        <v>2</v>
      </c>
      <c r="B6816" s="115" t="s">
        <v>7587</v>
      </c>
      <c r="D6816" s="115" t="s">
        <v>12865</v>
      </c>
      <c r="E6816" s="115" t="s">
        <v>7588</v>
      </c>
      <c r="F6816" s="115">
        <v>-5641</v>
      </c>
      <c r="G6816" s="115">
        <v>0</v>
      </c>
      <c r="H6816" s="115">
        <v>783</v>
      </c>
      <c r="I6816" s="115">
        <v>-797</v>
      </c>
      <c r="J6816" s="115">
        <v>1655</v>
      </c>
      <c r="K6816" s="115">
        <v>-3173</v>
      </c>
    </row>
    <row r="6817" spans="1:11" x14ac:dyDescent="0.25">
      <c r="B6817" s="115" t="s">
        <v>7589</v>
      </c>
      <c r="D6817" s="115" t="s">
        <v>12866</v>
      </c>
      <c r="E6817" s="115" t="s">
        <v>7590</v>
      </c>
      <c r="F6817" s="115">
        <v>671</v>
      </c>
      <c r="G6817" s="115">
        <v>3881</v>
      </c>
      <c r="H6817" s="115">
        <v>359</v>
      </c>
      <c r="I6817" s="115">
        <v>-1732</v>
      </c>
      <c r="J6817" s="115">
        <v>379</v>
      </c>
      <c r="K6817" s="115">
        <v>2003</v>
      </c>
    </row>
    <row r="6818" spans="1:11" x14ac:dyDescent="0.25">
      <c r="B6818" s="115" t="s">
        <v>7591</v>
      </c>
      <c r="D6818" s="115" t="s">
        <v>12867</v>
      </c>
      <c r="E6818" s="115" t="s">
        <v>7592</v>
      </c>
      <c r="F6818" s="115">
        <v>733</v>
      </c>
      <c r="G6818" s="115">
        <v>2076</v>
      </c>
      <c r="H6818" s="115">
        <v>-72</v>
      </c>
      <c r="I6818" s="115">
        <v>41</v>
      </c>
      <c r="J6818" s="115">
        <v>88</v>
      </c>
      <c r="K6818" s="115">
        <v>214</v>
      </c>
    </row>
    <row r="6819" spans="1:11" x14ac:dyDescent="0.25">
      <c r="B6819" s="115" t="s">
        <v>7593</v>
      </c>
      <c r="D6819" s="115" t="s">
        <v>12868</v>
      </c>
      <c r="E6819" s="115" t="s">
        <v>7594</v>
      </c>
      <c r="F6819" s="115">
        <v>-26</v>
      </c>
      <c r="G6819" s="115">
        <v>-1818</v>
      </c>
      <c r="H6819" s="115">
        <v>965</v>
      </c>
      <c r="I6819" s="115">
        <v>34</v>
      </c>
      <c r="J6819" s="115">
        <v>149</v>
      </c>
      <c r="K6819" s="115">
        <v>67</v>
      </c>
    </row>
    <row r="6820" spans="1:11" x14ac:dyDescent="0.25">
      <c r="B6820" s="115" t="s">
        <v>7595</v>
      </c>
      <c r="D6820" s="115" t="s">
        <v>12869</v>
      </c>
      <c r="E6820" s="115" t="s">
        <v>7596</v>
      </c>
      <c r="F6820" s="115">
        <v>172</v>
      </c>
      <c r="G6820" s="115">
        <v>110</v>
      </c>
      <c r="H6820" s="115">
        <v>33840</v>
      </c>
      <c r="I6820" s="115">
        <v>39692</v>
      </c>
      <c r="J6820" s="115">
        <v>41252</v>
      </c>
      <c r="K6820" s="115">
        <v>37941</v>
      </c>
    </row>
    <row r="6821" spans="1:11" x14ac:dyDescent="0.25">
      <c r="A6821" s="115">
        <v>34</v>
      </c>
      <c r="B6821" s="115" t="s">
        <v>7597</v>
      </c>
      <c r="C6821" s="115">
        <v>1</v>
      </c>
      <c r="D6821" s="115" t="s">
        <v>12870</v>
      </c>
      <c r="E6821" s="115" t="s">
        <v>7598</v>
      </c>
      <c r="F6821" s="115">
        <v>24956</v>
      </c>
      <c r="G6821" s="115">
        <v>27670</v>
      </c>
      <c r="H6821" s="115">
        <v>53749</v>
      </c>
      <c r="I6821" s="115">
        <v>55334</v>
      </c>
      <c r="J6821" s="115">
        <v>52563</v>
      </c>
      <c r="K6821" s="115">
        <v>52534</v>
      </c>
    </row>
    <row r="6822" spans="1:11" x14ac:dyDescent="0.25">
      <c r="A6822" s="115">
        <v>60</v>
      </c>
      <c r="B6822" s="115" t="s">
        <v>7599</v>
      </c>
      <c r="C6822" s="115">
        <v>-3</v>
      </c>
      <c r="D6822" s="115" t="s">
        <v>12871</v>
      </c>
      <c r="E6822" s="115" t="s">
        <v>7600</v>
      </c>
      <c r="F6822" s="115">
        <v>-47</v>
      </c>
      <c r="G6822" s="115">
        <v>123</v>
      </c>
      <c r="H6822" s="115">
        <v>0</v>
      </c>
      <c r="I6822" s="115">
        <v>0</v>
      </c>
      <c r="J6822" s="115">
        <v>153</v>
      </c>
      <c r="K6822" s="115">
        <v>0</v>
      </c>
    </row>
    <row r="6823" spans="1:11" x14ac:dyDescent="0.25">
      <c r="B6823" s="115" t="s">
        <v>1241</v>
      </c>
      <c r="D6823" s="115" t="s">
        <v>12872</v>
      </c>
      <c r="E6823" s="115" t="s">
        <v>1242</v>
      </c>
      <c r="F6823" s="115">
        <v>0</v>
      </c>
      <c r="G6823" s="115">
        <v>0</v>
      </c>
      <c r="H6823" s="115">
        <v>0</v>
      </c>
      <c r="I6823" s="115">
        <v>0</v>
      </c>
      <c r="J6823" s="115">
        <v>0</v>
      </c>
      <c r="K6823" s="115">
        <v>0</v>
      </c>
    </row>
    <row r="6824" spans="1:11" x14ac:dyDescent="0.25">
      <c r="A6824" s="115" t="s">
        <v>1239</v>
      </c>
      <c r="B6824" s="115" t="s">
        <v>7601</v>
      </c>
      <c r="D6824" s="115" t="s">
        <v>12873</v>
      </c>
      <c r="E6824" s="115" t="s">
        <v>7602</v>
      </c>
      <c r="F6824" s="115">
        <v>0</v>
      </c>
      <c r="G6824" s="115">
        <v>-31</v>
      </c>
      <c r="H6824" s="115">
        <v>0</v>
      </c>
      <c r="I6824" s="115">
        <v>-29</v>
      </c>
      <c r="J6824" s="115">
        <v>-340</v>
      </c>
      <c r="K6824" s="115">
        <v>-77</v>
      </c>
    </row>
    <row r="6825" spans="1:11" x14ac:dyDescent="0.25">
      <c r="B6825" s="115" t="s">
        <v>7603</v>
      </c>
      <c r="C6825" s="115">
        <v>-2</v>
      </c>
      <c r="D6825" s="115" t="s">
        <v>12874</v>
      </c>
      <c r="E6825" s="115" t="s">
        <v>7604</v>
      </c>
      <c r="F6825" s="115">
        <v>-106</v>
      </c>
      <c r="G6825" s="115">
        <v>-101</v>
      </c>
      <c r="H6825" s="115">
        <v>-100</v>
      </c>
      <c r="I6825" s="115">
        <v>0</v>
      </c>
      <c r="J6825" s="115">
        <v>-7</v>
      </c>
      <c r="K6825" s="115">
        <v>0</v>
      </c>
    </row>
    <row r="6826" spans="1:11" x14ac:dyDescent="0.25">
      <c r="B6826" s="115" t="s">
        <v>1241</v>
      </c>
      <c r="D6826" s="115" t="s">
        <v>12875</v>
      </c>
      <c r="E6826" s="115" t="s">
        <v>3003</v>
      </c>
      <c r="F6826" s="115">
        <v>-21</v>
      </c>
      <c r="G6826" s="115">
        <v>0</v>
      </c>
      <c r="H6826" s="115">
        <v>0</v>
      </c>
      <c r="I6826" s="115">
        <v>0</v>
      </c>
      <c r="J6826" s="115">
        <v>-11</v>
      </c>
      <c r="K6826" s="115">
        <v>0</v>
      </c>
    </row>
    <row r="6827" spans="1:11" x14ac:dyDescent="0.25">
      <c r="B6827" s="115" t="s">
        <v>7605</v>
      </c>
      <c r="D6827" s="115" t="s">
        <v>12876</v>
      </c>
      <c r="E6827" s="115" t="s">
        <v>7606</v>
      </c>
      <c r="F6827" s="115">
        <v>0</v>
      </c>
      <c r="G6827" s="115">
        <v>0</v>
      </c>
      <c r="H6827" s="115">
        <v>30</v>
      </c>
      <c r="I6827" s="115">
        <v>0</v>
      </c>
      <c r="J6827" s="115">
        <v>-114</v>
      </c>
      <c r="K6827" s="115">
        <v>34</v>
      </c>
    </row>
    <row r="6828" spans="1:11" x14ac:dyDescent="0.25">
      <c r="B6828" s="115" t="s">
        <v>1241</v>
      </c>
      <c r="D6828" s="115" t="s">
        <v>12877</v>
      </c>
      <c r="E6828" s="115" t="s">
        <v>1866</v>
      </c>
      <c r="F6828" s="115">
        <v>0</v>
      </c>
      <c r="G6828" s="115">
        <v>-390</v>
      </c>
      <c r="H6828" s="115">
        <v>0</v>
      </c>
      <c r="I6828" s="115">
        <v>0</v>
      </c>
      <c r="J6828" s="115">
        <v>0</v>
      </c>
      <c r="K6828" s="115">
        <v>0</v>
      </c>
    </row>
    <row r="6829" spans="1:11" x14ac:dyDescent="0.25">
      <c r="A6829" s="115" t="s">
        <v>1239</v>
      </c>
      <c r="B6829" s="115" t="s">
        <v>7607</v>
      </c>
      <c r="D6829" s="115" t="s">
        <v>12878</v>
      </c>
      <c r="E6829" s="115" t="s">
        <v>7608</v>
      </c>
      <c r="F6829" s="115">
        <v>0</v>
      </c>
      <c r="G6829" s="115">
        <v>-8</v>
      </c>
      <c r="H6829" s="115">
        <v>25</v>
      </c>
      <c r="I6829" s="115">
        <v>0</v>
      </c>
      <c r="J6829" s="115">
        <v>93</v>
      </c>
      <c r="K6829" s="115">
        <v>-67</v>
      </c>
    </row>
    <row r="6830" spans="1:11" x14ac:dyDescent="0.25">
      <c r="B6830" s="115" t="s">
        <v>7609</v>
      </c>
      <c r="D6830" s="115" t="s">
        <v>12879</v>
      </c>
      <c r="E6830" s="115" t="s">
        <v>1242</v>
      </c>
      <c r="F6830" s="115">
        <v>-66</v>
      </c>
      <c r="G6830" s="115">
        <v>0</v>
      </c>
      <c r="H6830" s="115">
        <v>0</v>
      </c>
      <c r="I6830" s="115">
        <v>0</v>
      </c>
      <c r="J6830" s="115">
        <v>0</v>
      </c>
      <c r="K6830" s="115">
        <v>0</v>
      </c>
    </row>
    <row r="6831" spans="1:11" x14ac:dyDescent="0.25">
      <c r="B6831" s="115" t="s">
        <v>7610</v>
      </c>
      <c r="D6831" s="115" t="s">
        <v>12880</v>
      </c>
      <c r="E6831" s="115" t="s">
        <v>7611</v>
      </c>
      <c r="F6831" s="115">
        <v>64</v>
      </c>
      <c r="G6831" s="115">
        <v>0</v>
      </c>
      <c r="H6831" s="115">
        <v>-336</v>
      </c>
      <c r="I6831" s="115">
        <v>-47395</v>
      </c>
      <c r="J6831" s="115">
        <v>-955</v>
      </c>
      <c r="K6831" s="115">
        <v>-463</v>
      </c>
    </row>
    <row r="6832" spans="1:11" x14ac:dyDescent="0.25">
      <c r="A6832" s="115" t="s">
        <v>1239</v>
      </c>
      <c r="B6832" s="115" t="s">
        <v>4399</v>
      </c>
      <c r="C6832" s="115" t="s">
        <v>1239</v>
      </c>
      <c r="D6832" s="115" t="s">
        <v>12881</v>
      </c>
      <c r="E6832" s="115" t="s">
        <v>7612</v>
      </c>
      <c r="F6832" s="115">
        <v>-1665</v>
      </c>
      <c r="G6832" s="115">
        <v>796</v>
      </c>
      <c r="H6832" s="115">
        <v>0</v>
      </c>
      <c r="I6832" s="115">
        <v>-1601</v>
      </c>
      <c r="J6832" s="115">
        <v>-649</v>
      </c>
      <c r="K6832" s="115">
        <v>0</v>
      </c>
    </row>
    <row r="6833" spans="1:11" x14ac:dyDescent="0.25">
      <c r="B6833" s="115" t="s">
        <v>1241</v>
      </c>
      <c r="D6833" s="115" t="s">
        <v>12882</v>
      </c>
      <c r="E6833" s="115" t="s">
        <v>7613</v>
      </c>
      <c r="F6833" s="115">
        <v>0</v>
      </c>
      <c r="G6833" s="115">
        <v>1123</v>
      </c>
      <c r="H6833" s="115">
        <v>35</v>
      </c>
      <c r="I6833" s="115">
        <v>34</v>
      </c>
      <c r="J6833" s="115">
        <v>1291</v>
      </c>
      <c r="K6833" s="115">
        <v>0</v>
      </c>
    </row>
    <row r="6834" spans="1:11" x14ac:dyDescent="0.25">
      <c r="B6834" s="115" t="s">
        <v>1241</v>
      </c>
      <c r="D6834" s="115" t="s">
        <v>12883</v>
      </c>
      <c r="E6834" s="115" t="s">
        <v>7614</v>
      </c>
      <c r="F6834" s="115">
        <v>158</v>
      </c>
      <c r="G6834" s="115">
        <v>0</v>
      </c>
      <c r="H6834" s="115">
        <v>2975</v>
      </c>
      <c r="I6834" s="115">
        <v>2312</v>
      </c>
      <c r="J6834" s="115">
        <v>685</v>
      </c>
      <c r="K6834" s="115">
        <v>0</v>
      </c>
    </row>
    <row r="6835" spans="1:11" x14ac:dyDescent="0.25">
      <c r="A6835" s="115" t="s">
        <v>1239</v>
      </c>
      <c r="B6835" s="115" t="s">
        <v>7615</v>
      </c>
      <c r="D6835" s="115" t="s">
        <v>12884</v>
      </c>
      <c r="E6835" s="115" t="s">
        <v>7616</v>
      </c>
      <c r="F6835" s="115">
        <v>583</v>
      </c>
      <c r="G6835" s="115">
        <v>-179</v>
      </c>
      <c r="H6835" s="115">
        <v>250</v>
      </c>
      <c r="I6835" s="115">
        <v>511</v>
      </c>
      <c r="J6835" s="115">
        <v>0</v>
      </c>
      <c r="K6835" s="115">
        <v>29</v>
      </c>
    </row>
    <row r="6836" spans="1:11" x14ac:dyDescent="0.25">
      <c r="B6836" s="115" t="s">
        <v>1241</v>
      </c>
      <c r="D6836" s="115" t="s">
        <v>12885</v>
      </c>
      <c r="E6836" s="115" t="s">
        <v>7617</v>
      </c>
      <c r="F6836" s="115">
        <v>0</v>
      </c>
      <c r="G6836" s="115">
        <v>89</v>
      </c>
      <c r="H6836" s="115">
        <v>0</v>
      </c>
      <c r="I6836" s="115">
        <v>0</v>
      </c>
      <c r="J6836" s="115">
        <v>-52</v>
      </c>
      <c r="K6836" s="115">
        <v>0</v>
      </c>
    </row>
    <row r="6837" spans="1:11" x14ac:dyDescent="0.25">
      <c r="B6837" s="115" t="s">
        <v>7618</v>
      </c>
      <c r="D6837" s="115" t="s">
        <v>12886</v>
      </c>
      <c r="E6837" s="115" t="s">
        <v>7619</v>
      </c>
      <c r="F6837" s="115">
        <v>0</v>
      </c>
      <c r="G6837" s="115">
        <v>0</v>
      </c>
      <c r="H6837" s="115">
        <v>0</v>
      </c>
      <c r="I6837" s="115">
        <v>0</v>
      </c>
      <c r="J6837" s="115">
        <v>45</v>
      </c>
      <c r="K6837" s="115">
        <v>0</v>
      </c>
    </row>
    <row r="6838" spans="1:11" x14ac:dyDescent="0.25">
      <c r="B6838" s="115" t="s">
        <v>7620</v>
      </c>
      <c r="D6838" s="115" t="s">
        <v>12887</v>
      </c>
      <c r="E6838" s="115" t="s">
        <v>7621</v>
      </c>
      <c r="F6838" s="115">
        <v>-6</v>
      </c>
      <c r="G6838" s="115">
        <v>-50922</v>
      </c>
      <c r="H6838" s="115">
        <v>505</v>
      </c>
      <c r="I6838" s="115">
        <v>0</v>
      </c>
      <c r="J6838" s="115">
        <v>0</v>
      </c>
      <c r="K6838" s="115">
        <v>0</v>
      </c>
    </row>
    <row r="6839" spans="1:11" x14ac:dyDescent="0.25">
      <c r="A6839" s="115">
        <v>2</v>
      </c>
      <c r="B6839" s="115" t="s">
        <v>7622</v>
      </c>
      <c r="D6839" s="115" t="s">
        <v>12888</v>
      </c>
      <c r="E6839" s="115" t="s">
        <v>7623</v>
      </c>
      <c r="F6839" s="115">
        <v>-1239</v>
      </c>
      <c r="G6839" s="115">
        <v>0</v>
      </c>
      <c r="H6839" s="115">
        <v>90</v>
      </c>
      <c r="I6839" s="115">
        <v>0</v>
      </c>
      <c r="J6839" s="115">
        <v>0</v>
      </c>
      <c r="K6839" s="115">
        <v>84</v>
      </c>
    </row>
    <row r="6840" spans="1:11" x14ac:dyDescent="0.25">
      <c r="B6840" s="115" t="s">
        <v>7624</v>
      </c>
      <c r="D6840" s="115" t="s">
        <v>12889</v>
      </c>
      <c r="E6840" s="115" t="s">
        <v>1242</v>
      </c>
      <c r="F6840" s="115">
        <v>0</v>
      </c>
      <c r="G6840" s="115">
        <v>0</v>
      </c>
      <c r="H6840" s="115">
        <v>0</v>
      </c>
      <c r="I6840" s="115">
        <v>0</v>
      </c>
      <c r="J6840" s="115">
        <v>0</v>
      </c>
      <c r="K6840" s="115">
        <v>0</v>
      </c>
    </row>
    <row r="6841" spans="1:11" x14ac:dyDescent="0.25">
      <c r="B6841" s="115" t="s">
        <v>1241</v>
      </c>
      <c r="D6841" s="115" t="s">
        <v>12890</v>
      </c>
      <c r="E6841" s="115" t="s">
        <v>7625</v>
      </c>
      <c r="F6841" s="115">
        <v>-2614</v>
      </c>
      <c r="G6841" s="115">
        <v>-3095</v>
      </c>
      <c r="H6841" s="115">
        <v>-1034</v>
      </c>
      <c r="I6841" s="115">
        <v>0</v>
      </c>
      <c r="J6841" s="115">
        <v>165</v>
      </c>
      <c r="K6841" s="115">
        <v>-48196</v>
      </c>
    </row>
    <row r="6842" spans="1:11" x14ac:dyDescent="0.25">
      <c r="B6842" s="115" t="s">
        <v>1241</v>
      </c>
      <c r="D6842" s="115" t="s">
        <v>12891</v>
      </c>
      <c r="E6842" s="115" t="s">
        <v>7626</v>
      </c>
      <c r="F6842" s="115">
        <v>0</v>
      </c>
      <c r="G6842" s="115">
        <v>-641</v>
      </c>
      <c r="H6842" s="115">
        <v>291</v>
      </c>
      <c r="I6842" s="115">
        <v>-1231</v>
      </c>
      <c r="J6842" s="115">
        <v>-1471</v>
      </c>
      <c r="K6842" s="115">
        <v>-946</v>
      </c>
    </row>
    <row r="6843" spans="1:11" x14ac:dyDescent="0.25">
      <c r="A6843" s="115">
        <v>-1</v>
      </c>
      <c r="B6843" s="115" t="s">
        <v>7078</v>
      </c>
      <c r="D6843" s="115" t="s">
        <v>12892</v>
      </c>
      <c r="E6843" s="115" t="s">
        <v>7627</v>
      </c>
      <c r="F6843" s="115">
        <v>0</v>
      </c>
      <c r="G6843" s="115">
        <v>-1809</v>
      </c>
      <c r="H6843" s="115">
        <v>0</v>
      </c>
      <c r="I6843" s="115">
        <v>-327</v>
      </c>
      <c r="J6843" s="115">
        <v>0</v>
      </c>
      <c r="K6843" s="115">
        <v>0</v>
      </c>
    </row>
    <row r="6844" spans="1:11" x14ac:dyDescent="0.25">
      <c r="A6844" s="115">
        <v>-1</v>
      </c>
      <c r="B6844" s="115" t="s">
        <v>7628</v>
      </c>
      <c r="D6844" s="115" t="s">
        <v>12893</v>
      </c>
      <c r="E6844" s="115" t="s">
        <v>7629</v>
      </c>
      <c r="F6844" s="115">
        <v>0</v>
      </c>
      <c r="G6844" s="115">
        <v>0</v>
      </c>
      <c r="H6844" s="115">
        <v>-185</v>
      </c>
      <c r="I6844" s="115">
        <v>0</v>
      </c>
      <c r="J6844" s="115">
        <v>1214</v>
      </c>
      <c r="K6844" s="115">
        <v>181</v>
      </c>
    </row>
    <row r="6845" spans="1:11" x14ac:dyDescent="0.25">
      <c r="B6845" s="115" t="s">
        <v>7630</v>
      </c>
      <c r="D6845" s="115" t="s">
        <v>12894</v>
      </c>
      <c r="E6845" s="115" t="s">
        <v>7631</v>
      </c>
      <c r="F6845" s="115">
        <v>828</v>
      </c>
      <c r="G6845" s="115">
        <v>730</v>
      </c>
      <c r="H6845" s="115">
        <v>352</v>
      </c>
      <c r="I6845" s="115">
        <v>367</v>
      </c>
      <c r="J6845" s="115">
        <v>0</v>
      </c>
      <c r="K6845" s="115">
        <v>0</v>
      </c>
    </row>
    <row r="6846" spans="1:11" x14ac:dyDescent="0.25">
      <c r="B6846" s="115" t="s">
        <v>1241</v>
      </c>
      <c r="D6846" s="115" t="s">
        <v>12895</v>
      </c>
      <c r="E6846" s="115" t="s">
        <v>7632</v>
      </c>
      <c r="F6846" s="115">
        <v>0</v>
      </c>
      <c r="G6846" s="115">
        <v>-134</v>
      </c>
      <c r="H6846" s="115">
        <v>-30</v>
      </c>
      <c r="I6846" s="115">
        <v>286</v>
      </c>
      <c r="J6846" s="115">
        <v>-3</v>
      </c>
      <c r="K6846" s="115">
        <v>30</v>
      </c>
    </row>
    <row r="6847" spans="1:11" x14ac:dyDescent="0.25">
      <c r="B6847" s="115" t="s">
        <v>7633</v>
      </c>
      <c r="D6847" s="115" t="s">
        <v>12896</v>
      </c>
      <c r="E6847" s="115" t="s">
        <v>7634</v>
      </c>
      <c r="F6847" s="115">
        <v>0</v>
      </c>
      <c r="G6847" s="115">
        <v>92</v>
      </c>
      <c r="H6847" s="115">
        <v>-500</v>
      </c>
      <c r="I6847" s="115">
        <v>0</v>
      </c>
      <c r="J6847" s="115">
        <v>0</v>
      </c>
      <c r="K6847" s="115">
        <v>0</v>
      </c>
    </row>
    <row r="6848" spans="1:11" x14ac:dyDescent="0.25">
      <c r="B6848" s="115" t="s">
        <v>7635</v>
      </c>
      <c r="D6848" s="115" t="s">
        <v>12897</v>
      </c>
      <c r="E6848" s="115" t="s">
        <v>1242</v>
      </c>
      <c r="F6848" s="115">
        <v>-2171</v>
      </c>
      <c r="G6848" s="115">
        <v>0</v>
      </c>
      <c r="H6848" s="115">
        <v>0</v>
      </c>
      <c r="I6848" s="115">
        <v>0</v>
      </c>
      <c r="J6848" s="115">
        <v>0</v>
      </c>
      <c r="K6848" s="115">
        <v>0</v>
      </c>
    </row>
    <row r="6849" spans="1:11" x14ac:dyDescent="0.25">
      <c r="B6849" s="115" t="s">
        <v>1241</v>
      </c>
      <c r="D6849" s="115" t="s">
        <v>8710</v>
      </c>
      <c r="E6849" s="115" t="s">
        <v>1242</v>
      </c>
      <c r="F6849" s="115">
        <v>0</v>
      </c>
      <c r="G6849" s="115">
        <v>0</v>
      </c>
      <c r="H6849" s="115">
        <v>0</v>
      </c>
      <c r="I6849" s="115">
        <v>0</v>
      </c>
      <c r="J6849" s="115">
        <v>0</v>
      </c>
      <c r="K6849" s="115">
        <v>0</v>
      </c>
    </row>
    <row r="6850" spans="1:11" x14ac:dyDescent="0.25">
      <c r="A6850" s="115" t="s">
        <v>1239</v>
      </c>
      <c r="B6850" s="115" t="s">
        <v>7636</v>
      </c>
      <c r="D6850" s="115" t="s">
        <v>12898</v>
      </c>
      <c r="E6850" s="115" t="s">
        <v>7637</v>
      </c>
      <c r="F6850" s="115">
        <v>0</v>
      </c>
      <c r="G6850" s="115">
        <v>0</v>
      </c>
      <c r="H6850" s="115">
        <v>236</v>
      </c>
      <c r="I6850" s="115">
        <v>53</v>
      </c>
      <c r="J6850" s="115">
        <v>-25</v>
      </c>
      <c r="K6850" s="115">
        <v>-216</v>
      </c>
    </row>
    <row r="6851" spans="1:11" x14ac:dyDescent="0.25">
      <c r="A6851" s="115">
        <v>1</v>
      </c>
      <c r="B6851" s="115" t="s">
        <v>7638</v>
      </c>
      <c r="C6851" s="115" t="s">
        <v>1239</v>
      </c>
      <c r="D6851" s="115" t="s">
        <v>12899</v>
      </c>
      <c r="E6851" s="115">
        <f>-137   -154   -208   -327  -1072</f>
        <v>-1898</v>
      </c>
      <c r="F6851" s="115">
        <v>-154</v>
      </c>
      <c r="G6851" s="115">
        <v>-137</v>
      </c>
      <c r="H6851" s="115">
        <v>-154</v>
      </c>
      <c r="I6851" s="115">
        <v>-208</v>
      </c>
      <c r="J6851" s="115">
        <v>-327</v>
      </c>
      <c r="K6851" s="115">
        <v>-1072</v>
      </c>
    </row>
    <row r="6852" spans="1:11" x14ac:dyDescent="0.25">
      <c r="B6852" s="115" t="s">
        <v>7639</v>
      </c>
      <c r="D6852" s="115" t="s">
        <v>12900</v>
      </c>
      <c r="E6852" s="115" t="s">
        <v>7640</v>
      </c>
      <c r="F6852" s="115">
        <v>-103</v>
      </c>
      <c r="G6852" s="115">
        <v>1700</v>
      </c>
      <c r="H6852" s="115">
        <v>-265</v>
      </c>
      <c r="I6852" s="115">
        <v>-3096</v>
      </c>
      <c r="J6852" s="115">
        <v>95</v>
      </c>
      <c r="K6852" s="115">
        <v>674</v>
      </c>
    </row>
    <row r="6853" spans="1:11" x14ac:dyDescent="0.25">
      <c r="A6853" s="115" t="s">
        <v>1239</v>
      </c>
      <c r="B6853" s="115" t="s">
        <v>7641</v>
      </c>
      <c r="D6853" s="115" t="s">
        <v>12901</v>
      </c>
      <c r="E6853" s="115" t="s">
        <v>7642</v>
      </c>
      <c r="F6853" s="115">
        <v>-320</v>
      </c>
      <c r="G6853" s="115">
        <v>-2334</v>
      </c>
      <c r="H6853" s="115">
        <v>-54</v>
      </c>
      <c r="I6853" s="115">
        <v>701</v>
      </c>
      <c r="J6853" s="115">
        <v>-490</v>
      </c>
      <c r="K6853" s="115">
        <v>-2110</v>
      </c>
    </row>
    <row r="6854" spans="1:11" x14ac:dyDescent="0.25">
      <c r="A6854" s="115" t="s">
        <v>1239</v>
      </c>
      <c r="B6854" s="115" t="s">
        <v>7643</v>
      </c>
      <c r="D6854" s="115" t="s">
        <v>12902</v>
      </c>
      <c r="E6854" s="115" t="s">
        <v>7644</v>
      </c>
      <c r="F6854" s="115">
        <v>-49</v>
      </c>
      <c r="G6854" s="115">
        <v>168</v>
      </c>
      <c r="H6854" s="115">
        <v>180</v>
      </c>
      <c r="I6854" s="115">
        <v>349</v>
      </c>
      <c r="J6854" s="115">
        <v>306</v>
      </c>
      <c r="K6854" s="115">
        <v>-1307</v>
      </c>
    </row>
    <row r="6855" spans="1:11" x14ac:dyDescent="0.25">
      <c r="B6855" s="115" t="s">
        <v>7645</v>
      </c>
      <c r="D6855" s="115" t="s">
        <v>12903</v>
      </c>
      <c r="E6855" s="115" t="s">
        <v>7646</v>
      </c>
      <c r="F6855" s="115">
        <v>263</v>
      </c>
      <c r="G6855" s="115">
        <v>229</v>
      </c>
      <c r="H6855" s="115">
        <v>255</v>
      </c>
      <c r="I6855" s="115">
        <v>225</v>
      </c>
      <c r="J6855" s="115">
        <v>503</v>
      </c>
      <c r="K6855" s="115">
        <v>261</v>
      </c>
    </row>
    <row r="6856" spans="1:11" x14ac:dyDescent="0.25">
      <c r="B6856" s="115" t="s">
        <v>7647</v>
      </c>
      <c r="D6856" s="115" t="s">
        <v>12904</v>
      </c>
      <c r="E6856" s="115" t="s">
        <v>7648</v>
      </c>
      <c r="F6856" s="115">
        <v>34101</v>
      </c>
      <c r="G6856" s="115">
        <v>42383</v>
      </c>
      <c r="H6856" s="115">
        <v>41052</v>
      </c>
      <c r="I6856" s="115">
        <v>38377</v>
      </c>
      <c r="J6856" s="115">
        <v>36922</v>
      </c>
      <c r="K6856" s="115">
        <v>19381</v>
      </c>
    </row>
    <row r="6857" spans="1:11" x14ac:dyDescent="0.25">
      <c r="A6857" s="115">
        <v>21</v>
      </c>
      <c r="B6857" s="115" t="s">
        <v>7649</v>
      </c>
      <c r="C6857" s="115">
        <v>2</v>
      </c>
      <c r="D6857" s="115" t="s">
        <v>12905</v>
      </c>
      <c r="E6857" s="115" t="s">
        <v>7650</v>
      </c>
      <c r="F6857" s="115">
        <v>51355</v>
      </c>
      <c r="G6857" s="115">
        <v>54324</v>
      </c>
      <c r="H6857" s="115">
        <v>51719</v>
      </c>
      <c r="I6857" s="115">
        <v>52285</v>
      </c>
      <c r="J6857" s="115">
        <v>59793</v>
      </c>
      <c r="K6857" s="115">
        <v>52244</v>
      </c>
    </row>
    <row r="6858" spans="1:11" x14ac:dyDescent="0.25">
      <c r="B6858" s="115" t="s">
        <v>7651</v>
      </c>
      <c r="D6858" s="115" t="s">
        <v>12906</v>
      </c>
      <c r="E6858" s="115" t="s">
        <v>7652</v>
      </c>
      <c r="F6858" s="115">
        <v>141</v>
      </c>
      <c r="G6858" s="115">
        <v>0</v>
      </c>
      <c r="H6858" s="115">
        <v>0</v>
      </c>
      <c r="I6858" s="115">
        <v>69</v>
      </c>
      <c r="J6858" s="115">
        <v>0</v>
      </c>
      <c r="K6858" s="115">
        <v>0</v>
      </c>
    </row>
    <row r="6859" spans="1:11" x14ac:dyDescent="0.25">
      <c r="B6859" s="115" t="s">
        <v>2699</v>
      </c>
      <c r="D6859" s="115" t="s">
        <v>12907</v>
      </c>
      <c r="E6859" s="115" t="s">
        <v>7653</v>
      </c>
      <c r="F6859" s="115">
        <v>0</v>
      </c>
      <c r="G6859" s="115">
        <v>0</v>
      </c>
      <c r="H6859" s="115">
        <v>0</v>
      </c>
      <c r="I6859" s="115">
        <v>0</v>
      </c>
      <c r="J6859" s="115">
        <v>0</v>
      </c>
      <c r="K6859" s="115">
        <v>-28</v>
      </c>
    </row>
    <row r="6860" spans="1:11" x14ac:dyDescent="0.25">
      <c r="B6860" s="115" t="s">
        <v>1241</v>
      </c>
      <c r="D6860" s="115" t="s">
        <v>12908</v>
      </c>
      <c r="E6860" s="115" t="s">
        <v>7654</v>
      </c>
      <c r="F6860" s="115">
        <v>-69</v>
      </c>
      <c r="G6860" s="115">
        <v>0</v>
      </c>
      <c r="H6860" s="115">
        <v>-83</v>
      </c>
      <c r="I6860" s="115">
        <v>-225</v>
      </c>
      <c r="J6860" s="115">
        <v>-126</v>
      </c>
      <c r="K6860" s="115">
        <v>0</v>
      </c>
    </row>
    <row r="6861" spans="1:11" x14ac:dyDescent="0.25">
      <c r="B6861" s="115" t="s">
        <v>7655</v>
      </c>
      <c r="D6861" s="115" t="s">
        <v>12909</v>
      </c>
      <c r="E6861" s="115" t="s">
        <v>7656</v>
      </c>
      <c r="F6861" s="115">
        <v>-94</v>
      </c>
      <c r="G6861" s="115">
        <v>-345</v>
      </c>
      <c r="H6861" s="115">
        <v>0</v>
      </c>
      <c r="I6861" s="115">
        <v>85</v>
      </c>
      <c r="J6861" s="115">
        <v>0</v>
      </c>
      <c r="K6861" s="115">
        <v>0</v>
      </c>
    </row>
    <row r="6862" spans="1:11" x14ac:dyDescent="0.25">
      <c r="B6862" s="115" t="s">
        <v>1241</v>
      </c>
      <c r="D6862" s="115" t="s">
        <v>12910</v>
      </c>
      <c r="E6862" s="115" t="s">
        <v>7657</v>
      </c>
      <c r="F6862" s="115">
        <v>0</v>
      </c>
      <c r="G6862" s="115">
        <v>0</v>
      </c>
      <c r="H6862" s="115">
        <v>0</v>
      </c>
      <c r="I6862" s="115">
        <v>-32</v>
      </c>
      <c r="J6862" s="115">
        <v>0</v>
      </c>
      <c r="K6862" s="115">
        <v>2</v>
      </c>
    </row>
    <row r="6863" spans="1:11" x14ac:dyDescent="0.25">
      <c r="B6863" s="115" t="s">
        <v>1241</v>
      </c>
      <c r="D6863" s="115" t="s">
        <v>12911</v>
      </c>
      <c r="E6863" s="115" t="s">
        <v>7658</v>
      </c>
      <c r="F6863" s="115">
        <v>0</v>
      </c>
      <c r="G6863" s="115">
        <v>120</v>
      </c>
      <c r="H6863" s="115">
        <v>0</v>
      </c>
      <c r="I6863" s="115">
        <v>47</v>
      </c>
      <c r="J6863" s="115">
        <v>323</v>
      </c>
      <c r="K6863" s="115">
        <v>0</v>
      </c>
    </row>
    <row r="6864" spans="1:11" x14ac:dyDescent="0.25">
      <c r="B6864" s="115" t="s">
        <v>7659</v>
      </c>
      <c r="C6864" s="115">
        <v>-4</v>
      </c>
      <c r="D6864" s="115" t="s">
        <v>12912</v>
      </c>
      <c r="E6864" s="115" t="s">
        <v>7660</v>
      </c>
      <c r="F6864" s="115">
        <v>-359</v>
      </c>
      <c r="G6864" s="115">
        <v>0</v>
      </c>
      <c r="H6864" s="115">
        <v>0</v>
      </c>
      <c r="I6864" s="115">
        <v>0</v>
      </c>
      <c r="J6864" s="115">
        <v>0</v>
      </c>
      <c r="K6864" s="115">
        <v>-327</v>
      </c>
    </row>
    <row r="6865" spans="1:11" x14ac:dyDescent="0.25">
      <c r="B6865" s="115" t="s">
        <v>7661</v>
      </c>
      <c r="D6865" s="115" t="s">
        <v>12913</v>
      </c>
      <c r="E6865" s="115" t="s">
        <v>7662</v>
      </c>
      <c r="F6865" s="115">
        <v>-81</v>
      </c>
      <c r="G6865" s="115">
        <v>-62</v>
      </c>
      <c r="H6865" s="115">
        <v>0</v>
      </c>
      <c r="I6865" s="115">
        <v>-21</v>
      </c>
      <c r="J6865" s="115">
        <v>-169</v>
      </c>
      <c r="K6865" s="115">
        <v>-8</v>
      </c>
    </row>
    <row r="6866" spans="1:11" x14ac:dyDescent="0.25">
      <c r="A6866" s="115" t="s">
        <v>1239</v>
      </c>
      <c r="B6866" s="115" t="s">
        <v>7663</v>
      </c>
      <c r="D6866" s="115" t="s">
        <v>12914</v>
      </c>
      <c r="E6866" s="115" t="s">
        <v>7664</v>
      </c>
      <c r="F6866" s="115">
        <v>0</v>
      </c>
      <c r="G6866" s="115">
        <v>0</v>
      </c>
      <c r="H6866" s="115">
        <v>0</v>
      </c>
      <c r="I6866" s="115">
        <v>0</v>
      </c>
      <c r="J6866" s="115">
        <v>0</v>
      </c>
      <c r="K6866" s="115">
        <v>14</v>
      </c>
    </row>
    <row r="6867" spans="1:11" x14ac:dyDescent="0.25">
      <c r="B6867" s="115" t="s">
        <v>7665</v>
      </c>
      <c r="D6867" s="115" t="s">
        <v>12915</v>
      </c>
      <c r="E6867" s="115" t="s">
        <v>7666</v>
      </c>
      <c r="F6867" s="115">
        <v>0</v>
      </c>
      <c r="G6867" s="115">
        <v>81</v>
      </c>
      <c r="H6867" s="115">
        <v>-44306</v>
      </c>
      <c r="I6867" s="115">
        <v>-217</v>
      </c>
      <c r="J6867" s="115">
        <v>50</v>
      </c>
      <c r="K6867" s="115">
        <v>322</v>
      </c>
    </row>
    <row r="6868" spans="1:11" x14ac:dyDescent="0.25">
      <c r="B6868" s="115" t="s">
        <v>7667</v>
      </c>
      <c r="D6868" s="115" t="s">
        <v>12916</v>
      </c>
      <c r="E6868" s="115" t="s">
        <v>7668</v>
      </c>
      <c r="F6868" s="115">
        <v>44</v>
      </c>
      <c r="G6868" s="115">
        <v>0</v>
      </c>
      <c r="H6868" s="115">
        <v>-64</v>
      </c>
      <c r="I6868" s="115">
        <v>-172</v>
      </c>
      <c r="J6868" s="115">
        <v>0</v>
      </c>
      <c r="K6868" s="115">
        <v>0</v>
      </c>
    </row>
    <row r="6869" spans="1:11" x14ac:dyDescent="0.25">
      <c r="B6869" s="115" t="s">
        <v>7669</v>
      </c>
      <c r="D6869" s="115" t="s">
        <v>12917</v>
      </c>
      <c r="E6869" s="115" t="s">
        <v>7670</v>
      </c>
      <c r="F6869" s="115">
        <v>4</v>
      </c>
      <c r="G6869" s="115">
        <v>54</v>
      </c>
      <c r="H6869" s="115">
        <v>12</v>
      </c>
      <c r="I6869" s="115">
        <v>119</v>
      </c>
      <c r="J6869" s="115">
        <v>0</v>
      </c>
      <c r="K6869" s="115">
        <v>0</v>
      </c>
    </row>
    <row r="6870" spans="1:11" x14ac:dyDescent="0.25">
      <c r="B6870" s="115" t="s">
        <v>1241</v>
      </c>
      <c r="D6870" s="115" t="s">
        <v>12918</v>
      </c>
      <c r="E6870" s="115" t="s">
        <v>7671</v>
      </c>
      <c r="F6870" s="115">
        <v>0</v>
      </c>
      <c r="G6870" s="115">
        <v>-164</v>
      </c>
      <c r="H6870" s="115">
        <v>-529</v>
      </c>
      <c r="I6870" s="115">
        <v>-228</v>
      </c>
      <c r="J6870" s="115">
        <v>0</v>
      </c>
      <c r="K6870" s="115">
        <v>-653</v>
      </c>
    </row>
    <row r="6871" spans="1:11" x14ac:dyDescent="0.25">
      <c r="A6871" s="115">
        <v>-46</v>
      </c>
      <c r="B6871" s="115" t="s">
        <v>7672</v>
      </c>
      <c r="D6871" s="115" t="s">
        <v>12919</v>
      </c>
      <c r="E6871" s="115" t="s">
        <v>7673</v>
      </c>
      <c r="F6871" s="115">
        <v>-4</v>
      </c>
      <c r="G6871" s="115">
        <v>-431</v>
      </c>
      <c r="H6871" s="115">
        <v>1559</v>
      </c>
      <c r="I6871" s="115">
        <v>0</v>
      </c>
      <c r="J6871" s="115">
        <v>398</v>
      </c>
      <c r="K6871" s="115">
        <v>0</v>
      </c>
    </row>
    <row r="6872" spans="1:11" x14ac:dyDescent="0.25">
      <c r="B6872" s="115" t="s">
        <v>7674</v>
      </c>
      <c r="D6872" s="115" t="s">
        <v>12920</v>
      </c>
      <c r="E6872" s="115" t="s">
        <v>7675</v>
      </c>
      <c r="F6872" s="115">
        <v>19</v>
      </c>
      <c r="G6872" s="115">
        <v>0</v>
      </c>
      <c r="H6872" s="115">
        <v>0</v>
      </c>
      <c r="I6872" s="115">
        <v>32</v>
      </c>
      <c r="J6872" s="115">
        <v>0</v>
      </c>
      <c r="K6872" s="115">
        <v>-361</v>
      </c>
    </row>
    <row r="6873" spans="1:11" x14ac:dyDescent="0.25">
      <c r="B6873" s="115">
        <f>-83   -859</f>
        <v>-942</v>
      </c>
      <c r="D6873" s="115" t="s">
        <v>12921</v>
      </c>
      <c r="E6873" s="115" t="s">
        <v>7676</v>
      </c>
      <c r="F6873" s="115">
        <v>0</v>
      </c>
      <c r="G6873" s="115">
        <v>0</v>
      </c>
      <c r="H6873" s="115">
        <v>0</v>
      </c>
      <c r="I6873" s="115">
        <v>260</v>
      </c>
      <c r="J6873" s="115">
        <v>0</v>
      </c>
      <c r="K6873" s="115">
        <v>1186</v>
      </c>
    </row>
    <row r="6874" spans="1:11" x14ac:dyDescent="0.25">
      <c r="A6874" s="115">
        <v>2</v>
      </c>
      <c r="B6874" s="115" t="s">
        <v>7677</v>
      </c>
      <c r="D6874" s="115" t="s">
        <v>12922</v>
      </c>
      <c r="E6874" s="115" t="s">
        <v>7678</v>
      </c>
      <c r="F6874" s="115">
        <v>-58499</v>
      </c>
      <c r="G6874" s="115">
        <v>542</v>
      </c>
      <c r="H6874" s="115">
        <v>0</v>
      </c>
      <c r="I6874" s="115">
        <v>0</v>
      </c>
      <c r="J6874" s="115">
        <v>0</v>
      </c>
      <c r="K6874" s="115">
        <v>2375</v>
      </c>
    </row>
    <row r="6875" spans="1:11" x14ac:dyDescent="0.25">
      <c r="A6875" s="115">
        <v>4</v>
      </c>
      <c r="B6875" s="115" t="s">
        <v>7679</v>
      </c>
      <c r="D6875" s="115" t="s">
        <v>12923</v>
      </c>
      <c r="E6875" s="115" t="s">
        <v>7680</v>
      </c>
      <c r="F6875" s="115">
        <v>0</v>
      </c>
      <c r="G6875" s="115">
        <v>-390</v>
      </c>
      <c r="H6875" s="115">
        <v>0</v>
      </c>
      <c r="I6875" s="115">
        <v>0</v>
      </c>
      <c r="J6875" s="115">
        <v>-1559</v>
      </c>
      <c r="K6875" s="115">
        <v>0</v>
      </c>
    </row>
    <row r="6876" spans="1:11" x14ac:dyDescent="0.25">
      <c r="A6876" s="115">
        <v>-1</v>
      </c>
      <c r="B6876" s="115" t="s">
        <v>1973</v>
      </c>
      <c r="C6876" s="115" t="s">
        <v>1239</v>
      </c>
      <c r="D6876" s="115" t="s">
        <v>12924</v>
      </c>
      <c r="E6876" s="115" t="s">
        <v>1242</v>
      </c>
      <c r="F6876" s="115">
        <v>0</v>
      </c>
      <c r="G6876" s="115">
        <v>0</v>
      </c>
      <c r="H6876" s="115">
        <v>0</v>
      </c>
      <c r="I6876" s="115">
        <v>0</v>
      </c>
      <c r="J6876" s="115">
        <v>0</v>
      </c>
      <c r="K6876" s="115">
        <v>0</v>
      </c>
    </row>
    <row r="6877" spans="1:11" x14ac:dyDescent="0.25">
      <c r="B6877" s="115" t="s">
        <v>2538</v>
      </c>
      <c r="D6877" s="115" t="s">
        <v>12925</v>
      </c>
      <c r="E6877" s="115" t="s">
        <v>7681</v>
      </c>
      <c r="F6877" s="115">
        <v>962</v>
      </c>
      <c r="G6877" s="115">
        <v>1506</v>
      </c>
      <c r="H6877" s="115">
        <v>0</v>
      </c>
      <c r="I6877" s="115">
        <v>1647</v>
      </c>
      <c r="J6877" s="115">
        <v>-43503</v>
      </c>
      <c r="K6877" s="115">
        <v>0</v>
      </c>
    </row>
    <row r="6878" spans="1:11" x14ac:dyDescent="0.25">
      <c r="B6878" s="115" t="s">
        <v>1241</v>
      </c>
      <c r="D6878" s="115" t="s">
        <v>12926</v>
      </c>
      <c r="E6878" s="115">
        <f>-1408   -635   -770   -125   -254</f>
        <v>-3192</v>
      </c>
      <c r="F6878" s="115">
        <v>-3309</v>
      </c>
      <c r="G6878" s="115">
        <v>-1408</v>
      </c>
      <c r="H6878" s="115">
        <v>-635</v>
      </c>
      <c r="I6878" s="115">
        <v>-770</v>
      </c>
      <c r="J6878" s="115">
        <v>-125</v>
      </c>
      <c r="K6878" s="115">
        <v>-254</v>
      </c>
    </row>
    <row r="6879" spans="1:11" x14ac:dyDescent="0.25">
      <c r="B6879" s="115" t="s">
        <v>1241</v>
      </c>
      <c r="D6879" s="115" t="s">
        <v>12927</v>
      </c>
      <c r="E6879" s="115" t="s">
        <v>7682</v>
      </c>
      <c r="F6879" s="115">
        <v>-2558</v>
      </c>
      <c r="G6879" s="115">
        <v>0</v>
      </c>
      <c r="H6879" s="115">
        <v>-1610</v>
      </c>
      <c r="I6879" s="115">
        <v>0</v>
      </c>
      <c r="J6879" s="115">
        <v>0</v>
      </c>
      <c r="K6879" s="115">
        <v>271</v>
      </c>
    </row>
    <row r="6880" spans="1:11" x14ac:dyDescent="0.25">
      <c r="B6880" s="115" t="s">
        <v>7683</v>
      </c>
      <c r="D6880" s="115" t="s">
        <v>12928</v>
      </c>
      <c r="E6880" s="115" t="s">
        <v>7684</v>
      </c>
      <c r="F6880" s="115">
        <v>0</v>
      </c>
      <c r="G6880" s="115">
        <v>-1366</v>
      </c>
      <c r="H6880" s="115">
        <v>0</v>
      </c>
      <c r="I6880" s="115">
        <v>-220</v>
      </c>
      <c r="J6880" s="115">
        <v>-3118</v>
      </c>
      <c r="K6880" s="115">
        <v>-1010</v>
      </c>
    </row>
    <row r="6881" spans="1:11" x14ac:dyDescent="0.25">
      <c r="A6881" s="115">
        <v>2</v>
      </c>
      <c r="B6881" s="115" t="s">
        <v>7685</v>
      </c>
      <c r="D6881" s="115" t="s">
        <v>12929</v>
      </c>
      <c r="E6881" s="115" t="s">
        <v>7686</v>
      </c>
      <c r="F6881" s="115">
        <v>328</v>
      </c>
      <c r="G6881" s="115">
        <v>-299</v>
      </c>
      <c r="H6881" s="115">
        <v>-142</v>
      </c>
      <c r="I6881" s="115">
        <v>0</v>
      </c>
      <c r="J6881" s="115">
        <v>0</v>
      </c>
      <c r="K6881" s="115">
        <v>0</v>
      </c>
    </row>
    <row r="6882" spans="1:11" x14ac:dyDescent="0.25">
      <c r="B6882" s="115" t="s">
        <v>1241</v>
      </c>
      <c r="D6882" s="115" t="s">
        <v>12930</v>
      </c>
      <c r="E6882" s="115" t="s">
        <v>7687</v>
      </c>
      <c r="F6882" s="115">
        <v>239</v>
      </c>
      <c r="G6882" s="115">
        <v>-26</v>
      </c>
      <c r="H6882" s="115">
        <v>715</v>
      </c>
      <c r="I6882" s="115">
        <v>-25</v>
      </c>
      <c r="J6882" s="115">
        <v>572</v>
      </c>
      <c r="K6882" s="115">
        <v>66</v>
      </c>
    </row>
    <row r="6883" spans="1:11" x14ac:dyDescent="0.25">
      <c r="B6883" s="115" t="s">
        <v>1241</v>
      </c>
      <c r="D6883" s="115" t="s">
        <v>12931</v>
      </c>
      <c r="E6883" s="115" t="s">
        <v>7688</v>
      </c>
      <c r="F6883" s="115">
        <v>237</v>
      </c>
      <c r="G6883" s="115">
        <v>-119</v>
      </c>
      <c r="H6883" s="115">
        <v>0</v>
      </c>
      <c r="I6883" s="115">
        <v>0</v>
      </c>
      <c r="J6883" s="115">
        <v>0</v>
      </c>
      <c r="K6883" s="115">
        <v>0</v>
      </c>
    </row>
    <row r="6884" spans="1:11" x14ac:dyDescent="0.25">
      <c r="A6884" s="115">
        <v>-1</v>
      </c>
      <c r="B6884" s="115" t="s">
        <v>4399</v>
      </c>
      <c r="D6884" s="115" t="s">
        <v>12932</v>
      </c>
      <c r="E6884" s="115" t="s">
        <v>1242</v>
      </c>
      <c r="F6884" s="115">
        <v>0</v>
      </c>
      <c r="G6884" s="115">
        <v>0</v>
      </c>
      <c r="H6884" s="115">
        <v>0</v>
      </c>
      <c r="I6884" s="115">
        <v>0</v>
      </c>
      <c r="J6884" s="115">
        <v>0</v>
      </c>
      <c r="K6884" s="115">
        <v>0</v>
      </c>
    </row>
    <row r="6885" spans="1:11" x14ac:dyDescent="0.25">
      <c r="B6885" s="115" t="s">
        <v>1241</v>
      </c>
      <c r="D6885" s="115" t="s">
        <v>12933</v>
      </c>
      <c r="E6885" s="115" t="s">
        <v>7689</v>
      </c>
      <c r="F6885" s="115">
        <v>0</v>
      </c>
      <c r="G6885" s="115">
        <v>0</v>
      </c>
      <c r="H6885" s="115">
        <v>0</v>
      </c>
      <c r="I6885" s="115">
        <v>0</v>
      </c>
      <c r="J6885" s="115">
        <v>0</v>
      </c>
      <c r="K6885" s="115">
        <v>-1290</v>
      </c>
    </row>
    <row r="6886" spans="1:11" x14ac:dyDescent="0.25">
      <c r="B6886" s="115" t="s">
        <v>1241</v>
      </c>
      <c r="D6886" s="115" t="s">
        <v>12934</v>
      </c>
      <c r="E6886" s="115" t="s">
        <v>7690</v>
      </c>
      <c r="F6886" s="115">
        <v>0</v>
      </c>
      <c r="G6886" s="115">
        <v>136</v>
      </c>
      <c r="H6886" s="115">
        <v>136</v>
      </c>
      <c r="I6886" s="115">
        <v>20</v>
      </c>
      <c r="J6886" s="115">
        <v>288</v>
      </c>
      <c r="K6886" s="115">
        <v>1102</v>
      </c>
    </row>
    <row r="6887" spans="1:11" x14ac:dyDescent="0.25">
      <c r="A6887" s="115" t="s">
        <v>1239</v>
      </c>
      <c r="B6887" s="115" t="s">
        <v>7691</v>
      </c>
      <c r="D6887" s="115" t="s">
        <v>12935</v>
      </c>
      <c r="E6887" s="115" t="s">
        <v>7692</v>
      </c>
      <c r="F6887" s="115">
        <v>105</v>
      </c>
      <c r="G6887" s="115">
        <v>972</v>
      </c>
      <c r="H6887" s="115">
        <v>179</v>
      </c>
      <c r="I6887" s="115">
        <v>2747</v>
      </c>
      <c r="J6887" s="115">
        <v>2653</v>
      </c>
      <c r="K6887" s="115">
        <v>5533</v>
      </c>
    </row>
    <row r="6888" spans="1:11" x14ac:dyDescent="0.25">
      <c r="A6888" s="115">
        <v>7</v>
      </c>
      <c r="B6888" s="115" t="s">
        <v>7693</v>
      </c>
      <c r="D6888" s="115" t="s">
        <v>12936</v>
      </c>
      <c r="E6888" s="115" t="s">
        <v>7694</v>
      </c>
      <c r="F6888" s="115">
        <v>1632</v>
      </c>
      <c r="G6888" s="115">
        <v>-535</v>
      </c>
      <c r="H6888" s="115">
        <v>-2914</v>
      </c>
      <c r="I6888" s="115">
        <v>644</v>
      </c>
      <c r="J6888" s="115">
        <v>612</v>
      </c>
      <c r="K6888" s="115">
        <v>548</v>
      </c>
    </row>
    <row r="6889" spans="1:11" x14ac:dyDescent="0.25">
      <c r="A6889" s="115">
        <v>-1</v>
      </c>
      <c r="B6889" s="115" t="s">
        <v>7695</v>
      </c>
      <c r="D6889" s="115" t="s">
        <v>12937</v>
      </c>
      <c r="E6889" s="115" t="s">
        <v>7696</v>
      </c>
      <c r="F6889" s="115">
        <v>-3581</v>
      </c>
      <c r="G6889" s="115">
        <v>451</v>
      </c>
      <c r="H6889" s="115">
        <v>849</v>
      </c>
      <c r="I6889" s="115">
        <v>1975</v>
      </c>
      <c r="J6889" s="115">
        <v>-1559</v>
      </c>
      <c r="K6889" s="115">
        <v>517</v>
      </c>
    </row>
    <row r="6890" spans="1:11" x14ac:dyDescent="0.25">
      <c r="B6890" s="115" t="s">
        <v>7697</v>
      </c>
      <c r="D6890" s="115" t="s">
        <v>12938</v>
      </c>
      <c r="E6890" s="115" t="s">
        <v>7698</v>
      </c>
      <c r="F6890" s="115">
        <v>-66</v>
      </c>
      <c r="G6890" s="115">
        <v>11</v>
      </c>
      <c r="H6890" s="115">
        <v>308</v>
      </c>
      <c r="I6890" s="115">
        <v>374</v>
      </c>
      <c r="J6890" s="115">
        <v>-1099</v>
      </c>
      <c r="K6890" s="115">
        <v>-279</v>
      </c>
    </row>
    <row r="6891" spans="1:11" x14ac:dyDescent="0.25">
      <c r="A6891" s="115" t="s">
        <v>1239</v>
      </c>
      <c r="B6891" s="115" t="s">
        <v>7699</v>
      </c>
      <c r="C6891" s="115" t="s">
        <v>1239</v>
      </c>
      <c r="D6891" s="115" t="s">
        <v>12939</v>
      </c>
      <c r="E6891" s="115" t="s">
        <v>7700</v>
      </c>
      <c r="F6891" s="115">
        <v>193</v>
      </c>
      <c r="G6891" s="115">
        <v>103</v>
      </c>
      <c r="H6891" s="115">
        <v>192</v>
      </c>
      <c r="I6891" s="115">
        <v>656</v>
      </c>
      <c r="J6891" s="115">
        <v>186</v>
      </c>
      <c r="K6891" s="115">
        <v>311</v>
      </c>
    </row>
    <row r="6892" spans="1:11" x14ac:dyDescent="0.25">
      <c r="B6892" s="115" t="s">
        <v>7701</v>
      </c>
      <c r="D6892" s="115" t="s">
        <v>12940</v>
      </c>
      <c r="E6892" s="115" t="s">
        <v>7702</v>
      </c>
      <c r="F6892" s="115">
        <v>41334</v>
      </c>
      <c r="G6892" s="115">
        <v>39588</v>
      </c>
      <c r="H6892" s="115">
        <v>38069</v>
      </c>
      <c r="I6892" s="115">
        <v>34964</v>
      </c>
      <c r="J6892" s="115">
        <v>18318</v>
      </c>
      <c r="K6892" s="115">
        <v>22800</v>
      </c>
    </row>
    <row r="6893" spans="1:11" x14ac:dyDescent="0.25">
      <c r="A6893" s="115">
        <v>16</v>
      </c>
      <c r="B6893" s="115" t="s">
        <v>7703</v>
      </c>
      <c r="C6893" s="115">
        <v>2</v>
      </c>
      <c r="D6893" s="115" t="s">
        <v>12941</v>
      </c>
      <c r="E6893" s="115" t="s">
        <v>7704</v>
      </c>
      <c r="F6893" s="115">
        <v>54189</v>
      </c>
      <c r="G6893" s="115">
        <v>54187</v>
      </c>
      <c r="H6893" s="115">
        <v>52538</v>
      </c>
      <c r="I6893" s="115">
        <v>61004</v>
      </c>
      <c r="J6893" s="115">
        <v>53293</v>
      </c>
      <c r="K6893" s="115">
        <v>57318</v>
      </c>
    </row>
    <row r="6894" spans="1:11" x14ac:dyDescent="0.25">
      <c r="B6894" s="115" t="s">
        <v>7705</v>
      </c>
      <c r="D6894" s="115" t="s">
        <v>12942</v>
      </c>
      <c r="E6894" s="115" t="s">
        <v>7706</v>
      </c>
      <c r="F6894" s="115">
        <v>-112</v>
      </c>
      <c r="G6894" s="115">
        <v>0</v>
      </c>
      <c r="H6894" s="115">
        <v>0</v>
      </c>
      <c r="I6894" s="115">
        <v>219</v>
      </c>
      <c r="J6894" s="115">
        <v>0</v>
      </c>
      <c r="K6894" s="115">
        <v>0</v>
      </c>
    </row>
    <row r="6895" spans="1:11" x14ac:dyDescent="0.25">
      <c r="B6895" s="115" t="s">
        <v>6627</v>
      </c>
      <c r="D6895" s="115" t="s">
        <v>12943</v>
      </c>
      <c r="E6895" s="115" t="s">
        <v>7707</v>
      </c>
      <c r="F6895" s="115">
        <v>0</v>
      </c>
      <c r="G6895" s="115">
        <v>0</v>
      </c>
      <c r="H6895" s="115">
        <v>0</v>
      </c>
      <c r="I6895" s="115">
        <v>0</v>
      </c>
      <c r="J6895" s="115">
        <v>0</v>
      </c>
      <c r="K6895" s="115">
        <v>-183</v>
      </c>
    </row>
    <row r="6896" spans="1:11" x14ac:dyDescent="0.25">
      <c r="B6896" s="115" t="s">
        <v>1241</v>
      </c>
      <c r="D6896" s="115" t="s">
        <v>12944</v>
      </c>
      <c r="E6896" s="115" t="s">
        <v>7708</v>
      </c>
      <c r="F6896" s="115">
        <v>-14</v>
      </c>
      <c r="G6896" s="115">
        <v>0</v>
      </c>
      <c r="H6896" s="115">
        <v>-44</v>
      </c>
      <c r="I6896" s="115">
        <v>-301</v>
      </c>
      <c r="J6896" s="115">
        <v>-69</v>
      </c>
      <c r="K6896" s="115">
        <v>0</v>
      </c>
    </row>
    <row r="6897" spans="1:11" x14ac:dyDescent="0.25">
      <c r="B6897" s="115" t="s">
        <v>7709</v>
      </c>
      <c r="D6897" s="115" t="s">
        <v>12945</v>
      </c>
      <c r="E6897" s="115" t="s">
        <v>7710</v>
      </c>
      <c r="F6897" s="115">
        <v>-58</v>
      </c>
      <c r="G6897" s="115">
        <v>-13</v>
      </c>
      <c r="H6897" s="115">
        <v>0</v>
      </c>
      <c r="I6897" s="115">
        <v>-20</v>
      </c>
      <c r="J6897" s="115">
        <v>0</v>
      </c>
      <c r="K6897" s="115">
        <v>0</v>
      </c>
    </row>
    <row r="6898" spans="1:11" x14ac:dyDescent="0.25">
      <c r="B6898" s="115" t="s">
        <v>1241</v>
      </c>
      <c r="D6898" s="115" t="s">
        <v>12946</v>
      </c>
      <c r="E6898" s="115" t="s">
        <v>7711</v>
      </c>
      <c r="F6898" s="115">
        <v>0</v>
      </c>
      <c r="G6898" s="115">
        <v>0</v>
      </c>
      <c r="H6898" s="115">
        <v>0</v>
      </c>
      <c r="I6898" s="115">
        <v>-11</v>
      </c>
      <c r="J6898" s="115">
        <v>0</v>
      </c>
      <c r="K6898" s="115">
        <v>17</v>
      </c>
    </row>
    <row r="6899" spans="1:11" x14ac:dyDescent="0.25">
      <c r="B6899" s="115" t="s">
        <v>1241</v>
      </c>
      <c r="D6899" s="115" t="s">
        <v>12947</v>
      </c>
      <c r="E6899" s="115" t="s">
        <v>7712</v>
      </c>
      <c r="F6899" s="115">
        <v>0</v>
      </c>
      <c r="G6899" s="115">
        <v>36</v>
      </c>
      <c r="H6899" s="115">
        <v>0</v>
      </c>
      <c r="I6899" s="115">
        <v>122</v>
      </c>
      <c r="J6899" s="115">
        <v>5</v>
      </c>
      <c r="K6899" s="115">
        <v>0</v>
      </c>
    </row>
    <row r="6900" spans="1:11" x14ac:dyDescent="0.25">
      <c r="B6900" s="115" t="s">
        <v>7713</v>
      </c>
      <c r="C6900" s="115">
        <v>-4</v>
      </c>
      <c r="D6900" s="115" t="s">
        <v>12948</v>
      </c>
      <c r="E6900" s="115" t="s">
        <v>7714</v>
      </c>
      <c r="F6900" s="115">
        <v>-327</v>
      </c>
      <c r="G6900" s="115">
        <v>0</v>
      </c>
      <c r="H6900" s="115">
        <v>0</v>
      </c>
      <c r="I6900" s="115">
        <v>0</v>
      </c>
      <c r="J6900" s="115">
        <v>0</v>
      </c>
      <c r="K6900" s="115">
        <v>-193</v>
      </c>
    </row>
    <row r="6901" spans="1:11" x14ac:dyDescent="0.25">
      <c r="B6901" s="115" t="s">
        <v>7715</v>
      </c>
      <c r="D6901" s="115" t="s">
        <v>12949</v>
      </c>
      <c r="E6901" s="115" t="s">
        <v>7716</v>
      </c>
      <c r="F6901" s="115">
        <v>6</v>
      </c>
      <c r="G6901" s="115">
        <v>38</v>
      </c>
      <c r="H6901" s="115">
        <v>0</v>
      </c>
      <c r="I6901" s="115">
        <v>103</v>
      </c>
      <c r="J6901" s="115">
        <v>-3</v>
      </c>
      <c r="K6901" s="115">
        <v>50</v>
      </c>
    </row>
    <row r="6902" spans="1:11" x14ac:dyDescent="0.25">
      <c r="B6902" s="115" t="s">
        <v>7717</v>
      </c>
      <c r="D6902" s="115" t="s">
        <v>12950</v>
      </c>
      <c r="E6902" s="115" t="s">
        <v>7718</v>
      </c>
      <c r="F6902" s="115">
        <v>0</v>
      </c>
      <c r="G6902" s="115">
        <v>0</v>
      </c>
      <c r="H6902" s="115">
        <v>0</v>
      </c>
      <c r="I6902" s="115">
        <v>0</v>
      </c>
      <c r="J6902" s="115">
        <v>0</v>
      </c>
      <c r="K6902" s="115">
        <v>244</v>
      </c>
    </row>
    <row r="6903" spans="1:11" x14ac:dyDescent="0.25">
      <c r="B6903" s="115" t="s">
        <v>4630</v>
      </c>
      <c r="D6903" s="115" t="s">
        <v>12951</v>
      </c>
      <c r="E6903" s="115" t="s">
        <v>7719</v>
      </c>
      <c r="F6903" s="115">
        <v>0</v>
      </c>
      <c r="G6903" s="115">
        <v>-125</v>
      </c>
      <c r="H6903" s="115">
        <v>-43537</v>
      </c>
      <c r="I6903" s="115">
        <v>-225</v>
      </c>
      <c r="J6903" s="115">
        <v>-79</v>
      </c>
      <c r="K6903" s="115">
        <v>694</v>
      </c>
    </row>
    <row r="6904" spans="1:11" x14ac:dyDescent="0.25">
      <c r="B6904" s="115" t="s">
        <v>7720</v>
      </c>
      <c r="D6904" s="115" t="s">
        <v>12952</v>
      </c>
      <c r="E6904" s="115" t="s">
        <v>7721</v>
      </c>
      <c r="F6904" s="115">
        <v>-35</v>
      </c>
      <c r="G6904" s="115">
        <v>0</v>
      </c>
      <c r="H6904" s="115">
        <v>1</v>
      </c>
      <c r="I6904" s="115">
        <v>-191</v>
      </c>
      <c r="J6904" s="115">
        <v>0</v>
      </c>
      <c r="K6904" s="115">
        <v>0</v>
      </c>
    </row>
    <row r="6905" spans="1:11" x14ac:dyDescent="0.25">
      <c r="B6905" s="115" t="s">
        <v>7722</v>
      </c>
      <c r="D6905" s="115" t="s">
        <v>12953</v>
      </c>
      <c r="E6905" s="115" t="s">
        <v>7723</v>
      </c>
      <c r="F6905" s="115">
        <v>-129</v>
      </c>
      <c r="G6905" s="115">
        <v>-38</v>
      </c>
      <c r="H6905" s="115">
        <v>-14</v>
      </c>
      <c r="I6905" s="115">
        <v>-183</v>
      </c>
      <c r="J6905" s="115">
        <v>0</v>
      </c>
      <c r="K6905" s="115">
        <v>0</v>
      </c>
    </row>
    <row r="6906" spans="1:11" x14ac:dyDescent="0.25">
      <c r="B6906" s="115" t="s">
        <v>1241</v>
      </c>
      <c r="D6906" s="115" t="s">
        <v>12954</v>
      </c>
      <c r="E6906" s="115" t="s">
        <v>7724</v>
      </c>
      <c r="F6906" s="115">
        <v>0</v>
      </c>
      <c r="G6906" s="115">
        <v>189</v>
      </c>
      <c r="H6906" s="115">
        <v>-139</v>
      </c>
      <c r="I6906" s="115">
        <v>-44</v>
      </c>
      <c r="J6906" s="115">
        <v>0</v>
      </c>
      <c r="K6906" s="115">
        <v>-188</v>
      </c>
    </row>
    <row r="6907" spans="1:11" x14ac:dyDescent="0.25">
      <c r="A6907" s="115">
        <v>-47</v>
      </c>
      <c r="B6907" s="115" t="s">
        <v>7725</v>
      </c>
      <c r="D6907" s="115" t="s">
        <v>12955</v>
      </c>
      <c r="E6907" s="115" t="s">
        <v>7726</v>
      </c>
      <c r="F6907" s="115">
        <v>21</v>
      </c>
      <c r="G6907" s="115">
        <v>-1653</v>
      </c>
      <c r="H6907" s="115">
        <v>-957</v>
      </c>
      <c r="I6907" s="115">
        <v>0</v>
      </c>
      <c r="J6907" s="115">
        <v>1039</v>
      </c>
      <c r="K6907" s="115">
        <v>0</v>
      </c>
    </row>
    <row r="6908" spans="1:11" x14ac:dyDescent="0.25">
      <c r="B6908" s="115" t="s">
        <v>7727</v>
      </c>
      <c r="D6908" s="115" t="s">
        <v>12956</v>
      </c>
      <c r="E6908" s="115" t="s">
        <v>7728</v>
      </c>
      <c r="F6908" s="115">
        <v>-297</v>
      </c>
      <c r="G6908" s="115">
        <v>0</v>
      </c>
      <c r="H6908" s="115">
        <v>0</v>
      </c>
      <c r="I6908" s="115">
        <v>244</v>
      </c>
      <c r="J6908" s="115">
        <v>0</v>
      </c>
      <c r="K6908" s="115">
        <v>57</v>
      </c>
    </row>
    <row r="6909" spans="1:11" x14ac:dyDescent="0.25">
      <c r="B6909" s="115" t="s">
        <v>7729</v>
      </c>
      <c r="D6909" s="115" t="s">
        <v>12957</v>
      </c>
      <c r="E6909" s="115" t="s">
        <v>7730</v>
      </c>
      <c r="F6909" s="115">
        <v>0</v>
      </c>
      <c r="G6909" s="115">
        <v>0</v>
      </c>
      <c r="H6909" s="115">
        <v>0</v>
      </c>
      <c r="I6909" s="115">
        <v>-109</v>
      </c>
      <c r="J6909" s="115">
        <v>0</v>
      </c>
      <c r="K6909" s="115">
        <v>3799</v>
      </c>
    </row>
    <row r="6910" spans="1:11" x14ac:dyDescent="0.25">
      <c r="A6910" s="115">
        <v>2</v>
      </c>
      <c r="B6910" s="115" t="s">
        <v>7731</v>
      </c>
      <c r="D6910" s="115" t="s">
        <v>12958</v>
      </c>
      <c r="E6910" s="115" t="s">
        <v>7732</v>
      </c>
      <c r="F6910" s="115">
        <v>-50956</v>
      </c>
      <c r="G6910" s="115">
        <v>443</v>
      </c>
      <c r="H6910" s="115">
        <v>0</v>
      </c>
      <c r="I6910" s="115">
        <v>0</v>
      </c>
      <c r="J6910" s="115">
        <v>0</v>
      </c>
      <c r="K6910" s="115">
        <v>1508</v>
      </c>
    </row>
    <row r="6911" spans="1:11" x14ac:dyDescent="0.25">
      <c r="A6911" s="115">
        <v>2</v>
      </c>
      <c r="B6911" s="115" t="s">
        <v>7733</v>
      </c>
      <c r="C6911" s="115" t="s">
        <v>1239</v>
      </c>
      <c r="D6911" s="115" t="s">
        <v>12959</v>
      </c>
      <c r="E6911" s="115" t="s">
        <v>7734</v>
      </c>
      <c r="F6911" s="115">
        <v>0</v>
      </c>
      <c r="G6911" s="115">
        <v>72</v>
      </c>
      <c r="H6911" s="115">
        <v>0</v>
      </c>
      <c r="I6911" s="115">
        <v>0</v>
      </c>
      <c r="J6911" s="115">
        <v>96</v>
      </c>
      <c r="K6911" s="115">
        <v>0</v>
      </c>
    </row>
    <row r="6912" spans="1:11" x14ac:dyDescent="0.25">
      <c r="A6912" s="115" t="s">
        <v>1239</v>
      </c>
      <c r="B6912" s="115" t="s">
        <v>7735</v>
      </c>
      <c r="C6912" s="115" t="s">
        <v>1239</v>
      </c>
      <c r="D6912" s="115" t="s">
        <v>12960</v>
      </c>
      <c r="E6912" s="115" t="s">
        <v>1242</v>
      </c>
      <c r="F6912" s="115">
        <v>0</v>
      </c>
      <c r="G6912" s="115">
        <v>0</v>
      </c>
      <c r="H6912" s="115">
        <v>0</v>
      </c>
      <c r="I6912" s="115">
        <v>0</v>
      </c>
      <c r="J6912" s="115">
        <v>0</v>
      </c>
      <c r="K6912" s="115">
        <v>0</v>
      </c>
    </row>
    <row r="6913" spans="1:11" x14ac:dyDescent="0.25">
      <c r="B6913" s="115" t="s">
        <v>3320</v>
      </c>
      <c r="D6913" s="115" t="s">
        <v>12961</v>
      </c>
      <c r="E6913" s="115" t="s">
        <v>7736</v>
      </c>
      <c r="F6913" s="115">
        <v>-3040</v>
      </c>
      <c r="G6913" s="115">
        <v>-1043</v>
      </c>
      <c r="H6913" s="115">
        <v>0</v>
      </c>
      <c r="I6913" s="115">
        <v>303</v>
      </c>
      <c r="J6913" s="115">
        <v>-46932</v>
      </c>
      <c r="K6913" s="115">
        <v>0</v>
      </c>
    </row>
    <row r="6914" spans="1:11" x14ac:dyDescent="0.25">
      <c r="B6914" s="115" t="s">
        <v>1241</v>
      </c>
      <c r="D6914" s="115" t="s">
        <v>12962</v>
      </c>
      <c r="E6914" s="115">
        <f>-924   -932  -1242    -56  -1098</f>
        <v>-4252</v>
      </c>
      <c r="F6914" s="115">
        <v>-345</v>
      </c>
      <c r="G6914" s="115">
        <v>-924</v>
      </c>
      <c r="H6914" s="115">
        <v>-932</v>
      </c>
      <c r="I6914" s="115">
        <v>-1242</v>
      </c>
      <c r="J6914" s="115">
        <v>-56</v>
      </c>
      <c r="K6914" s="115">
        <v>-1098</v>
      </c>
    </row>
    <row r="6915" spans="1:11" x14ac:dyDescent="0.25">
      <c r="B6915" s="115" t="s">
        <v>1241</v>
      </c>
      <c r="D6915" s="115" t="s">
        <v>12963</v>
      </c>
      <c r="E6915" s="115" t="s">
        <v>7737</v>
      </c>
      <c r="F6915" s="115">
        <v>-2889</v>
      </c>
      <c r="G6915" s="115">
        <v>0</v>
      </c>
      <c r="H6915" s="115">
        <v>-1452</v>
      </c>
      <c r="I6915" s="115">
        <v>0</v>
      </c>
      <c r="J6915" s="115">
        <v>0</v>
      </c>
      <c r="K6915" s="115">
        <v>-1140</v>
      </c>
    </row>
    <row r="6916" spans="1:11" x14ac:dyDescent="0.25">
      <c r="A6916" s="115">
        <v>-1</v>
      </c>
      <c r="B6916" s="115" t="s">
        <v>2626</v>
      </c>
      <c r="D6916" s="115" t="s">
        <v>12964</v>
      </c>
      <c r="E6916" s="115" t="s">
        <v>7738</v>
      </c>
      <c r="F6916" s="115">
        <v>0</v>
      </c>
      <c r="G6916" s="115">
        <v>-361</v>
      </c>
      <c r="H6916" s="115">
        <v>0</v>
      </c>
      <c r="I6916" s="115">
        <v>-491</v>
      </c>
      <c r="J6916" s="115">
        <v>-73</v>
      </c>
      <c r="K6916" s="115">
        <v>1044</v>
      </c>
    </row>
    <row r="6917" spans="1:11" x14ac:dyDescent="0.25">
      <c r="A6917" s="115">
        <v>5</v>
      </c>
      <c r="B6917" s="115" t="s">
        <v>7739</v>
      </c>
      <c r="D6917" s="115" t="s">
        <v>12965</v>
      </c>
      <c r="E6917" s="115" t="s">
        <v>7740</v>
      </c>
      <c r="F6917" s="115">
        <v>577</v>
      </c>
      <c r="G6917" s="115">
        <v>497</v>
      </c>
      <c r="H6917" s="115">
        <v>165</v>
      </c>
      <c r="I6917" s="115">
        <v>0</v>
      </c>
      <c r="J6917" s="115">
        <v>0</v>
      </c>
      <c r="K6917" s="115">
        <v>0</v>
      </c>
    </row>
    <row r="6918" spans="1:11" x14ac:dyDescent="0.25">
      <c r="B6918" s="115" t="s">
        <v>1241</v>
      </c>
      <c r="D6918" s="115" t="s">
        <v>12966</v>
      </c>
      <c r="E6918" s="115" t="s">
        <v>7741</v>
      </c>
      <c r="F6918" s="115">
        <v>-42</v>
      </c>
      <c r="G6918" s="115">
        <v>-57</v>
      </c>
      <c r="H6918" s="115">
        <v>795</v>
      </c>
      <c r="I6918" s="115">
        <v>-74</v>
      </c>
      <c r="J6918" s="115">
        <v>590</v>
      </c>
      <c r="K6918" s="115">
        <v>-5</v>
      </c>
    </row>
    <row r="6919" spans="1:11" x14ac:dyDescent="0.25">
      <c r="B6919" s="115" t="s">
        <v>1241</v>
      </c>
      <c r="D6919" s="115" t="s">
        <v>12967</v>
      </c>
      <c r="E6919" s="115" t="s">
        <v>7742</v>
      </c>
      <c r="F6919" s="115">
        <v>163</v>
      </c>
      <c r="G6919" s="115">
        <v>-492</v>
      </c>
      <c r="H6919" s="115">
        <v>0</v>
      </c>
      <c r="I6919" s="115">
        <v>0</v>
      </c>
      <c r="J6919" s="115">
        <v>0</v>
      </c>
      <c r="K6919" s="115">
        <v>0</v>
      </c>
    </row>
    <row r="6920" spans="1:11" x14ac:dyDescent="0.25">
      <c r="A6920" s="115">
        <v>-2</v>
      </c>
      <c r="B6920" s="115" t="s">
        <v>7743</v>
      </c>
      <c r="D6920" s="115" t="s">
        <v>12968</v>
      </c>
      <c r="E6920" s="115" t="s">
        <v>1242</v>
      </c>
      <c r="F6920" s="115">
        <v>0</v>
      </c>
      <c r="G6920" s="115">
        <v>0</v>
      </c>
      <c r="H6920" s="115">
        <v>0</v>
      </c>
      <c r="I6920" s="115">
        <v>0</v>
      </c>
      <c r="J6920" s="115">
        <v>0</v>
      </c>
      <c r="K6920" s="115">
        <v>0</v>
      </c>
    </row>
    <row r="6921" spans="1:11" x14ac:dyDescent="0.25">
      <c r="B6921" s="115" t="s">
        <v>1241</v>
      </c>
      <c r="D6921" s="115" t="s">
        <v>12969</v>
      </c>
      <c r="E6921" s="115" t="s">
        <v>7744</v>
      </c>
      <c r="F6921" s="115">
        <v>0</v>
      </c>
      <c r="G6921" s="115">
        <v>0</v>
      </c>
      <c r="H6921" s="115">
        <v>0</v>
      </c>
      <c r="I6921" s="115">
        <v>0</v>
      </c>
      <c r="J6921" s="115">
        <v>0</v>
      </c>
      <c r="K6921" s="115">
        <v>-483</v>
      </c>
    </row>
    <row r="6922" spans="1:11" x14ac:dyDescent="0.25">
      <c r="B6922" s="115" t="s">
        <v>1241</v>
      </c>
      <c r="D6922" s="115" t="s">
        <v>12970</v>
      </c>
      <c r="E6922" s="115" t="s">
        <v>7745</v>
      </c>
      <c r="F6922" s="115">
        <v>0</v>
      </c>
      <c r="G6922" s="115">
        <v>248</v>
      </c>
      <c r="H6922" s="115">
        <v>120</v>
      </c>
      <c r="I6922" s="115">
        <v>234</v>
      </c>
      <c r="J6922" s="115">
        <v>343</v>
      </c>
      <c r="K6922" s="115">
        <v>434</v>
      </c>
    </row>
    <row r="6923" spans="1:11" x14ac:dyDescent="0.25">
      <c r="A6923" s="115">
        <v>2</v>
      </c>
      <c r="B6923" s="115" t="s">
        <v>7746</v>
      </c>
      <c r="D6923" s="115" t="s">
        <v>12971</v>
      </c>
      <c r="E6923" s="115" t="s">
        <v>7747</v>
      </c>
      <c r="F6923" s="115">
        <v>-47</v>
      </c>
      <c r="G6923" s="115">
        <v>-134</v>
      </c>
      <c r="H6923" s="115">
        <v>-211</v>
      </c>
      <c r="I6923" s="115">
        <v>-398</v>
      </c>
      <c r="J6923" s="115">
        <v>132</v>
      </c>
      <c r="K6923" s="115">
        <v>-444</v>
      </c>
    </row>
    <row r="6924" spans="1:11" x14ac:dyDescent="0.25">
      <c r="B6924" s="115" t="s">
        <v>7748</v>
      </c>
      <c r="D6924" s="115" t="s">
        <v>12972</v>
      </c>
      <c r="E6924" s="115" t="s">
        <v>7749</v>
      </c>
      <c r="F6924" s="115">
        <v>464</v>
      </c>
      <c r="G6924" s="115">
        <v>2572</v>
      </c>
      <c r="H6924" s="115">
        <v>-2389</v>
      </c>
      <c r="I6924" s="115">
        <v>499</v>
      </c>
      <c r="J6924" s="115">
        <v>220</v>
      </c>
      <c r="K6924" s="115">
        <v>1834</v>
      </c>
    </row>
    <row r="6925" spans="1:11" x14ac:dyDescent="0.25">
      <c r="A6925" s="115">
        <v>-1</v>
      </c>
      <c r="B6925" s="115" t="s">
        <v>7750</v>
      </c>
      <c r="D6925" s="115" t="s">
        <v>12973</v>
      </c>
      <c r="E6925" s="115" t="s">
        <v>7751</v>
      </c>
      <c r="F6925" s="115">
        <v>-1463</v>
      </c>
      <c r="G6925" s="115">
        <v>322</v>
      </c>
      <c r="H6925" s="115">
        <v>135</v>
      </c>
      <c r="I6925" s="115">
        <v>1269</v>
      </c>
      <c r="J6925" s="115">
        <v>-1600</v>
      </c>
      <c r="K6925" s="115">
        <v>482</v>
      </c>
    </row>
    <row r="6926" spans="1:11" x14ac:dyDescent="0.25">
      <c r="B6926" s="115" t="s">
        <v>7752</v>
      </c>
      <c r="D6926" s="115" t="s">
        <v>12974</v>
      </c>
      <c r="E6926" s="115" t="s">
        <v>7753</v>
      </c>
      <c r="F6926" s="115">
        <v>-18</v>
      </c>
      <c r="G6926" s="115">
        <v>333</v>
      </c>
      <c r="H6926" s="115">
        <v>275</v>
      </c>
      <c r="I6926" s="115">
        <v>212</v>
      </c>
      <c r="J6926" s="115">
        <v>-1231</v>
      </c>
      <c r="K6926" s="115">
        <v>77</v>
      </c>
    </row>
    <row r="6927" spans="1:11" x14ac:dyDescent="0.25">
      <c r="B6927" s="115" t="s">
        <v>7754</v>
      </c>
      <c r="C6927" s="115" t="s">
        <v>1239</v>
      </c>
      <c r="D6927" s="115" t="s">
        <v>12975</v>
      </c>
      <c r="E6927" s="115" t="s">
        <v>7755</v>
      </c>
      <c r="F6927" s="115">
        <v>161</v>
      </c>
      <c r="G6927" s="115">
        <v>232</v>
      </c>
      <c r="H6927" s="115">
        <v>170</v>
      </c>
      <c r="I6927" s="115">
        <v>647</v>
      </c>
      <c r="J6927" s="115">
        <v>317</v>
      </c>
      <c r="K6927" s="115">
        <v>116</v>
      </c>
    </row>
    <row r="6928" spans="1:11" x14ac:dyDescent="0.25">
      <c r="B6928" s="115" t="s">
        <v>7756</v>
      </c>
      <c r="D6928" s="115" t="s">
        <v>12976</v>
      </c>
      <c r="E6928" s="115" t="s">
        <v>7757</v>
      </c>
      <c r="F6928" s="115">
        <v>40965</v>
      </c>
      <c r="G6928" s="115">
        <v>42119</v>
      </c>
      <c r="H6928" s="115">
        <v>38235</v>
      </c>
      <c r="I6928" s="115">
        <v>36804</v>
      </c>
      <c r="J6928" s="115">
        <v>18877</v>
      </c>
      <c r="K6928" s="115">
        <v>23244</v>
      </c>
    </row>
    <row r="6929" spans="1:11" x14ac:dyDescent="0.25">
      <c r="A6929" s="115">
        <v>17</v>
      </c>
      <c r="B6929" s="115" t="s">
        <v>7758</v>
      </c>
      <c r="C6929" s="115">
        <v>3</v>
      </c>
      <c r="D6929" s="115" t="s">
        <v>12977</v>
      </c>
      <c r="E6929" s="115" t="s">
        <v>7759</v>
      </c>
      <c r="F6929" s="115">
        <v>51241</v>
      </c>
      <c r="G6929" s="115">
        <v>51437</v>
      </c>
      <c r="H6929" s="115">
        <v>53912</v>
      </c>
      <c r="I6929" s="115">
        <v>60361</v>
      </c>
      <c r="J6929" s="115">
        <v>57061</v>
      </c>
      <c r="K6929" s="115">
        <v>49267</v>
      </c>
    </row>
    <row r="6930" spans="1:11" x14ac:dyDescent="0.25">
      <c r="A6930" s="115">
        <v>52</v>
      </c>
      <c r="B6930" s="115" t="s">
        <v>7760</v>
      </c>
      <c r="C6930" s="115">
        <v>-5</v>
      </c>
      <c r="D6930" s="115" t="s">
        <v>12978</v>
      </c>
      <c r="E6930" s="115" t="s">
        <v>7761</v>
      </c>
      <c r="F6930" s="115">
        <v>-182</v>
      </c>
      <c r="G6930" s="115">
        <v>-125</v>
      </c>
      <c r="H6930" s="115">
        <v>0</v>
      </c>
      <c r="I6930" s="115">
        <v>0</v>
      </c>
      <c r="J6930" s="115">
        <v>253</v>
      </c>
      <c r="K6930" s="115">
        <v>0</v>
      </c>
    </row>
    <row r="6931" spans="1:11" x14ac:dyDescent="0.25">
      <c r="B6931" s="115" t="s">
        <v>1241</v>
      </c>
      <c r="D6931" s="115" t="s">
        <v>12979</v>
      </c>
      <c r="E6931" s="115" t="s">
        <v>1242</v>
      </c>
      <c r="F6931" s="115">
        <v>0</v>
      </c>
      <c r="G6931" s="115">
        <v>0</v>
      </c>
      <c r="H6931" s="115">
        <v>0</v>
      </c>
      <c r="I6931" s="115">
        <v>0</v>
      </c>
      <c r="J6931" s="115">
        <v>0</v>
      </c>
      <c r="K6931" s="115">
        <v>0</v>
      </c>
    </row>
    <row r="6932" spans="1:11" x14ac:dyDescent="0.25">
      <c r="A6932" s="115" t="s">
        <v>1239</v>
      </c>
      <c r="B6932" s="115" t="s">
        <v>7762</v>
      </c>
      <c r="D6932" s="115" t="s">
        <v>12980</v>
      </c>
      <c r="E6932" s="115" t="s">
        <v>7763</v>
      </c>
      <c r="F6932" s="115">
        <v>0</v>
      </c>
      <c r="G6932" s="115">
        <v>-131</v>
      </c>
      <c r="H6932" s="115">
        <v>0</v>
      </c>
      <c r="I6932" s="115">
        <v>343</v>
      </c>
      <c r="J6932" s="115">
        <v>-343</v>
      </c>
      <c r="K6932" s="115">
        <v>-242</v>
      </c>
    </row>
    <row r="6933" spans="1:11" x14ac:dyDescent="0.25">
      <c r="B6933" s="115" t="s">
        <v>7764</v>
      </c>
      <c r="C6933" s="115">
        <v>-4</v>
      </c>
      <c r="D6933" s="115" t="s">
        <v>12981</v>
      </c>
      <c r="E6933" s="115" t="s">
        <v>7765</v>
      </c>
      <c r="F6933" s="115">
        <v>-328</v>
      </c>
      <c r="G6933" s="115">
        <v>-455</v>
      </c>
      <c r="H6933" s="115">
        <v>-1064</v>
      </c>
      <c r="I6933" s="115">
        <v>0</v>
      </c>
      <c r="J6933" s="115">
        <v>128</v>
      </c>
      <c r="K6933" s="115">
        <v>0</v>
      </c>
    </row>
    <row r="6934" spans="1:11" x14ac:dyDescent="0.25">
      <c r="B6934" s="115" t="s">
        <v>1241</v>
      </c>
      <c r="D6934" s="115" t="s">
        <v>12982</v>
      </c>
      <c r="E6934" s="115" t="s">
        <v>7766</v>
      </c>
      <c r="F6934" s="115">
        <v>314</v>
      </c>
      <c r="G6934" s="115">
        <v>0</v>
      </c>
      <c r="H6934" s="115">
        <v>0</v>
      </c>
      <c r="I6934" s="115">
        <v>0</v>
      </c>
      <c r="J6934" s="115">
        <v>-221</v>
      </c>
      <c r="K6934" s="115">
        <v>0</v>
      </c>
    </row>
    <row r="6935" spans="1:11" x14ac:dyDescent="0.25">
      <c r="B6935" s="115" t="s">
        <v>2707</v>
      </c>
      <c r="D6935" s="115" t="s">
        <v>12983</v>
      </c>
      <c r="E6935" s="115" t="s">
        <v>7767</v>
      </c>
      <c r="F6935" s="115">
        <v>0</v>
      </c>
      <c r="G6935" s="115">
        <v>0</v>
      </c>
      <c r="H6935" s="115">
        <v>37</v>
      </c>
      <c r="I6935" s="115">
        <v>0</v>
      </c>
      <c r="J6935" s="115">
        <v>-22</v>
      </c>
      <c r="K6935" s="115">
        <v>195</v>
      </c>
    </row>
    <row r="6936" spans="1:11" x14ac:dyDescent="0.25">
      <c r="B6936" s="115" t="s">
        <v>1241</v>
      </c>
      <c r="C6936" s="115" t="s">
        <v>1239</v>
      </c>
      <c r="D6936" s="115" t="s">
        <v>12984</v>
      </c>
      <c r="E6936" s="115" t="s">
        <v>7768</v>
      </c>
      <c r="F6936" s="115">
        <v>0</v>
      </c>
      <c r="G6936" s="115">
        <v>765</v>
      </c>
      <c r="H6936" s="115">
        <v>0</v>
      </c>
      <c r="I6936" s="115">
        <v>0</v>
      </c>
      <c r="J6936" s="115">
        <v>0</v>
      </c>
      <c r="K6936" s="115">
        <v>0</v>
      </c>
    </row>
    <row r="6937" spans="1:11" x14ac:dyDescent="0.25">
      <c r="A6937" s="115">
        <v>-1</v>
      </c>
      <c r="B6937" s="115" t="s">
        <v>7769</v>
      </c>
      <c r="D6937" s="115" t="s">
        <v>12985</v>
      </c>
      <c r="E6937" s="115" t="s">
        <v>7770</v>
      </c>
      <c r="F6937" s="115">
        <v>0</v>
      </c>
      <c r="G6937" s="115">
        <v>577</v>
      </c>
      <c r="H6937" s="115">
        <v>252</v>
      </c>
      <c r="I6937" s="115">
        <v>0</v>
      </c>
      <c r="J6937" s="115">
        <v>128</v>
      </c>
      <c r="K6937" s="115">
        <v>122</v>
      </c>
    </row>
    <row r="6938" spans="1:11" x14ac:dyDescent="0.25">
      <c r="B6938" s="115" t="s">
        <v>7771</v>
      </c>
      <c r="D6938" s="115" t="s">
        <v>12986</v>
      </c>
      <c r="E6938" s="115" t="s">
        <v>1242</v>
      </c>
      <c r="F6938" s="115">
        <v>398</v>
      </c>
      <c r="G6938" s="115">
        <v>0</v>
      </c>
      <c r="H6938" s="115">
        <v>0</v>
      </c>
      <c r="I6938" s="115">
        <v>0</v>
      </c>
      <c r="J6938" s="115">
        <v>0</v>
      </c>
      <c r="K6938" s="115">
        <v>0</v>
      </c>
    </row>
    <row r="6939" spans="1:11" x14ac:dyDescent="0.25">
      <c r="B6939" s="115" t="s">
        <v>6988</v>
      </c>
      <c r="D6939" s="115" t="s">
        <v>12987</v>
      </c>
      <c r="E6939" s="115" t="s">
        <v>7772</v>
      </c>
      <c r="F6939" s="115">
        <v>-333</v>
      </c>
      <c r="G6939" s="115">
        <v>0</v>
      </c>
      <c r="H6939" s="115">
        <v>-1565</v>
      </c>
      <c r="I6939" s="115">
        <v>-65767</v>
      </c>
      <c r="J6939" s="115">
        <v>-115</v>
      </c>
      <c r="K6939" s="115">
        <v>-213</v>
      </c>
    </row>
    <row r="6940" spans="1:11" x14ac:dyDescent="0.25">
      <c r="A6940" s="115" t="s">
        <v>1239</v>
      </c>
      <c r="B6940" s="115" t="s">
        <v>7773</v>
      </c>
      <c r="D6940" s="115" t="s">
        <v>12988</v>
      </c>
      <c r="E6940" s="115" t="s">
        <v>7774</v>
      </c>
      <c r="F6940" s="115">
        <v>-1551</v>
      </c>
      <c r="G6940" s="115">
        <v>205</v>
      </c>
      <c r="H6940" s="115">
        <v>0</v>
      </c>
      <c r="I6940" s="115">
        <v>-28</v>
      </c>
      <c r="J6940" s="115">
        <v>-189</v>
      </c>
      <c r="K6940" s="115">
        <v>0</v>
      </c>
    </row>
    <row r="6941" spans="1:11" x14ac:dyDescent="0.25">
      <c r="B6941" s="115" t="s">
        <v>1241</v>
      </c>
      <c r="D6941" s="115" t="s">
        <v>12989</v>
      </c>
      <c r="E6941" s="115" t="s">
        <v>7775</v>
      </c>
      <c r="F6941" s="115">
        <v>0</v>
      </c>
      <c r="G6941" s="115">
        <v>-362</v>
      </c>
      <c r="H6941" s="115">
        <v>275</v>
      </c>
      <c r="I6941" s="115">
        <v>166</v>
      </c>
      <c r="J6941" s="115">
        <v>-125</v>
      </c>
      <c r="K6941" s="115">
        <v>0</v>
      </c>
    </row>
    <row r="6942" spans="1:11" x14ac:dyDescent="0.25">
      <c r="B6942" s="115" t="s">
        <v>1241</v>
      </c>
      <c r="D6942" s="115" t="s">
        <v>12990</v>
      </c>
      <c r="E6942" s="115" t="s">
        <v>7776</v>
      </c>
      <c r="F6942" s="115">
        <v>814</v>
      </c>
      <c r="G6942" s="115">
        <v>0</v>
      </c>
      <c r="H6942" s="115">
        <v>12554</v>
      </c>
      <c r="I6942" s="115">
        <v>668</v>
      </c>
      <c r="J6942" s="115">
        <v>225</v>
      </c>
      <c r="K6942" s="115">
        <v>0</v>
      </c>
    </row>
    <row r="6943" spans="1:11" x14ac:dyDescent="0.25">
      <c r="A6943" s="115">
        <v>-2</v>
      </c>
      <c r="B6943" s="115" t="s">
        <v>7777</v>
      </c>
      <c r="D6943" s="115" t="s">
        <v>12991</v>
      </c>
      <c r="E6943" s="115" t="s">
        <v>7778</v>
      </c>
      <c r="F6943" s="115">
        <v>-519</v>
      </c>
      <c r="G6943" s="115">
        <v>-177</v>
      </c>
      <c r="H6943" s="115">
        <v>-791</v>
      </c>
      <c r="I6943" s="115">
        <v>1256</v>
      </c>
      <c r="J6943" s="115">
        <v>0</v>
      </c>
      <c r="K6943" s="115">
        <v>336</v>
      </c>
    </row>
    <row r="6944" spans="1:11" x14ac:dyDescent="0.25">
      <c r="B6944" s="115" t="s">
        <v>1241</v>
      </c>
      <c r="D6944" s="115" t="s">
        <v>12992</v>
      </c>
      <c r="E6944" s="115" t="s">
        <v>7779</v>
      </c>
      <c r="F6944" s="115">
        <v>0</v>
      </c>
      <c r="G6944" s="115">
        <v>252</v>
      </c>
      <c r="H6944" s="115">
        <v>0</v>
      </c>
      <c r="I6944" s="115">
        <v>0</v>
      </c>
      <c r="J6944" s="115">
        <v>-139</v>
      </c>
      <c r="K6944" s="115">
        <v>0</v>
      </c>
    </row>
    <row r="6945" spans="1:11" x14ac:dyDescent="0.25">
      <c r="B6945" s="115" t="s">
        <v>7780</v>
      </c>
      <c r="D6945" s="115" t="s">
        <v>12993</v>
      </c>
      <c r="E6945" s="115" t="s">
        <v>7781</v>
      </c>
      <c r="F6945" s="115">
        <v>0</v>
      </c>
      <c r="G6945" s="115">
        <v>0</v>
      </c>
      <c r="H6945" s="115">
        <v>0</v>
      </c>
      <c r="I6945" s="115">
        <v>0</v>
      </c>
      <c r="J6945" s="115">
        <v>1166</v>
      </c>
      <c r="K6945" s="115">
        <v>0</v>
      </c>
    </row>
    <row r="6946" spans="1:11" x14ac:dyDescent="0.25">
      <c r="A6946" s="115">
        <v>11</v>
      </c>
      <c r="B6946" s="115" t="s">
        <v>7782</v>
      </c>
      <c r="D6946" s="115" t="s">
        <v>12994</v>
      </c>
      <c r="E6946" s="115" t="s">
        <v>7783</v>
      </c>
      <c r="F6946" s="115">
        <v>-1324</v>
      </c>
      <c r="G6946" s="115">
        <v>-71351</v>
      </c>
      <c r="H6946" s="115">
        <v>486</v>
      </c>
      <c r="I6946" s="115">
        <v>0</v>
      </c>
      <c r="J6946" s="115">
        <v>0</v>
      </c>
      <c r="K6946" s="115">
        <v>0</v>
      </c>
    </row>
    <row r="6947" spans="1:11" x14ac:dyDescent="0.25">
      <c r="A6947" s="115">
        <v>1</v>
      </c>
      <c r="B6947" s="115" t="s">
        <v>7784</v>
      </c>
      <c r="D6947" s="115" t="s">
        <v>12995</v>
      </c>
      <c r="E6947" s="115" t="s">
        <v>7785</v>
      </c>
      <c r="F6947" s="115">
        <v>-1392</v>
      </c>
      <c r="G6947" s="115">
        <v>0</v>
      </c>
      <c r="H6947" s="115">
        <v>554</v>
      </c>
      <c r="I6947" s="115">
        <v>0</v>
      </c>
      <c r="J6947" s="115">
        <v>0</v>
      </c>
      <c r="K6947" s="115">
        <v>33</v>
      </c>
    </row>
    <row r="6948" spans="1:11" x14ac:dyDescent="0.25">
      <c r="B6948" s="115" t="s">
        <v>7786</v>
      </c>
      <c r="D6948" s="115" t="s">
        <v>12996</v>
      </c>
      <c r="E6948" s="115" t="s">
        <v>1242</v>
      </c>
      <c r="F6948" s="115">
        <v>0</v>
      </c>
      <c r="G6948" s="115">
        <v>0</v>
      </c>
      <c r="H6948" s="115">
        <v>0</v>
      </c>
      <c r="I6948" s="115">
        <v>0</v>
      </c>
      <c r="J6948" s="115">
        <v>0</v>
      </c>
      <c r="K6948" s="115">
        <v>0</v>
      </c>
    </row>
    <row r="6949" spans="1:11" x14ac:dyDescent="0.25">
      <c r="B6949" s="115" t="s">
        <v>1241</v>
      </c>
      <c r="D6949" s="115" t="s">
        <v>12997</v>
      </c>
      <c r="E6949" s="115" t="s">
        <v>7787</v>
      </c>
      <c r="F6949" s="115">
        <v>4318</v>
      </c>
      <c r="G6949" s="115">
        <v>-2597</v>
      </c>
      <c r="H6949" s="115">
        <v>-780</v>
      </c>
      <c r="I6949" s="115">
        <v>0</v>
      </c>
      <c r="J6949" s="115">
        <v>-282</v>
      </c>
      <c r="K6949" s="115">
        <v>-64112</v>
      </c>
    </row>
    <row r="6950" spans="1:11" x14ac:dyDescent="0.25">
      <c r="B6950" s="115" t="s">
        <v>1241</v>
      </c>
      <c r="D6950" s="115" t="s">
        <v>12998</v>
      </c>
      <c r="E6950" s="115" t="s">
        <v>7788</v>
      </c>
      <c r="F6950" s="115">
        <v>0</v>
      </c>
      <c r="G6950" s="115">
        <v>-2619</v>
      </c>
      <c r="H6950" s="115">
        <v>-1264</v>
      </c>
      <c r="I6950" s="115">
        <v>-524</v>
      </c>
      <c r="J6950" s="115">
        <v>-613</v>
      </c>
      <c r="K6950" s="115">
        <v>71</v>
      </c>
    </row>
    <row r="6951" spans="1:11" x14ac:dyDescent="0.25">
      <c r="B6951" s="115" t="s">
        <v>7789</v>
      </c>
      <c r="D6951" s="115" t="s">
        <v>12999</v>
      </c>
      <c r="E6951" s="115" t="s">
        <v>7790</v>
      </c>
      <c r="F6951" s="115">
        <v>0</v>
      </c>
      <c r="G6951" s="115">
        <v>-3064</v>
      </c>
      <c r="H6951" s="115">
        <v>0</v>
      </c>
      <c r="I6951" s="115">
        <v>-1961</v>
      </c>
      <c r="J6951" s="115">
        <v>0</v>
      </c>
      <c r="K6951" s="115">
        <v>0</v>
      </c>
    </row>
    <row r="6952" spans="1:11" x14ac:dyDescent="0.25">
      <c r="B6952" s="115" t="s">
        <v>7791</v>
      </c>
      <c r="D6952" s="115" t="s">
        <v>13000</v>
      </c>
      <c r="E6952" s="115" t="s">
        <v>7792</v>
      </c>
      <c r="F6952" s="115">
        <v>0</v>
      </c>
      <c r="G6952" s="115">
        <v>0</v>
      </c>
      <c r="H6952" s="115">
        <v>-587</v>
      </c>
      <c r="I6952" s="115">
        <v>0</v>
      </c>
      <c r="J6952" s="115">
        <v>8710</v>
      </c>
      <c r="K6952" s="115">
        <v>-2163</v>
      </c>
    </row>
    <row r="6953" spans="1:11" x14ac:dyDescent="0.25">
      <c r="A6953" s="115" t="s">
        <v>1239</v>
      </c>
      <c r="B6953" s="115" t="s">
        <v>7793</v>
      </c>
      <c r="D6953" s="115" t="s">
        <v>13001</v>
      </c>
      <c r="E6953" s="115" t="s">
        <v>7794</v>
      </c>
      <c r="F6953" s="115">
        <v>372</v>
      </c>
      <c r="G6953" s="115">
        <v>395</v>
      </c>
      <c r="H6953" s="115">
        <v>7</v>
      </c>
      <c r="I6953" s="115">
        <v>285</v>
      </c>
      <c r="J6953" s="115">
        <v>0</v>
      </c>
      <c r="K6953" s="115">
        <v>0</v>
      </c>
    </row>
    <row r="6954" spans="1:11" x14ac:dyDescent="0.25">
      <c r="B6954" s="115" t="s">
        <v>1241</v>
      </c>
      <c r="D6954" s="115" t="s">
        <v>13002</v>
      </c>
      <c r="E6954" s="115" t="s">
        <v>7795</v>
      </c>
      <c r="F6954" s="115">
        <v>0</v>
      </c>
      <c r="G6954" s="115">
        <v>-253</v>
      </c>
      <c r="H6954" s="115">
        <v>-80</v>
      </c>
      <c r="I6954" s="115">
        <v>1102</v>
      </c>
      <c r="J6954" s="115">
        <v>-73</v>
      </c>
      <c r="K6954" s="115">
        <v>893</v>
      </c>
    </row>
    <row r="6955" spans="1:11" x14ac:dyDescent="0.25">
      <c r="A6955" s="115" t="s">
        <v>1239</v>
      </c>
      <c r="B6955" s="115" t="s">
        <v>7796</v>
      </c>
      <c r="D6955" s="115" t="s">
        <v>13003</v>
      </c>
      <c r="E6955" s="115" t="s">
        <v>7797</v>
      </c>
      <c r="F6955" s="115">
        <v>0</v>
      </c>
      <c r="G6955" s="115">
        <v>679</v>
      </c>
      <c r="H6955" s="115">
        <v>1951</v>
      </c>
      <c r="I6955" s="115">
        <v>0</v>
      </c>
      <c r="J6955" s="115">
        <v>0</v>
      </c>
      <c r="K6955" s="115">
        <v>0</v>
      </c>
    </row>
    <row r="6956" spans="1:11" x14ac:dyDescent="0.25">
      <c r="B6956" s="115" t="s">
        <v>7798</v>
      </c>
      <c r="D6956" s="115" t="s">
        <v>13004</v>
      </c>
      <c r="E6956" s="115" t="s">
        <v>1242</v>
      </c>
      <c r="F6956" s="115">
        <v>-287</v>
      </c>
      <c r="G6956" s="115">
        <v>0</v>
      </c>
      <c r="H6956" s="115">
        <v>0</v>
      </c>
      <c r="I6956" s="115">
        <v>0</v>
      </c>
      <c r="J6956" s="115">
        <v>0</v>
      </c>
      <c r="K6956" s="115">
        <v>0</v>
      </c>
    </row>
    <row r="6957" spans="1:11" x14ac:dyDescent="0.25">
      <c r="B6957" s="115" t="s">
        <v>1241</v>
      </c>
      <c r="D6957" s="115" t="s">
        <v>8710</v>
      </c>
      <c r="E6957" s="115" t="s">
        <v>1242</v>
      </c>
      <c r="F6957" s="115">
        <v>0</v>
      </c>
      <c r="G6957" s="115">
        <v>0</v>
      </c>
      <c r="H6957" s="115">
        <v>0</v>
      </c>
      <c r="I6957" s="115">
        <v>0</v>
      </c>
      <c r="J6957" s="115">
        <v>0</v>
      </c>
      <c r="K6957" s="115">
        <v>0</v>
      </c>
    </row>
    <row r="6958" spans="1:11" x14ac:dyDescent="0.25">
      <c r="B6958" s="115" t="s">
        <v>2320</v>
      </c>
      <c r="D6958" s="115" t="s">
        <v>13005</v>
      </c>
      <c r="E6958" s="115" t="s">
        <v>7799</v>
      </c>
      <c r="F6958" s="115">
        <v>0</v>
      </c>
      <c r="G6958" s="115">
        <v>0</v>
      </c>
      <c r="H6958" s="115">
        <v>1912</v>
      </c>
      <c r="I6958" s="115">
        <v>973</v>
      </c>
      <c r="J6958" s="115">
        <v>1023</v>
      </c>
      <c r="K6958" s="115">
        <v>2260</v>
      </c>
    </row>
    <row r="6959" spans="1:11" x14ac:dyDescent="0.25">
      <c r="A6959" s="115">
        <v>2</v>
      </c>
      <c r="B6959" s="115" t="s">
        <v>7800</v>
      </c>
      <c r="C6959" s="115" t="s">
        <v>1239</v>
      </c>
      <c r="D6959" s="115" t="s">
        <v>13006</v>
      </c>
      <c r="E6959" s="115" t="s">
        <v>7801</v>
      </c>
      <c r="F6959" s="115">
        <v>-1776</v>
      </c>
      <c r="G6959" s="115">
        <v>1192</v>
      </c>
      <c r="H6959" s="115">
        <v>1816</v>
      </c>
      <c r="I6959" s="115">
        <v>1032</v>
      </c>
      <c r="J6959" s="115">
        <v>1728</v>
      </c>
      <c r="K6959" s="115">
        <v>3557</v>
      </c>
    </row>
    <row r="6960" spans="1:11" x14ac:dyDescent="0.25">
      <c r="A6960" s="115">
        <v>4</v>
      </c>
      <c r="B6960" s="115" t="s">
        <v>7802</v>
      </c>
      <c r="C6960" s="115" t="s">
        <v>1239</v>
      </c>
      <c r="D6960" s="115" t="s">
        <v>13007</v>
      </c>
      <c r="E6960" s="115" t="s">
        <v>7803</v>
      </c>
      <c r="F6960" s="115">
        <v>-193</v>
      </c>
      <c r="G6960" s="115">
        <v>617</v>
      </c>
      <c r="H6960" s="115">
        <v>681</v>
      </c>
      <c r="I6960" s="115">
        <v>-3304</v>
      </c>
      <c r="J6960" s="115">
        <v>-566</v>
      </c>
      <c r="K6960" s="115">
        <v>-537</v>
      </c>
    </row>
    <row r="6961" spans="1:11" x14ac:dyDescent="0.25">
      <c r="A6961" s="115" t="s">
        <v>1239</v>
      </c>
      <c r="B6961" s="115" t="s">
        <v>7804</v>
      </c>
      <c r="D6961" s="115">
        <f>-404   -251   -207  -3230   -342   -351   -299  -2621</f>
        <v>-7705</v>
      </c>
      <c r="E6961" s="115">
        <f>-3230   -342   -351   -299  -2621</f>
        <v>-6843</v>
      </c>
      <c r="F6961" s="115">
        <v>-207</v>
      </c>
      <c r="G6961" s="115">
        <v>-3230</v>
      </c>
      <c r="H6961" s="115">
        <v>-342</v>
      </c>
      <c r="I6961" s="115">
        <v>-351</v>
      </c>
      <c r="J6961" s="115">
        <v>-299</v>
      </c>
      <c r="K6961" s="115">
        <v>-2621</v>
      </c>
    </row>
    <row r="6962" spans="1:11" x14ac:dyDescent="0.25">
      <c r="A6962" s="115" t="s">
        <v>1239</v>
      </c>
      <c r="B6962" s="115" t="s">
        <v>7805</v>
      </c>
      <c r="D6962" s="115" t="s">
        <v>13008</v>
      </c>
      <c r="E6962" s="115" t="s">
        <v>7806</v>
      </c>
      <c r="F6962" s="115">
        <v>613</v>
      </c>
      <c r="G6962" s="115">
        <v>-32</v>
      </c>
      <c r="H6962" s="115">
        <v>534</v>
      </c>
      <c r="I6962" s="115">
        <v>495</v>
      </c>
      <c r="J6962" s="115">
        <v>468</v>
      </c>
      <c r="K6962" s="115">
        <v>-695</v>
      </c>
    </row>
    <row r="6963" spans="1:11" x14ac:dyDescent="0.25">
      <c r="B6963" s="115" t="s">
        <v>7807</v>
      </c>
      <c r="D6963" s="115" t="s">
        <v>13009</v>
      </c>
      <c r="E6963" s="115" t="s">
        <v>7808</v>
      </c>
      <c r="F6963" s="115">
        <v>1158</v>
      </c>
      <c r="G6963" s="115">
        <v>161</v>
      </c>
      <c r="H6963" s="115">
        <v>127</v>
      </c>
      <c r="I6963" s="115">
        <v>135</v>
      </c>
      <c r="J6963" s="115">
        <v>538</v>
      </c>
      <c r="K6963" s="115">
        <v>634</v>
      </c>
    </row>
    <row r="6964" spans="1:11" x14ac:dyDescent="0.25">
      <c r="B6964" s="115" t="s">
        <v>7809</v>
      </c>
      <c r="D6964" s="115" t="s">
        <v>13010</v>
      </c>
      <c r="E6964" s="115" t="s">
        <v>7810</v>
      </c>
      <c r="F6964" s="115">
        <v>53907</v>
      </c>
      <c r="G6964" s="115">
        <v>64874</v>
      </c>
      <c r="H6964" s="115">
        <v>65156</v>
      </c>
      <c r="I6964" s="115">
        <v>61019</v>
      </c>
      <c r="J6964" s="115">
        <v>53905</v>
      </c>
      <c r="K6964" s="115">
        <v>28761</v>
      </c>
    </row>
    <row r="6965" spans="1:11" x14ac:dyDescent="0.25">
      <c r="A6965" s="115">
        <v>35</v>
      </c>
      <c r="B6965" s="115" t="s">
        <v>7811</v>
      </c>
      <c r="C6965" s="115">
        <v>3</v>
      </c>
      <c r="D6965" s="115" t="s">
        <v>13011</v>
      </c>
      <c r="E6965" s="115" t="s">
        <v>7812</v>
      </c>
      <c r="F6965" s="115">
        <v>56110</v>
      </c>
      <c r="G6965" s="115">
        <v>56179</v>
      </c>
      <c r="H6965" s="115">
        <v>54755</v>
      </c>
      <c r="I6965" s="115">
        <v>54463</v>
      </c>
      <c r="J6965" s="115">
        <v>60770</v>
      </c>
      <c r="K6965" s="115">
        <v>59043</v>
      </c>
    </row>
    <row r="6966" spans="1:11" x14ac:dyDescent="0.25">
      <c r="A6966" s="115">
        <v>59</v>
      </c>
      <c r="B6966" s="115" t="s">
        <v>7813</v>
      </c>
      <c r="C6966" s="115">
        <v>5</v>
      </c>
      <c r="D6966" s="115" t="s">
        <v>13012</v>
      </c>
      <c r="E6966" s="115" t="s">
        <v>7814</v>
      </c>
      <c r="F6966" s="115">
        <v>-52079</v>
      </c>
      <c r="G6966" s="115">
        <v>-320</v>
      </c>
      <c r="H6966" s="115">
        <v>-153</v>
      </c>
      <c r="I6966" s="115">
        <v>152</v>
      </c>
      <c r="J6966" s="115">
        <v>0</v>
      </c>
      <c r="K6966" s="115">
        <v>0</v>
      </c>
    </row>
    <row r="6967" spans="1:11" x14ac:dyDescent="0.25">
      <c r="B6967" s="115" t="s">
        <v>2765</v>
      </c>
      <c r="D6967" s="115" t="s">
        <v>13013</v>
      </c>
      <c r="E6967" s="115" t="s">
        <v>7815</v>
      </c>
      <c r="F6967" s="115">
        <v>116</v>
      </c>
      <c r="G6967" s="115">
        <v>79</v>
      </c>
      <c r="H6967" s="115">
        <v>0</v>
      </c>
      <c r="I6967" s="115">
        <v>0</v>
      </c>
      <c r="J6967" s="115">
        <v>0</v>
      </c>
      <c r="K6967" s="115">
        <v>0</v>
      </c>
    </row>
    <row r="6968" spans="1:11" x14ac:dyDescent="0.25">
      <c r="B6968" s="115" t="s">
        <v>1241</v>
      </c>
      <c r="D6968" s="115" t="s">
        <v>13014</v>
      </c>
      <c r="E6968" s="115" t="s">
        <v>7816</v>
      </c>
      <c r="F6968" s="115">
        <v>0</v>
      </c>
      <c r="G6968" s="115">
        <v>116</v>
      </c>
      <c r="H6968" s="115">
        <v>0</v>
      </c>
      <c r="I6968" s="115">
        <v>-138</v>
      </c>
      <c r="J6968" s="115">
        <v>0</v>
      </c>
      <c r="K6968" s="115">
        <v>139</v>
      </c>
    </row>
    <row r="6969" spans="1:11" x14ac:dyDescent="0.25">
      <c r="A6969" s="115" t="s">
        <v>1239</v>
      </c>
      <c r="B6969" s="115" t="s">
        <v>7817</v>
      </c>
      <c r="D6969" s="115" t="s">
        <v>13015</v>
      </c>
      <c r="E6969" s="115" t="s">
        <v>7818</v>
      </c>
      <c r="F6969" s="115">
        <v>-44037</v>
      </c>
      <c r="G6969" s="115">
        <v>-51</v>
      </c>
      <c r="H6969" s="115">
        <v>-182</v>
      </c>
      <c r="I6969" s="115">
        <v>-312</v>
      </c>
      <c r="J6969" s="115">
        <v>-840</v>
      </c>
      <c r="K6969" s="115">
        <v>0</v>
      </c>
    </row>
    <row r="6970" spans="1:11" x14ac:dyDescent="0.25">
      <c r="B6970" s="115" t="s">
        <v>4708</v>
      </c>
      <c r="D6970" s="115" t="s">
        <v>13016</v>
      </c>
      <c r="E6970" s="115" t="s">
        <v>7819</v>
      </c>
      <c r="F6970" s="115">
        <v>0</v>
      </c>
      <c r="G6970" s="115">
        <v>0</v>
      </c>
      <c r="H6970" s="115">
        <v>226</v>
      </c>
      <c r="I6970" s="115">
        <v>0</v>
      </c>
      <c r="J6970" s="115">
        <v>0</v>
      </c>
      <c r="K6970" s="115">
        <v>0</v>
      </c>
    </row>
    <row r="6971" spans="1:11" x14ac:dyDescent="0.25">
      <c r="A6971" s="115" t="s">
        <v>1239</v>
      </c>
      <c r="B6971" s="115" t="s">
        <v>7820</v>
      </c>
      <c r="D6971" s="115" t="s">
        <v>13017</v>
      </c>
      <c r="E6971" s="115" t="s">
        <v>7821</v>
      </c>
      <c r="F6971" s="115">
        <v>0</v>
      </c>
      <c r="G6971" s="115">
        <v>0</v>
      </c>
      <c r="H6971" s="115">
        <v>0</v>
      </c>
      <c r="I6971" s="115">
        <v>0</v>
      </c>
      <c r="J6971" s="115">
        <v>23</v>
      </c>
      <c r="K6971" s="115">
        <v>0</v>
      </c>
    </row>
    <row r="6972" spans="1:11" x14ac:dyDescent="0.25">
      <c r="A6972" s="115" t="s">
        <v>1239</v>
      </c>
      <c r="B6972" s="115" t="s">
        <v>7822</v>
      </c>
      <c r="D6972" s="115" t="s">
        <v>13018</v>
      </c>
      <c r="E6972" s="115" t="s">
        <v>7823</v>
      </c>
      <c r="F6972" s="115">
        <v>-1219</v>
      </c>
      <c r="G6972" s="115">
        <v>-57751</v>
      </c>
      <c r="H6972" s="115">
        <v>0</v>
      </c>
      <c r="I6972" s="115">
        <v>194</v>
      </c>
      <c r="J6972" s="115">
        <v>0</v>
      </c>
      <c r="K6972" s="115">
        <v>0</v>
      </c>
    </row>
    <row r="6973" spans="1:11" x14ac:dyDescent="0.25">
      <c r="B6973" s="115" t="s">
        <v>1241</v>
      </c>
      <c r="C6973" s="115" t="s">
        <v>1239</v>
      </c>
      <c r="D6973" s="115" t="s">
        <v>13019</v>
      </c>
      <c r="E6973" s="115" t="s">
        <v>7824</v>
      </c>
      <c r="F6973" s="115">
        <v>34</v>
      </c>
      <c r="G6973" s="115">
        <v>0</v>
      </c>
      <c r="H6973" s="115">
        <v>0</v>
      </c>
      <c r="I6973" s="115">
        <v>418</v>
      </c>
      <c r="J6973" s="115">
        <v>128</v>
      </c>
      <c r="K6973" s="115">
        <v>0</v>
      </c>
    </row>
    <row r="6974" spans="1:11" x14ac:dyDescent="0.25">
      <c r="B6974" s="115" t="s">
        <v>7825</v>
      </c>
      <c r="D6974" s="115" t="s">
        <v>13020</v>
      </c>
      <c r="E6974" s="115" t="s">
        <v>7826</v>
      </c>
      <c r="F6974" s="115">
        <v>591</v>
      </c>
      <c r="G6974" s="115">
        <v>555</v>
      </c>
      <c r="H6974" s="115">
        <v>224</v>
      </c>
      <c r="I6974" s="115">
        <v>0</v>
      </c>
      <c r="J6974" s="115">
        <v>0</v>
      </c>
      <c r="K6974" s="115">
        <v>0</v>
      </c>
    </row>
    <row r="6975" spans="1:11" x14ac:dyDescent="0.25">
      <c r="B6975" s="115" t="s">
        <v>1241</v>
      </c>
      <c r="D6975" s="115" t="s">
        <v>13021</v>
      </c>
      <c r="E6975" s="115" t="s">
        <v>7827</v>
      </c>
      <c r="F6975" s="115">
        <v>1663</v>
      </c>
      <c r="G6975" s="115">
        <v>1024</v>
      </c>
      <c r="H6975" s="115">
        <v>-154</v>
      </c>
      <c r="I6975" s="115">
        <v>0</v>
      </c>
      <c r="J6975" s="115">
        <v>-1301</v>
      </c>
      <c r="K6975" s="115">
        <v>-67237</v>
      </c>
    </row>
    <row r="6976" spans="1:11" x14ac:dyDescent="0.25">
      <c r="B6976" s="115">
        <f>-86   -203</f>
        <v>-289</v>
      </c>
      <c r="D6976" s="115" t="s">
        <v>13022</v>
      </c>
      <c r="E6976" s="115" t="s">
        <v>7828</v>
      </c>
      <c r="F6976" s="115">
        <v>-22</v>
      </c>
      <c r="G6976" s="115">
        <v>-555</v>
      </c>
      <c r="H6976" s="115">
        <v>-1233</v>
      </c>
      <c r="I6976" s="115">
        <v>184</v>
      </c>
      <c r="J6976" s="115">
        <v>0</v>
      </c>
      <c r="K6976" s="115">
        <v>-2</v>
      </c>
    </row>
    <row r="6977" spans="1:11" x14ac:dyDescent="0.25">
      <c r="B6977" s="115" t="s">
        <v>7829</v>
      </c>
      <c r="D6977" s="115" t="s">
        <v>13023</v>
      </c>
      <c r="E6977" s="115" t="s">
        <v>7830</v>
      </c>
      <c r="F6977" s="115">
        <v>-109</v>
      </c>
      <c r="G6977" s="115">
        <v>-584</v>
      </c>
      <c r="H6977" s="115">
        <v>0</v>
      </c>
      <c r="I6977" s="115">
        <v>-355</v>
      </c>
      <c r="J6977" s="115">
        <v>157</v>
      </c>
      <c r="K6977" s="115">
        <v>77</v>
      </c>
    </row>
    <row r="6978" spans="1:11" x14ac:dyDescent="0.25">
      <c r="A6978" s="115" t="s">
        <v>1239</v>
      </c>
      <c r="B6978" s="115" t="s">
        <v>4884</v>
      </c>
      <c r="D6978" s="115" t="s">
        <v>13024</v>
      </c>
      <c r="E6978" s="115" t="s">
        <v>7831</v>
      </c>
      <c r="F6978" s="115">
        <v>0</v>
      </c>
      <c r="G6978" s="115">
        <v>0</v>
      </c>
      <c r="H6978" s="115">
        <v>721</v>
      </c>
      <c r="I6978" s="115">
        <v>0</v>
      </c>
      <c r="J6978" s="115">
        <v>9508</v>
      </c>
      <c r="K6978" s="115">
        <v>631</v>
      </c>
    </row>
    <row r="6979" spans="1:11" x14ac:dyDescent="0.25">
      <c r="B6979" s="115" t="s">
        <v>3180</v>
      </c>
      <c r="C6979" s="115" t="s">
        <v>1239</v>
      </c>
      <c r="D6979" s="115" t="s">
        <v>13025</v>
      </c>
      <c r="E6979" s="115" t="s">
        <v>7832</v>
      </c>
      <c r="F6979" s="115">
        <v>-215</v>
      </c>
      <c r="G6979" s="115">
        <v>-174</v>
      </c>
      <c r="H6979" s="115">
        <v>45</v>
      </c>
      <c r="I6979" s="115">
        <v>-144</v>
      </c>
      <c r="J6979" s="115">
        <v>-216</v>
      </c>
      <c r="K6979" s="115">
        <v>1576</v>
      </c>
    </row>
    <row r="6980" spans="1:11" x14ac:dyDescent="0.25">
      <c r="B6980" s="115" t="s">
        <v>5859</v>
      </c>
      <c r="D6980" s="115" t="s">
        <v>13026</v>
      </c>
      <c r="E6980" s="115" t="s">
        <v>7833</v>
      </c>
      <c r="F6980" s="115">
        <v>-130</v>
      </c>
      <c r="G6980" s="115">
        <v>336</v>
      </c>
      <c r="H6980" s="115">
        <v>0</v>
      </c>
      <c r="I6980" s="115">
        <v>238</v>
      </c>
      <c r="J6980" s="115">
        <v>0</v>
      </c>
      <c r="K6980" s="115">
        <v>0</v>
      </c>
    </row>
    <row r="6981" spans="1:11" x14ac:dyDescent="0.25">
      <c r="A6981" s="115" t="s">
        <v>1239</v>
      </c>
      <c r="B6981" s="115" t="s">
        <v>5603</v>
      </c>
      <c r="D6981" s="115" t="s">
        <v>13027</v>
      </c>
      <c r="E6981" s="115" t="s">
        <v>1242</v>
      </c>
      <c r="F6981" s="115">
        <v>-11</v>
      </c>
      <c r="G6981" s="115">
        <v>0</v>
      </c>
      <c r="H6981" s="115">
        <v>0</v>
      </c>
      <c r="I6981" s="115">
        <v>0</v>
      </c>
      <c r="J6981" s="115">
        <v>0</v>
      </c>
      <c r="K6981" s="115">
        <v>0</v>
      </c>
    </row>
    <row r="6982" spans="1:11" x14ac:dyDescent="0.25">
      <c r="A6982" s="115">
        <v>1</v>
      </c>
      <c r="B6982" s="115" t="s">
        <v>7834</v>
      </c>
      <c r="D6982" s="115" t="s">
        <v>13028</v>
      </c>
      <c r="E6982" s="115" t="s">
        <v>7835</v>
      </c>
      <c r="F6982" s="115">
        <v>238</v>
      </c>
      <c r="G6982" s="115">
        <v>0</v>
      </c>
      <c r="H6982" s="115">
        <v>-979</v>
      </c>
      <c r="I6982" s="115">
        <v>-75312</v>
      </c>
      <c r="J6982" s="115">
        <v>516</v>
      </c>
      <c r="K6982" s="115">
        <v>0</v>
      </c>
    </row>
    <row r="6983" spans="1:11" x14ac:dyDescent="0.25">
      <c r="B6983" s="115" t="s">
        <v>1241</v>
      </c>
      <c r="D6983" s="115" t="s">
        <v>13029</v>
      </c>
      <c r="E6983" s="115" t="s">
        <v>7836</v>
      </c>
      <c r="F6983" s="115">
        <v>1550</v>
      </c>
      <c r="G6983" s="115">
        <v>-1583</v>
      </c>
      <c r="H6983" s="115">
        <v>-1483</v>
      </c>
      <c r="I6983" s="115">
        <v>0</v>
      </c>
      <c r="J6983" s="115">
        <v>558</v>
      </c>
      <c r="K6983" s="115">
        <v>0</v>
      </c>
    </row>
    <row r="6984" spans="1:11" x14ac:dyDescent="0.25">
      <c r="B6984" s="115" t="s">
        <v>7837</v>
      </c>
      <c r="D6984" s="115" t="s">
        <v>13030</v>
      </c>
      <c r="E6984" s="115" t="s">
        <v>7838</v>
      </c>
      <c r="F6984" s="115">
        <v>0</v>
      </c>
      <c r="G6984" s="115">
        <v>-1902</v>
      </c>
      <c r="H6984" s="115">
        <v>0</v>
      </c>
      <c r="I6984" s="115">
        <v>0</v>
      </c>
      <c r="J6984" s="115">
        <v>0</v>
      </c>
      <c r="K6984" s="115">
        <v>0</v>
      </c>
    </row>
    <row r="6985" spans="1:11" x14ac:dyDescent="0.25">
      <c r="B6985" s="115" t="s">
        <v>1241</v>
      </c>
      <c r="D6985" s="115" t="s">
        <v>13031</v>
      </c>
      <c r="E6985" s="115" t="s">
        <v>7839</v>
      </c>
      <c r="F6985" s="115">
        <v>477</v>
      </c>
      <c r="G6985" s="115">
        <v>0</v>
      </c>
      <c r="H6985" s="115">
        <v>2311</v>
      </c>
      <c r="I6985" s="115">
        <v>-2749</v>
      </c>
      <c r="J6985" s="115">
        <v>-914</v>
      </c>
      <c r="K6985" s="115">
        <v>0</v>
      </c>
    </row>
    <row r="6986" spans="1:11" x14ac:dyDescent="0.25">
      <c r="B6986" s="115" t="s">
        <v>7840</v>
      </c>
      <c r="D6986" s="115" t="s">
        <v>13032</v>
      </c>
      <c r="E6986" s="115" t="s">
        <v>7841</v>
      </c>
      <c r="F6986" s="115">
        <v>0</v>
      </c>
      <c r="G6986" s="115">
        <v>0</v>
      </c>
      <c r="H6986" s="115">
        <v>0</v>
      </c>
      <c r="I6986" s="115">
        <v>-2657</v>
      </c>
      <c r="J6986" s="115">
        <v>-1511</v>
      </c>
      <c r="K6986" s="115">
        <v>-676</v>
      </c>
    </row>
    <row r="6987" spans="1:11" x14ac:dyDescent="0.25">
      <c r="A6987" s="115" t="s">
        <v>1239</v>
      </c>
      <c r="B6987" s="115" t="s">
        <v>7842</v>
      </c>
      <c r="D6987" s="115" t="s">
        <v>13033</v>
      </c>
      <c r="E6987" s="115" t="s">
        <v>7843</v>
      </c>
      <c r="F6987" s="115">
        <v>0</v>
      </c>
      <c r="G6987" s="115">
        <v>0</v>
      </c>
      <c r="H6987" s="115">
        <v>0</v>
      </c>
      <c r="I6987" s="115">
        <v>-3206</v>
      </c>
      <c r="J6987" s="115">
        <v>0</v>
      </c>
      <c r="K6987" s="115">
        <v>-2079</v>
      </c>
    </row>
    <row r="6988" spans="1:11" x14ac:dyDescent="0.25">
      <c r="B6988" s="115" t="s">
        <v>1241</v>
      </c>
      <c r="D6988" s="115" t="s">
        <v>13034</v>
      </c>
      <c r="E6988" s="115" t="s">
        <v>7844</v>
      </c>
      <c r="F6988" s="115">
        <v>0</v>
      </c>
      <c r="G6988" s="115">
        <v>0</v>
      </c>
      <c r="H6988" s="115">
        <v>0</v>
      </c>
      <c r="I6988" s="115">
        <v>0</v>
      </c>
      <c r="J6988" s="115">
        <v>-664</v>
      </c>
      <c r="K6988" s="115">
        <v>0</v>
      </c>
    </row>
    <row r="6989" spans="1:11" x14ac:dyDescent="0.25">
      <c r="A6989" s="115">
        <v>6</v>
      </c>
      <c r="B6989" s="115" t="s">
        <v>7845</v>
      </c>
      <c r="D6989" s="115" t="s">
        <v>13035</v>
      </c>
      <c r="E6989" s="115" t="s">
        <v>7846</v>
      </c>
      <c r="F6989" s="115">
        <v>645</v>
      </c>
      <c r="G6989" s="115">
        <v>402</v>
      </c>
      <c r="H6989" s="115">
        <v>231</v>
      </c>
      <c r="I6989" s="115">
        <v>333</v>
      </c>
      <c r="J6989" s="115">
        <v>-262</v>
      </c>
      <c r="K6989" s="115">
        <v>10</v>
      </c>
    </row>
    <row r="6990" spans="1:11" x14ac:dyDescent="0.25">
      <c r="B6990" s="115" t="s">
        <v>1241</v>
      </c>
      <c r="D6990" s="115" t="s">
        <v>13036</v>
      </c>
      <c r="E6990" s="115" t="s">
        <v>7847</v>
      </c>
      <c r="F6990" s="115">
        <v>0</v>
      </c>
      <c r="G6990" s="115">
        <v>0</v>
      </c>
      <c r="H6990" s="115">
        <v>0</v>
      </c>
      <c r="I6990" s="115">
        <v>-244</v>
      </c>
      <c r="J6990" s="115">
        <v>-77</v>
      </c>
      <c r="K6990" s="115">
        <v>1159</v>
      </c>
    </row>
    <row r="6991" spans="1:11" x14ac:dyDescent="0.25">
      <c r="B6991" s="115" t="s">
        <v>7848</v>
      </c>
      <c r="D6991" s="115" t="s">
        <v>13037</v>
      </c>
      <c r="E6991" s="115" t="s">
        <v>7849</v>
      </c>
      <c r="F6991" s="115">
        <v>0</v>
      </c>
      <c r="G6991" s="115">
        <v>131</v>
      </c>
      <c r="H6991" s="115">
        <v>0</v>
      </c>
      <c r="I6991" s="115">
        <v>575</v>
      </c>
      <c r="J6991" s="115">
        <v>1124</v>
      </c>
      <c r="K6991" s="115">
        <v>0</v>
      </c>
    </row>
    <row r="6992" spans="1:11" x14ac:dyDescent="0.25">
      <c r="B6992" s="115" t="s">
        <v>1241</v>
      </c>
      <c r="D6992" s="115" t="s">
        <v>13038</v>
      </c>
      <c r="E6992" s="115" t="s">
        <v>7850</v>
      </c>
      <c r="F6992" s="115">
        <v>0</v>
      </c>
      <c r="G6992" s="115">
        <v>-1054</v>
      </c>
      <c r="H6992" s="115">
        <v>-2432</v>
      </c>
      <c r="I6992" s="115">
        <v>0</v>
      </c>
      <c r="J6992" s="115">
        <v>0</v>
      </c>
      <c r="K6992" s="115">
        <v>0</v>
      </c>
    </row>
    <row r="6993" spans="1:11" x14ac:dyDescent="0.25">
      <c r="B6993" s="115" t="s">
        <v>1241</v>
      </c>
      <c r="D6993" s="115" t="s">
        <v>8710</v>
      </c>
      <c r="E6993" s="115" t="s">
        <v>1242</v>
      </c>
      <c r="F6993" s="115">
        <v>0</v>
      </c>
      <c r="G6993" s="115">
        <v>0</v>
      </c>
      <c r="H6993" s="115">
        <v>0</v>
      </c>
      <c r="I6993" s="115">
        <v>0</v>
      </c>
      <c r="J6993" s="115">
        <v>0</v>
      </c>
      <c r="K6993" s="115">
        <v>0</v>
      </c>
    </row>
    <row r="6994" spans="1:11" x14ac:dyDescent="0.25">
      <c r="B6994" s="115" t="s">
        <v>1241</v>
      </c>
      <c r="D6994" s="115" t="s">
        <v>13039</v>
      </c>
      <c r="E6994" s="115" t="s">
        <v>7851</v>
      </c>
      <c r="F6994" s="115">
        <v>0</v>
      </c>
      <c r="G6994" s="115">
        <v>0</v>
      </c>
      <c r="H6994" s="115">
        <v>0</v>
      </c>
      <c r="I6994" s="115">
        <v>0</v>
      </c>
      <c r="J6994" s="115">
        <v>1495</v>
      </c>
      <c r="K6994" s="115">
        <v>658</v>
      </c>
    </row>
    <row r="6995" spans="1:11" x14ac:dyDescent="0.25">
      <c r="B6995" s="115" t="s">
        <v>7852</v>
      </c>
      <c r="D6995" s="115" t="s">
        <v>13040</v>
      </c>
      <c r="E6995" s="115" t="s">
        <v>7853</v>
      </c>
      <c r="F6995" s="115">
        <v>-3558</v>
      </c>
      <c r="G6995" s="115">
        <v>-2154</v>
      </c>
      <c r="H6995" s="115">
        <v>-1358</v>
      </c>
      <c r="I6995" s="115">
        <v>880</v>
      </c>
      <c r="J6995" s="115">
        <v>1461</v>
      </c>
      <c r="K6995" s="115">
        <v>809</v>
      </c>
    </row>
    <row r="6996" spans="1:11" x14ac:dyDescent="0.25">
      <c r="A6996" s="115">
        <v>1</v>
      </c>
      <c r="B6996" s="115" t="s">
        <v>7854</v>
      </c>
      <c r="D6996" s="115" t="s">
        <v>13041</v>
      </c>
      <c r="E6996" s="115" t="s">
        <v>7855</v>
      </c>
      <c r="F6996" s="115">
        <v>-6473</v>
      </c>
      <c r="G6996" s="115">
        <v>0</v>
      </c>
      <c r="H6996" s="115">
        <v>-23</v>
      </c>
      <c r="I6996" s="115">
        <v>1105</v>
      </c>
      <c r="J6996" s="115">
        <v>1140</v>
      </c>
      <c r="K6996" s="115">
        <v>-3063</v>
      </c>
    </row>
    <row r="6997" spans="1:11" x14ac:dyDescent="0.25">
      <c r="A6997" s="115" t="s">
        <v>1239</v>
      </c>
      <c r="B6997" s="115" t="s">
        <v>7856</v>
      </c>
      <c r="D6997" s="115" t="s">
        <v>13042</v>
      </c>
      <c r="E6997" s="115" t="s">
        <v>7857</v>
      </c>
      <c r="F6997" s="115">
        <v>-150</v>
      </c>
      <c r="G6997" s="115">
        <v>498</v>
      </c>
      <c r="H6997" s="115">
        <v>506</v>
      </c>
      <c r="I6997" s="115">
        <v>-2973</v>
      </c>
      <c r="J6997" s="115">
        <v>-161</v>
      </c>
      <c r="K6997" s="115">
        <v>218</v>
      </c>
    </row>
    <row r="6998" spans="1:11" x14ac:dyDescent="0.25">
      <c r="B6998" s="115" t="s">
        <v>7858</v>
      </c>
      <c r="D6998" s="115" t="s">
        <v>13043</v>
      </c>
      <c r="E6998" s="115" t="s">
        <v>7859</v>
      </c>
      <c r="F6998" s="115">
        <v>4</v>
      </c>
      <c r="G6998" s="115">
        <v>-1651</v>
      </c>
      <c r="H6998" s="115">
        <v>358</v>
      </c>
      <c r="I6998" s="115">
        <v>-222</v>
      </c>
      <c r="J6998" s="115">
        <v>430</v>
      </c>
      <c r="K6998" s="115">
        <v>341</v>
      </c>
    </row>
    <row r="6999" spans="1:11" x14ac:dyDescent="0.25">
      <c r="B6999" s="115" t="s">
        <v>7860</v>
      </c>
      <c r="D6999" s="115" t="s">
        <v>13044</v>
      </c>
      <c r="E6999" s="115" t="s">
        <v>7861</v>
      </c>
      <c r="F6999" s="115">
        <v>3</v>
      </c>
      <c r="G6999" s="115">
        <v>-1320</v>
      </c>
      <c r="H6999" s="115">
        <v>1247</v>
      </c>
      <c r="I6999" s="115">
        <v>159</v>
      </c>
      <c r="J6999" s="115">
        <v>116</v>
      </c>
      <c r="K6999" s="115">
        <v>152</v>
      </c>
    </row>
    <row r="7000" spans="1:11" x14ac:dyDescent="0.25">
      <c r="B7000" s="115" t="s">
        <v>7862</v>
      </c>
      <c r="D7000" s="115" t="s">
        <v>13045</v>
      </c>
      <c r="E7000" s="115" t="s">
        <v>7863</v>
      </c>
      <c r="F7000" s="115">
        <v>328</v>
      </c>
      <c r="G7000" s="115">
        <v>430</v>
      </c>
      <c r="H7000" s="115">
        <v>50874</v>
      </c>
      <c r="I7000" s="115">
        <v>61111</v>
      </c>
      <c r="J7000" s="115">
        <v>61287</v>
      </c>
      <c r="K7000" s="115">
        <v>57793</v>
      </c>
    </row>
    <row r="7001" spans="1:11" x14ac:dyDescent="0.25">
      <c r="A7001" s="115">
        <v>51</v>
      </c>
      <c r="B7001" s="115" t="s">
        <v>7864</v>
      </c>
      <c r="C7001" s="115">
        <v>3</v>
      </c>
      <c r="D7001" s="115" t="s">
        <v>13046</v>
      </c>
      <c r="E7001" s="115" t="s">
        <v>7865</v>
      </c>
      <c r="F7001" s="115">
        <v>36762</v>
      </c>
      <c r="G7001" s="115">
        <v>39601</v>
      </c>
      <c r="H7001" s="115">
        <v>58266</v>
      </c>
      <c r="I7001" s="115">
        <v>58356</v>
      </c>
      <c r="J7001" s="115">
        <v>57508</v>
      </c>
      <c r="K7001" s="115">
        <v>56746</v>
      </c>
    </row>
    <row r="7002" spans="1:11" x14ac:dyDescent="0.25">
      <c r="A7002" s="115">
        <v>62</v>
      </c>
      <c r="B7002" s="115" t="s">
        <v>7866</v>
      </c>
      <c r="C7002" s="115">
        <v>6</v>
      </c>
      <c r="D7002" s="115" t="s">
        <v>13047</v>
      </c>
      <c r="E7002" s="115" t="s">
        <v>7867</v>
      </c>
      <c r="F7002" s="115">
        <v>61288</v>
      </c>
      <c r="G7002" s="115">
        <v>98003</v>
      </c>
      <c r="H7002" s="115">
        <v>5</v>
      </c>
      <c r="I7002" s="115">
        <v>-50706</v>
      </c>
      <c r="J7002" s="115">
        <v>-275</v>
      </c>
      <c r="K7002" s="115">
        <v>-130</v>
      </c>
    </row>
    <row r="7003" spans="1:11" x14ac:dyDescent="0.25">
      <c r="B7003" s="115" t="s">
        <v>2181</v>
      </c>
      <c r="D7003" s="115" t="s">
        <v>13048</v>
      </c>
      <c r="E7003" s="115" t="s">
        <v>7868</v>
      </c>
      <c r="F7003" s="115">
        <v>0</v>
      </c>
      <c r="G7003" s="115">
        <v>0</v>
      </c>
      <c r="H7003" s="115">
        <v>0</v>
      </c>
      <c r="I7003" s="115">
        <v>94</v>
      </c>
      <c r="J7003" s="115">
        <v>76</v>
      </c>
      <c r="K7003" s="115">
        <v>0</v>
      </c>
    </row>
    <row r="7004" spans="1:11" x14ac:dyDescent="0.25">
      <c r="B7004" s="115" t="s">
        <v>1241</v>
      </c>
      <c r="D7004" s="115" t="s">
        <v>13049</v>
      </c>
      <c r="E7004" s="115" t="s">
        <v>7869</v>
      </c>
      <c r="F7004" s="115">
        <v>0</v>
      </c>
      <c r="G7004" s="115">
        <v>-157</v>
      </c>
      <c r="H7004" s="115">
        <v>0</v>
      </c>
      <c r="I7004" s="115">
        <v>0</v>
      </c>
      <c r="J7004" s="115">
        <v>106</v>
      </c>
      <c r="K7004" s="115">
        <v>0</v>
      </c>
    </row>
    <row r="7005" spans="1:11" x14ac:dyDescent="0.25">
      <c r="A7005" s="115" t="s">
        <v>1239</v>
      </c>
      <c r="B7005" s="115" t="s">
        <v>6252</v>
      </c>
      <c r="D7005" s="115" t="s">
        <v>13050</v>
      </c>
      <c r="E7005" s="115" t="s">
        <v>7870</v>
      </c>
      <c r="F7005" s="115">
        <v>-164</v>
      </c>
      <c r="G7005" s="115">
        <v>0</v>
      </c>
      <c r="H7005" s="115">
        <v>70</v>
      </c>
      <c r="I7005" s="115">
        <v>-42984</v>
      </c>
      <c r="J7005" s="115">
        <v>-47</v>
      </c>
      <c r="K7005" s="115">
        <v>-133</v>
      </c>
    </row>
    <row r="7006" spans="1:11" x14ac:dyDescent="0.25">
      <c r="A7006" s="115" t="s">
        <v>1239</v>
      </c>
      <c r="B7006" s="115" t="s">
        <v>7871</v>
      </c>
      <c r="D7006" s="115" t="s">
        <v>13051</v>
      </c>
      <c r="E7006" s="115" t="s">
        <v>7872</v>
      </c>
      <c r="F7006" s="115">
        <v>0</v>
      </c>
      <c r="G7006" s="115">
        <v>0</v>
      </c>
      <c r="H7006" s="115">
        <v>0</v>
      </c>
      <c r="I7006" s="115">
        <v>0</v>
      </c>
      <c r="J7006" s="115">
        <v>0</v>
      </c>
      <c r="K7006" s="115">
        <v>187</v>
      </c>
    </row>
    <row r="7007" spans="1:11" x14ac:dyDescent="0.25">
      <c r="B7007" s="115" t="s">
        <v>1241</v>
      </c>
      <c r="D7007" s="115" t="s">
        <v>13052</v>
      </c>
      <c r="E7007" s="115" t="s">
        <v>7873</v>
      </c>
      <c r="F7007" s="115">
        <v>0</v>
      </c>
      <c r="G7007" s="115">
        <v>39</v>
      </c>
      <c r="H7007" s="115">
        <v>0</v>
      </c>
      <c r="I7007" s="115">
        <v>0</v>
      </c>
      <c r="J7007" s="115">
        <v>0</v>
      </c>
      <c r="K7007" s="115">
        <v>0</v>
      </c>
    </row>
    <row r="7008" spans="1:11" x14ac:dyDescent="0.25">
      <c r="B7008" s="115" t="s">
        <v>6803</v>
      </c>
      <c r="D7008" s="115" t="s">
        <v>13053</v>
      </c>
      <c r="E7008" s="115" t="s">
        <v>7874</v>
      </c>
      <c r="F7008" s="115">
        <v>235</v>
      </c>
      <c r="G7008" s="115">
        <v>0</v>
      </c>
      <c r="H7008" s="115">
        <v>0</v>
      </c>
      <c r="I7008" s="115">
        <v>-1025</v>
      </c>
      <c r="J7008" s="115">
        <v>-57646</v>
      </c>
      <c r="K7008" s="115">
        <v>0</v>
      </c>
    </row>
    <row r="7009" spans="1:11" x14ac:dyDescent="0.25">
      <c r="B7009" s="115" t="s">
        <v>3124</v>
      </c>
      <c r="D7009" s="115" t="s">
        <v>13054</v>
      </c>
      <c r="E7009" s="115" t="s">
        <v>7875</v>
      </c>
      <c r="F7009" s="115">
        <v>0</v>
      </c>
      <c r="G7009" s="115">
        <v>-1291</v>
      </c>
      <c r="H7009" s="115">
        <v>-175</v>
      </c>
      <c r="I7009" s="115">
        <v>48</v>
      </c>
      <c r="J7009" s="115">
        <v>0</v>
      </c>
      <c r="K7009" s="115">
        <v>0</v>
      </c>
    </row>
    <row r="7010" spans="1:11" x14ac:dyDescent="0.25">
      <c r="B7010" s="115" t="s">
        <v>7876</v>
      </c>
      <c r="D7010" s="115" t="s">
        <v>13055</v>
      </c>
      <c r="E7010" s="115" t="s">
        <v>7877</v>
      </c>
      <c r="F7010" s="115">
        <v>-45</v>
      </c>
      <c r="G7010" s="115">
        <v>193</v>
      </c>
      <c r="H7010" s="115">
        <v>-12</v>
      </c>
      <c r="I7010" s="115">
        <v>447</v>
      </c>
      <c r="J7010" s="115">
        <v>443</v>
      </c>
      <c r="K7010" s="115">
        <v>155</v>
      </c>
    </row>
    <row r="7011" spans="1:11" x14ac:dyDescent="0.25">
      <c r="B7011" s="115" t="s">
        <v>1241</v>
      </c>
      <c r="D7011" s="115" t="s">
        <v>13056</v>
      </c>
      <c r="E7011" s="115" t="s">
        <v>7878</v>
      </c>
      <c r="F7011" s="115">
        <v>0</v>
      </c>
      <c r="G7011" s="115">
        <v>443</v>
      </c>
      <c r="H7011" s="115">
        <v>0</v>
      </c>
      <c r="I7011" s="115">
        <v>1394</v>
      </c>
      <c r="J7011" s="115">
        <v>1018</v>
      </c>
      <c r="K7011" s="115">
        <v>-96</v>
      </c>
    </row>
    <row r="7012" spans="1:11" x14ac:dyDescent="0.25">
      <c r="B7012" s="115" t="s">
        <v>7879</v>
      </c>
      <c r="C7012" s="115">
        <v>-6</v>
      </c>
      <c r="D7012" s="115" t="s">
        <v>13057</v>
      </c>
      <c r="E7012" s="115" t="s">
        <v>7880</v>
      </c>
      <c r="F7012" s="115">
        <v>-162</v>
      </c>
      <c r="G7012" s="115">
        <v>262</v>
      </c>
      <c r="H7012" s="115">
        <v>0</v>
      </c>
      <c r="I7012" s="115">
        <v>90</v>
      </c>
      <c r="J7012" s="115">
        <v>-399</v>
      </c>
      <c r="K7012" s="115">
        <v>-1032</v>
      </c>
    </row>
    <row r="7013" spans="1:11" x14ac:dyDescent="0.25">
      <c r="B7013" s="115" t="s">
        <v>4189</v>
      </c>
      <c r="D7013" s="115" t="s">
        <v>13058</v>
      </c>
      <c r="E7013" s="115" t="s">
        <v>7881</v>
      </c>
      <c r="F7013" s="115">
        <v>0</v>
      </c>
      <c r="G7013" s="115">
        <v>0</v>
      </c>
      <c r="H7013" s="115">
        <v>0</v>
      </c>
      <c r="I7013" s="115">
        <v>-101</v>
      </c>
      <c r="J7013" s="115">
        <v>-598</v>
      </c>
      <c r="K7013" s="115">
        <v>0</v>
      </c>
    </row>
    <row r="7014" spans="1:11" x14ac:dyDescent="0.25">
      <c r="A7014" s="115" t="s">
        <v>1239</v>
      </c>
      <c r="B7014" s="115" t="s">
        <v>7882</v>
      </c>
      <c r="D7014" s="115" t="s">
        <v>13059</v>
      </c>
      <c r="E7014" s="115" t="s">
        <v>7883</v>
      </c>
      <c r="F7014" s="115">
        <v>0</v>
      </c>
      <c r="G7014" s="115">
        <v>0</v>
      </c>
      <c r="H7014" s="115">
        <v>0</v>
      </c>
      <c r="I7014" s="115">
        <v>0</v>
      </c>
      <c r="J7014" s="115">
        <v>0</v>
      </c>
      <c r="K7014" s="115">
        <v>620</v>
      </c>
    </row>
    <row r="7015" spans="1:11" x14ac:dyDescent="0.25">
      <c r="B7015" s="115" t="s">
        <v>7884</v>
      </c>
      <c r="D7015" s="115" t="s">
        <v>13060</v>
      </c>
      <c r="E7015" s="115" t="s">
        <v>7885</v>
      </c>
      <c r="F7015" s="115">
        <v>0</v>
      </c>
      <c r="G7015" s="115">
        <v>-1508</v>
      </c>
      <c r="H7015" s="115">
        <v>-64526</v>
      </c>
      <c r="I7015" s="115">
        <v>-192</v>
      </c>
      <c r="J7015" s="115">
        <v>-153</v>
      </c>
      <c r="K7015" s="115">
        <v>127</v>
      </c>
    </row>
    <row r="7016" spans="1:11" x14ac:dyDescent="0.25">
      <c r="A7016" s="115" t="s">
        <v>1239</v>
      </c>
      <c r="B7016" s="115" t="s">
        <v>7886</v>
      </c>
      <c r="D7016" s="115" t="s">
        <v>13061</v>
      </c>
      <c r="E7016" s="115" t="s">
        <v>7887</v>
      </c>
      <c r="F7016" s="115">
        <v>273</v>
      </c>
      <c r="G7016" s="115">
        <v>0</v>
      </c>
      <c r="H7016" s="115">
        <v>0</v>
      </c>
      <c r="I7016" s="115">
        <v>-74</v>
      </c>
      <c r="J7016" s="115">
        <v>279</v>
      </c>
      <c r="K7016" s="115">
        <v>0</v>
      </c>
    </row>
    <row r="7017" spans="1:11" x14ac:dyDescent="0.25">
      <c r="B7017" s="115" t="s">
        <v>2560</v>
      </c>
      <c r="D7017" s="115" t="s">
        <v>13062</v>
      </c>
      <c r="E7017" s="115" t="s">
        <v>7888</v>
      </c>
      <c r="F7017" s="115">
        <v>0</v>
      </c>
      <c r="G7017" s="115">
        <v>95</v>
      </c>
      <c r="H7017" s="115">
        <v>66</v>
      </c>
      <c r="I7017" s="115">
        <v>3</v>
      </c>
      <c r="J7017" s="115">
        <v>0</v>
      </c>
      <c r="K7017" s="115">
        <v>0</v>
      </c>
    </row>
    <row r="7018" spans="1:11" x14ac:dyDescent="0.25">
      <c r="B7018" s="115" t="s">
        <v>1241</v>
      </c>
      <c r="D7018" s="115" t="s">
        <v>13063</v>
      </c>
      <c r="E7018" s="115" t="s">
        <v>7889</v>
      </c>
      <c r="F7018" s="115">
        <v>0</v>
      </c>
      <c r="G7018" s="115">
        <v>6996</v>
      </c>
      <c r="H7018" s="115">
        <v>806</v>
      </c>
      <c r="I7018" s="115">
        <v>206</v>
      </c>
      <c r="J7018" s="115">
        <v>0</v>
      </c>
      <c r="K7018" s="115">
        <v>-803</v>
      </c>
    </row>
    <row r="7019" spans="1:11" x14ac:dyDescent="0.25">
      <c r="A7019" s="115">
        <v>-75</v>
      </c>
      <c r="B7019" s="115" t="s">
        <v>7890</v>
      </c>
      <c r="D7019" s="115" t="s">
        <v>13064</v>
      </c>
      <c r="E7019" s="115" t="s">
        <v>7891</v>
      </c>
      <c r="F7019" s="115">
        <v>0</v>
      </c>
      <c r="G7019" s="115">
        <v>2105</v>
      </c>
      <c r="H7019" s="115">
        <v>3054</v>
      </c>
      <c r="I7019" s="115">
        <v>1576</v>
      </c>
      <c r="J7019" s="115">
        <v>-1510</v>
      </c>
      <c r="K7019" s="115">
        <v>-1412</v>
      </c>
    </row>
    <row r="7020" spans="1:11" x14ac:dyDescent="0.25">
      <c r="B7020" s="115" t="s">
        <v>7892</v>
      </c>
      <c r="D7020" s="115" t="s">
        <v>13065</v>
      </c>
      <c r="E7020" s="115" t="s">
        <v>7893</v>
      </c>
      <c r="F7020" s="115">
        <v>44</v>
      </c>
      <c r="G7020" s="115">
        <v>0</v>
      </c>
      <c r="H7020" s="115">
        <v>-1417</v>
      </c>
      <c r="I7020" s="115">
        <v>0</v>
      </c>
      <c r="J7020" s="115">
        <v>-1850</v>
      </c>
      <c r="K7020" s="115">
        <v>0</v>
      </c>
    </row>
    <row r="7021" spans="1:11" x14ac:dyDescent="0.25">
      <c r="B7021" s="115" t="s">
        <v>1241</v>
      </c>
      <c r="D7021" s="115" t="s">
        <v>13066</v>
      </c>
      <c r="E7021" s="115" t="s">
        <v>7894</v>
      </c>
      <c r="F7021" s="115">
        <v>0</v>
      </c>
      <c r="G7021" s="115">
        <v>0</v>
      </c>
      <c r="H7021" s="115">
        <v>0</v>
      </c>
      <c r="I7021" s="115">
        <v>423</v>
      </c>
      <c r="J7021" s="115">
        <v>0</v>
      </c>
      <c r="K7021" s="115">
        <v>1524</v>
      </c>
    </row>
    <row r="7022" spans="1:11" x14ac:dyDescent="0.25">
      <c r="A7022" s="115">
        <v>-2</v>
      </c>
      <c r="B7022" s="115" t="s">
        <v>7895</v>
      </c>
      <c r="D7022" s="115" t="s">
        <v>13067</v>
      </c>
      <c r="E7022" s="115" t="s">
        <v>1242</v>
      </c>
      <c r="F7022" s="115">
        <v>-65502</v>
      </c>
      <c r="G7022" s="115">
        <v>0</v>
      </c>
      <c r="H7022" s="115">
        <v>0</v>
      </c>
      <c r="I7022" s="115">
        <v>0</v>
      </c>
      <c r="J7022" s="115">
        <v>0</v>
      </c>
      <c r="K7022" s="115">
        <v>0</v>
      </c>
    </row>
    <row r="7023" spans="1:11" x14ac:dyDescent="0.25">
      <c r="A7023" s="115">
        <v>-2</v>
      </c>
      <c r="B7023" s="115" t="s">
        <v>7896</v>
      </c>
      <c r="D7023" s="115" t="s">
        <v>13068</v>
      </c>
      <c r="E7023" s="115" t="s">
        <v>7897</v>
      </c>
      <c r="F7023" s="115">
        <v>-53</v>
      </c>
      <c r="G7023" s="115">
        <v>-36</v>
      </c>
      <c r="H7023" s="115">
        <v>0</v>
      </c>
      <c r="I7023" s="115">
        <v>0</v>
      </c>
      <c r="J7023" s="115">
        <v>0</v>
      </c>
      <c r="K7023" s="115">
        <v>0</v>
      </c>
    </row>
    <row r="7024" spans="1:11" x14ac:dyDescent="0.25">
      <c r="A7024" s="115">
        <v>-3</v>
      </c>
      <c r="B7024" s="115" t="s">
        <v>7898</v>
      </c>
      <c r="C7024" s="115" t="s">
        <v>1239</v>
      </c>
      <c r="D7024" s="115" t="s">
        <v>13069</v>
      </c>
      <c r="E7024" s="115" t="s">
        <v>7899</v>
      </c>
      <c r="F7024" s="115">
        <v>0</v>
      </c>
      <c r="G7024" s="115">
        <v>218</v>
      </c>
      <c r="H7024" s="115">
        <v>-209</v>
      </c>
      <c r="I7024" s="115">
        <v>0</v>
      </c>
      <c r="J7024" s="115">
        <v>0</v>
      </c>
      <c r="K7024" s="115">
        <v>0</v>
      </c>
    </row>
    <row r="7025" spans="1:11" x14ac:dyDescent="0.25">
      <c r="B7025" s="115" t="s">
        <v>7900</v>
      </c>
      <c r="D7025" s="115" t="s">
        <v>13070</v>
      </c>
      <c r="E7025" s="115" t="s">
        <v>7901</v>
      </c>
      <c r="F7025" s="115">
        <v>-2254</v>
      </c>
      <c r="G7025" s="115">
        <v>-671</v>
      </c>
      <c r="H7025" s="115">
        <v>3317</v>
      </c>
      <c r="I7025" s="115">
        <v>589</v>
      </c>
      <c r="J7025" s="115">
        <v>390</v>
      </c>
      <c r="K7025" s="115">
        <v>202</v>
      </c>
    </row>
    <row r="7026" spans="1:11" x14ac:dyDescent="0.25">
      <c r="B7026" s="115" t="s">
        <v>7902</v>
      </c>
      <c r="D7026" s="115" t="s">
        <v>13071</v>
      </c>
      <c r="E7026" s="115" t="s">
        <v>1242</v>
      </c>
      <c r="F7026" s="115">
        <v>0</v>
      </c>
      <c r="G7026" s="115">
        <v>0</v>
      </c>
      <c r="H7026" s="115">
        <v>0</v>
      </c>
      <c r="I7026" s="115">
        <v>0</v>
      </c>
      <c r="J7026" s="115">
        <v>0</v>
      </c>
      <c r="K7026" s="115">
        <v>0</v>
      </c>
    </row>
    <row r="7027" spans="1:11" x14ac:dyDescent="0.25">
      <c r="A7027" s="115" t="s">
        <v>1239</v>
      </c>
      <c r="B7027" s="115" t="s">
        <v>7903</v>
      </c>
      <c r="D7027" s="115" t="s">
        <v>13072</v>
      </c>
      <c r="E7027" s="115" t="s">
        <v>7904</v>
      </c>
      <c r="F7027" s="115">
        <v>928</v>
      </c>
      <c r="G7027" s="115">
        <v>-82</v>
      </c>
      <c r="H7027" s="115">
        <v>0</v>
      </c>
      <c r="I7027" s="115">
        <v>0</v>
      </c>
      <c r="J7027" s="115">
        <v>121</v>
      </c>
      <c r="K7027" s="115">
        <v>0</v>
      </c>
    </row>
    <row r="7028" spans="1:11" x14ac:dyDescent="0.25">
      <c r="B7028" s="115" t="s">
        <v>7905</v>
      </c>
      <c r="D7028" s="115" t="s">
        <v>13073</v>
      </c>
      <c r="E7028" s="115" t="s">
        <v>7906</v>
      </c>
      <c r="F7028" s="115">
        <v>0</v>
      </c>
      <c r="G7028" s="115">
        <v>0</v>
      </c>
      <c r="H7028" s="115">
        <v>-811</v>
      </c>
      <c r="I7028" s="115">
        <v>0</v>
      </c>
      <c r="J7028" s="115">
        <v>-1220</v>
      </c>
      <c r="K7028" s="115">
        <v>-2431</v>
      </c>
    </row>
    <row r="7029" spans="1:11" x14ac:dyDescent="0.25">
      <c r="B7029" s="115" t="s">
        <v>1241</v>
      </c>
      <c r="D7029" s="115" t="s">
        <v>8710</v>
      </c>
      <c r="E7029" s="115" t="s">
        <v>1242</v>
      </c>
      <c r="F7029" s="115">
        <v>0</v>
      </c>
      <c r="G7029" s="115">
        <v>0</v>
      </c>
      <c r="H7029" s="115">
        <v>0</v>
      </c>
      <c r="I7029" s="115">
        <v>0</v>
      </c>
      <c r="J7029" s="115">
        <v>0</v>
      </c>
      <c r="K7029" s="115">
        <v>0</v>
      </c>
    </row>
    <row r="7030" spans="1:11" x14ac:dyDescent="0.25">
      <c r="B7030" s="115" t="s">
        <v>1241</v>
      </c>
      <c r="D7030" s="115" t="s">
        <v>13074</v>
      </c>
      <c r="E7030" s="115" t="s">
        <v>7907</v>
      </c>
      <c r="F7030" s="115">
        <v>0</v>
      </c>
      <c r="G7030" s="115">
        <v>-1036</v>
      </c>
      <c r="H7030" s="115">
        <v>0</v>
      </c>
      <c r="I7030" s="115">
        <v>0</v>
      </c>
      <c r="J7030" s="115">
        <v>0</v>
      </c>
      <c r="K7030" s="115">
        <v>0</v>
      </c>
    </row>
    <row r="7031" spans="1:11" x14ac:dyDescent="0.25">
      <c r="B7031" s="115" t="s">
        <v>7908</v>
      </c>
      <c r="D7031" s="115" t="s">
        <v>13075</v>
      </c>
      <c r="E7031" s="115" t="s">
        <v>7909</v>
      </c>
      <c r="F7031" s="115">
        <v>717</v>
      </c>
      <c r="G7031" s="115">
        <v>1445</v>
      </c>
      <c r="H7031" s="115">
        <v>1290</v>
      </c>
      <c r="I7031" s="115">
        <v>-3248</v>
      </c>
      <c r="J7031" s="115">
        <v>-1455</v>
      </c>
      <c r="K7031" s="115">
        <v>-1140</v>
      </c>
    </row>
    <row r="7032" spans="1:11" x14ac:dyDescent="0.25">
      <c r="B7032" s="115" t="s">
        <v>7910</v>
      </c>
      <c r="D7032" s="115" t="s">
        <v>13076</v>
      </c>
      <c r="E7032" s="115" t="s">
        <v>7911</v>
      </c>
      <c r="F7032" s="115">
        <v>2418</v>
      </c>
      <c r="G7032" s="115">
        <v>3074</v>
      </c>
      <c r="H7032" s="115">
        <v>1532</v>
      </c>
      <c r="I7032" s="115">
        <v>-5230</v>
      </c>
      <c r="J7032" s="115">
        <v>0</v>
      </c>
      <c r="K7032" s="115">
        <v>97</v>
      </c>
    </row>
    <row r="7033" spans="1:11" x14ac:dyDescent="0.25">
      <c r="A7033" s="115">
        <v>1</v>
      </c>
      <c r="B7033" s="115" t="s">
        <v>7912</v>
      </c>
      <c r="C7033" s="115" t="s">
        <v>1239</v>
      </c>
      <c r="D7033" s="115" t="s">
        <v>13077</v>
      </c>
      <c r="E7033" s="115" t="s">
        <v>7913</v>
      </c>
      <c r="F7033" s="115">
        <v>370</v>
      </c>
      <c r="G7033" s="115">
        <v>447</v>
      </c>
      <c r="H7033" s="115">
        <v>-2888</v>
      </c>
      <c r="I7033" s="115">
        <v>-31</v>
      </c>
      <c r="J7033" s="115">
        <v>663</v>
      </c>
      <c r="K7033" s="115">
        <v>649</v>
      </c>
    </row>
    <row r="7034" spans="1:11" x14ac:dyDescent="0.25">
      <c r="A7034" s="115">
        <v>-2</v>
      </c>
      <c r="B7034" s="115" t="s">
        <v>7914</v>
      </c>
      <c r="D7034" s="115" t="s">
        <v>13078</v>
      </c>
      <c r="E7034" s="115" t="s">
        <v>7915</v>
      </c>
      <c r="F7034" s="115">
        <v>-2028</v>
      </c>
      <c r="G7034" s="115">
        <v>-196</v>
      </c>
      <c r="H7034" s="115">
        <v>30</v>
      </c>
      <c r="I7034" s="115">
        <v>86</v>
      </c>
      <c r="J7034" s="115">
        <v>-1249</v>
      </c>
      <c r="K7034" s="115">
        <v>275</v>
      </c>
    </row>
    <row r="7035" spans="1:11" x14ac:dyDescent="0.25">
      <c r="A7035" s="115" t="s">
        <v>1239</v>
      </c>
      <c r="B7035" s="115" t="s">
        <v>7916</v>
      </c>
      <c r="D7035" s="115" t="s">
        <v>13079</v>
      </c>
      <c r="E7035" s="115" t="s">
        <v>7917</v>
      </c>
      <c r="F7035" s="115">
        <v>-735</v>
      </c>
      <c r="G7035" s="115">
        <v>165</v>
      </c>
      <c r="H7035" s="115">
        <v>358</v>
      </c>
      <c r="I7035" s="115">
        <v>-19</v>
      </c>
      <c r="J7035" s="115">
        <v>-1315</v>
      </c>
      <c r="K7035" s="115">
        <v>1189</v>
      </c>
    </row>
    <row r="7036" spans="1:11" x14ac:dyDescent="0.25">
      <c r="B7036" s="115" t="s">
        <v>7918</v>
      </c>
      <c r="D7036" s="115" t="s">
        <v>13080</v>
      </c>
      <c r="E7036" s="115" t="s">
        <v>7919</v>
      </c>
      <c r="F7036" s="115">
        <v>455</v>
      </c>
      <c r="G7036" s="115">
        <v>283</v>
      </c>
      <c r="H7036" s="115">
        <v>344</v>
      </c>
      <c r="I7036" s="115">
        <v>273</v>
      </c>
      <c r="J7036" s="115">
        <v>375</v>
      </c>
      <c r="K7036" s="115">
        <v>46242</v>
      </c>
    </row>
    <row r="7037" spans="1:11" x14ac:dyDescent="0.25">
      <c r="A7037" s="115">
        <v>55</v>
      </c>
      <c r="B7037" s="115" t="s">
        <v>7920</v>
      </c>
      <c r="C7037" s="115">
        <v>5</v>
      </c>
      <c r="D7037" s="115" t="s">
        <v>13081</v>
      </c>
      <c r="E7037" s="115" t="s">
        <v>7921</v>
      </c>
      <c r="F7037" s="115">
        <v>25386</v>
      </c>
      <c r="G7037" s="115">
        <v>30698</v>
      </c>
      <c r="H7037" s="115">
        <v>24918</v>
      </c>
      <c r="I7037" s="115">
        <v>33625</v>
      </c>
      <c r="J7037" s="115">
        <v>36171</v>
      </c>
      <c r="K7037" s="115">
        <v>54477</v>
      </c>
    </row>
    <row r="7038" spans="1:11" x14ac:dyDescent="0.25">
      <c r="A7038" s="115">
        <v>54</v>
      </c>
      <c r="B7038" s="115" t="s">
        <v>7922</v>
      </c>
      <c r="C7038" s="115">
        <v>5</v>
      </c>
      <c r="D7038" s="115" t="s">
        <v>13082</v>
      </c>
      <c r="E7038" s="115" t="s">
        <v>7923</v>
      </c>
      <c r="F7038" s="115">
        <v>57615</v>
      </c>
      <c r="G7038" s="115">
        <v>57823</v>
      </c>
      <c r="H7038" s="115">
        <v>57643</v>
      </c>
      <c r="I7038" s="115">
        <v>57387</v>
      </c>
      <c r="J7038" s="115">
        <v>94896</v>
      </c>
      <c r="K7038" s="115">
        <v>98439</v>
      </c>
    </row>
    <row r="7039" spans="1:11" x14ac:dyDescent="0.25">
      <c r="B7039" s="115" t="s">
        <v>7924</v>
      </c>
      <c r="D7039" s="115" t="s">
        <v>13083</v>
      </c>
      <c r="E7039" s="115" t="s">
        <v>7925</v>
      </c>
      <c r="F7039" s="115">
        <v>-293</v>
      </c>
      <c r="G7039" s="115">
        <v>0</v>
      </c>
      <c r="H7039" s="115">
        <v>0</v>
      </c>
      <c r="I7039" s="115">
        <v>235</v>
      </c>
      <c r="J7039" s="115">
        <v>0</v>
      </c>
      <c r="K7039" s="115">
        <v>0</v>
      </c>
    </row>
    <row r="7040" spans="1:11" x14ac:dyDescent="0.25">
      <c r="B7040" s="115" t="s">
        <v>7103</v>
      </c>
      <c r="D7040" s="115" t="s">
        <v>13084</v>
      </c>
      <c r="E7040" s="115" t="s">
        <v>7926</v>
      </c>
      <c r="F7040" s="115">
        <v>0</v>
      </c>
      <c r="G7040" s="115">
        <v>0</v>
      </c>
      <c r="H7040" s="115">
        <v>0</v>
      </c>
      <c r="I7040" s="115">
        <v>0</v>
      </c>
      <c r="J7040" s="115">
        <v>0</v>
      </c>
      <c r="K7040" s="115">
        <v>-215</v>
      </c>
    </row>
    <row r="7041" spans="1:11" x14ac:dyDescent="0.25">
      <c r="B7041" s="115" t="s">
        <v>1241</v>
      </c>
      <c r="D7041" s="115" t="s">
        <v>13085</v>
      </c>
      <c r="E7041" s="115" t="s">
        <v>7927</v>
      </c>
      <c r="F7041" s="115">
        <v>-99</v>
      </c>
      <c r="G7041" s="115">
        <v>0</v>
      </c>
      <c r="H7041" s="115">
        <v>311</v>
      </c>
      <c r="I7041" s="115">
        <v>-384</v>
      </c>
      <c r="J7041" s="115">
        <v>-228</v>
      </c>
      <c r="K7041" s="115">
        <v>0</v>
      </c>
    </row>
    <row r="7042" spans="1:11" x14ac:dyDescent="0.25">
      <c r="B7042" s="115" t="s">
        <v>7928</v>
      </c>
      <c r="D7042" s="115" t="s">
        <v>13086</v>
      </c>
      <c r="E7042" s="115" t="s">
        <v>7929</v>
      </c>
      <c r="F7042" s="115">
        <v>-640</v>
      </c>
      <c r="G7042" s="115">
        <v>-1262</v>
      </c>
      <c r="H7042" s="115">
        <v>0</v>
      </c>
      <c r="I7042" s="115">
        <v>125</v>
      </c>
      <c r="J7042" s="115">
        <v>0</v>
      </c>
      <c r="K7042" s="115">
        <v>0</v>
      </c>
    </row>
    <row r="7043" spans="1:11" x14ac:dyDescent="0.25">
      <c r="B7043" s="115" t="s">
        <v>1241</v>
      </c>
      <c r="D7043" s="115" t="s">
        <v>13087</v>
      </c>
      <c r="E7043" s="115" t="s">
        <v>7930</v>
      </c>
      <c r="F7043" s="115">
        <v>0</v>
      </c>
      <c r="G7043" s="115">
        <v>0</v>
      </c>
      <c r="H7043" s="115">
        <v>0</v>
      </c>
      <c r="I7043" s="115">
        <v>-207</v>
      </c>
      <c r="J7043" s="115">
        <v>0</v>
      </c>
      <c r="K7043" s="115">
        <v>19</v>
      </c>
    </row>
    <row r="7044" spans="1:11" x14ac:dyDescent="0.25">
      <c r="B7044" s="115" t="s">
        <v>1241</v>
      </c>
      <c r="D7044" s="115" t="s">
        <v>13088</v>
      </c>
      <c r="E7044" s="115" t="s">
        <v>7931</v>
      </c>
      <c r="F7044" s="115">
        <v>0</v>
      </c>
      <c r="G7044" s="115">
        <v>82</v>
      </c>
      <c r="H7044" s="115">
        <v>0</v>
      </c>
      <c r="I7044" s="115">
        <v>-101</v>
      </c>
      <c r="J7044" s="115">
        <v>-31</v>
      </c>
      <c r="K7044" s="115">
        <v>0</v>
      </c>
    </row>
    <row r="7045" spans="1:11" x14ac:dyDescent="0.25">
      <c r="B7045" s="115" t="s">
        <v>7932</v>
      </c>
      <c r="C7045" s="115">
        <v>-5</v>
      </c>
      <c r="D7045" s="115" t="s">
        <v>13089</v>
      </c>
      <c r="E7045" s="115" t="s">
        <v>7933</v>
      </c>
      <c r="F7045" s="115">
        <v>570</v>
      </c>
      <c r="G7045" s="115">
        <v>0</v>
      </c>
      <c r="H7045" s="115">
        <v>0</v>
      </c>
      <c r="I7045" s="115">
        <v>0</v>
      </c>
      <c r="J7045" s="115">
        <v>0</v>
      </c>
      <c r="K7045" s="115">
        <v>-1638</v>
      </c>
    </row>
    <row r="7046" spans="1:11" x14ac:dyDescent="0.25">
      <c r="A7046" s="115" t="s">
        <v>1239</v>
      </c>
      <c r="B7046" s="115" t="s">
        <v>7934</v>
      </c>
      <c r="D7046" s="115" t="s">
        <v>13090</v>
      </c>
      <c r="E7046" s="115" t="s">
        <v>7935</v>
      </c>
      <c r="F7046" s="115">
        <v>605</v>
      </c>
      <c r="G7046" s="115">
        <v>276</v>
      </c>
      <c r="H7046" s="115">
        <v>0</v>
      </c>
      <c r="I7046" s="115">
        <v>230</v>
      </c>
      <c r="J7046" s="115">
        <v>91</v>
      </c>
      <c r="K7046" s="115">
        <v>363</v>
      </c>
    </row>
    <row r="7047" spans="1:11" x14ac:dyDescent="0.25">
      <c r="B7047" s="115" t="s">
        <v>7936</v>
      </c>
      <c r="D7047" s="115" t="s">
        <v>13091</v>
      </c>
      <c r="E7047" s="115" t="s">
        <v>7937</v>
      </c>
      <c r="F7047" s="115">
        <v>0</v>
      </c>
      <c r="G7047" s="115">
        <v>0</v>
      </c>
      <c r="H7047" s="115">
        <v>0</v>
      </c>
      <c r="I7047" s="115">
        <v>0</v>
      </c>
      <c r="J7047" s="115">
        <v>0</v>
      </c>
      <c r="K7047" s="115">
        <v>697</v>
      </c>
    </row>
    <row r="7048" spans="1:11" x14ac:dyDescent="0.25">
      <c r="B7048" s="115" t="s">
        <v>7938</v>
      </c>
      <c r="D7048" s="115" t="s">
        <v>13092</v>
      </c>
      <c r="E7048" s="115">
        <f>-2229 -62364   -157   -196   -513</f>
        <v>-65459</v>
      </c>
      <c r="F7048" s="115">
        <v>0</v>
      </c>
      <c r="G7048" s="115">
        <v>-2229</v>
      </c>
      <c r="H7048" s="115">
        <v>-62364</v>
      </c>
      <c r="I7048" s="115">
        <v>-157</v>
      </c>
      <c r="J7048" s="115">
        <v>-196</v>
      </c>
      <c r="K7048" s="115">
        <v>-513</v>
      </c>
    </row>
    <row r="7049" spans="1:11" x14ac:dyDescent="0.25">
      <c r="B7049" s="115" t="s">
        <v>7939</v>
      </c>
      <c r="C7049" s="115" t="s">
        <v>1239</v>
      </c>
      <c r="D7049" s="115" t="s">
        <v>13093</v>
      </c>
      <c r="E7049" s="115" t="s">
        <v>7940</v>
      </c>
      <c r="F7049" s="115">
        <v>243</v>
      </c>
      <c r="G7049" s="115">
        <v>0</v>
      </c>
      <c r="H7049" s="115">
        <v>-177</v>
      </c>
      <c r="I7049" s="115">
        <v>133</v>
      </c>
      <c r="J7049" s="115">
        <v>0</v>
      </c>
      <c r="K7049" s="115">
        <v>0</v>
      </c>
    </row>
    <row r="7050" spans="1:11" x14ac:dyDescent="0.25">
      <c r="B7050" s="115" t="s">
        <v>7941</v>
      </c>
      <c r="D7050" s="115" t="s">
        <v>13094</v>
      </c>
      <c r="E7050" s="115" t="s">
        <v>7942</v>
      </c>
      <c r="F7050" s="115">
        <v>-349</v>
      </c>
      <c r="G7050" s="115">
        <v>304</v>
      </c>
      <c r="H7050" s="115">
        <v>210</v>
      </c>
      <c r="I7050" s="115">
        <v>-34</v>
      </c>
      <c r="J7050" s="115">
        <v>0</v>
      </c>
      <c r="K7050" s="115">
        <v>0</v>
      </c>
    </row>
    <row r="7051" spans="1:11" x14ac:dyDescent="0.25">
      <c r="B7051" s="115" t="s">
        <v>1241</v>
      </c>
      <c r="D7051" s="115" t="s">
        <v>13095</v>
      </c>
      <c r="E7051" s="115" t="s">
        <v>7943</v>
      </c>
      <c r="F7051" s="115">
        <v>0</v>
      </c>
      <c r="G7051" s="115">
        <v>12521</v>
      </c>
      <c r="H7051" s="115">
        <v>890</v>
      </c>
      <c r="I7051" s="115">
        <v>294</v>
      </c>
      <c r="J7051" s="115">
        <v>0</v>
      </c>
      <c r="K7051" s="115">
        <v>-2645</v>
      </c>
    </row>
    <row r="7052" spans="1:11" x14ac:dyDescent="0.25">
      <c r="A7052" s="115">
        <v>-60</v>
      </c>
      <c r="B7052" s="115" t="s">
        <v>7944</v>
      </c>
      <c r="D7052" s="115" t="s">
        <v>13096</v>
      </c>
      <c r="E7052" s="115" t="s">
        <v>7945</v>
      </c>
      <c r="F7052" s="115">
        <v>-179</v>
      </c>
      <c r="G7052" s="115">
        <v>-753</v>
      </c>
      <c r="H7052" s="115">
        <v>1802</v>
      </c>
      <c r="I7052" s="115">
        <v>0</v>
      </c>
      <c r="J7052" s="115">
        <v>382</v>
      </c>
      <c r="K7052" s="115">
        <v>0</v>
      </c>
    </row>
    <row r="7053" spans="1:11" x14ac:dyDescent="0.25">
      <c r="B7053" s="115" t="s">
        <v>2464</v>
      </c>
      <c r="D7053" s="115" t="s">
        <v>13097</v>
      </c>
      <c r="E7053" s="115" t="s">
        <v>7946</v>
      </c>
      <c r="F7053" s="115">
        <v>327</v>
      </c>
      <c r="G7053" s="115">
        <v>0</v>
      </c>
      <c r="H7053" s="115">
        <v>0</v>
      </c>
      <c r="I7053" s="115">
        <v>-132</v>
      </c>
      <c r="J7053" s="115">
        <v>0</v>
      </c>
      <c r="K7053" s="115">
        <v>218</v>
      </c>
    </row>
    <row r="7054" spans="1:11" x14ac:dyDescent="0.25">
      <c r="B7054" s="115" t="s">
        <v>7947</v>
      </c>
      <c r="D7054" s="115" t="s">
        <v>13098</v>
      </c>
      <c r="E7054" s="115" t="s">
        <v>7948</v>
      </c>
      <c r="F7054" s="115">
        <v>0</v>
      </c>
      <c r="G7054" s="115">
        <v>0</v>
      </c>
      <c r="H7054" s="115">
        <v>0</v>
      </c>
      <c r="I7054" s="115">
        <v>2270</v>
      </c>
      <c r="J7054" s="115">
        <v>0</v>
      </c>
      <c r="K7054" s="115">
        <v>11383</v>
      </c>
    </row>
    <row r="7055" spans="1:11" x14ac:dyDescent="0.25">
      <c r="A7055" s="115">
        <v>1</v>
      </c>
      <c r="B7055" s="115" t="s">
        <v>7949</v>
      </c>
      <c r="D7055" s="115" t="s">
        <v>13099</v>
      </c>
      <c r="E7055" s="115" t="s">
        <v>7950</v>
      </c>
      <c r="F7055" s="115">
        <v>-66984</v>
      </c>
      <c r="G7055" s="115">
        <v>517</v>
      </c>
      <c r="H7055" s="115">
        <v>0</v>
      </c>
      <c r="I7055" s="115">
        <v>0</v>
      </c>
      <c r="J7055" s="115">
        <v>0</v>
      </c>
      <c r="K7055" s="115">
        <v>1576</v>
      </c>
    </row>
    <row r="7056" spans="1:11" x14ac:dyDescent="0.25">
      <c r="A7056" s="115">
        <v>2</v>
      </c>
      <c r="B7056" s="115" t="s">
        <v>7951</v>
      </c>
      <c r="C7056" s="115" t="s">
        <v>1239</v>
      </c>
      <c r="D7056" s="115" t="s">
        <v>13100</v>
      </c>
      <c r="E7056" s="115" t="s">
        <v>7952</v>
      </c>
      <c r="F7056" s="115">
        <v>0</v>
      </c>
      <c r="G7056" s="115">
        <v>723</v>
      </c>
      <c r="H7056" s="115">
        <v>0</v>
      </c>
      <c r="I7056" s="115">
        <v>0</v>
      </c>
      <c r="J7056" s="115">
        <v>7</v>
      </c>
      <c r="K7056" s="115">
        <v>0</v>
      </c>
    </row>
    <row r="7057" spans="1:11" x14ac:dyDescent="0.25">
      <c r="A7057" s="115">
        <v>-1</v>
      </c>
      <c r="B7057" s="115" t="s">
        <v>5928</v>
      </c>
      <c r="C7057" s="115" t="s">
        <v>1239</v>
      </c>
      <c r="D7057" s="115" t="s">
        <v>13101</v>
      </c>
      <c r="E7057" s="115" t="s">
        <v>1242</v>
      </c>
      <c r="F7057" s="115">
        <v>0</v>
      </c>
      <c r="G7057" s="115">
        <v>0</v>
      </c>
      <c r="H7057" s="115">
        <v>0</v>
      </c>
      <c r="I7057" s="115">
        <v>0</v>
      </c>
      <c r="J7057" s="115">
        <v>0</v>
      </c>
      <c r="K7057" s="115">
        <v>0</v>
      </c>
    </row>
    <row r="7058" spans="1:11" x14ac:dyDescent="0.25">
      <c r="B7058" s="115" t="s">
        <v>7953</v>
      </c>
      <c r="D7058" s="115" t="s">
        <v>13102</v>
      </c>
      <c r="E7058" s="115" t="s">
        <v>7954</v>
      </c>
      <c r="F7058" s="115">
        <v>-2405</v>
      </c>
      <c r="G7058" s="115">
        <v>-766</v>
      </c>
      <c r="H7058" s="115">
        <v>0</v>
      </c>
      <c r="I7058" s="115">
        <v>-1527</v>
      </c>
      <c r="J7058" s="115">
        <v>-63429</v>
      </c>
      <c r="K7058" s="115">
        <v>0</v>
      </c>
    </row>
    <row r="7059" spans="1:11" x14ac:dyDescent="0.25">
      <c r="B7059" s="115" t="s">
        <v>1241</v>
      </c>
      <c r="D7059" s="115" t="s">
        <v>13103</v>
      </c>
      <c r="E7059" s="115" t="s">
        <v>7955</v>
      </c>
      <c r="F7059" s="115">
        <v>-622</v>
      </c>
      <c r="G7059" s="115">
        <v>-811</v>
      </c>
      <c r="H7059" s="115">
        <v>591</v>
      </c>
      <c r="I7059" s="115">
        <v>340</v>
      </c>
      <c r="J7059" s="115">
        <v>605</v>
      </c>
      <c r="K7059" s="115">
        <v>2044</v>
      </c>
    </row>
    <row r="7060" spans="1:11" x14ac:dyDescent="0.25">
      <c r="B7060" s="115" t="s">
        <v>1241</v>
      </c>
      <c r="D7060" s="115" t="s">
        <v>13104</v>
      </c>
      <c r="E7060" s="115" t="s">
        <v>7956</v>
      </c>
      <c r="F7060" s="115">
        <v>-3062</v>
      </c>
      <c r="G7060" s="115">
        <v>0</v>
      </c>
      <c r="H7060" s="115">
        <v>-2049</v>
      </c>
      <c r="I7060" s="115">
        <v>0</v>
      </c>
      <c r="J7060" s="115">
        <v>0</v>
      </c>
      <c r="K7060" s="115">
        <v>524</v>
      </c>
    </row>
    <row r="7061" spans="1:11" x14ac:dyDescent="0.25">
      <c r="A7061" s="115" t="s">
        <v>1239</v>
      </c>
      <c r="B7061" s="115" t="s">
        <v>1773</v>
      </c>
      <c r="D7061" s="115" t="s">
        <v>13105</v>
      </c>
      <c r="E7061" s="115" t="s">
        <v>7957</v>
      </c>
      <c r="F7061" s="115">
        <v>0</v>
      </c>
      <c r="G7061" s="115">
        <v>775</v>
      </c>
      <c r="H7061" s="115">
        <v>0</v>
      </c>
      <c r="I7061" s="115">
        <v>8204</v>
      </c>
      <c r="J7061" s="115">
        <v>-1346</v>
      </c>
      <c r="K7061" s="115">
        <v>704</v>
      </c>
    </row>
    <row r="7062" spans="1:11" x14ac:dyDescent="0.25">
      <c r="A7062" s="115">
        <v>5</v>
      </c>
      <c r="B7062" s="115" t="s">
        <v>7958</v>
      </c>
      <c r="D7062" s="115" t="s">
        <v>13106</v>
      </c>
      <c r="E7062" s="115" t="s">
        <v>7959</v>
      </c>
      <c r="F7062" s="115">
        <v>446</v>
      </c>
      <c r="G7062" s="115">
        <v>362</v>
      </c>
      <c r="H7062" s="115">
        <v>-342</v>
      </c>
      <c r="I7062" s="115">
        <v>0</v>
      </c>
      <c r="J7062" s="115">
        <v>0</v>
      </c>
      <c r="K7062" s="115">
        <v>0</v>
      </c>
    </row>
    <row r="7063" spans="1:11" x14ac:dyDescent="0.25">
      <c r="B7063" s="115" t="s">
        <v>1241</v>
      </c>
      <c r="D7063" s="115" t="s">
        <v>13107</v>
      </c>
      <c r="E7063" s="115" t="s">
        <v>7960</v>
      </c>
      <c r="F7063" s="115">
        <v>-429</v>
      </c>
      <c r="G7063" s="115">
        <v>-204</v>
      </c>
      <c r="H7063" s="115">
        <v>1089</v>
      </c>
      <c r="I7063" s="115">
        <v>-139</v>
      </c>
      <c r="J7063" s="115">
        <v>906</v>
      </c>
      <c r="K7063" s="115">
        <v>-364</v>
      </c>
    </row>
    <row r="7064" spans="1:11" x14ac:dyDescent="0.25">
      <c r="B7064" s="115" t="s">
        <v>1241</v>
      </c>
      <c r="D7064" s="115" t="s">
        <v>13108</v>
      </c>
      <c r="E7064" s="115" t="s">
        <v>7961</v>
      </c>
      <c r="F7064" s="115">
        <v>1609</v>
      </c>
      <c r="G7064" s="115">
        <v>-4557</v>
      </c>
      <c r="H7064" s="115">
        <v>0</v>
      </c>
      <c r="I7064" s="115">
        <v>0</v>
      </c>
      <c r="J7064" s="115">
        <v>0</v>
      </c>
      <c r="K7064" s="115">
        <v>0</v>
      </c>
    </row>
    <row r="7065" spans="1:11" x14ac:dyDescent="0.25">
      <c r="A7065" s="115">
        <v>1</v>
      </c>
      <c r="B7065" s="115" t="s">
        <v>7962</v>
      </c>
      <c r="D7065" s="115" t="s">
        <v>13109</v>
      </c>
      <c r="E7065" s="115" t="s">
        <v>1242</v>
      </c>
      <c r="F7065" s="115">
        <v>0</v>
      </c>
      <c r="G7065" s="115">
        <v>0</v>
      </c>
      <c r="H7065" s="115">
        <v>0</v>
      </c>
      <c r="I7065" s="115">
        <v>0</v>
      </c>
      <c r="J7065" s="115">
        <v>0</v>
      </c>
      <c r="K7065" s="115">
        <v>0</v>
      </c>
    </row>
    <row r="7066" spans="1:11" x14ac:dyDescent="0.25">
      <c r="B7066" s="115" t="s">
        <v>1241</v>
      </c>
      <c r="D7066" s="115" t="s">
        <v>13110</v>
      </c>
      <c r="E7066" s="115" t="s">
        <v>7963</v>
      </c>
      <c r="F7066" s="115">
        <v>0</v>
      </c>
      <c r="G7066" s="115">
        <v>0</v>
      </c>
      <c r="H7066" s="115">
        <v>0</v>
      </c>
      <c r="I7066" s="115">
        <v>0</v>
      </c>
      <c r="J7066" s="115">
        <v>0</v>
      </c>
      <c r="K7066" s="115">
        <v>797</v>
      </c>
    </row>
    <row r="7067" spans="1:11" x14ac:dyDescent="0.25">
      <c r="B7067" s="115" t="s">
        <v>1241</v>
      </c>
      <c r="D7067" s="115" t="s">
        <v>13111</v>
      </c>
      <c r="E7067" s="115" t="s">
        <v>7964</v>
      </c>
      <c r="F7067" s="115">
        <v>0</v>
      </c>
      <c r="G7067" s="115">
        <v>1643</v>
      </c>
      <c r="H7067" s="115">
        <v>-369</v>
      </c>
      <c r="I7067" s="115">
        <v>-266</v>
      </c>
      <c r="J7067" s="115">
        <v>-4558</v>
      </c>
      <c r="K7067" s="115">
        <v>-4834</v>
      </c>
    </row>
    <row r="7068" spans="1:11" x14ac:dyDescent="0.25">
      <c r="A7068" s="115">
        <v>-5</v>
      </c>
      <c r="B7068" s="115" t="s">
        <v>7965</v>
      </c>
      <c r="C7068" s="115" t="s">
        <v>1239</v>
      </c>
      <c r="D7068" s="115" t="s">
        <v>13112</v>
      </c>
      <c r="E7068" s="115">
        <f>-25    -87  -3433  -2076   -817</f>
        <v>-6438</v>
      </c>
      <c r="F7068" s="115">
        <v>1231</v>
      </c>
      <c r="G7068" s="115">
        <v>-25</v>
      </c>
      <c r="H7068" s="115">
        <v>-87</v>
      </c>
      <c r="I7068" s="115">
        <v>-3433</v>
      </c>
      <c r="J7068" s="115">
        <v>-2076</v>
      </c>
      <c r="K7068" s="115">
        <v>-817</v>
      </c>
    </row>
    <row r="7069" spans="1:11" x14ac:dyDescent="0.25">
      <c r="A7069" s="115">
        <v>-2</v>
      </c>
      <c r="B7069" s="115" t="s">
        <v>7966</v>
      </c>
      <c r="D7069" s="115" t="s">
        <v>13113</v>
      </c>
      <c r="E7069" s="115">
        <f>-7729 -10185  -6849  -7487  -9949</f>
        <v>-42199</v>
      </c>
      <c r="F7069" s="115">
        <v>-7680</v>
      </c>
      <c r="G7069" s="115">
        <v>-7729</v>
      </c>
      <c r="H7069" s="115">
        <v>-10185</v>
      </c>
      <c r="I7069" s="115">
        <v>-6849</v>
      </c>
      <c r="J7069" s="115">
        <v>-7487</v>
      </c>
      <c r="K7069" s="115">
        <v>-9949</v>
      </c>
    </row>
    <row r="7070" spans="1:11" x14ac:dyDescent="0.25">
      <c r="A7070" s="115">
        <v>-11</v>
      </c>
      <c r="B7070" s="115" t="s">
        <v>7967</v>
      </c>
      <c r="C7070" s="115" t="s">
        <v>1239</v>
      </c>
      <c r="D7070" s="115" t="s">
        <v>13114</v>
      </c>
      <c r="E7070" s="115">
        <f>-5408  -8062  -8054  -7696  -7287</f>
        <v>-36507</v>
      </c>
      <c r="F7070" s="115">
        <v>-10140</v>
      </c>
      <c r="G7070" s="115">
        <v>-5408</v>
      </c>
      <c r="H7070" s="115">
        <v>-8062</v>
      </c>
      <c r="I7070" s="115">
        <v>-8054</v>
      </c>
      <c r="J7070" s="115">
        <v>-7696</v>
      </c>
      <c r="K7070" s="115">
        <v>-7287</v>
      </c>
    </row>
    <row r="7071" spans="1:11" x14ac:dyDescent="0.25">
      <c r="A7071" s="115">
        <v>-9</v>
      </c>
      <c r="B7071" s="115" t="s">
        <v>7968</v>
      </c>
      <c r="C7071" s="115">
        <v>-1</v>
      </c>
      <c r="D7071" s="115" t="s">
        <v>13115</v>
      </c>
      <c r="E7071" s="115" t="s">
        <v>7969</v>
      </c>
      <c r="F7071" s="115">
        <v>2234</v>
      </c>
      <c r="G7071" s="115">
        <v>2587</v>
      </c>
      <c r="H7071" s="115">
        <v>2486</v>
      </c>
      <c r="I7071" s="115">
        <v>2207</v>
      </c>
      <c r="J7071" s="115">
        <v>955</v>
      </c>
      <c r="K7071" s="115">
        <v>1607</v>
      </c>
    </row>
    <row r="7072" spans="1:11" x14ac:dyDescent="0.25">
      <c r="A7072" s="115">
        <v>2</v>
      </c>
      <c r="B7072" s="115" t="s">
        <v>7970</v>
      </c>
      <c r="D7072" s="115" t="s">
        <v>13116</v>
      </c>
      <c r="E7072" s="115" t="s">
        <v>7971</v>
      </c>
      <c r="F7072" s="115">
        <v>2186</v>
      </c>
      <c r="G7072" s="115">
        <v>2101</v>
      </c>
      <c r="H7072" s="115">
        <v>1672</v>
      </c>
      <c r="I7072" s="115">
        <v>2419</v>
      </c>
      <c r="J7072" s="115">
        <v>2460</v>
      </c>
      <c r="K7072" s="115">
        <v>1904</v>
      </c>
    </row>
    <row r="7073" spans="1:11" x14ac:dyDescent="0.25">
      <c r="A7073" s="115">
        <v>2</v>
      </c>
      <c r="B7073" s="115" t="s">
        <v>7972</v>
      </c>
      <c r="D7073" s="115" t="s">
        <v>13117</v>
      </c>
      <c r="E7073" s="115" t="s">
        <v>7973</v>
      </c>
      <c r="F7073" s="115">
        <v>63504</v>
      </c>
      <c r="G7073" s="115">
        <v>63713</v>
      </c>
      <c r="H7073" s="115">
        <v>59826</v>
      </c>
      <c r="I7073" s="115">
        <v>53146</v>
      </c>
      <c r="J7073" s="115">
        <v>28245</v>
      </c>
      <c r="K7073" s="115">
        <v>34456</v>
      </c>
    </row>
    <row r="7074" spans="1:11" x14ac:dyDescent="0.25">
      <c r="A7074" s="115">
        <v>27</v>
      </c>
      <c r="B7074" s="115" t="s">
        <v>7974</v>
      </c>
      <c r="C7074" s="115">
        <v>4</v>
      </c>
      <c r="D7074" s="115" t="s">
        <v>13118</v>
      </c>
      <c r="E7074" s="115" t="s">
        <v>7975</v>
      </c>
      <c r="F7074" s="115">
        <v>54896</v>
      </c>
      <c r="G7074" s="115">
        <v>53405</v>
      </c>
      <c r="H7074" s="115">
        <v>52781</v>
      </c>
      <c r="I7074" s="115">
        <v>59570</v>
      </c>
      <c r="J7074" s="115">
        <v>57564</v>
      </c>
      <c r="K7074" s="115">
        <v>58078</v>
      </c>
    </row>
    <row r="7075" spans="1:11" x14ac:dyDescent="0.25">
      <c r="A7075" s="115">
        <v>57</v>
      </c>
      <c r="B7075" s="115" t="s">
        <v>7976</v>
      </c>
      <c r="C7075" s="115">
        <v>9</v>
      </c>
      <c r="D7075" s="115" t="s">
        <v>13119</v>
      </c>
      <c r="E7075" s="115" t="s">
        <v>7977</v>
      </c>
      <c r="F7075" s="115">
        <v>92786</v>
      </c>
      <c r="G7075" s="115">
        <v>706</v>
      </c>
      <c r="H7075" s="115">
        <v>-50115</v>
      </c>
      <c r="I7075" s="115">
        <v>-421</v>
      </c>
      <c r="J7075" s="115">
        <v>-190</v>
      </c>
      <c r="K7075" s="115">
        <v>64</v>
      </c>
    </row>
    <row r="7076" spans="1:11" x14ac:dyDescent="0.25">
      <c r="B7076" s="115" t="s">
        <v>1241</v>
      </c>
      <c r="D7076" s="115" t="s">
        <v>13120</v>
      </c>
      <c r="E7076" s="115" t="s">
        <v>7978</v>
      </c>
      <c r="F7076" s="115">
        <v>0</v>
      </c>
      <c r="G7076" s="115">
        <v>0</v>
      </c>
      <c r="H7076" s="115">
        <v>196</v>
      </c>
      <c r="I7076" s="115">
        <v>65</v>
      </c>
      <c r="J7076" s="115">
        <v>0</v>
      </c>
      <c r="K7076" s="115">
        <v>0</v>
      </c>
    </row>
    <row r="7077" spans="1:11" x14ac:dyDescent="0.25">
      <c r="B7077" s="115" t="s">
        <v>1241</v>
      </c>
      <c r="D7077" s="115" t="s">
        <v>13121</v>
      </c>
      <c r="E7077" s="115" t="s">
        <v>7979</v>
      </c>
      <c r="F7077" s="115">
        <v>-207</v>
      </c>
      <c r="G7077" s="115">
        <v>0</v>
      </c>
      <c r="H7077" s="115">
        <v>0</v>
      </c>
      <c r="I7077" s="115">
        <v>129</v>
      </c>
      <c r="J7077" s="115">
        <v>0</v>
      </c>
      <c r="K7077" s="115">
        <v>-118</v>
      </c>
    </row>
    <row r="7078" spans="1:11" x14ac:dyDescent="0.25">
      <c r="B7078" s="115" t="s">
        <v>2254</v>
      </c>
      <c r="D7078" s="115" t="s">
        <v>13122</v>
      </c>
      <c r="E7078" s="115" t="s">
        <v>7980</v>
      </c>
      <c r="F7078" s="115">
        <v>0</v>
      </c>
      <c r="G7078" s="115">
        <v>655</v>
      </c>
      <c r="H7078" s="115">
        <v>-42266</v>
      </c>
      <c r="I7078" s="115">
        <v>-207</v>
      </c>
      <c r="J7078" s="115">
        <v>-314</v>
      </c>
      <c r="K7078" s="115">
        <v>-466</v>
      </c>
    </row>
    <row r="7079" spans="1:11" x14ac:dyDescent="0.25">
      <c r="A7079" s="115">
        <v>-1</v>
      </c>
      <c r="B7079" s="115" t="s">
        <v>7981</v>
      </c>
      <c r="D7079" s="115" t="s">
        <v>13123</v>
      </c>
      <c r="E7079" s="115" t="s">
        <v>7982</v>
      </c>
      <c r="F7079" s="115">
        <v>0</v>
      </c>
      <c r="G7079" s="115">
        <v>0</v>
      </c>
      <c r="H7079" s="115">
        <v>0</v>
      </c>
      <c r="I7079" s="115">
        <v>0</v>
      </c>
      <c r="J7079" s="115">
        <v>218</v>
      </c>
      <c r="K7079" s="115">
        <v>0</v>
      </c>
    </row>
    <row r="7080" spans="1:11" x14ac:dyDescent="0.25">
      <c r="B7080" s="115" t="s">
        <v>1241</v>
      </c>
      <c r="D7080" s="115" t="s">
        <v>13124</v>
      </c>
      <c r="E7080" s="115" t="s">
        <v>1242</v>
      </c>
      <c r="F7080" s="115">
        <v>33</v>
      </c>
      <c r="G7080" s="115">
        <v>0</v>
      </c>
      <c r="H7080" s="115">
        <v>0</v>
      </c>
      <c r="I7080" s="115">
        <v>0</v>
      </c>
      <c r="J7080" s="115">
        <v>0</v>
      </c>
      <c r="K7080" s="115">
        <v>0</v>
      </c>
    </row>
    <row r="7081" spans="1:11" x14ac:dyDescent="0.25">
      <c r="B7081" s="115" t="s">
        <v>7983</v>
      </c>
      <c r="D7081" s="115" t="s">
        <v>13125</v>
      </c>
      <c r="E7081" s="115" t="s">
        <v>7984</v>
      </c>
      <c r="F7081" s="115">
        <v>0</v>
      </c>
      <c r="G7081" s="115">
        <v>0</v>
      </c>
      <c r="H7081" s="115">
        <v>-1077</v>
      </c>
      <c r="I7081" s="115">
        <v>-54029</v>
      </c>
      <c r="J7081" s="115">
        <v>0</v>
      </c>
      <c r="K7081" s="115">
        <v>-14</v>
      </c>
    </row>
    <row r="7082" spans="1:11" x14ac:dyDescent="0.25">
      <c r="B7082" s="115" t="s">
        <v>1241</v>
      </c>
      <c r="D7082" s="115" t="s">
        <v>13126</v>
      </c>
      <c r="E7082" s="115" t="s">
        <v>7985</v>
      </c>
      <c r="F7082" s="115">
        <v>-1672</v>
      </c>
      <c r="G7082" s="115">
        <v>-291</v>
      </c>
      <c r="H7082" s="115">
        <v>11</v>
      </c>
      <c r="I7082" s="115">
        <v>0</v>
      </c>
      <c r="J7082" s="115">
        <v>0</v>
      </c>
      <c r="K7082" s="115">
        <v>441</v>
      </c>
    </row>
    <row r="7083" spans="1:11" x14ac:dyDescent="0.25">
      <c r="B7083" s="115" t="s">
        <v>1848</v>
      </c>
      <c r="D7083" s="115" t="s">
        <v>13127</v>
      </c>
      <c r="E7083" s="115" t="s">
        <v>7986</v>
      </c>
      <c r="F7083" s="115">
        <v>235</v>
      </c>
      <c r="G7083" s="115">
        <v>-65</v>
      </c>
      <c r="H7083" s="115">
        <v>445</v>
      </c>
      <c r="I7083" s="115">
        <v>516</v>
      </c>
      <c r="J7083" s="115">
        <v>85</v>
      </c>
      <c r="K7083" s="115">
        <v>0</v>
      </c>
    </row>
    <row r="7084" spans="1:11" x14ac:dyDescent="0.25">
      <c r="B7084" s="115" t="s">
        <v>1241</v>
      </c>
      <c r="D7084" s="115" t="s">
        <v>13128</v>
      </c>
      <c r="E7084" s="115" t="s">
        <v>7987</v>
      </c>
      <c r="F7084" s="115">
        <v>542</v>
      </c>
      <c r="G7084" s="115">
        <v>0</v>
      </c>
      <c r="H7084" s="115">
        <v>1750</v>
      </c>
      <c r="I7084" s="115">
        <v>1263</v>
      </c>
      <c r="J7084" s="115">
        <v>-71</v>
      </c>
      <c r="K7084" s="115">
        <v>0</v>
      </c>
    </row>
    <row r="7085" spans="1:11" x14ac:dyDescent="0.25">
      <c r="A7085" s="115">
        <v>-1</v>
      </c>
      <c r="B7085" s="115" t="s">
        <v>7988</v>
      </c>
      <c r="D7085" s="115" t="s">
        <v>13129</v>
      </c>
      <c r="E7085" s="115" t="s">
        <v>7989</v>
      </c>
      <c r="F7085" s="115">
        <v>78</v>
      </c>
      <c r="G7085" s="115">
        <v>0</v>
      </c>
      <c r="H7085" s="115">
        <v>174</v>
      </c>
      <c r="I7085" s="115">
        <v>-267</v>
      </c>
      <c r="J7085" s="115">
        <v>-1431</v>
      </c>
      <c r="K7085" s="115">
        <v>202</v>
      </c>
    </row>
    <row r="7086" spans="1:11" x14ac:dyDescent="0.25">
      <c r="B7086" s="115" t="s">
        <v>7990</v>
      </c>
      <c r="D7086" s="115" t="s">
        <v>13130</v>
      </c>
      <c r="E7086" s="115" t="s">
        <v>7991</v>
      </c>
      <c r="F7086" s="115">
        <v>0</v>
      </c>
      <c r="G7086" s="115">
        <v>0</v>
      </c>
      <c r="H7086" s="115">
        <v>-188</v>
      </c>
      <c r="I7086" s="115">
        <v>-646</v>
      </c>
      <c r="J7086" s="115">
        <v>0</v>
      </c>
      <c r="K7086" s="115">
        <v>-360</v>
      </c>
    </row>
    <row r="7087" spans="1:11" x14ac:dyDescent="0.25">
      <c r="B7087" s="115" t="s">
        <v>7992</v>
      </c>
      <c r="D7087" s="115" t="s">
        <v>13131</v>
      </c>
      <c r="E7087" s="115" t="s">
        <v>7993</v>
      </c>
      <c r="F7087" s="115">
        <v>0</v>
      </c>
      <c r="G7087" s="115">
        <v>0</v>
      </c>
      <c r="H7087" s="115">
        <v>0</v>
      </c>
      <c r="I7087" s="115">
        <v>0</v>
      </c>
      <c r="J7087" s="115">
        <v>1474</v>
      </c>
      <c r="K7087" s="115">
        <v>0</v>
      </c>
    </row>
    <row r="7088" spans="1:11" x14ac:dyDescent="0.25">
      <c r="A7088" s="115">
        <v>9</v>
      </c>
      <c r="B7088" s="115" t="s">
        <v>7994</v>
      </c>
      <c r="D7088" s="115" t="s">
        <v>13132</v>
      </c>
      <c r="E7088" s="115" t="s">
        <v>7995</v>
      </c>
      <c r="F7088" s="115">
        <v>-2201</v>
      </c>
      <c r="G7088" s="115">
        <v>-61733</v>
      </c>
      <c r="H7088" s="115">
        <v>-298</v>
      </c>
      <c r="I7088" s="115">
        <v>-198</v>
      </c>
      <c r="J7088" s="115">
        <v>-105</v>
      </c>
      <c r="K7088" s="115">
        <v>-165</v>
      </c>
    </row>
    <row r="7089" spans="1:11" x14ac:dyDescent="0.25">
      <c r="B7089" s="115" t="s">
        <v>7996</v>
      </c>
      <c r="D7089" s="115" t="s">
        <v>13133</v>
      </c>
      <c r="E7089" s="115" t="s">
        <v>7997</v>
      </c>
      <c r="F7089" s="115">
        <v>0</v>
      </c>
      <c r="G7089" s="115">
        <v>0</v>
      </c>
      <c r="H7089" s="115">
        <v>249</v>
      </c>
      <c r="I7089" s="115">
        <v>361</v>
      </c>
      <c r="J7089" s="115">
        <v>0</v>
      </c>
      <c r="K7089" s="115">
        <v>309</v>
      </c>
    </row>
    <row r="7090" spans="1:11" x14ac:dyDescent="0.25">
      <c r="B7090" s="115" t="s">
        <v>1241</v>
      </c>
      <c r="D7090" s="115" t="s">
        <v>13134</v>
      </c>
      <c r="E7090" s="115" t="s">
        <v>7998</v>
      </c>
      <c r="F7090" s="115">
        <v>125</v>
      </c>
      <c r="G7090" s="115">
        <v>95</v>
      </c>
      <c r="H7090" s="115">
        <v>64</v>
      </c>
      <c r="I7090" s="115">
        <v>0</v>
      </c>
      <c r="J7090" s="115">
        <v>0</v>
      </c>
      <c r="K7090" s="115">
        <v>0</v>
      </c>
    </row>
    <row r="7091" spans="1:11" x14ac:dyDescent="0.25">
      <c r="B7091" s="115" t="s">
        <v>1241</v>
      </c>
      <c r="D7091" s="115" t="s">
        <v>13135</v>
      </c>
      <c r="E7091" s="115" t="s">
        <v>7999</v>
      </c>
      <c r="F7091" s="115">
        <v>8476</v>
      </c>
      <c r="G7091" s="115">
        <v>962</v>
      </c>
      <c r="H7091" s="115">
        <v>225</v>
      </c>
      <c r="I7091" s="115">
        <v>0</v>
      </c>
      <c r="J7091" s="115">
        <v>-990</v>
      </c>
      <c r="K7091" s="115">
        <v>-69994</v>
      </c>
    </row>
    <row r="7092" spans="1:11" x14ac:dyDescent="0.25">
      <c r="B7092" s="115" t="s">
        <v>2570</v>
      </c>
      <c r="D7092" s="115" t="s">
        <v>13136</v>
      </c>
      <c r="E7092" s="115" t="s">
        <v>8000</v>
      </c>
      <c r="F7092" s="115">
        <v>2346</v>
      </c>
      <c r="G7092" s="115">
        <v>3352</v>
      </c>
      <c r="H7092" s="115">
        <v>1397</v>
      </c>
      <c r="I7092" s="115">
        <v>-1611</v>
      </c>
      <c r="J7092" s="115">
        <v>-1497</v>
      </c>
      <c r="K7092" s="115">
        <v>0</v>
      </c>
    </row>
    <row r="7093" spans="1:11" x14ac:dyDescent="0.25">
      <c r="B7093" s="115" t="s">
        <v>8001</v>
      </c>
      <c r="D7093" s="115" t="s">
        <v>13137</v>
      </c>
      <c r="E7093" s="115" t="s">
        <v>8002</v>
      </c>
      <c r="F7093" s="115">
        <v>0</v>
      </c>
      <c r="G7093" s="115">
        <v>-1454</v>
      </c>
      <c r="H7093" s="115">
        <v>0</v>
      </c>
      <c r="I7093" s="115">
        <v>-1860</v>
      </c>
      <c r="J7093" s="115">
        <v>0</v>
      </c>
      <c r="K7093" s="115">
        <v>0</v>
      </c>
    </row>
    <row r="7094" spans="1:11" x14ac:dyDescent="0.25">
      <c r="B7094" s="115" t="s">
        <v>1241</v>
      </c>
      <c r="D7094" s="115" t="s">
        <v>13138</v>
      </c>
      <c r="E7094" s="115" t="s">
        <v>8003</v>
      </c>
      <c r="F7094" s="115">
        <v>0</v>
      </c>
      <c r="G7094" s="115">
        <v>0</v>
      </c>
      <c r="H7094" s="115">
        <v>1009</v>
      </c>
      <c r="I7094" s="115">
        <v>0</v>
      </c>
      <c r="J7094" s="115">
        <v>2407</v>
      </c>
      <c r="K7094" s="115">
        <v>-2624</v>
      </c>
    </row>
    <row r="7095" spans="1:11" x14ac:dyDescent="0.25">
      <c r="A7095" s="115" t="s">
        <v>1239</v>
      </c>
      <c r="B7095" s="115" t="s">
        <v>8004</v>
      </c>
      <c r="D7095" s="115" t="s">
        <v>13139</v>
      </c>
      <c r="E7095" s="115" t="s">
        <v>8005</v>
      </c>
      <c r="F7095" s="115">
        <v>0</v>
      </c>
      <c r="G7095" s="115">
        <v>0</v>
      </c>
      <c r="H7095" s="115">
        <v>0</v>
      </c>
      <c r="I7095" s="115">
        <v>0</v>
      </c>
      <c r="J7095" s="115">
        <v>0</v>
      </c>
      <c r="K7095" s="115">
        <v>-911</v>
      </c>
    </row>
    <row r="7096" spans="1:11" x14ac:dyDescent="0.25">
      <c r="A7096" s="115" t="s">
        <v>1239</v>
      </c>
      <c r="B7096" s="115" t="s">
        <v>8006</v>
      </c>
      <c r="D7096" s="115" t="s">
        <v>13140</v>
      </c>
      <c r="E7096" s="115" t="s">
        <v>8007</v>
      </c>
      <c r="F7096" s="115">
        <v>2379</v>
      </c>
      <c r="G7096" s="115">
        <v>0</v>
      </c>
      <c r="H7096" s="115">
        <v>0</v>
      </c>
      <c r="I7096" s="115">
        <v>0</v>
      </c>
      <c r="J7096" s="115">
        <v>0</v>
      </c>
      <c r="K7096" s="115">
        <v>-3295</v>
      </c>
    </row>
    <row r="7097" spans="1:11" x14ac:dyDescent="0.25">
      <c r="B7097" s="115" t="s">
        <v>8008</v>
      </c>
      <c r="D7097" s="115" t="s">
        <v>13141</v>
      </c>
      <c r="E7097" s="115" t="s">
        <v>8009</v>
      </c>
      <c r="F7097" s="115">
        <v>824</v>
      </c>
      <c r="G7097" s="115">
        <v>-453</v>
      </c>
      <c r="H7097" s="115">
        <v>0</v>
      </c>
      <c r="I7097" s="115">
        <v>0</v>
      </c>
      <c r="J7097" s="115">
        <v>0</v>
      </c>
      <c r="K7097" s="115">
        <v>0</v>
      </c>
    </row>
    <row r="7098" spans="1:11" x14ac:dyDescent="0.25">
      <c r="B7098" s="115" t="s">
        <v>3029</v>
      </c>
      <c r="D7098" s="115" t="s">
        <v>13142</v>
      </c>
      <c r="E7098" s="115" t="s">
        <v>8010</v>
      </c>
      <c r="F7098" s="115">
        <v>645</v>
      </c>
      <c r="G7098" s="115">
        <v>5204</v>
      </c>
      <c r="H7098" s="115">
        <v>988</v>
      </c>
      <c r="I7098" s="115">
        <v>768</v>
      </c>
      <c r="J7098" s="115">
        <v>515</v>
      </c>
      <c r="K7098" s="115">
        <v>329</v>
      </c>
    </row>
    <row r="7099" spans="1:11" x14ac:dyDescent="0.25">
      <c r="A7099" s="115" t="s">
        <v>1239</v>
      </c>
      <c r="B7099" s="115" t="s">
        <v>8011</v>
      </c>
      <c r="D7099" s="115" t="s">
        <v>13143</v>
      </c>
      <c r="E7099" s="115" t="s">
        <v>8012</v>
      </c>
      <c r="F7099" s="115">
        <v>0</v>
      </c>
      <c r="G7099" s="115">
        <v>0</v>
      </c>
      <c r="H7099" s="115">
        <v>0</v>
      </c>
      <c r="I7099" s="115">
        <v>0</v>
      </c>
      <c r="J7099" s="115">
        <v>0</v>
      </c>
      <c r="K7099" s="115">
        <v>-379</v>
      </c>
    </row>
    <row r="7100" spans="1:11" x14ac:dyDescent="0.25">
      <c r="A7100" s="115" t="s">
        <v>1239</v>
      </c>
      <c r="B7100" s="115" t="s">
        <v>8013</v>
      </c>
      <c r="D7100" s="115" t="s">
        <v>13144</v>
      </c>
      <c r="E7100" s="115" t="s">
        <v>8014</v>
      </c>
      <c r="F7100" s="115">
        <v>-262</v>
      </c>
      <c r="G7100" s="115">
        <v>0</v>
      </c>
      <c r="H7100" s="115">
        <v>0</v>
      </c>
      <c r="I7100" s="115">
        <v>262</v>
      </c>
      <c r="J7100" s="115">
        <v>0</v>
      </c>
      <c r="K7100" s="115">
        <v>1263</v>
      </c>
    </row>
    <row r="7101" spans="1:11" x14ac:dyDescent="0.25">
      <c r="A7101" s="115">
        <v>-2</v>
      </c>
      <c r="B7101" s="115" t="s">
        <v>8015</v>
      </c>
      <c r="D7101" s="115" t="s">
        <v>13145</v>
      </c>
      <c r="E7101" s="115" t="s">
        <v>8016</v>
      </c>
      <c r="F7101" s="115">
        <v>0</v>
      </c>
      <c r="G7101" s="115">
        <v>-409</v>
      </c>
      <c r="H7101" s="115">
        <v>0</v>
      </c>
      <c r="I7101" s="115">
        <v>-1509</v>
      </c>
      <c r="J7101" s="115">
        <v>-3284</v>
      </c>
      <c r="K7101" s="115">
        <v>0</v>
      </c>
    </row>
    <row r="7102" spans="1:11" x14ac:dyDescent="0.25">
      <c r="B7102" s="115" t="s">
        <v>1241</v>
      </c>
      <c r="D7102" s="115" t="s">
        <v>8710</v>
      </c>
      <c r="E7102" s="115" t="s">
        <v>1242</v>
      </c>
      <c r="F7102" s="115">
        <v>0</v>
      </c>
      <c r="G7102" s="115">
        <v>0</v>
      </c>
      <c r="H7102" s="115">
        <v>0</v>
      </c>
      <c r="I7102" s="115">
        <v>0</v>
      </c>
      <c r="J7102" s="115">
        <v>0</v>
      </c>
      <c r="K7102" s="115">
        <v>0</v>
      </c>
    </row>
    <row r="7103" spans="1:11" x14ac:dyDescent="0.25">
      <c r="B7103" s="115" t="s">
        <v>1241</v>
      </c>
      <c r="D7103" s="115" t="s">
        <v>13146</v>
      </c>
      <c r="E7103" s="115" t="s">
        <v>1242</v>
      </c>
      <c r="F7103" s="115">
        <v>-956</v>
      </c>
      <c r="G7103" s="115">
        <v>0</v>
      </c>
      <c r="H7103" s="115">
        <v>0</v>
      </c>
      <c r="I7103" s="115">
        <v>0</v>
      </c>
      <c r="J7103" s="115">
        <v>0</v>
      </c>
      <c r="K7103" s="115">
        <v>0</v>
      </c>
    </row>
    <row r="7104" spans="1:11" x14ac:dyDescent="0.25">
      <c r="A7104" s="115">
        <v>1</v>
      </c>
      <c r="B7104" s="115" t="s">
        <v>8017</v>
      </c>
      <c r="C7104" s="115" t="s">
        <v>1239</v>
      </c>
      <c r="D7104" s="115" t="s">
        <v>13147</v>
      </c>
      <c r="E7104" s="115" t="s">
        <v>8018</v>
      </c>
      <c r="F7104" s="115">
        <v>-8004</v>
      </c>
      <c r="G7104" s="115">
        <v>-8197</v>
      </c>
      <c r="H7104" s="115">
        <v>-12814</v>
      </c>
      <c r="I7104" s="115">
        <v>-2439</v>
      </c>
      <c r="J7104" s="115">
        <v>-1275</v>
      </c>
      <c r="K7104" s="115">
        <v>919</v>
      </c>
    </row>
    <row r="7105" spans="1:11" x14ac:dyDescent="0.25">
      <c r="A7105" s="115" t="s">
        <v>1239</v>
      </c>
      <c r="B7105" s="115" t="s">
        <v>8019</v>
      </c>
      <c r="C7105" s="115" t="s">
        <v>1239</v>
      </c>
      <c r="D7105" s="115" t="s">
        <v>13148</v>
      </c>
      <c r="E7105" s="115" t="s">
        <v>8020</v>
      </c>
      <c r="F7105" s="115">
        <v>-3470</v>
      </c>
      <c r="G7105" s="115">
        <v>-4910</v>
      </c>
      <c r="H7105" s="115">
        <v>-7165</v>
      </c>
      <c r="I7105" s="115">
        <v>0</v>
      </c>
      <c r="J7105" s="115">
        <v>-8895</v>
      </c>
      <c r="K7105" s="115">
        <v>-9678</v>
      </c>
    </row>
    <row r="7106" spans="1:11" x14ac:dyDescent="0.25">
      <c r="A7106" s="115">
        <v>-9</v>
      </c>
      <c r="B7106" s="115" t="s">
        <v>8021</v>
      </c>
      <c r="C7106" s="115" t="s">
        <v>1239</v>
      </c>
      <c r="D7106" s="115" t="s">
        <v>13149</v>
      </c>
      <c r="E7106" s="115" t="s">
        <v>8022</v>
      </c>
      <c r="F7106" s="115">
        <v>-11594</v>
      </c>
      <c r="G7106" s="115">
        <v>-13363</v>
      </c>
      <c r="H7106" s="115">
        <v>-7883</v>
      </c>
      <c r="I7106" s="115">
        <v>-11280</v>
      </c>
      <c r="J7106" s="115">
        <v>-8355</v>
      </c>
      <c r="K7106" s="115">
        <v>-11950</v>
      </c>
    </row>
    <row r="7107" spans="1:11" x14ac:dyDescent="0.25">
      <c r="A7107" s="115">
        <v>-6</v>
      </c>
      <c r="B7107" s="115" t="s">
        <v>8023</v>
      </c>
      <c r="C7107" s="115" t="s">
        <v>1239</v>
      </c>
      <c r="D7107" s="115" t="s">
        <v>13150</v>
      </c>
      <c r="E7107" s="115" t="s">
        <v>8024</v>
      </c>
      <c r="F7107" s="115">
        <v>-8275</v>
      </c>
      <c r="G7107" s="115">
        <v>-11521</v>
      </c>
      <c r="H7107" s="115">
        <v>-11590</v>
      </c>
      <c r="I7107" s="115">
        <v>-12008</v>
      </c>
      <c r="J7107" s="115">
        <v>1301</v>
      </c>
      <c r="K7107" s="115">
        <v>978</v>
      </c>
    </row>
    <row r="7108" spans="1:11" x14ac:dyDescent="0.25">
      <c r="A7108" s="115">
        <v>1</v>
      </c>
      <c r="B7108" s="115" t="s">
        <v>8025</v>
      </c>
      <c r="D7108" s="115" t="s">
        <v>13151</v>
      </c>
      <c r="E7108" s="115" t="s">
        <v>8026</v>
      </c>
      <c r="F7108" s="115">
        <v>856</v>
      </c>
      <c r="G7108" s="115">
        <v>1155</v>
      </c>
      <c r="H7108" s="115">
        <v>699</v>
      </c>
      <c r="I7108" s="115">
        <v>-855</v>
      </c>
      <c r="J7108" s="115">
        <v>1983</v>
      </c>
      <c r="K7108" s="115">
        <v>1641</v>
      </c>
    </row>
    <row r="7109" spans="1:11" x14ac:dyDescent="0.25">
      <c r="A7109" s="115">
        <v>1</v>
      </c>
      <c r="B7109" s="115" t="s">
        <v>8027</v>
      </c>
      <c r="D7109" s="115" t="s">
        <v>13152</v>
      </c>
      <c r="E7109" s="115" t="s">
        <v>8028</v>
      </c>
      <c r="F7109" s="115">
        <v>1427</v>
      </c>
      <c r="G7109" s="115">
        <v>1647</v>
      </c>
      <c r="H7109" s="115">
        <v>1287</v>
      </c>
      <c r="I7109" s="115">
        <v>1561</v>
      </c>
      <c r="J7109" s="115">
        <v>49743</v>
      </c>
      <c r="K7109" s="115">
        <v>59907</v>
      </c>
    </row>
    <row r="7110" spans="1:11" x14ac:dyDescent="0.25">
      <c r="A7110" s="115">
        <v>59</v>
      </c>
      <c r="B7110" s="115" t="s">
        <v>8029</v>
      </c>
      <c r="C7110" s="115">
        <v>5</v>
      </c>
      <c r="D7110" s="115" t="s">
        <v>13153</v>
      </c>
      <c r="E7110" s="115" t="s">
        <v>8030</v>
      </c>
      <c r="F7110" s="115">
        <v>33003</v>
      </c>
      <c r="G7110" s="115">
        <v>26584</v>
      </c>
      <c r="H7110" s="115">
        <v>36096</v>
      </c>
      <c r="I7110" s="115">
        <v>39293</v>
      </c>
      <c r="J7110" s="115">
        <v>56953</v>
      </c>
      <c r="K7110" s="115">
        <v>57024</v>
      </c>
    </row>
    <row r="7111" spans="1:11" x14ac:dyDescent="0.25">
      <c r="A7111" s="115">
        <v>56</v>
      </c>
      <c r="B7111" s="115" t="s">
        <v>8031</v>
      </c>
      <c r="C7111" s="115">
        <v>6</v>
      </c>
      <c r="D7111" s="115" t="s">
        <v>13154</v>
      </c>
      <c r="E7111" s="115" t="s">
        <v>8032</v>
      </c>
      <c r="F7111" s="115">
        <v>60606</v>
      </c>
      <c r="G7111" s="115">
        <v>60216</v>
      </c>
      <c r="H7111" s="115">
        <v>59887</v>
      </c>
      <c r="I7111" s="115">
        <v>95985</v>
      </c>
      <c r="J7111" s="115">
        <v>97460</v>
      </c>
      <c r="K7111" s="115">
        <v>96317</v>
      </c>
    </row>
    <row r="7112" spans="1:11" x14ac:dyDescent="0.25">
      <c r="A7112" s="115">
        <v>97</v>
      </c>
      <c r="B7112" s="115" t="s">
        <v>8033</v>
      </c>
      <c r="C7112" s="115">
        <v>-4</v>
      </c>
      <c r="D7112" s="115" t="s">
        <v>13155</v>
      </c>
      <c r="E7112" s="115" t="s">
        <v>8034</v>
      </c>
      <c r="F7112" s="115">
        <v>-166</v>
      </c>
      <c r="G7112" s="115">
        <v>124</v>
      </c>
      <c r="H7112" s="115">
        <v>0</v>
      </c>
      <c r="I7112" s="115">
        <v>0</v>
      </c>
      <c r="J7112" s="115">
        <v>170</v>
      </c>
      <c r="K7112" s="115">
        <v>0</v>
      </c>
    </row>
    <row r="7113" spans="1:11" x14ac:dyDescent="0.25">
      <c r="B7113" s="115" t="s">
        <v>1241</v>
      </c>
      <c r="D7113" s="115" t="s">
        <v>13156</v>
      </c>
      <c r="E7113" s="115" t="s">
        <v>1242</v>
      </c>
      <c r="F7113" s="115">
        <v>0</v>
      </c>
      <c r="G7113" s="115">
        <v>0</v>
      </c>
      <c r="H7113" s="115">
        <v>0</v>
      </c>
      <c r="I7113" s="115">
        <v>0</v>
      </c>
      <c r="J7113" s="115">
        <v>0</v>
      </c>
      <c r="K7113" s="115">
        <v>0</v>
      </c>
    </row>
    <row r="7114" spans="1:11" x14ac:dyDescent="0.25">
      <c r="A7114" s="115" t="s">
        <v>1239</v>
      </c>
      <c r="B7114" s="115" t="s">
        <v>1517</v>
      </c>
      <c r="D7114" s="115" t="s">
        <v>13157</v>
      </c>
      <c r="E7114" s="115" t="s">
        <v>8035</v>
      </c>
      <c r="F7114" s="115">
        <v>0</v>
      </c>
      <c r="G7114" s="115">
        <v>-114</v>
      </c>
      <c r="H7114" s="115">
        <v>0</v>
      </c>
      <c r="I7114" s="115">
        <v>-84</v>
      </c>
      <c r="J7114" s="115">
        <v>-138</v>
      </c>
      <c r="K7114" s="115">
        <v>-141</v>
      </c>
    </row>
    <row r="7115" spans="1:11" x14ac:dyDescent="0.25">
      <c r="B7115" s="115" t="s">
        <v>8036</v>
      </c>
      <c r="C7115" s="115">
        <v>-4</v>
      </c>
      <c r="D7115" s="115" t="s">
        <v>13158</v>
      </c>
      <c r="E7115" s="115" t="s">
        <v>8037</v>
      </c>
      <c r="F7115" s="115">
        <v>-259</v>
      </c>
      <c r="G7115" s="115">
        <v>-419</v>
      </c>
      <c r="H7115" s="115">
        <v>-925</v>
      </c>
      <c r="I7115" s="115">
        <v>0</v>
      </c>
      <c r="J7115" s="115">
        <v>106</v>
      </c>
      <c r="K7115" s="115">
        <v>0</v>
      </c>
    </row>
    <row r="7116" spans="1:11" x14ac:dyDescent="0.25">
      <c r="B7116" s="115" t="s">
        <v>1241</v>
      </c>
      <c r="D7116" s="115" t="s">
        <v>13159</v>
      </c>
      <c r="E7116" s="115" t="s">
        <v>8038</v>
      </c>
      <c r="F7116" s="115">
        <v>195</v>
      </c>
      <c r="G7116" s="115">
        <v>0</v>
      </c>
      <c r="H7116" s="115">
        <v>0</v>
      </c>
      <c r="I7116" s="115">
        <v>0</v>
      </c>
      <c r="J7116" s="115">
        <v>-116</v>
      </c>
      <c r="K7116" s="115">
        <v>0</v>
      </c>
    </row>
    <row r="7117" spans="1:11" x14ac:dyDescent="0.25">
      <c r="B7117" s="115" t="s">
        <v>7605</v>
      </c>
      <c r="D7117" s="115" t="s">
        <v>13160</v>
      </c>
      <c r="E7117" s="115" t="s">
        <v>8039</v>
      </c>
      <c r="F7117" s="115">
        <v>0</v>
      </c>
      <c r="G7117" s="115">
        <v>0</v>
      </c>
      <c r="H7117" s="115">
        <v>40</v>
      </c>
      <c r="I7117" s="115">
        <v>0</v>
      </c>
      <c r="J7117" s="115">
        <v>-263</v>
      </c>
      <c r="K7117" s="115">
        <v>134</v>
      </c>
    </row>
    <row r="7118" spans="1:11" x14ac:dyDescent="0.25">
      <c r="B7118" s="115" t="s">
        <v>1241</v>
      </c>
      <c r="D7118" s="115" t="s">
        <v>13161</v>
      </c>
      <c r="E7118" s="115" t="s">
        <v>8040</v>
      </c>
      <c r="F7118" s="115">
        <v>0</v>
      </c>
      <c r="G7118" s="115">
        <v>-67</v>
      </c>
      <c r="H7118" s="115">
        <v>0</v>
      </c>
      <c r="I7118" s="115">
        <v>0</v>
      </c>
      <c r="J7118" s="115">
        <v>0</v>
      </c>
      <c r="K7118" s="115">
        <v>0</v>
      </c>
    </row>
    <row r="7119" spans="1:11" x14ac:dyDescent="0.25">
      <c r="A7119" s="115">
        <v>-1</v>
      </c>
      <c r="B7119" s="115" t="s">
        <v>8041</v>
      </c>
      <c r="D7119" s="115" t="s">
        <v>13162</v>
      </c>
      <c r="E7119" s="115" t="s">
        <v>8042</v>
      </c>
      <c r="F7119" s="115">
        <v>0</v>
      </c>
      <c r="G7119" s="115">
        <v>399</v>
      </c>
      <c r="H7119" s="115">
        <v>110</v>
      </c>
      <c r="I7119" s="115">
        <v>0</v>
      </c>
      <c r="J7119" s="115">
        <v>103</v>
      </c>
      <c r="K7119" s="115">
        <v>-229</v>
      </c>
    </row>
    <row r="7120" spans="1:11" x14ac:dyDescent="0.25">
      <c r="B7120" s="115" t="s">
        <v>8043</v>
      </c>
      <c r="D7120" s="115" t="s">
        <v>13163</v>
      </c>
      <c r="E7120" s="115" t="s">
        <v>1242</v>
      </c>
      <c r="F7120" s="115">
        <v>87</v>
      </c>
      <c r="G7120" s="115">
        <v>0</v>
      </c>
      <c r="H7120" s="115">
        <v>0</v>
      </c>
      <c r="I7120" s="115">
        <v>0</v>
      </c>
      <c r="J7120" s="115">
        <v>0</v>
      </c>
      <c r="K7120" s="115">
        <v>0</v>
      </c>
    </row>
    <row r="7121" spans="1:11" x14ac:dyDescent="0.25">
      <c r="B7121" s="115" t="s">
        <v>3572</v>
      </c>
      <c r="D7121" s="115" t="s">
        <v>13164</v>
      </c>
      <c r="E7121" s="115" t="s">
        <v>8044</v>
      </c>
      <c r="F7121" s="115">
        <v>-88</v>
      </c>
      <c r="G7121" s="115">
        <v>0</v>
      </c>
      <c r="H7121" s="115">
        <v>-1647</v>
      </c>
      <c r="I7121" s="115">
        <v>-61669</v>
      </c>
      <c r="J7121" s="115">
        <v>-203</v>
      </c>
      <c r="K7121" s="115">
        <v>-238</v>
      </c>
    </row>
    <row r="7122" spans="1:11" x14ac:dyDescent="0.25">
      <c r="B7122" s="115" t="s">
        <v>1467</v>
      </c>
      <c r="D7122" s="115" t="s">
        <v>13165</v>
      </c>
      <c r="E7122" s="115" t="s">
        <v>8045</v>
      </c>
      <c r="F7122" s="115">
        <v>-1223</v>
      </c>
      <c r="G7122" s="115">
        <v>167</v>
      </c>
      <c r="H7122" s="115">
        <v>0</v>
      </c>
      <c r="I7122" s="115">
        <v>-155</v>
      </c>
      <c r="J7122" s="115">
        <v>581</v>
      </c>
      <c r="K7122" s="115">
        <v>0</v>
      </c>
    </row>
    <row r="7123" spans="1:11" x14ac:dyDescent="0.25">
      <c r="B7123" s="115" t="s">
        <v>1241</v>
      </c>
      <c r="D7123" s="115" t="s">
        <v>13166</v>
      </c>
      <c r="E7123" s="115" t="s">
        <v>8046</v>
      </c>
      <c r="F7123" s="115">
        <v>0</v>
      </c>
      <c r="G7123" s="115">
        <v>-367</v>
      </c>
      <c r="H7123" s="115">
        <v>85</v>
      </c>
      <c r="I7123" s="115">
        <v>50</v>
      </c>
      <c r="J7123" s="115">
        <v>-49</v>
      </c>
      <c r="K7123" s="115">
        <v>0</v>
      </c>
    </row>
    <row r="7124" spans="1:11" x14ac:dyDescent="0.25">
      <c r="B7124" s="115" t="s">
        <v>1241</v>
      </c>
      <c r="D7124" s="115" t="s">
        <v>13167</v>
      </c>
      <c r="E7124" s="115" t="s">
        <v>8047</v>
      </c>
      <c r="F7124" s="115">
        <v>1304</v>
      </c>
      <c r="G7124" s="115">
        <v>0</v>
      </c>
      <c r="H7124" s="115">
        <v>8029</v>
      </c>
      <c r="I7124" s="115">
        <v>688</v>
      </c>
      <c r="J7124" s="115">
        <v>145</v>
      </c>
      <c r="K7124" s="115">
        <v>0</v>
      </c>
    </row>
    <row r="7125" spans="1:11" x14ac:dyDescent="0.25">
      <c r="A7125" s="115">
        <v>-1</v>
      </c>
      <c r="B7125" s="115" t="s">
        <v>8048</v>
      </c>
      <c r="D7125" s="115" t="s">
        <v>13168</v>
      </c>
      <c r="E7125" s="115" t="s">
        <v>8049</v>
      </c>
      <c r="F7125" s="115">
        <v>-24</v>
      </c>
      <c r="G7125" s="115">
        <v>-137</v>
      </c>
      <c r="H7125" s="115">
        <v>149</v>
      </c>
      <c r="I7125" s="115">
        <v>1820</v>
      </c>
      <c r="J7125" s="115">
        <v>0</v>
      </c>
      <c r="K7125" s="115">
        <v>266</v>
      </c>
    </row>
    <row r="7126" spans="1:11" x14ac:dyDescent="0.25">
      <c r="B7126" s="115" t="s">
        <v>1241</v>
      </c>
      <c r="D7126" s="115" t="s">
        <v>13169</v>
      </c>
      <c r="E7126" s="115" t="s">
        <v>8050</v>
      </c>
      <c r="F7126" s="115">
        <v>0</v>
      </c>
      <c r="G7126" s="115">
        <v>267</v>
      </c>
      <c r="H7126" s="115">
        <v>0</v>
      </c>
      <c r="I7126" s="115">
        <v>0</v>
      </c>
      <c r="J7126" s="115">
        <v>-107</v>
      </c>
      <c r="K7126" s="115">
        <v>0</v>
      </c>
    </row>
    <row r="7127" spans="1:11" x14ac:dyDescent="0.25">
      <c r="B7127" s="115" t="s">
        <v>8051</v>
      </c>
      <c r="D7127" s="115" t="s">
        <v>13170</v>
      </c>
      <c r="E7127" s="115" t="s">
        <v>8052</v>
      </c>
      <c r="F7127" s="115">
        <v>0</v>
      </c>
      <c r="G7127" s="115">
        <v>0</v>
      </c>
      <c r="H7127" s="115">
        <v>0</v>
      </c>
      <c r="I7127" s="115">
        <v>0</v>
      </c>
      <c r="J7127" s="115">
        <v>1535</v>
      </c>
      <c r="K7127" s="115">
        <v>0</v>
      </c>
    </row>
    <row r="7128" spans="1:11" x14ac:dyDescent="0.25">
      <c r="A7128" s="115">
        <v>7</v>
      </c>
      <c r="B7128" s="115" t="s">
        <v>8053</v>
      </c>
      <c r="D7128" s="115" t="s">
        <v>13171</v>
      </c>
      <c r="E7128" s="115" t="s">
        <v>8054</v>
      </c>
      <c r="F7128" s="115">
        <v>-887</v>
      </c>
      <c r="G7128" s="115">
        <v>-68927</v>
      </c>
      <c r="H7128" s="115">
        <v>551</v>
      </c>
      <c r="I7128" s="115">
        <v>0</v>
      </c>
      <c r="J7128" s="115">
        <v>0</v>
      </c>
      <c r="K7128" s="115">
        <v>0</v>
      </c>
    </row>
    <row r="7129" spans="1:11" x14ac:dyDescent="0.25">
      <c r="A7129" s="115">
        <v>2</v>
      </c>
      <c r="B7129" s="115" t="s">
        <v>8055</v>
      </c>
      <c r="D7129" s="115" t="s">
        <v>13172</v>
      </c>
      <c r="E7129" s="115" t="s">
        <v>8056</v>
      </c>
      <c r="F7129" s="115">
        <v>-1455</v>
      </c>
      <c r="G7129" s="115">
        <v>0</v>
      </c>
      <c r="H7129" s="115">
        <v>779</v>
      </c>
      <c r="I7129" s="115">
        <v>0</v>
      </c>
      <c r="J7129" s="115">
        <v>0</v>
      </c>
      <c r="K7129" s="115">
        <v>49</v>
      </c>
    </row>
    <row r="7130" spans="1:11" x14ac:dyDescent="0.25">
      <c r="B7130" s="115" t="s">
        <v>8057</v>
      </c>
      <c r="D7130" s="115" t="s">
        <v>13173</v>
      </c>
      <c r="E7130" s="115" t="s">
        <v>1242</v>
      </c>
      <c r="F7130" s="115">
        <v>0</v>
      </c>
      <c r="G7130" s="115">
        <v>0</v>
      </c>
      <c r="H7130" s="115">
        <v>0</v>
      </c>
      <c r="I7130" s="115">
        <v>0</v>
      </c>
      <c r="J7130" s="115">
        <v>0</v>
      </c>
      <c r="K7130" s="115">
        <v>0</v>
      </c>
    </row>
    <row r="7131" spans="1:11" x14ac:dyDescent="0.25">
      <c r="B7131" s="115" t="s">
        <v>1241</v>
      </c>
      <c r="D7131" s="115" t="s">
        <v>13174</v>
      </c>
      <c r="E7131" s="115" t="s">
        <v>8058</v>
      </c>
      <c r="F7131" s="115">
        <v>1691</v>
      </c>
      <c r="G7131" s="115">
        <v>-2591</v>
      </c>
      <c r="H7131" s="115">
        <v>-987</v>
      </c>
      <c r="I7131" s="115">
        <v>0</v>
      </c>
      <c r="J7131" s="115">
        <v>-879</v>
      </c>
      <c r="K7131" s="115">
        <v>-64974</v>
      </c>
    </row>
    <row r="7132" spans="1:11" x14ac:dyDescent="0.25">
      <c r="B7132" s="115" t="s">
        <v>1241</v>
      </c>
      <c r="D7132" s="115" t="s">
        <v>13175</v>
      </c>
      <c r="E7132" s="115" t="s">
        <v>8059</v>
      </c>
      <c r="F7132" s="115">
        <v>0</v>
      </c>
      <c r="G7132" s="115">
        <v>-907</v>
      </c>
      <c r="H7132" s="115">
        <v>-882</v>
      </c>
      <c r="I7132" s="115">
        <v>886</v>
      </c>
      <c r="J7132" s="115">
        <v>533</v>
      </c>
      <c r="K7132" s="115">
        <v>735</v>
      </c>
    </row>
    <row r="7133" spans="1:11" x14ac:dyDescent="0.25">
      <c r="A7133" s="115">
        <v>2</v>
      </c>
      <c r="B7133" s="115" t="s">
        <v>8060</v>
      </c>
      <c r="D7133" s="115" t="s">
        <v>13176</v>
      </c>
      <c r="E7133" s="115" t="s">
        <v>8061</v>
      </c>
      <c r="F7133" s="115">
        <v>0</v>
      </c>
      <c r="G7133" s="115">
        <v>-3283</v>
      </c>
      <c r="H7133" s="115">
        <v>0</v>
      </c>
      <c r="I7133" s="115">
        <v>-2334</v>
      </c>
      <c r="J7133" s="115">
        <v>0</v>
      </c>
      <c r="K7133" s="115">
        <v>0</v>
      </c>
    </row>
    <row r="7134" spans="1:11" x14ac:dyDescent="0.25">
      <c r="B7134" s="115" t="s">
        <v>8062</v>
      </c>
      <c r="D7134" s="115" t="s">
        <v>13177</v>
      </c>
      <c r="E7134" s="115" t="s">
        <v>8063</v>
      </c>
      <c r="F7134" s="115">
        <v>0</v>
      </c>
      <c r="G7134" s="115">
        <v>0</v>
      </c>
      <c r="H7134" s="115">
        <v>-38</v>
      </c>
      <c r="I7134" s="115">
        <v>0</v>
      </c>
      <c r="J7134" s="115">
        <v>4392</v>
      </c>
      <c r="K7134" s="115">
        <v>-1315</v>
      </c>
    </row>
    <row r="7135" spans="1:11" x14ac:dyDescent="0.25">
      <c r="B7135" s="115" t="s">
        <v>8064</v>
      </c>
      <c r="D7135" s="115" t="s">
        <v>13178</v>
      </c>
      <c r="E7135" s="115" t="s">
        <v>8065</v>
      </c>
      <c r="F7135" s="115">
        <v>538</v>
      </c>
      <c r="G7135" s="115">
        <v>246</v>
      </c>
      <c r="H7135" s="115">
        <v>-479</v>
      </c>
      <c r="I7135" s="115">
        <v>-445</v>
      </c>
      <c r="J7135" s="115">
        <v>0</v>
      </c>
      <c r="K7135" s="115">
        <v>0</v>
      </c>
    </row>
    <row r="7136" spans="1:11" x14ac:dyDescent="0.25">
      <c r="B7136" s="115" t="s">
        <v>1241</v>
      </c>
      <c r="D7136" s="115" t="s">
        <v>13179</v>
      </c>
      <c r="E7136" s="115" t="s">
        <v>8066</v>
      </c>
      <c r="F7136" s="115">
        <v>0</v>
      </c>
      <c r="G7136" s="115">
        <v>-335</v>
      </c>
      <c r="H7136" s="115">
        <v>-43</v>
      </c>
      <c r="I7136" s="115">
        <v>1519</v>
      </c>
      <c r="J7136" s="115">
        <v>26</v>
      </c>
      <c r="K7136" s="115">
        <v>1337</v>
      </c>
    </row>
    <row r="7137" spans="1:11" x14ac:dyDescent="0.25">
      <c r="A7137" s="115" t="s">
        <v>1239</v>
      </c>
      <c r="B7137" s="115" t="s">
        <v>3588</v>
      </c>
      <c r="D7137" s="115" t="s">
        <v>13180</v>
      </c>
      <c r="E7137" s="115" t="s">
        <v>8067</v>
      </c>
      <c r="F7137" s="115">
        <v>0</v>
      </c>
      <c r="G7137" s="115">
        <v>1166</v>
      </c>
      <c r="H7137" s="115">
        <v>-2180</v>
      </c>
      <c r="I7137" s="115">
        <v>0</v>
      </c>
      <c r="J7137" s="115">
        <v>0</v>
      </c>
      <c r="K7137" s="115">
        <v>0</v>
      </c>
    </row>
    <row r="7138" spans="1:11" x14ac:dyDescent="0.25">
      <c r="B7138" s="115" t="s">
        <v>8068</v>
      </c>
      <c r="D7138" s="115" t="s">
        <v>13181</v>
      </c>
      <c r="E7138" s="115" t="s">
        <v>1242</v>
      </c>
      <c r="F7138" s="115">
        <v>-3321</v>
      </c>
      <c r="G7138" s="115">
        <v>0</v>
      </c>
      <c r="H7138" s="115">
        <v>0</v>
      </c>
      <c r="I7138" s="115">
        <v>0</v>
      </c>
      <c r="J7138" s="115">
        <v>0</v>
      </c>
      <c r="K7138" s="115">
        <v>0</v>
      </c>
    </row>
    <row r="7139" spans="1:11" x14ac:dyDescent="0.25">
      <c r="B7139" s="115" t="s">
        <v>1241</v>
      </c>
      <c r="D7139" s="115" t="s">
        <v>8710</v>
      </c>
      <c r="E7139" s="115" t="s">
        <v>1242</v>
      </c>
      <c r="F7139" s="115">
        <v>0</v>
      </c>
      <c r="G7139" s="115">
        <v>0</v>
      </c>
      <c r="H7139" s="115">
        <v>0</v>
      </c>
      <c r="I7139" s="115">
        <v>0</v>
      </c>
      <c r="J7139" s="115">
        <v>0</v>
      </c>
      <c r="K7139" s="115">
        <v>0</v>
      </c>
    </row>
    <row r="7140" spans="1:11" x14ac:dyDescent="0.25">
      <c r="A7140" s="115">
        <v>-1</v>
      </c>
      <c r="B7140" s="115" t="s">
        <v>8069</v>
      </c>
      <c r="D7140" s="115" t="s">
        <v>13182</v>
      </c>
      <c r="E7140" s="115" t="s">
        <v>8070</v>
      </c>
      <c r="F7140" s="115">
        <v>0</v>
      </c>
      <c r="G7140" s="115">
        <v>0</v>
      </c>
      <c r="H7140" s="115">
        <v>1229</v>
      </c>
      <c r="I7140" s="115">
        <v>-1169</v>
      </c>
      <c r="J7140" s="115">
        <v>-1383</v>
      </c>
      <c r="K7140" s="115">
        <v>-9223</v>
      </c>
    </row>
    <row r="7141" spans="1:11" x14ac:dyDescent="0.25">
      <c r="A7141" s="115">
        <v>-9</v>
      </c>
      <c r="B7141" s="115" t="s">
        <v>8071</v>
      </c>
      <c r="C7141" s="115">
        <v>-1</v>
      </c>
      <c r="D7141" s="115" t="s">
        <v>13183</v>
      </c>
      <c r="E7141" s="115" t="s">
        <v>8072</v>
      </c>
      <c r="F7141" s="115">
        <v>-1090</v>
      </c>
      <c r="G7141" s="115">
        <v>772</v>
      </c>
      <c r="H7141" s="115">
        <v>-1272</v>
      </c>
      <c r="I7141" s="115">
        <v>-1035</v>
      </c>
      <c r="J7141" s="115">
        <v>-6551</v>
      </c>
      <c r="K7141" s="115">
        <v>-6233</v>
      </c>
    </row>
    <row r="7142" spans="1:11" x14ac:dyDescent="0.25">
      <c r="A7142" s="115">
        <v>-5</v>
      </c>
      <c r="B7142" s="115" t="s">
        <v>8073</v>
      </c>
      <c r="C7142" s="115" t="s">
        <v>1239</v>
      </c>
      <c r="D7142" s="115" t="s">
        <v>13184</v>
      </c>
      <c r="E7142" s="115" t="s">
        <v>8074</v>
      </c>
      <c r="F7142" s="115">
        <v>-10501</v>
      </c>
      <c r="G7142" s="115">
        <v>-11584</v>
      </c>
      <c r="H7142" s="115">
        <v>-11576</v>
      </c>
      <c r="I7142" s="115">
        <v>-14472</v>
      </c>
      <c r="J7142" s="115">
        <v>-9627</v>
      </c>
      <c r="K7142" s="115">
        <v>-9483</v>
      </c>
    </row>
    <row r="7143" spans="1:11" x14ac:dyDescent="0.25">
      <c r="A7143" s="115">
        <v>-13</v>
      </c>
      <c r="B7143" s="115" t="s">
        <v>8075</v>
      </c>
      <c r="C7143" s="115" t="s">
        <v>1239</v>
      </c>
      <c r="D7143" s="115" t="s">
        <v>13185</v>
      </c>
      <c r="E7143" s="115" t="s">
        <v>8076</v>
      </c>
      <c r="F7143" s="115">
        <v>-9414</v>
      </c>
      <c r="G7143" s="115">
        <v>-13872</v>
      </c>
      <c r="H7143" s="115">
        <v>-7391</v>
      </c>
      <c r="I7143" s="115">
        <v>-10680</v>
      </c>
      <c r="J7143" s="115">
        <v>-10661</v>
      </c>
      <c r="K7143" s="115">
        <v>-10230</v>
      </c>
    </row>
    <row r="7144" spans="1:11" x14ac:dyDescent="0.25">
      <c r="A7144" s="115">
        <v>-9</v>
      </c>
      <c r="B7144" s="115" t="s">
        <v>8077</v>
      </c>
      <c r="C7144" s="115">
        <v>-1</v>
      </c>
      <c r="D7144" s="115" t="s">
        <v>13186</v>
      </c>
      <c r="E7144" s="115" t="s">
        <v>8078</v>
      </c>
      <c r="F7144" s="115">
        <v>1034</v>
      </c>
      <c r="G7144" s="115">
        <v>471</v>
      </c>
      <c r="H7144" s="115">
        <v>1022</v>
      </c>
      <c r="I7144" s="115">
        <v>878</v>
      </c>
      <c r="J7144" s="115">
        <v>805</v>
      </c>
      <c r="K7144" s="115">
        <v>-816</v>
      </c>
    </row>
    <row r="7145" spans="1:11" x14ac:dyDescent="0.25">
      <c r="B7145" s="115" t="s">
        <v>8079</v>
      </c>
      <c r="D7145" s="115" t="s">
        <v>13187</v>
      </c>
      <c r="E7145" s="115" t="s">
        <v>8080</v>
      </c>
      <c r="F7145" s="115">
        <v>1572</v>
      </c>
      <c r="G7145" s="115">
        <v>1306</v>
      </c>
      <c r="H7145" s="115">
        <v>1200</v>
      </c>
      <c r="I7145" s="115">
        <v>1028</v>
      </c>
      <c r="J7145" s="115">
        <v>1584</v>
      </c>
      <c r="K7145" s="115">
        <v>1575</v>
      </c>
    </row>
    <row r="7146" spans="1:11" x14ac:dyDescent="0.25">
      <c r="A7146" s="115">
        <v>1</v>
      </c>
      <c r="B7146" s="115" t="s">
        <v>8081</v>
      </c>
      <c r="D7146" s="115" t="s">
        <v>13188</v>
      </c>
      <c r="E7146" s="115" t="s">
        <v>8082</v>
      </c>
      <c r="F7146" s="115">
        <v>45872</v>
      </c>
      <c r="G7146" s="115">
        <v>55136</v>
      </c>
      <c r="H7146" s="115">
        <v>55065</v>
      </c>
      <c r="I7146" s="115">
        <v>52605</v>
      </c>
      <c r="J7146" s="115">
        <v>47362</v>
      </c>
      <c r="K7146" s="115">
        <v>25331</v>
      </c>
    </row>
    <row r="7147" spans="1:11" x14ac:dyDescent="0.25">
      <c r="A7147" s="115">
        <v>30</v>
      </c>
      <c r="B7147" s="115" t="s">
        <v>8083</v>
      </c>
      <c r="C7147" s="115">
        <v>3</v>
      </c>
      <c r="D7147" s="115" t="s">
        <v>13189</v>
      </c>
      <c r="E7147" s="115" t="s">
        <v>8084</v>
      </c>
      <c r="F7147" s="115">
        <v>53785</v>
      </c>
      <c r="G7147" s="115">
        <v>53822</v>
      </c>
      <c r="H7147" s="115">
        <v>53691</v>
      </c>
      <c r="I7147" s="115">
        <v>52405</v>
      </c>
      <c r="J7147" s="115">
        <v>57692</v>
      </c>
      <c r="K7147" s="115">
        <v>56910</v>
      </c>
    </row>
    <row r="7148" spans="1:11" x14ac:dyDescent="0.25">
      <c r="A7148" s="115">
        <v>57</v>
      </c>
      <c r="B7148" s="115" t="s">
        <v>8085</v>
      </c>
      <c r="C7148" s="115">
        <v>5</v>
      </c>
      <c r="D7148" s="115" t="s">
        <v>13190</v>
      </c>
      <c r="E7148" s="115" t="s">
        <v>8086</v>
      </c>
      <c r="F7148" s="115">
        <v>96131</v>
      </c>
      <c r="G7148" s="115">
        <v>96698</v>
      </c>
      <c r="H7148" s="115">
        <v>94828</v>
      </c>
      <c r="I7148" s="115">
        <v>98439</v>
      </c>
      <c r="J7148" s="115">
        <v>1089</v>
      </c>
      <c r="K7148" s="115">
        <v>-45348</v>
      </c>
    </row>
    <row r="7149" spans="1:11" x14ac:dyDescent="0.25">
      <c r="A7149" s="115" t="s">
        <v>1239</v>
      </c>
      <c r="B7149" s="115" t="s">
        <v>8087</v>
      </c>
      <c r="D7149" s="115" t="s">
        <v>13191</v>
      </c>
      <c r="E7149" s="115" t="s">
        <v>8088</v>
      </c>
      <c r="F7149" s="115">
        <v>0</v>
      </c>
      <c r="G7149" s="115">
        <v>185</v>
      </c>
      <c r="H7149" s="115">
        <v>0</v>
      </c>
      <c r="I7149" s="115">
        <v>0</v>
      </c>
      <c r="J7149" s="115">
        <v>0</v>
      </c>
      <c r="K7149" s="115">
        <v>228</v>
      </c>
    </row>
    <row r="7150" spans="1:11" x14ac:dyDescent="0.25">
      <c r="B7150" s="115" t="s">
        <v>1376</v>
      </c>
      <c r="D7150" s="115" t="s">
        <v>13192</v>
      </c>
      <c r="E7150" s="115" t="s">
        <v>8089</v>
      </c>
      <c r="F7150" s="115">
        <v>0</v>
      </c>
      <c r="G7150" s="115">
        <v>0</v>
      </c>
      <c r="H7150" s="115">
        <v>0</v>
      </c>
      <c r="I7150" s="115">
        <v>-397</v>
      </c>
      <c r="J7150" s="115">
        <v>0</v>
      </c>
      <c r="K7150" s="115">
        <v>0</v>
      </c>
    </row>
    <row r="7151" spans="1:11" x14ac:dyDescent="0.25">
      <c r="B7151" s="115" t="s">
        <v>8090</v>
      </c>
      <c r="D7151" s="115" t="s">
        <v>13193</v>
      </c>
      <c r="E7151" s="115" t="s">
        <v>8091</v>
      </c>
      <c r="F7151" s="115">
        <v>193</v>
      </c>
      <c r="G7151" s="115">
        <v>-297</v>
      </c>
      <c r="H7151" s="115">
        <v>-142</v>
      </c>
      <c r="I7151" s="115">
        <v>0</v>
      </c>
      <c r="J7151" s="115">
        <v>984</v>
      </c>
      <c r="K7151" s="115">
        <v>-38114</v>
      </c>
    </row>
    <row r="7152" spans="1:11" x14ac:dyDescent="0.25">
      <c r="A7152" s="115" t="s">
        <v>1239</v>
      </c>
      <c r="B7152" s="115" t="s">
        <v>8092</v>
      </c>
      <c r="D7152" s="115" t="s">
        <v>13194</v>
      </c>
      <c r="E7152" s="115" t="s">
        <v>8093</v>
      </c>
      <c r="F7152" s="115">
        <v>0</v>
      </c>
      <c r="G7152" s="115">
        <v>93</v>
      </c>
      <c r="H7152" s="115">
        <v>0</v>
      </c>
      <c r="I7152" s="115">
        <v>0</v>
      </c>
      <c r="J7152" s="115">
        <v>0</v>
      </c>
      <c r="K7152" s="115">
        <v>0</v>
      </c>
    </row>
    <row r="7153" spans="1:11" x14ac:dyDescent="0.25">
      <c r="B7153" s="115" t="s">
        <v>8094</v>
      </c>
      <c r="D7153" s="115" t="s">
        <v>13195</v>
      </c>
      <c r="E7153" s="115" t="s">
        <v>8095</v>
      </c>
      <c r="F7153" s="115">
        <v>0</v>
      </c>
      <c r="G7153" s="115">
        <v>-139</v>
      </c>
      <c r="H7153" s="115">
        <v>0</v>
      </c>
      <c r="I7153" s="115">
        <v>44</v>
      </c>
      <c r="J7153" s="115">
        <v>0</v>
      </c>
      <c r="K7153" s="115">
        <v>0</v>
      </c>
    </row>
    <row r="7154" spans="1:11" x14ac:dyDescent="0.25">
      <c r="B7154" s="115" t="s">
        <v>1241</v>
      </c>
      <c r="D7154" s="115" t="s">
        <v>13196</v>
      </c>
      <c r="E7154" s="115" t="s">
        <v>8096</v>
      </c>
      <c r="F7154" s="115">
        <v>0</v>
      </c>
      <c r="G7154" s="115">
        <v>-129</v>
      </c>
      <c r="H7154" s="115">
        <v>-118</v>
      </c>
      <c r="I7154" s="115">
        <v>0</v>
      </c>
      <c r="J7154" s="115">
        <v>0</v>
      </c>
      <c r="K7154" s="115">
        <v>-2520</v>
      </c>
    </row>
    <row r="7155" spans="1:11" x14ac:dyDescent="0.25">
      <c r="A7155" s="115">
        <v>-45</v>
      </c>
      <c r="B7155" s="115" t="s">
        <v>8097</v>
      </c>
      <c r="D7155" s="115" t="s">
        <v>13197</v>
      </c>
      <c r="E7155" s="115" t="s">
        <v>8098</v>
      </c>
      <c r="F7155" s="115">
        <v>0</v>
      </c>
      <c r="G7155" s="115">
        <v>0</v>
      </c>
      <c r="H7155" s="115">
        <v>0</v>
      </c>
      <c r="I7155" s="115">
        <v>-1033</v>
      </c>
      <c r="J7155" s="115">
        <v>-106</v>
      </c>
      <c r="K7155" s="115">
        <v>97</v>
      </c>
    </row>
    <row r="7156" spans="1:11" x14ac:dyDescent="0.25">
      <c r="B7156" s="115" t="s">
        <v>1241</v>
      </c>
      <c r="D7156" s="115" t="s">
        <v>13198</v>
      </c>
      <c r="E7156" s="115" t="s">
        <v>8099</v>
      </c>
      <c r="F7156" s="115">
        <v>0</v>
      </c>
      <c r="G7156" s="115">
        <v>-126</v>
      </c>
      <c r="H7156" s="115">
        <v>-144</v>
      </c>
      <c r="I7156" s="115">
        <v>180</v>
      </c>
      <c r="J7156" s="115">
        <v>-35</v>
      </c>
      <c r="K7156" s="115">
        <v>787</v>
      </c>
    </row>
    <row r="7157" spans="1:11" x14ac:dyDescent="0.25">
      <c r="B7157" s="115" t="s">
        <v>8100</v>
      </c>
      <c r="D7157" s="115" t="s">
        <v>13199</v>
      </c>
      <c r="E7157" s="115" t="s">
        <v>8101</v>
      </c>
      <c r="F7157" s="115">
        <v>0</v>
      </c>
      <c r="G7157" s="115">
        <v>0</v>
      </c>
      <c r="H7157" s="115">
        <v>0</v>
      </c>
      <c r="I7157" s="115">
        <v>-17</v>
      </c>
      <c r="J7157" s="115">
        <v>0</v>
      </c>
      <c r="K7157" s="115">
        <v>1895</v>
      </c>
    </row>
    <row r="7158" spans="1:11" x14ac:dyDescent="0.25">
      <c r="A7158" s="115">
        <v>1</v>
      </c>
      <c r="B7158" s="115" t="s">
        <v>8102</v>
      </c>
      <c r="D7158" s="115" t="s">
        <v>13200</v>
      </c>
      <c r="E7158" s="115" t="s">
        <v>8103</v>
      </c>
      <c r="F7158" s="115">
        <v>-54990</v>
      </c>
      <c r="G7158" s="115">
        <v>-250</v>
      </c>
      <c r="H7158" s="115">
        <v>-382</v>
      </c>
      <c r="I7158" s="115">
        <v>-897</v>
      </c>
      <c r="J7158" s="115">
        <v>0</v>
      </c>
      <c r="K7158" s="115">
        <v>-53</v>
      </c>
    </row>
    <row r="7159" spans="1:11" x14ac:dyDescent="0.25">
      <c r="A7159" s="115" t="s">
        <v>1239</v>
      </c>
      <c r="B7159" s="115" t="s">
        <v>8104</v>
      </c>
      <c r="D7159" s="115" t="s">
        <v>13201</v>
      </c>
      <c r="E7159" s="115" t="s">
        <v>8105</v>
      </c>
      <c r="F7159" s="115">
        <v>-287</v>
      </c>
      <c r="G7159" s="115">
        <v>213</v>
      </c>
      <c r="H7159" s="115">
        <v>0</v>
      </c>
      <c r="I7159" s="115">
        <v>0</v>
      </c>
      <c r="J7159" s="115">
        <v>0</v>
      </c>
      <c r="K7159" s="115">
        <v>-384</v>
      </c>
    </row>
    <row r="7160" spans="1:11" x14ac:dyDescent="0.25">
      <c r="A7160" s="115" t="s">
        <v>1239</v>
      </c>
      <c r="B7160" s="115" t="s">
        <v>3592</v>
      </c>
      <c r="D7160" s="115" t="s">
        <v>13202</v>
      </c>
      <c r="E7160" s="115" t="s">
        <v>8106</v>
      </c>
      <c r="F7160" s="115">
        <v>236</v>
      </c>
      <c r="G7160" s="115">
        <v>19</v>
      </c>
      <c r="H7160" s="115">
        <v>0</v>
      </c>
      <c r="I7160" s="115">
        <v>0</v>
      </c>
      <c r="J7160" s="115">
        <v>0</v>
      </c>
      <c r="K7160" s="115">
        <v>0</v>
      </c>
    </row>
    <row r="7161" spans="1:11" x14ac:dyDescent="0.25">
      <c r="B7161" s="115" t="s">
        <v>8107</v>
      </c>
      <c r="D7161" s="115" t="s">
        <v>13203</v>
      </c>
      <c r="E7161" s="115" t="s">
        <v>8108</v>
      </c>
      <c r="F7161" s="115">
        <v>756</v>
      </c>
      <c r="G7161" s="115">
        <v>243</v>
      </c>
      <c r="H7161" s="115">
        <v>0</v>
      </c>
      <c r="I7161" s="115">
        <v>-988</v>
      </c>
      <c r="J7161" s="115">
        <v>-53572</v>
      </c>
      <c r="K7161" s="115">
        <v>-282</v>
      </c>
    </row>
    <row r="7162" spans="1:11" x14ac:dyDescent="0.25">
      <c r="B7162" s="115">
        <f>-18   -828</f>
        <v>-846</v>
      </c>
      <c r="D7162" s="115" t="s">
        <v>13204</v>
      </c>
      <c r="E7162" s="115" t="s">
        <v>8109</v>
      </c>
      <c r="F7162" s="115">
        <v>1766</v>
      </c>
      <c r="G7162" s="115">
        <v>0</v>
      </c>
      <c r="H7162" s="115">
        <v>267</v>
      </c>
      <c r="I7162" s="115">
        <v>0</v>
      </c>
      <c r="J7162" s="115">
        <v>0</v>
      </c>
      <c r="K7162" s="115">
        <v>106</v>
      </c>
    </row>
    <row r="7163" spans="1:11" x14ac:dyDescent="0.25">
      <c r="B7163" s="115" t="s">
        <v>8110</v>
      </c>
      <c r="D7163" s="115" t="s">
        <v>13205</v>
      </c>
      <c r="E7163" s="115" t="s">
        <v>8111</v>
      </c>
      <c r="F7163" s="115">
        <v>0</v>
      </c>
      <c r="G7163" s="115">
        <v>-142</v>
      </c>
      <c r="H7163" s="115">
        <v>0</v>
      </c>
      <c r="I7163" s="115">
        <v>363</v>
      </c>
      <c r="J7163" s="115">
        <v>176</v>
      </c>
      <c r="K7163" s="115">
        <v>124</v>
      </c>
    </row>
    <row r="7164" spans="1:11" x14ac:dyDescent="0.25">
      <c r="B7164" s="115" t="s">
        <v>1241</v>
      </c>
      <c r="D7164" s="115" t="s">
        <v>13206</v>
      </c>
      <c r="E7164" s="115" t="s">
        <v>8112</v>
      </c>
      <c r="F7164" s="115">
        <v>0</v>
      </c>
      <c r="G7164" s="115">
        <v>-1375</v>
      </c>
      <c r="H7164" s="115">
        <v>0</v>
      </c>
      <c r="I7164" s="115">
        <v>10518</v>
      </c>
      <c r="J7164" s="115">
        <v>953</v>
      </c>
      <c r="K7164" s="115">
        <v>270</v>
      </c>
    </row>
    <row r="7165" spans="1:11" x14ac:dyDescent="0.25">
      <c r="B7165" s="115" t="s">
        <v>8113</v>
      </c>
      <c r="C7165" s="115">
        <v>-5</v>
      </c>
      <c r="D7165" s="115" t="s">
        <v>13207</v>
      </c>
      <c r="E7165" s="115" t="s">
        <v>8114</v>
      </c>
      <c r="F7165" s="115">
        <v>0</v>
      </c>
      <c r="G7165" s="115">
        <v>0</v>
      </c>
      <c r="H7165" s="115">
        <v>0</v>
      </c>
      <c r="I7165" s="115">
        <v>1545</v>
      </c>
      <c r="J7165" s="115">
        <v>2389</v>
      </c>
      <c r="K7165" s="115">
        <v>1088</v>
      </c>
    </row>
    <row r="7166" spans="1:11" x14ac:dyDescent="0.25">
      <c r="A7166" s="115">
        <v>-1</v>
      </c>
      <c r="B7166" s="115" t="s">
        <v>8115</v>
      </c>
      <c r="D7166" s="115" t="s">
        <v>13208</v>
      </c>
      <c r="E7166" s="115" t="s">
        <v>8116</v>
      </c>
      <c r="F7166" s="115">
        <v>0</v>
      </c>
      <c r="G7166" s="115">
        <v>0</v>
      </c>
      <c r="H7166" s="115">
        <v>-69</v>
      </c>
      <c r="I7166" s="115">
        <v>0</v>
      </c>
      <c r="J7166" s="115">
        <v>-1520</v>
      </c>
      <c r="K7166" s="115">
        <v>0</v>
      </c>
    </row>
    <row r="7167" spans="1:11" x14ac:dyDescent="0.25">
      <c r="A7167" s="115">
        <v>-1</v>
      </c>
      <c r="B7167" s="115" t="s">
        <v>3842</v>
      </c>
      <c r="D7167" s="115" t="s">
        <v>13209</v>
      </c>
      <c r="E7167" s="115" t="s">
        <v>8117</v>
      </c>
      <c r="F7167" s="115">
        <v>0</v>
      </c>
      <c r="G7167" s="115">
        <v>0</v>
      </c>
      <c r="H7167" s="115">
        <v>0</v>
      </c>
      <c r="I7167" s="115">
        <v>0</v>
      </c>
      <c r="J7167" s="115">
        <v>0</v>
      </c>
      <c r="K7167" s="115">
        <v>-1347</v>
      </c>
    </row>
    <row r="7168" spans="1:11" x14ac:dyDescent="0.25">
      <c r="B7168" s="115" t="s">
        <v>8118</v>
      </c>
      <c r="C7168" s="115" t="s">
        <v>1239</v>
      </c>
      <c r="D7168" s="115" t="s">
        <v>13210</v>
      </c>
      <c r="E7168" s="115" t="s">
        <v>8119</v>
      </c>
      <c r="F7168" s="115">
        <v>0</v>
      </c>
      <c r="G7168" s="115">
        <v>-737</v>
      </c>
      <c r="H7168" s="115">
        <v>-58555</v>
      </c>
      <c r="I7168" s="115">
        <v>0</v>
      </c>
      <c r="J7168" s="115">
        <v>0</v>
      </c>
      <c r="K7168" s="115">
        <v>0</v>
      </c>
    </row>
    <row r="7169" spans="1:11" x14ac:dyDescent="0.25">
      <c r="B7169" s="115" t="s">
        <v>1241</v>
      </c>
      <c r="D7169" s="115" t="s">
        <v>13211</v>
      </c>
      <c r="E7169" s="115" t="s">
        <v>8120</v>
      </c>
      <c r="F7169" s="115">
        <v>1721</v>
      </c>
      <c r="G7169" s="115">
        <v>1172</v>
      </c>
      <c r="H7169" s="115">
        <v>1069</v>
      </c>
      <c r="I7169" s="115">
        <v>3248</v>
      </c>
      <c r="J7169" s="115">
        <v>0</v>
      </c>
      <c r="K7169" s="115">
        <v>0</v>
      </c>
    </row>
    <row r="7170" spans="1:11" x14ac:dyDescent="0.25">
      <c r="B7170" s="115" t="s">
        <v>1241</v>
      </c>
      <c r="C7170" s="115" t="s">
        <v>1239</v>
      </c>
      <c r="D7170" s="115" t="s">
        <v>13212</v>
      </c>
      <c r="E7170" s="115" t="s">
        <v>8121</v>
      </c>
      <c r="F7170" s="115">
        <v>-2167</v>
      </c>
      <c r="G7170" s="115">
        <v>0</v>
      </c>
      <c r="H7170" s="115">
        <v>0</v>
      </c>
      <c r="I7170" s="115">
        <v>892</v>
      </c>
      <c r="J7170" s="115">
        <v>-907</v>
      </c>
      <c r="K7170" s="115">
        <v>0</v>
      </c>
    </row>
    <row r="7171" spans="1:11" x14ac:dyDescent="0.25">
      <c r="B7171" s="115" t="s">
        <v>1241</v>
      </c>
      <c r="D7171" s="115" t="s">
        <v>13213</v>
      </c>
      <c r="E7171" s="115" t="s">
        <v>8122</v>
      </c>
      <c r="F7171" s="115">
        <v>0</v>
      </c>
      <c r="G7171" s="115">
        <v>7146</v>
      </c>
      <c r="H7171" s="115">
        <v>-528</v>
      </c>
      <c r="I7171" s="115">
        <v>1468</v>
      </c>
      <c r="J7171" s="115">
        <v>6212</v>
      </c>
      <c r="K7171" s="115">
        <v>1549</v>
      </c>
    </row>
    <row r="7172" spans="1:11" x14ac:dyDescent="0.25">
      <c r="A7172" s="115">
        <v>1</v>
      </c>
      <c r="B7172" s="115" t="s">
        <v>8123</v>
      </c>
      <c r="D7172" s="115" t="s">
        <v>13214</v>
      </c>
      <c r="E7172" s="115" t="s">
        <v>1242</v>
      </c>
      <c r="F7172" s="115">
        <v>970</v>
      </c>
      <c r="G7172" s="115">
        <v>0</v>
      </c>
      <c r="H7172" s="115">
        <v>0</v>
      </c>
      <c r="I7172" s="115">
        <v>0</v>
      </c>
      <c r="J7172" s="115">
        <v>0</v>
      </c>
      <c r="K7172" s="115">
        <v>0</v>
      </c>
    </row>
    <row r="7173" spans="1:11" x14ac:dyDescent="0.25">
      <c r="B7173" s="115" t="s">
        <v>1241</v>
      </c>
      <c r="D7173" s="115" t="s">
        <v>13215</v>
      </c>
      <c r="E7173" s="115" t="s">
        <v>8124</v>
      </c>
      <c r="F7173" s="115">
        <v>1649</v>
      </c>
      <c r="G7173" s="115">
        <v>-95</v>
      </c>
      <c r="H7173" s="115">
        <v>1518</v>
      </c>
      <c r="I7173" s="115">
        <v>-666</v>
      </c>
      <c r="J7173" s="115">
        <v>0</v>
      </c>
      <c r="K7173" s="115">
        <v>0</v>
      </c>
    </row>
    <row r="7174" spans="1:11" x14ac:dyDescent="0.25">
      <c r="B7174" s="115" t="s">
        <v>8125</v>
      </c>
      <c r="D7174" s="115" t="s">
        <v>13216</v>
      </c>
      <c r="E7174" s="115" t="s">
        <v>8126</v>
      </c>
      <c r="F7174" s="115">
        <v>0</v>
      </c>
      <c r="G7174" s="115">
        <v>0</v>
      </c>
      <c r="H7174" s="115">
        <v>0</v>
      </c>
      <c r="I7174" s="115">
        <v>0</v>
      </c>
      <c r="J7174" s="115">
        <v>1822</v>
      </c>
      <c r="K7174" s="115">
        <v>0</v>
      </c>
    </row>
    <row r="7175" spans="1:11" x14ac:dyDescent="0.25">
      <c r="A7175" s="115" t="s">
        <v>1239</v>
      </c>
      <c r="B7175" s="115" t="s">
        <v>8127</v>
      </c>
      <c r="D7175" s="115" t="s">
        <v>8710</v>
      </c>
      <c r="E7175" s="115" t="s">
        <v>1242</v>
      </c>
      <c r="F7175" s="115">
        <v>0</v>
      </c>
      <c r="G7175" s="115">
        <v>0</v>
      </c>
      <c r="H7175" s="115">
        <v>0</v>
      </c>
      <c r="I7175" s="115">
        <v>0</v>
      </c>
      <c r="J7175" s="115">
        <v>0</v>
      </c>
      <c r="K7175" s="115">
        <v>0</v>
      </c>
    </row>
    <row r="7176" spans="1:11" x14ac:dyDescent="0.25">
      <c r="B7176" s="115" t="s">
        <v>1241</v>
      </c>
      <c r="D7176" s="115" t="s">
        <v>13217</v>
      </c>
      <c r="E7176" s="115" t="s">
        <v>8128</v>
      </c>
      <c r="F7176" s="115">
        <v>0</v>
      </c>
      <c r="G7176" s="115">
        <v>0</v>
      </c>
      <c r="H7176" s="115">
        <v>0</v>
      </c>
      <c r="I7176" s="115">
        <v>1002</v>
      </c>
      <c r="J7176" s="115">
        <v>0</v>
      </c>
      <c r="K7176" s="115">
        <v>0</v>
      </c>
    </row>
    <row r="7177" spans="1:11" x14ac:dyDescent="0.25">
      <c r="B7177" s="115" t="s">
        <v>1241</v>
      </c>
      <c r="D7177" s="115" t="s">
        <v>13218</v>
      </c>
      <c r="E7177" s="115">
        <f>-1288 -10269 -11891 -12587 -15693</f>
        <v>-51728</v>
      </c>
      <c r="F7177" s="115">
        <v>-1343</v>
      </c>
      <c r="G7177" s="115">
        <v>-1288</v>
      </c>
      <c r="H7177" s="115">
        <v>-10269</v>
      </c>
      <c r="I7177" s="115">
        <v>-11891</v>
      </c>
      <c r="J7177" s="115">
        <v>-12587</v>
      </c>
      <c r="K7177" s="115">
        <v>-15693</v>
      </c>
    </row>
    <row r="7178" spans="1:11" x14ac:dyDescent="0.25">
      <c r="A7178" s="115">
        <v>-4</v>
      </c>
      <c r="B7178" s="115" t="s">
        <v>8129</v>
      </c>
      <c r="D7178" s="115" t="s">
        <v>13219</v>
      </c>
      <c r="E7178" s="115">
        <f>-8178  -7943  -6536  -7416 -10083</f>
        <v>-40156</v>
      </c>
      <c r="F7178" s="115">
        <v>-988</v>
      </c>
      <c r="G7178" s="115">
        <v>-8178</v>
      </c>
      <c r="H7178" s="115">
        <v>-7943</v>
      </c>
      <c r="I7178" s="115">
        <v>-6536</v>
      </c>
      <c r="J7178" s="115">
        <v>-7416</v>
      </c>
      <c r="K7178" s="115">
        <v>-10083</v>
      </c>
    </row>
    <row r="7179" spans="1:11" x14ac:dyDescent="0.25">
      <c r="B7179" s="115" t="s">
        <v>8130</v>
      </c>
      <c r="C7179" s="115">
        <v>-1</v>
      </c>
      <c r="D7179" s="115" t="s">
        <v>13220</v>
      </c>
      <c r="E7179" s="115" t="s">
        <v>8131</v>
      </c>
      <c r="F7179" s="115">
        <v>-16206</v>
      </c>
      <c r="G7179" s="115">
        <v>-12219</v>
      </c>
      <c r="H7179" s="115">
        <v>-13454</v>
      </c>
      <c r="I7179" s="115">
        <v>-18670</v>
      </c>
      <c r="J7179" s="115">
        <v>-17886</v>
      </c>
      <c r="K7179" s="115">
        <v>-11879</v>
      </c>
    </row>
    <row r="7180" spans="1:11" x14ac:dyDescent="0.25">
      <c r="A7180" s="115">
        <v>-17</v>
      </c>
      <c r="B7180" s="115" t="s">
        <v>8132</v>
      </c>
      <c r="C7180" s="115">
        <v>-1</v>
      </c>
      <c r="D7180" s="115" t="s">
        <v>13221</v>
      </c>
      <c r="E7180" s="115" t="s">
        <v>8133</v>
      </c>
      <c r="F7180" s="115">
        <v>-14615</v>
      </c>
      <c r="G7180" s="115">
        <v>-15327</v>
      </c>
      <c r="H7180" s="115">
        <v>-12302</v>
      </c>
      <c r="I7180" s="115">
        <v>-12784</v>
      </c>
      <c r="J7180" s="115">
        <v>-17856</v>
      </c>
      <c r="K7180" s="115">
        <v>-18778</v>
      </c>
    </row>
    <row r="7181" spans="1:11" x14ac:dyDescent="0.25">
      <c r="A7181" s="115">
        <v>-16</v>
      </c>
      <c r="B7181" s="115" t="s">
        <v>8134</v>
      </c>
      <c r="C7181" s="115">
        <v>-1</v>
      </c>
      <c r="D7181" s="115" t="s">
        <v>13222</v>
      </c>
      <c r="E7181" s="115" t="s">
        <v>8135</v>
      </c>
      <c r="F7181" s="115">
        <v>-13723</v>
      </c>
      <c r="G7181" s="115">
        <v>-11310</v>
      </c>
      <c r="H7181" s="115">
        <v>-15340</v>
      </c>
      <c r="I7181" s="115">
        <v>-9177</v>
      </c>
      <c r="J7181" s="115">
        <v>-9726</v>
      </c>
      <c r="K7181" s="115">
        <v>-10142</v>
      </c>
    </row>
    <row r="7182" spans="1:11" x14ac:dyDescent="0.25">
      <c r="A7182" s="115">
        <v>-8</v>
      </c>
      <c r="B7182" s="115" t="s">
        <v>8136</v>
      </c>
      <c r="C7182" s="115" t="s">
        <v>1239</v>
      </c>
      <c r="D7182" s="115" t="s">
        <v>13223</v>
      </c>
      <c r="E7182" s="115">
        <f>-7332  -8171  -6848  -8074  -6044</f>
        <v>-36469</v>
      </c>
      <c r="F7182" s="115">
        <v>-5864</v>
      </c>
      <c r="G7182" s="115">
        <v>-7332</v>
      </c>
      <c r="H7182" s="115">
        <v>-8171</v>
      </c>
      <c r="I7182" s="115">
        <v>-6848</v>
      </c>
      <c r="J7182" s="115">
        <v>-8074</v>
      </c>
      <c r="K7182" s="115">
        <v>-6044</v>
      </c>
    </row>
    <row r="7183" spans="1:11" x14ac:dyDescent="0.25">
      <c r="A7183" s="115">
        <v>-7</v>
      </c>
      <c r="B7183" s="115" t="s">
        <v>8137</v>
      </c>
      <c r="C7183" s="115">
        <v>5</v>
      </c>
      <c r="D7183" s="115" t="s">
        <v>13224</v>
      </c>
      <c r="E7183" s="115" t="s">
        <v>8138</v>
      </c>
      <c r="F7183" s="115">
        <v>54956</v>
      </c>
      <c r="G7183" s="115">
        <v>49041</v>
      </c>
      <c r="H7183" s="115">
        <v>25913</v>
      </c>
      <c r="I7183" s="115">
        <v>31608</v>
      </c>
      <c r="J7183" s="115">
        <v>25205</v>
      </c>
      <c r="K7183" s="115">
        <v>34351</v>
      </c>
    </row>
    <row r="7184" spans="1:11" x14ac:dyDescent="0.25">
      <c r="A7184" s="115">
        <v>37</v>
      </c>
      <c r="B7184" s="115" t="s">
        <v>8139</v>
      </c>
      <c r="C7184" s="115">
        <v>5</v>
      </c>
      <c r="D7184" s="115" t="s">
        <v>13225</v>
      </c>
      <c r="E7184" s="115" t="s">
        <v>8140</v>
      </c>
      <c r="F7184" s="115">
        <v>47746</v>
      </c>
      <c r="G7184" s="115">
        <v>54551</v>
      </c>
      <c r="H7184" s="115">
        <v>52498</v>
      </c>
      <c r="I7184" s="115">
        <v>53065</v>
      </c>
      <c r="J7184" s="115">
        <v>52627</v>
      </c>
      <c r="K7184" s="115">
        <v>52512</v>
      </c>
    </row>
    <row r="7185" spans="1:11" x14ac:dyDescent="0.25">
      <c r="A7185" s="115">
        <v>89</v>
      </c>
      <c r="B7185" s="115" t="s">
        <v>8141</v>
      </c>
      <c r="C7185" s="115">
        <v>8</v>
      </c>
      <c r="D7185" s="115" t="s">
        <v>13226</v>
      </c>
      <c r="E7185" s="115" t="s">
        <v>8142</v>
      </c>
      <c r="F7185" s="115">
        <v>91467</v>
      </c>
      <c r="G7185" s="115">
        <v>89543</v>
      </c>
      <c r="H7185" s="115">
        <v>910</v>
      </c>
      <c r="I7185" s="115">
        <v>-45795</v>
      </c>
      <c r="J7185" s="115">
        <v>-472</v>
      </c>
      <c r="K7185" s="115">
        <v>-104</v>
      </c>
    </row>
    <row r="7186" spans="1:11" x14ac:dyDescent="0.25">
      <c r="B7186" s="115" t="s">
        <v>8143</v>
      </c>
      <c r="D7186" s="115" t="s">
        <v>13227</v>
      </c>
      <c r="E7186" s="115" t="s">
        <v>8144</v>
      </c>
      <c r="F7186" s="115">
        <v>0</v>
      </c>
      <c r="G7186" s="115">
        <v>0</v>
      </c>
      <c r="H7186" s="115">
        <v>0</v>
      </c>
      <c r="I7186" s="115">
        <v>204</v>
      </c>
      <c r="J7186" s="115">
        <v>107</v>
      </c>
      <c r="K7186" s="115">
        <v>0</v>
      </c>
    </row>
    <row r="7187" spans="1:11" x14ac:dyDescent="0.25">
      <c r="B7187" s="115" t="s">
        <v>1241</v>
      </c>
      <c r="D7187" s="115" t="s">
        <v>13228</v>
      </c>
      <c r="E7187" s="115" t="s">
        <v>8145</v>
      </c>
      <c r="F7187" s="115">
        <v>0</v>
      </c>
      <c r="G7187" s="115">
        <v>-367</v>
      </c>
      <c r="H7187" s="115">
        <v>0</v>
      </c>
      <c r="I7187" s="115">
        <v>0</v>
      </c>
      <c r="J7187" s="115">
        <v>80</v>
      </c>
      <c r="K7187" s="115">
        <v>0</v>
      </c>
    </row>
    <row r="7188" spans="1:11" x14ac:dyDescent="0.25">
      <c r="A7188" s="115" t="s">
        <v>1239</v>
      </c>
      <c r="B7188" s="115" t="s">
        <v>4708</v>
      </c>
      <c r="D7188" s="115" t="s">
        <v>13229</v>
      </c>
      <c r="E7188" s="115" t="s">
        <v>8146</v>
      </c>
      <c r="F7188" s="115">
        <v>-100</v>
      </c>
      <c r="G7188" s="115">
        <v>0</v>
      </c>
      <c r="H7188" s="115">
        <v>755</v>
      </c>
      <c r="I7188" s="115">
        <v>-38557</v>
      </c>
      <c r="J7188" s="115">
        <v>-249</v>
      </c>
      <c r="K7188" s="115">
        <v>-274</v>
      </c>
    </row>
    <row r="7189" spans="1:11" x14ac:dyDescent="0.25">
      <c r="A7189" s="115" t="s">
        <v>1239</v>
      </c>
      <c r="B7189" s="115" t="s">
        <v>8147</v>
      </c>
      <c r="D7189" s="115" t="s">
        <v>13230</v>
      </c>
      <c r="E7189" s="115" t="s">
        <v>8148</v>
      </c>
      <c r="F7189" s="115">
        <v>0</v>
      </c>
      <c r="G7189" s="115">
        <v>0</v>
      </c>
      <c r="H7189" s="115">
        <v>0</v>
      </c>
      <c r="I7189" s="115">
        <v>0</v>
      </c>
      <c r="J7189" s="115">
        <v>0</v>
      </c>
      <c r="K7189" s="115">
        <v>229</v>
      </c>
    </row>
    <row r="7190" spans="1:11" x14ac:dyDescent="0.25">
      <c r="B7190" s="115" t="s">
        <v>1241</v>
      </c>
      <c r="D7190" s="115" t="s">
        <v>13231</v>
      </c>
      <c r="E7190" s="115" t="s">
        <v>8149</v>
      </c>
      <c r="F7190" s="115">
        <v>0</v>
      </c>
      <c r="G7190" s="115">
        <v>52</v>
      </c>
      <c r="H7190" s="115">
        <v>0</v>
      </c>
      <c r="I7190" s="115">
        <v>0</v>
      </c>
      <c r="J7190" s="115">
        <v>0</v>
      </c>
      <c r="K7190" s="115">
        <v>0</v>
      </c>
    </row>
    <row r="7191" spans="1:11" x14ac:dyDescent="0.25">
      <c r="B7191" s="115" t="s">
        <v>8150</v>
      </c>
      <c r="D7191" s="115" t="s">
        <v>13232</v>
      </c>
      <c r="E7191" s="115" t="s">
        <v>8151</v>
      </c>
      <c r="F7191" s="115">
        <v>31</v>
      </c>
      <c r="G7191" s="115">
        <v>0</v>
      </c>
      <c r="H7191" s="115">
        <v>0</v>
      </c>
      <c r="I7191" s="115">
        <v>-1548</v>
      </c>
      <c r="J7191" s="115">
        <v>-47502</v>
      </c>
      <c r="K7191" s="115">
        <v>0</v>
      </c>
    </row>
    <row r="7192" spans="1:11" x14ac:dyDescent="0.25">
      <c r="A7192" s="115" t="s">
        <v>1239</v>
      </c>
      <c r="B7192" s="115" t="s">
        <v>2429</v>
      </c>
      <c r="D7192" s="115" t="s">
        <v>13233</v>
      </c>
      <c r="E7192" s="115" t="s">
        <v>8152</v>
      </c>
      <c r="F7192" s="115">
        <v>0</v>
      </c>
      <c r="G7192" s="115">
        <v>-1401</v>
      </c>
      <c r="H7192" s="115">
        <v>-177</v>
      </c>
      <c r="I7192" s="115">
        <v>65</v>
      </c>
      <c r="J7192" s="115">
        <v>0</v>
      </c>
      <c r="K7192" s="115">
        <v>0</v>
      </c>
    </row>
    <row r="7193" spans="1:11" x14ac:dyDescent="0.25">
      <c r="B7193" s="115" t="s">
        <v>8153</v>
      </c>
      <c r="D7193" s="115" t="s">
        <v>13234</v>
      </c>
      <c r="E7193" s="115" t="s">
        <v>8154</v>
      </c>
      <c r="F7193" s="115">
        <v>-366</v>
      </c>
      <c r="G7193" s="115">
        <v>84</v>
      </c>
      <c r="H7193" s="115">
        <v>-235</v>
      </c>
      <c r="I7193" s="115">
        <v>369</v>
      </c>
      <c r="J7193" s="115">
        <v>282</v>
      </c>
      <c r="K7193" s="115">
        <v>-243</v>
      </c>
    </row>
    <row r="7194" spans="1:11" x14ac:dyDescent="0.25">
      <c r="B7194" s="115" t="s">
        <v>1241</v>
      </c>
      <c r="D7194" s="115" t="s">
        <v>13235</v>
      </c>
      <c r="E7194" s="115" t="s">
        <v>8155</v>
      </c>
      <c r="F7194" s="115">
        <v>0</v>
      </c>
      <c r="G7194" s="115">
        <v>115</v>
      </c>
      <c r="H7194" s="115">
        <v>0</v>
      </c>
      <c r="I7194" s="115">
        <v>1546</v>
      </c>
      <c r="J7194" s="115">
        <v>932</v>
      </c>
      <c r="K7194" s="115">
        <v>114</v>
      </c>
    </row>
    <row r="7195" spans="1:11" x14ac:dyDescent="0.25">
      <c r="B7195" s="115" t="s">
        <v>8156</v>
      </c>
      <c r="C7195" s="115">
        <v>-5</v>
      </c>
      <c r="D7195" s="115" t="s">
        <v>13236</v>
      </c>
      <c r="E7195" s="115" t="s">
        <v>8157</v>
      </c>
      <c r="F7195" s="115">
        <v>-313</v>
      </c>
      <c r="G7195" s="115">
        <v>-229</v>
      </c>
      <c r="H7195" s="115">
        <v>0</v>
      </c>
      <c r="I7195" s="115">
        <v>506</v>
      </c>
      <c r="J7195" s="115">
        <v>459</v>
      </c>
      <c r="K7195" s="115">
        <v>-1028</v>
      </c>
    </row>
    <row r="7196" spans="1:11" x14ac:dyDescent="0.25">
      <c r="B7196" s="115" t="s">
        <v>5340</v>
      </c>
      <c r="D7196" s="115" t="s">
        <v>13237</v>
      </c>
      <c r="E7196" s="115" t="s">
        <v>8158</v>
      </c>
      <c r="F7196" s="115">
        <v>0</v>
      </c>
      <c r="G7196" s="115">
        <v>0</v>
      </c>
      <c r="H7196" s="115">
        <v>0</v>
      </c>
      <c r="I7196" s="115">
        <v>-268</v>
      </c>
      <c r="J7196" s="115">
        <v>-511</v>
      </c>
      <c r="K7196" s="115">
        <v>0</v>
      </c>
    </row>
    <row r="7197" spans="1:11" x14ac:dyDescent="0.25">
      <c r="A7197" s="115" t="s">
        <v>1239</v>
      </c>
      <c r="B7197" s="115" t="s">
        <v>8159</v>
      </c>
      <c r="D7197" s="115" t="s">
        <v>13238</v>
      </c>
      <c r="E7197" s="115" t="s">
        <v>8160</v>
      </c>
      <c r="F7197" s="115">
        <v>0</v>
      </c>
      <c r="G7197" s="115">
        <v>0</v>
      </c>
      <c r="H7197" s="115">
        <v>0</v>
      </c>
      <c r="I7197" s="115">
        <v>0</v>
      </c>
      <c r="J7197" s="115">
        <v>0</v>
      </c>
      <c r="K7197" s="115">
        <v>-781</v>
      </c>
    </row>
    <row r="7198" spans="1:11" x14ac:dyDescent="0.25">
      <c r="B7198" s="115" t="s">
        <v>8161</v>
      </c>
      <c r="D7198" s="115" t="s">
        <v>13239</v>
      </c>
      <c r="E7198" s="115">
        <f>-1094 -54581   -176    -32   -139</f>
        <v>-56022</v>
      </c>
      <c r="F7198" s="115">
        <v>0</v>
      </c>
      <c r="G7198" s="115">
        <v>-1094</v>
      </c>
      <c r="H7198" s="115">
        <v>-54581</v>
      </c>
      <c r="I7198" s="115">
        <v>-176</v>
      </c>
      <c r="J7198" s="115">
        <v>-32</v>
      </c>
      <c r="K7198" s="115">
        <v>-139</v>
      </c>
    </row>
    <row r="7199" spans="1:11" x14ac:dyDescent="0.25">
      <c r="B7199" s="115" t="s">
        <v>8162</v>
      </c>
      <c r="D7199" s="115" t="s">
        <v>13240</v>
      </c>
      <c r="E7199" s="115" t="s">
        <v>8163</v>
      </c>
      <c r="F7199" s="115">
        <v>212</v>
      </c>
      <c r="G7199" s="115">
        <v>0</v>
      </c>
      <c r="H7199" s="115">
        <v>0</v>
      </c>
      <c r="I7199" s="115">
        <v>494</v>
      </c>
      <c r="J7199" s="115">
        <v>344</v>
      </c>
      <c r="K7199" s="115">
        <v>0</v>
      </c>
    </row>
    <row r="7200" spans="1:11" x14ac:dyDescent="0.25">
      <c r="B7200" s="115" t="s">
        <v>1554</v>
      </c>
      <c r="D7200" s="115" t="s">
        <v>13241</v>
      </c>
      <c r="E7200" s="115" t="s">
        <v>8164</v>
      </c>
      <c r="F7200" s="115">
        <v>0</v>
      </c>
      <c r="G7200" s="115">
        <v>246</v>
      </c>
      <c r="H7200" s="115">
        <v>84</v>
      </c>
      <c r="I7200" s="115">
        <v>110</v>
      </c>
      <c r="J7200" s="115">
        <v>0</v>
      </c>
      <c r="K7200" s="115">
        <v>0</v>
      </c>
    </row>
    <row r="7201" spans="1:11" x14ac:dyDescent="0.25">
      <c r="B7201" s="115" t="s">
        <v>1241</v>
      </c>
      <c r="D7201" s="115" t="s">
        <v>13242</v>
      </c>
      <c r="E7201" s="115" t="s">
        <v>8165</v>
      </c>
      <c r="F7201" s="115">
        <v>0</v>
      </c>
      <c r="G7201" s="115">
        <v>7967</v>
      </c>
      <c r="H7201" s="115">
        <v>758</v>
      </c>
      <c r="I7201" s="115">
        <v>125</v>
      </c>
      <c r="J7201" s="115">
        <v>0</v>
      </c>
      <c r="K7201" s="115">
        <v>-1766</v>
      </c>
    </row>
    <row r="7202" spans="1:11" x14ac:dyDescent="0.25">
      <c r="A7202" s="115">
        <v>-61</v>
      </c>
      <c r="B7202" s="115" t="s">
        <v>8166</v>
      </c>
      <c r="D7202" s="115" t="s">
        <v>13243</v>
      </c>
      <c r="E7202" s="115" t="s">
        <v>8167</v>
      </c>
      <c r="F7202" s="115">
        <v>0</v>
      </c>
      <c r="G7202" s="115">
        <v>2366</v>
      </c>
      <c r="H7202" s="115">
        <v>3445</v>
      </c>
      <c r="I7202" s="115">
        <v>1379</v>
      </c>
      <c r="J7202" s="115">
        <v>-1372</v>
      </c>
      <c r="K7202" s="115">
        <v>-1321</v>
      </c>
    </row>
    <row r="7203" spans="1:11" x14ac:dyDescent="0.25">
      <c r="B7203" s="115" t="s">
        <v>6066</v>
      </c>
      <c r="D7203" s="115" t="s">
        <v>13244</v>
      </c>
      <c r="E7203" s="115" t="s">
        <v>8168</v>
      </c>
      <c r="F7203" s="115">
        <v>-32</v>
      </c>
      <c r="G7203" s="115">
        <v>0</v>
      </c>
      <c r="H7203" s="115">
        <v>-1392</v>
      </c>
      <c r="I7203" s="115">
        <v>0</v>
      </c>
      <c r="J7203" s="115">
        <v>-1699</v>
      </c>
      <c r="K7203" s="115">
        <v>0</v>
      </c>
    </row>
    <row r="7204" spans="1:11" x14ac:dyDescent="0.25">
      <c r="B7204" s="115" t="s">
        <v>1241</v>
      </c>
      <c r="D7204" s="115" t="s">
        <v>13245</v>
      </c>
      <c r="E7204" s="115" t="s">
        <v>8169</v>
      </c>
      <c r="F7204" s="115">
        <v>0</v>
      </c>
      <c r="G7204" s="115">
        <v>0</v>
      </c>
      <c r="H7204" s="115">
        <v>0</v>
      </c>
      <c r="I7204" s="115">
        <v>-578</v>
      </c>
      <c r="J7204" s="115">
        <v>0</v>
      </c>
      <c r="K7204" s="115">
        <v>2288</v>
      </c>
    </row>
    <row r="7205" spans="1:11" x14ac:dyDescent="0.25">
      <c r="A7205" s="115">
        <v>-2</v>
      </c>
      <c r="B7205" s="115" t="s">
        <v>8170</v>
      </c>
      <c r="D7205" s="115" t="s">
        <v>13246</v>
      </c>
      <c r="E7205" s="115" t="s">
        <v>1242</v>
      </c>
      <c r="F7205" s="115">
        <v>-61461</v>
      </c>
      <c r="G7205" s="115">
        <v>0</v>
      </c>
      <c r="H7205" s="115">
        <v>0</v>
      </c>
      <c r="I7205" s="115">
        <v>0</v>
      </c>
      <c r="J7205" s="115">
        <v>0</v>
      </c>
      <c r="K7205" s="115">
        <v>0</v>
      </c>
    </row>
    <row r="7206" spans="1:11" x14ac:dyDescent="0.25">
      <c r="B7206" s="115" t="s">
        <v>8171</v>
      </c>
      <c r="D7206" s="115" t="s">
        <v>13247</v>
      </c>
      <c r="E7206" s="115" t="s">
        <v>8172</v>
      </c>
      <c r="F7206" s="115">
        <v>1237</v>
      </c>
      <c r="G7206" s="115">
        <v>4183</v>
      </c>
      <c r="H7206" s="115">
        <v>0</v>
      </c>
      <c r="I7206" s="115">
        <v>0</v>
      </c>
      <c r="J7206" s="115">
        <v>0</v>
      </c>
      <c r="K7206" s="115">
        <v>0</v>
      </c>
    </row>
    <row r="7207" spans="1:11" x14ac:dyDescent="0.25">
      <c r="A7207" s="115">
        <v>-3</v>
      </c>
      <c r="B7207" s="115" t="s">
        <v>2787</v>
      </c>
      <c r="C7207" s="115" t="s">
        <v>1239</v>
      </c>
      <c r="D7207" s="115" t="s">
        <v>13248</v>
      </c>
      <c r="E7207" s="115" t="s">
        <v>8173</v>
      </c>
      <c r="F7207" s="115">
        <v>0</v>
      </c>
      <c r="G7207" s="115">
        <v>1314</v>
      </c>
      <c r="H7207" s="115">
        <v>-780</v>
      </c>
      <c r="I7207" s="115">
        <v>0</v>
      </c>
      <c r="J7207" s="115">
        <v>0</v>
      </c>
      <c r="K7207" s="115">
        <v>0</v>
      </c>
    </row>
    <row r="7208" spans="1:11" x14ac:dyDescent="0.25">
      <c r="B7208" s="115" t="s">
        <v>8174</v>
      </c>
      <c r="D7208" s="115" t="s">
        <v>13249</v>
      </c>
      <c r="E7208" s="115" t="s">
        <v>8175</v>
      </c>
      <c r="F7208" s="115">
        <v>-614</v>
      </c>
      <c r="G7208" s="115">
        <v>1677</v>
      </c>
      <c r="H7208" s="115">
        <v>6352</v>
      </c>
      <c r="I7208" s="115">
        <v>1449</v>
      </c>
      <c r="J7208" s="115">
        <v>1444</v>
      </c>
      <c r="K7208" s="115">
        <v>1460</v>
      </c>
    </row>
    <row r="7209" spans="1:11" x14ac:dyDescent="0.25">
      <c r="B7209" s="115">
        <f>-20   -725</f>
        <v>-745</v>
      </c>
      <c r="D7209" s="115" t="s">
        <v>13250</v>
      </c>
      <c r="E7209" s="115" t="s">
        <v>1242</v>
      </c>
      <c r="F7209" s="115">
        <v>0</v>
      </c>
      <c r="G7209" s="115">
        <v>0</v>
      </c>
      <c r="H7209" s="115">
        <v>0</v>
      </c>
      <c r="I7209" s="115">
        <v>0</v>
      </c>
      <c r="J7209" s="115">
        <v>0</v>
      </c>
      <c r="K7209" s="115">
        <v>0</v>
      </c>
    </row>
    <row r="7210" spans="1:11" x14ac:dyDescent="0.25">
      <c r="B7210" s="115" t="s">
        <v>8176</v>
      </c>
      <c r="D7210" s="115" t="s">
        <v>13251</v>
      </c>
      <c r="E7210" s="115" t="s">
        <v>8177</v>
      </c>
      <c r="F7210" s="115">
        <v>1645</v>
      </c>
      <c r="G7210" s="115">
        <v>-685</v>
      </c>
      <c r="H7210" s="115">
        <v>0</v>
      </c>
      <c r="I7210" s="115">
        <v>0</v>
      </c>
      <c r="J7210" s="115">
        <v>693</v>
      </c>
      <c r="K7210" s="115">
        <v>0</v>
      </c>
    </row>
    <row r="7211" spans="1:11" x14ac:dyDescent="0.25">
      <c r="A7211" s="115" t="s">
        <v>1239</v>
      </c>
      <c r="B7211" s="115" t="s">
        <v>8178</v>
      </c>
      <c r="D7211" s="115" t="s">
        <v>13252</v>
      </c>
      <c r="E7211" s="115" t="s">
        <v>8179</v>
      </c>
      <c r="F7211" s="115">
        <v>0</v>
      </c>
      <c r="G7211" s="115">
        <v>0</v>
      </c>
      <c r="H7211" s="115">
        <v>-218</v>
      </c>
      <c r="I7211" s="115">
        <v>0</v>
      </c>
      <c r="J7211" s="115">
        <v>-1782</v>
      </c>
      <c r="K7211" s="115">
        <v>-3765</v>
      </c>
    </row>
    <row r="7212" spans="1:11" x14ac:dyDescent="0.25">
      <c r="B7212" s="115" t="s">
        <v>1241</v>
      </c>
      <c r="D7212" s="115" t="s">
        <v>8710</v>
      </c>
      <c r="E7212" s="115" t="s">
        <v>1242</v>
      </c>
      <c r="F7212" s="115">
        <v>0</v>
      </c>
      <c r="G7212" s="115">
        <v>0</v>
      </c>
      <c r="H7212" s="115">
        <v>0</v>
      </c>
      <c r="I7212" s="115">
        <v>0</v>
      </c>
      <c r="J7212" s="115">
        <v>0</v>
      </c>
      <c r="K7212" s="115">
        <v>0</v>
      </c>
    </row>
    <row r="7213" spans="1:11" x14ac:dyDescent="0.25">
      <c r="B7213" s="115" t="s">
        <v>1241</v>
      </c>
      <c r="D7213" s="115" t="s">
        <v>13253</v>
      </c>
      <c r="E7213" s="115" t="s">
        <v>6262</v>
      </c>
      <c r="F7213" s="115">
        <v>0</v>
      </c>
      <c r="G7213" s="115">
        <v>-895</v>
      </c>
      <c r="H7213" s="115">
        <v>0</v>
      </c>
      <c r="I7213" s="115">
        <v>0</v>
      </c>
      <c r="J7213" s="115">
        <v>0</v>
      </c>
      <c r="K7213" s="115">
        <v>0</v>
      </c>
    </row>
    <row r="7214" spans="1:11" x14ac:dyDescent="0.25">
      <c r="B7214" s="115" t="s">
        <v>8180</v>
      </c>
      <c r="C7214" s="115" t="s">
        <v>1239</v>
      </c>
      <c r="D7214" s="115" t="s">
        <v>13254</v>
      </c>
      <c r="E7214" s="115" t="s">
        <v>8181</v>
      </c>
      <c r="F7214" s="115">
        <v>-14565</v>
      </c>
      <c r="G7214" s="115">
        <v>-16992</v>
      </c>
      <c r="H7214" s="115">
        <v>-17332</v>
      </c>
      <c r="I7214" s="115">
        <v>-20765</v>
      </c>
      <c r="J7214" s="115">
        <v>-2572</v>
      </c>
      <c r="K7214" s="115">
        <v>-1118</v>
      </c>
    </row>
    <row r="7215" spans="1:11" x14ac:dyDescent="0.25">
      <c r="B7215" s="115" t="s">
        <v>8182</v>
      </c>
      <c r="C7215" s="115" t="s">
        <v>1239</v>
      </c>
      <c r="D7215" s="115" t="s">
        <v>13255</v>
      </c>
      <c r="E7215" s="115" t="s">
        <v>8183</v>
      </c>
      <c r="F7215" s="115">
        <v>-11751</v>
      </c>
      <c r="G7215" s="115">
        <v>-10334</v>
      </c>
      <c r="H7215" s="115">
        <v>-10884</v>
      </c>
      <c r="I7215" s="115">
        <v>-7316</v>
      </c>
      <c r="J7215" s="115">
        <v>0</v>
      </c>
      <c r="K7215" s="115">
        <v>-16619</v>
      </c>
    </row>
    <row r="7216" spans="1:11" x14ac:dyDescent="0.25">
      <c r="A7216" s="115">
        <v>-19</v>
      </c>
      <c r="B7216" s="115" t="s">
        <v>8184</v>
      </c>
      <c r="C7216" s="115">
        <v>-2</v>
      </c>
      <c r="D7216" s="115" t="s">
        <v>13256</v>
      </c>
      <c r="E7216" s="115" t="s">
        <v>8185</v>
      </c>
      <c r="F7216" s="115">
        <v>-16213</v>
      </c>
      <c r="G7216" s="115">
        <v>-22526</v>
      </c>
      <c r="H7216" s="115">
        <v>-22010</v>
      </c>
      <c r="I7216" s="115">
        <v>-14733</v>
      </c>
      <c r="J7216" s="115">
        <v>-21751</v>
      </c>
      <c r="K7216" s="115">
        <v>-16422</v>
      </c>
    </row>
    <row r="7217" spans="1:11" x14ac:dyDescent="0.25">
      <c r="A7217" s="115">
        <v>-19</v>
      </c>
      <c r="B7217" s="115" t="s">
        <v>8186</v>
      </c>
      <c r="C7217" s="115">
        <v>-1</v>
      </c>
      <c r="D7217" s="115" t="s">
        <v>13257</v>
      </c>
      <c r="E7217" s="115" t="s">
        <v>8187</v>
      </c>
      <c r="F7217" s="115">
        <v>-14981</v>
      </c>
      <c r="G7217" s="115">
        <v>-15442</v>
      </c>
      <c r="H7217" s="115">
        <v>-22000</v>
      </c>
      <c r="I7217" s="115">
        <v>-22443</v>
      </c>
      <c r="J7217" s="115">
        <v>-20821</v>
      </c>
      <c r="K7217" s="115">
        <v>-4572</v>
      </c>
    </row>
    <row r="7218" spans="1:11" x14ac:dyDescent="0.25">
      <c r="A7218" s="115">
        <v>-8</v>
      </c>
      <c r="B7218" s="115" t="s">
        <v>8188</v>
      </c>
      <c r="C7218" s="115" t="s">
        <v>1239</v>
      </c>
      <c r="D7218" s="115" t="s">
        <v>13258</v>
      </c>
      <c r="E7218" s="115">
        <f>-6158  -6608  -6859  -6555  -6799</f>
        <v>-32979</v>
      </c>
      <c r="F7218" s="115">
        <v>-11119</v>
      </c>
      <c r="G7218" s="115">
        <v>-6158</v>
      </c>
      <c r="H7218" s="115">
        <v>-6608</v>
      </c>
      <c r="I7218" s="115">
        <v>-6859</v>
      </c>
      <c r="J7218" s="115">
        <v>-6555</v>
      </c>
      <c r="K7218" s="115">
        <v>-6799</v>
      </c>
    </row>
    <row r="7219" spans="1:11" x14ac:dyDescent="0.25">
      <c r="A7219" s="115">
        <v>-5</v>
      </c>
      <c r="B7219" s="115" t="s">
        <v>8189</v>
      </c>
      <c r="C7219" s="115" t="s">
        <v>1239</v>
      </c>
      <c r="D7219" s="115" t="s">
        <v>13259</v>
      </c>
      <c r="E7219" s="115" t="s">
        <v>8190</v>
      </c>
      <c r="F7219" s="115">
        <v>-5360</v>
      </c>
      <c r="G7219" s="115">
        <v>-4475</v>
      </c>
      <c r="H7219" s="115">
        <v>-5239</v>
      </c>
      <c r="I7219" s="115">
        <v>-3866</v>
      </c>
      <c r="J7219" s="115">
        <v>-4872</v>
      </c>
      <c r="K7219" s="115">
        <v>46007</v>
      </c>
    </row>
    <row r="7220" spans="1:11" x14ac:dyDescent="0.25">
      <c r="A7220" s="115">
        <v>55</v>
      </c>
      <c r="B7220" s="115" t="s">
        <v>8191</v>
      </c>
      <c r="C7220" s="115">
        <v>5</v>
      </c>
      <c r="D7220" s="115" t="s">
        <v>13260</v>
      </c>
      <c r="E7220" s="115" t="s">
        <v>8192</v>
      </c>
      <c r="F7220" s="115">
        <v>25308</v>
      </c>
      <c r="G7220" s="115">
        <v>30640</v>
      </c>
      <c r="H7220" s="115">
        <v>24583</v>
      </c>
      <c r="I7220" s="115">
        <v>33528</v>
      </c>
      <c r="J7220" s="115">
        <v>36870</v>
      </c>
      <c r="K7220" s="115">
        <v>52633</v>
      </c>
    </row>
    <row r="7221" spans="1:11" x14ac:dyDescent="0.25">
      <c r="A7221" s="115">
        <v>52</v>
      </c>
      <c r="B7221" s="115" t="s">
        <v>8193</v>
      </c>
      <c r="C7221" s="115">
        <v>5</v>
      </c>
      <c r="D7221" s="115" t="s">
        <v>13261</v>
      </c>
      <c r="E7221" s="115" t="s">
        <v>8194</v>
      </c>
      <c r="F7221" s="115">
        <v>55605</v>
      </c>
      <c r="G7221" s="115">
        <v>56197</v>
      </c>
      <c r="H7221" s="115">
        <v>55633</v>
      </c>
      <c r="I7221" s="115">
        <v>55304</v>
      </c>
      <c r="J7221" s="115">
        <v>89067</v>
      </c>
      <c r="K7221" s="115">
        <v>90291</v>
      </c>
    </row>
    <row r="7222" spans="1:11" x14ac:dyDescent="0.25">
      <c r="A7222" s="115">
        <v>89</v>
      </c>
      <c r="B7222" s="115" t="s">
        <v>8195</v>
      </c>
      <c r="C7222" s="115">
        <v>9</v>
      </c>
      <c r="D7222" s="115" t="s">
        <v>13262</v>
      </c>
      <c r="E7222" s="115" t="s">
        <v>8196</v>
      </c>
      <c r="F7222" s="115">
        <v>93623</v>
      </c>
      <c r="G7222" s="115">
        <v>1982</v>
      </c>
      <c r="H7222" s="115">
        <v>-148</v>
      </c>
      <c r="I7222" s="115">
        <v>-1113</v>
      </c>
      <c r="J7222" s="115">
        <v>-1215</v>
      </c>
      <c r="K7222" s="115">
        <v>-1638</v>
      </c>
    </row>
    <row r="7223" spans="1:11" x14ac:dyDescent="0.25">
      <c r="B7223" s="115" t="s">
        <v>1241</v>
      </c>
      <c r="D7223" s="115" t="s">
        <v>13263</v>
      </c>
      <c r="E7223" s="115" t="s">
        <v>8197</v>
      </c>
      <c r="F7223" s="115">
        <v>0</v>
      </c>
      <c r="G7223" s="115">
        <v>0</v>
      </c>
      <c r="H7223" s="115">
        <v>394</v>
      </c>
      <c r="I7223" s="115">
        <v>-265</v>
      </c>
      <c r="J7223" s="115">
        <v>0</v>
      </c>
      <c r="K7223" s="115">
        <v>0</v>
      </c>
    </row>
    <row r="7224" spans="1:11" x14ac:dyDescent="0.25">
      <c r="B7224" s="115" t="s">
        <v>1241</v>
      </c>
      <c r="D7224" s="115" t="s">
        <v>13264</v>
      </c>
      <c r="E7224" s="115" t="s">
        <v>8198</v>
      </c>
      <c r="F7224" s="115">
        <v>-620</v>
      </c>
      <c r="G7224" s="115">
        <v>0</v>
      </c>
      <c r="H7224" s="115">
        <v>0</v>
      </c>
      <c r="I7224" s="115">
        <v>276</v>
      </c>
      <c r="J7224" s="115">
        <v>0</v>
      </c>
      <c r="K7224" s="115">
        <v>-231</v>
      </c>
    </row>
    <row r="7225" spans="1:11" x14ac:dyDescent="0.25">
      <c r="B7225" s="115" t="s">
        <v>4019</v>
      </c>
      <c r="C7225" s="115" t="s">
        <v>1239</v>
      </c>
      <c r="D7225" s="115" t="s">
        <v>13265</v>
      </c>
      <c r="E7225" s="115" t="s">
        <v>8199</v>
      </c>
      <c r="F7225" s="115">
        <v>0</v>
      </c>
      <c r="G7225" s="115">
        <v>894</v>
      </c>
      <c r="H7225" s="115">
        <v>271</v>
      </c>
      <c r="I7225" s="115">
        <v>-982</v>
      </c>
      <c r="J7225" s="115">
        <v>-2004</v>
      </c>
      <c r="K7225" s="115">
        <v>1169</v>
      </c>
    </row>
    <row r="7226" spans="1:11" x14ac:dyDescent="0.25">
      <c r="A7226" s="115">
        <v>1</v>
      </c>
      <c r="B7226" s="115" t="s">
        <v>8200</v>
      </c>
      <c r="D7226" s="115" t="s">
        <v>13266</v>
      </c>
      <c r="E7226" s="115" t="s">
        <v>3554</v>
      </c>
      <c r="F7226" s="115">
        <v>0</v>
      </c>
      <c r="G7226" s="115">
        <v>0</v>
      </c>
      <c r="H7226" s="115">
        <v>0</v>
      </c>
      <c r="I7226" s="115">
        <v>0</v>
      </c>
      <c r="J7226" s="115">
        <v>65</v>
      </c>
      <c r="K7226" s="115">
        <v>0</v>
      </c>
    </row>
    <row r="7227" spans="1:11" x14ac:dyDescent="0.25">
      <c r="B7227" s="115" t="s">
        <v>1241</v>
      </c>
      <c r="D7227" s="115" t="s">
        <v>13267</v>
      </c>
      <c r="E7227" s="115" t="s">
        <v>1242</v>
      </c>
      <c r="F7227" s="115">
        <v>58</v>
      </c>
      <c r="G7227" s="115">
        <v>0</v>
      </c>
      <c r="H7227" s="115">
        <v>0</v>
      </c>
      <c r="I7227" s="115">
        <v>0</v>
      </c>
      <c r="J7227" s="115">
        <v>0</v>
      </c>
      <c r="K7227" s="115">
        <v>0</v>
      </c>
    </row>
    <row r="7228" spans="1:11" x14ac:dyDescent="0.25">
      <c r="A7228" s="115" t="s">
        <v>1239</v>
      </c>
      <c r="B7228" s="115" t="s">
        <v>3384</v>
      </c>
      <c r="D7228" s="115" t="s">
        <v>13268</v>
      </c>
      <c r="E7228" s="115" t="s">
        <v>8201</v>
      </c>
      <c r="F7228" s="115">
        <v>0</v>
      </c>
      <c r="G7228" s="115">
        <v>0</v>
      </c>
      <c r="H7228" s="115">
        <v>-21201</v>
      </c>
      <c r="I7228" s="115">
        <v>-2107</v>
      </c>
      <c r="J7228" s="115">
        <v>0</v>
      </c>
      <c r="K7228" s="115">
        <v>2295</v>
      </c>
    </row>
    <row r="7229" spans="1:11" x14ac:dyDescent="0.25">
      <c r="B7229" s="115" t="s">
        <v>1241</v>
      </c>
      <c r="D7229" s="115" t="s">
        <v>13269</v>
      </c>
      <c r="E7229" s="115" t="s">
        <v>8202</v>
      </c>
      <c r="F7229" s="115">
        <v>-10176</v>
      </c>
      <c r="G7229" s="115">
        <v>4066</v>
      </c>
      <c r="H7229" s="115">
        <v>2674</v>
      </c>
      <c r="I7229" s="115">
        <v>0</v>
      </c>
      <c r="J7229" s="115">
        <v>0</v>
      </c>
      <c r="K7229" s="115">
        <v>-2027</v>
      </c>
    </row>
    <row r="7230" spans="1:11" x14ac:dyDescent="0.25">
      <c r="B7230" s="115" t="s">
        <v>1437</v>
      </c>
      <c r="D7230" s="115" t="s">
        <v>13270</v>
      </c>
      <c r="E7230" s="115" t="s">
        <v>8203</v>
      </c>
      <c r="F7230" s="115">
        <v>93</v>
      </c>
      <c r="G7230" s="115">
        <v>1149</v>
      </c>
      <c r="H7230" s="115">
        <v>1516</v>
      </c>
      <c r="I7230" s="115">
        <v>401</v>
      </c>
      <c r="J7230" s="115">
        <v>1879</v>
      </c>
      <c r="K7230" s="115">
        <v>0</v>
      </c>
    </row>
    <row r="7231" spans="1:11" x14ac:dyDescent="0.25">
      <c r="B7231" s="115" t="s">
        <v>1241</v>
      </c>
      <c r="D7231" s="115" t="s">
        <v>13271</v>
      </c>
      <c r="E7231" s="115" t="s">
        <v>8204</v>
      </c>
      <c r="F7231" s="115">
        <v>23958</v>
      </c>
      <c r="G7231" s="115">
        <v>0</v>
      </c>
      <c r="H7231" s="115">
        <v>2217</v>
      </c>
      <c r="I7231" s="115">
        <v>2069</v>
      </c>
      <c r="J7231" s="115">
        <v>-90</v>
      </c>
      <c r="K7231" s="115">
        <v>0</v>
      </c>
    </row>
    <row r="7232" spans="1:11" x14ac:dyDescent="0.25">
      <c r="A7232" s="115">
        <v>5</v>
      </c>
      <c r="B7232" s="115" t="s">
        <v>8205</v>
      </c>
      <c r="D7232" s="115" t="s">
        <v>13272</v>
      </c>
      <c r="E7232" s="115" t="s">
        <v>8206</v>
      </c>
      <c r="F7232" s="115">
        <v>229</v>
      </c>
      <c r="G7232" s="115">
        <v>0</v>
      </c>
      <c r="H7232" s="115">
        <v>-2479</v>
      </c>
      <c r="I7232" s="115">
        <v>2860</v>
      </c>
      <c r="J7232" s="115">
        <v>-1405</v>
      </c>
      <c r="K7232" s="115">
        <v>-26</v>
      </c>
    </row>
    <row r="7233" spans="1:11" x14ac:dyDescent="0.25">
      <c r="B7233" s="115" t="s">
        <v>8207</v>
      </c>
      <c r="C7233" s="115">
        <v>-4</v>
      </c>
      <c r="D7233" s="115" t="s">
        <v>13273</v>
      </c>
      <c r="E7233" s="115" t="s">
        <v>8208</v>
      </c>
      <c r="F7233" s="115">
        <v>0</v>
      </c>
      <c r="G7233" s="115">
        <v>0</v>
      </c>
      <c r="H7233" s="115">
        <v>-159</v>
      </c>
      <c r="I7233" s="115">
        <v>-139</v>
      </c>
      <c r="J7233" s="115">
        <v>0</v>
      </c>
      <c r="K7233" s="115">
        <v>-234</v>
      </c>
    </row>
    <row r="7234" spans="1:11" x14ac:dyDescent="0.25">
      <c r="A7234" s="115">
        <v>-1</v>
      </c>
      <c r="B7234" s="115" t="s">
        <v>8209</v>
      </c>
      <c r="D7234" s="115" t="s">
        <v>13274</v>
      </c>
      <c r="E7234" s="115" t="s">
        <v>8210</v>
      </c>
      <c r="F7234" s="115">
        <v>0</v>
      </c>
      <c r="G7234" s="115">
        <v>0</v>
      </c>
      <c r="H7234" s="115">
        <v>0</v>
      </c>
      <c r="I7234" s="115">
        <v>0</v>
      </c>
      <c r="J7234" s="115">
        <v>1293</v>
      </c>
      <c r="K7234" s="115">
        <v>0</v>
      </c>
    </row>
    <row r="7235" spans="1:11" x14ac:dyDescent="0.25">
      <c r="A7235" s="115">
        <v>5</v>
      </c>
      <c r="B7235" s="115" t="s">
        <v>8211</v>
      </c>
      <c r="D7235" s="115" t="s">
        <v>13275</v>
      </c>
      <c r="E7235" s="115" t="s">
        <v>8212</v>
      </c>
      <c r="F7235" s="115">
        <v>6278</v>
      </c>
      <c r="G7235" s="115">
        <v>232</v>
      </c>
      <c r="H7235" s="115">
        <v>-545</v>
      </c>
      <c r="I7235" s="115">
        <v>-260</v>
      </c>
      <c r="J7235" s="115">
        <v>186</v>
      </c>
      <c r="K7235" s="115">
        <v>-1211</v>
      </c>
    </row>
    <row r="7236" spans="1:11" x14ac:dyDescent="0.25">
      <c r="A7236" s="115">
        <v>-2</v>
      </c>
      <c r="B7236" s="115" t="s">
        <v>8213</v>
      </c>
      <c r="D7236" s="115" t="s">
        <v>13276</v>
      </c>
      <c r="E7236" s="115" t="s">
        <v>8214</v>
      </c>
      <c r="F7236" s="115">
        <v>0</v>
      </c>
      <c r="G7236" s="115">
        <v>0</v>
      </c>
      <c r="H7236" s="115">
        <v>-37974</v>
      </c>
      <c r="I7236" s="115">
        <v>-302</v>
      </c>
      <c r="J7236" s="115">
        <v>0</v>
      </c>
      <c r="K7236" s="115">
        <v>163</v>
      </c>
    </row>
    <row r="7237" spans="1:11" x14ac:dyDescent="0.25">
      <c r="B7237" s="115" t="s">
        <v>1241</v>
      </c>
      <c r="D7237" s="115" t="s">
        <v>13277</v>
      </c>
      <c r="E7237" s="115" t="s">
        <v>8215</v>
      </c>
      <c r="F7237" s="115">
        <v>-247</v>
      </c>
      <c r="G7237" s="115">
        <v>29</v>
      </c>
      <c r="H7237" s="115">
        <v>-314</v>
      </c>
      <c r="I7237" s="115">
        <v>0</v>
      </c>
      <c r="J7237" s="115">
        <v>0</v>
      </c>
      <c r="K7237" s="115">
        <v>0</v>
      </c>
    </row>
    <row r="7238" spans="1:11" x14ac:dyDescent="0.25">
      <c r="B7238" s="115" t="s">
        <v>1241</v>
      </c>
      <c r="D7238" s="115" t="s">
        <v>13278</v>
      </c>
      <c r="E7238" s="115" t="s">
        <v>8216</v>
      </c>
      <c r="F7238" s="115">
        <v>5444</v>
      </c>
      <c r="G7238" s="115">
        <v>535</v>
      </c>
      <c r="H7238" s="115">
        <v>-154</v>
      </c>
      <c r="I7238" s="115">
        <v>0</v>
      </c>
      <c r="J7238" s="115">
        <v>5847</v>
      </c>
      <c r="K7238" s="115">
        <v>2635</v>
      </c>
    </row>
    <row r="7239" spans="1:11" x14ac:dyDescent="0.25">
      <c r="B7239" s="115" t="s">
        <v>8217</v>
      </c>
      <c r="D7239" s="115" t="s">
        <v>13279</v>
      </c>
      <c r="E7239" s="115" t="s">
        <v>8218</v>
      </c>
      <c r="F7239" s="115">
        <v>-921</v>
      </c>
      <c r="G7239" s="115">
        <v>2430</v>
      </c>
      <c r="H7239" s="115">
        <v>-777</v>
      </c>
      <c r="I7239" s="115">
        <v>-373</v>
      </c>
      <c r="J7239" s="115">
        <v>-566</v>
      </c>
      <c r="K7239" s="115">
        <v>0</v>
      </c>
    </row>
    <row r="7240" spans="1:11" x14ac:dyDescent="0.25">
      <c r="A7240" s="115">
        <v>-22</v>
      </c>
      <c r="B7240" s="115" t="s">
        <v>5109</v>
      </c>
      <c r="D7240" s="115" t="s">
        <v>13280</v>
      </c>
      <c r="E7240" s="115" t="s">
        <v>8219</v>
      </c>
      <c r="F7240" s="115">
        <v>0</v>
      </c>
      <c r="G7240" s="115">
        <v>-156</v>
      </c>
      <c r="H7240" s="115">
        <v>0</v>
      </c>
      <c r="I7240" s="115">
        <v>-263</v>
      </c>
      <c r="J7240" s="115">
        <v>0</v>
      </c>
      <c r="K7240" s="115">
        <v>0</v>
      </c>
    </row>
    <row r="7241" spans="1:11" x14ac:dyDescent="0.25">
      <c r="B7241" s="115" t="s">
        <v>1241</v>
      </c>
      <c r="D7241" s="115" t="s">
        <v>13281</v>
      </c>
      <c r="E7241" s="115" t="s">
        <v>8220</v>
      </c>
      <c r="F7241" s="115">
        <v>0</v>
      </c>
      <c r="G7241" s="115">
        <v>0</v>
      </c>
      <c r="H7241" s="115">
        <v>744</v>
      </c>
      <c r="I7241" s="115">
        <v>0</v>
      </c>
      <c r="J7241" s="115">
        <v>1709</v>
      </c>
      <c r="K7241" s="115">
        <v>393</v>
      </c>
    </row>
    <row r="7242" spans="1:11" x14ac:dyDescent="0.25">
      <c r="A7242" s="115" t="s">
        <v>1239</v>
      </c>
      <c r="B7242" s="115" t="s">
        <v>2402</v>
      </c>
      <c r="D7242" s="115" t="s">
        <v>13282</v>
      </c>
      <c r="E7242" s="115" t="s">
        <v>8221</v>
      </c>
      <c r="F7242" s="115">
        <v>0</v>
      </c>
      <c r="G7242" s="115">
        <v>0</v>
      </c>
      <c r="H7242" s="115">
        <v>0</v>
      </c>
      <c r="I7242" s="115">
        <v>0</v>
      </c>
      <c r="J7242" s="115">
        <v>0</v>
      </c>
      <c r="K7242" s="115">
        <v>8673</v>
      </c>
    </row>
    <row r="7243" spans="1:11" x14ac:dyDescent="0.25">
      <c r="A7243" s="115">
        <v>1</v>
      </c>
      <c r="B7243" s="115" t="s">
        <v>8222</v>
      </c>
      <c r="D7243" s="115" t="s">
        <v>13283</v>
      </c>
      <c r="E7243" s="115" t="s">
        <v>8223</v>
      </c>
      <c r="F7243" s="115">
        <v>-38212</v>
      </c>
      <c r="G7243" s="115">
        <v>0</v>
      </c>
      <c r="H7243" s="115">
        <v>0</v>
      </c>
      <c r="I7243" s="115">
        <v>0</v>
      </c>
      <c r="J7243" s="115">
        <v>0</v>
      </c>
      <c r="K7243" s="115">
        <v>2346</v>
      </c>
    </row>
    <row r="7244" spans="1:11" x14ac:dyDescent="0.25">
      <c r="B7244" s="115" t="s">
        <v>8224</v>
      </c>
      <c r="D7244" s="115" t="s">
        <v>13284</v>
      </c>
      <c r="E7244" s="115" t="s">
        <v>8225</v>
      </c>
      <c r="F7244" s="115">
        <v>2787</v>
      </c>
      <c r="G7244" s="115">
        <v>234</v>
      </c>
      <c r="H7244" s="115">
        <v>0</v>
      </c>
      <c r="I7244" s="115">
        <v>0</v>
      </c>
      <c r="J7244" s="115">
        <v>0</v>
      </c>
      <c r="K7244" s="115">
        <v>0</v>
      </c>
    </row>
    <row r="7245" spans="1:11" x14ac:dyDescent="0.25">
      <c r="A7245" s="115">
        <v>4</v>
      </c>
      <c r="B7245" s="115" t="s">
        <v>5979</v>
      </c>
      <c r="D7245" s="115" t="s">
        <v>13285</v>
      </c>
      <c r="E7245" s="115" t="s">
        <v>8226</v>
      </c>
      <c r="F7245" s="115">
        <v>3549</v>
      </c>
      <c r="G7245" s="115">
        <v>5196</v>
      </c>
      <c r="H7245" s="115">
        <v>3496</v>
      </c>
      <c r="I7245" s="115">
        <v>3003</v>
      </c>
      <c r="J7245" s="115">
        <v>2544</v>
      </c>
      <c r="K7245" s="115">
        <v>3699</v>
      </c>
    </row>
    <row r="7246" spans="1:11" x14ac:dyDescent="0.25">
      <c r="A7246" s="115">
        <v>9</v>
      </c>
      <c r="B7246" s="115" t="s">
        <v>8227</v>
      </c>
      <c r="D7246" s="115" t="s">
        <v>13286</v>
      </c>
      <c r="E7246" s="115" t="s">
        <v>8228</v>
      </c>
      <c r="F7246" s="115">
        <v>0</v>
      </c>
      <c r="G7246" s="115">
        <v>0</v>
      </c>
      <c r="H7246" s="115">
        <v>0</v>
      </c>
      <c r="I7246" s="115">
        <v>0</v>
      </c>
      <c r="J7246" s="115">
        <v>0</v>
      </c>
      <c r="K7246" s="115">
        <v>29</v>
      </c>
    </row>
    <row r="7247" spans="1:11" x14ac:dyDescent="0.25">
      <c r="B7247" s="115" t="s">
        <v>8229</v>
      </c>
      <c r="D7247" s="115" t="s">
        <v>13287</v>
      </c>
      <c r="E7247" s="115" t="s">
        <v>8230</v>
      </c>
      <c r="F7247" s="115">
        <v>2481</v>
      </c>
      <c r="G7247" s="115">
        <v>0</v>
      </c>
      <c r="H7247" s="115">
        <v>0</v>
      </c>
      <c r="I7247" s="115">
        <v>1525</v>
      </c>
      <c r="J7247" s="115">
        <v>0</v>
      </c>
      <c r="K7247" s="115">
        <v>4254</v>
      </c>
    </row>
    <row r="7248" spans="1:11" x14ac:dyDescent="0.25">
      <c r="A7248" s="115">
        <v>-3</v>
      </c>
      <c r="B7248" s="115" t="s">
        <v>8231</v>
      </c>
      <c r="D7248" s="115" t="s">
        <v>13288</v>
      </c>
      <c r="E7248" s="115" t="s">
        <v>8232</v>
      </c>
      <c r="F7248" s="115">
        <v>0</v>
      </c>
      <c r="G7248" s="115">
        <v>-590</v>
      </c>
      <c r="H7248" s="115">
        <v>0</v>
      </c>
      <c r="I7248" s="115">
        <v>-757</v>
      </c>
      <c r="J7248" s="115">
        <v>-3938</v>
      </c>
      <c r="K7248" s="115">
        <v>0</v>
      </c>
    </row>
    <row r="7249" spans="1:11" x14ac:dyDescent="0.25">
      <c r="B7249" s="115" t="s">
        <v>1241</v>
      </c>
      <c r="D7249" s="115" t="s">
        <v>8710</v>
      </c>
      <c r="E7249" s="115" t="s">
        <v>1242</v>
      </c>
      <c r="F7249" s="115">
        <v>0</v>
      </c>
      <c r="G7249" s="115">
        <v>0</v>
      </c>
      <c r="H7249" s="115">
        <v>0</v>
      </c>
      <c r="I7249" s="115">
        <v>0</v>
      </c>
      <c r="J7249" s="115">
        <v>0</v>
      </c>
      <c r="K7249" s="115">
        <v>0</v>
      </c>
    </row>
    <row r="7250" spans="1:11" x14ac:dyDescent="0.25">
      <c r="B7250" s="115" t="s">
        <v>1241</v>
      </c>
      <c r="D7250" s="115" t="s">
        <v>13289</v>
      </c>
      <c r="E7250" s="115" t="s">
        <v>1242</v>
      </c>
      <c r="F7250" s="115">
        <v>82</v>
      </c>
      <c r="G7250" s="115">
        <v>0</v>
      </c>
      <c r="H7250" s="115">
        <v>0</v>
      </c>
      <c r="I7250" s="115">
        <v>0</v>
      </c>
      <c r="J7250" s="115">
        <v>0</v>
      </c>
      <c r="K7250" s="115">
        <v>0</v>
      </c>
    </row>
    <row r="7251" spans="1:11" x14ac:dyDescent="0.25">
      <c r="A7251" s="115" t="s">
        <v>1239</v>
      </c>
      <c r="B7251" s="115" t="s">
        <v>8233</v>
      </c>
      <c r="D7251" s="115" t="s">
        <v>13290</v>
      </c>
      <c r="E7251" s="115" t="s">
        <v>8234</v>
      </c>
      <c r="F7251" s="115">
        <v>3556</v>
      </c>
      <c r="G7251" s="115">
        <v>3392</v>
      </c>
      <c r="H7251" s="115">
        <v>3119</v>
      </c>
      <c r="I7251" s="115">
        <v>932</v>
      </c>
      <c r="J7251" s="115">
        <v>166</v>
      </c>
      <c r="K7251" s="115">
        <v>1162</v>
      </c>
    </row>
    <row r="7252" spans="1:11" x14ac:dyDescent="0.25">
      <c r="B7252" s="115" t="s">
        <v>8235</v>
      </c>
      <c r="D7252" s="115" t="s">
        <v>13291</v>
      </c>
      <c r="E7252" s="115" t="s">
        <v>8236</v>
      </c>
      <c r="F7252" s="115">
        <v>3150</v>
      </c>
      <c r="G7252" s="115">
        <v>2256</v>
      </c>
      <c r="H7252" s="115">
        <v>334</v>
      </c>
      <c r="I7252" s="115">
        <v>0</v>
      </c>
      <c r="J7252" s="115">
        <v>2753</v>
      </c>
      <c r="K7252" s="115">
        <v>2457</v>
      </c>
    </row>
    <row r="7253" spans="1:11" x14ac:dyDescent="0.25">
      <c r="A7253" s="115">
        <v>2</v>
      </c>
      <c r="B7253" s="115" t="s">
        <v>8237</v>
      </c>
      <c r="D7253" s="115" t="s">
        <v>13292</v>
      </c>
      <c r="E7253" s="115" t="s">
        <v>8238</v>
      </c>
      <c r="F7253" s="115">
        <v>3034</v>
      </c>
      <c r="G7253" s="115">
        <v>2641</v>
      </c>
      <c r="H7253" s="115">
        <v>2027</v>
      </c>
      <c r="I7253" s="115">
        <v>2923</v>
      </c>
      <c r="J7253" s="115">
        <v>-15060</v>
      </c>
      <c r="K7253" s="115">
        <v>2390</v>
      </c>
    </row>
    <row r="7254" spans="1:11" x14ac:dyDescent="0.25">
      <c r="A7254" s="115">
        <v>1</v>
      </c>
      <c r="B7254" s="115" t="s">
        <v>8239</v>
      </c>
      <c r="D7254" s="115" t="s">
        <v>13293</v>
      </c>
      <c r="E7254" s="115" t="s">
        <v>8240</v>
      </c>
      <c r="F7254" s="115">
        <v>1297</v>
      </c>
      <c r="G7254" s="115">
        <v>3191</v>
      </c>
      <c r="H7254" s="115">
        <v>3029</v>
      </c>
      <c r="I7254" s="115">
        <v>1572</v>
      </c>
      <c r="J7254" s="115">
        <v>-1471</v>
      </c>
      <c r="K7254" s="115">
        <v>34</v>
      </c>
    </row>
    <row r="7255" spans="1:11" x14ac:dyDescent="0.25">
      <c r="A7255" s="115">
        <v>-1</v>
      </c>
      <c r="B7255" s="115" t="s">
        <v>8241</v>
      </c>
      <c r="C7255" s="115" t="s">
        <v>1239</v>
      </c>
      <c r="D7255" s="115" t="s">
        <v>13294</v>
      </c>
      <c r="E7255" s="115" t="s">
        <v>8242</v>
      </c>
      <c r="F7255" s="115">
        <v>-5360</v>
      </c>
      <c r="G7255" s="115">
        <v>332</v>
      </c>
      <c r="H7255" s="115">
        <v>-153</v>
      </c>
      <c r="I7255" s="115">
        <v>-198</v>
      </c>
      <c r="J7255" s="115">
        <v>-1099</v>
      </c>
      <c r="K7255" s="115">
        <v>-1396</v>
      </c>
    </row>
    <row r="7256" spans="1:11" x14ac:dyDescent="0.25">
      <c r="A7256" s="115">
        <v>-1</v>
      </c>
      <c r="B7256" s="115" t="s">
        <v>8243</v>
      </c>
      <c r="C7256" s="115" t="s">
        <v>1239</v>
      </c>
      <c r="D7256" s="115" t="s">
        <v>13295</v>
      </c>
      <c r="E7256" s="115" t="s">
        <v>8244</v>
      </c>
      <c r="F7256" s="115">
        <v>-1053</v>
      </c>
      <c r="G7256" s="115">
        <v>-703</v>
      </c>
      <c r="H7256" s="115">
        <v>-748</v>
      </c>
      <c r="I7256" s="115">
        <v>-617</v>
      </c>
      <c r="J7256" s="115">
        <v>48</v>
      </c>
      <c r="K7256" s="115">
        <v>239</v>
      </c>
    </row>
    <row r="7257" spans="1:11" x14ac:dyDescent="0.25">
      <c r="B7257" s="115" t="s">
        <v>8245</v>
      </c>
      <c r="D7257" s="115" t="s">
        <v>13296</v>
      </c>
      <c r="E7257" s="115" t="s">
        <v>8246</v>
      </c>
      <c r="F7257" s="115">
        <v>381</v>
      </c>
      <c r="G7257" s="115">
        <v>263</v>
      </c>
      <c r="H7257" s="115">
        <v>193</v>
      </c>
      <c r="I7257" s="115">
        <v>955</v>
      </c>
      <c r="J7257" s="115">
        <v>-455</v>
      </c>
      <c r="K7257" s="115">
        <v>-417</v>
      </c>
    </row>
    <row r="7258" spans="1:11" x14ac:dyDescent="0.25">
      <c r="A7258" s="115" t="s">
        <v>1239</v>
      </c>
      <c r="B7258" s="115" t="s">
        <v>8247</v>
      </c>
      <c r="D7258" s="115" t="s">
        <v>13297</v>
      </c>
      <c r="E7258" s="115" t="s">
        <v>8248</v>
      </c>
      <c r="F7258" s="115">
        <v>491</v>
      </c>
      <c r="G7258" s="115">
        <v>377</v>
      </c>
      <c r="H7258" s="115">
        <v>465</v>
      </c>
      <c r="I7258" s="115">
        <v>-178</v>
      </c>
      <c r="J7258" s="115">
        <v>-130</v>
      </c>
      <c r="K7258" s="115">
        <v>-122</v>
      </c>
    </row>
    <row r="7259" spans="1:11" x14ac:dyDescent="0.25">
      <c r="A7259" s="115">
        <v>-1</v>
      </c>
      <c r="B7259" s="115" t="s">
        <v>8249</v>
      </c>
      <c r="C7259" s="115" t="s">
        <v>1239</v>
      </c>
      <c r="D7259" s="115" t="s">
        <v>13298</v>
      </c>
      <c r="E7259" s="115" t="s">
        <v>8250</v>
      </c>
      <c r="F7259" s="115">
        <v>-1866</v>
      </c>
      <c r="G7259" s="115">
        <v>-5418</v>
      </c>
      <c r="H7259" s="115">
        <v>-778</v>
      </c>
      <c r="I7259" s="115">
        <v>-950</v>
      </c>
      <c r="J7259" s="115">
        <v>1214</v>
      </c>
      <c r="K7259" s="115">
        <v>927</v>
      </c>
    </row>
    <row r="7260" spans="1:11" x14ac:dyDescent="0.25">
      <c r="B7260" s="115" t="s">
        <v>1241</v>
      </c>
      <c r="D7260" s="115" t="s">
        <v>13299</v>
      </c>
      <c r="E7260" s="115" t="s">
        <v>8251</v>
      </c>
      <c r="F7260" s="115">
        <v>0</v>
      </c>
      <c r="G7260" s="115">
        <v>0</v>
      </c>
      <c r="H7260" s="115">
        <v>-205</v>
      </c>
      <c r="I7260" s="115">
        <v>-59</v>
      </c>
      <c r="J7260" s="115">
        <v>0</v>
      </c>
      <c r="K7260" s="115">
        <v>0</v>
      </c>
    </row>
    <row r="7261" spans="1:11" x14ac:dyDescent="0.25">
      <c r="B7261" s="115" t="s">
        <v>1241</v>
      </c>
      <c r="D7261" s="115" t="s">
        <v>13300</v>
      </c>
      <c r="E7261" s="115" t="s">
        <v>8252</v>
      </c>
      <c r="F7261" s="115">
        <v>30011</v>
      </c>
      <c r="G7261" s="115">
        <v>0</v>
      </c>
      <c r="H7261" s="115">
        <v>0</v>
      </c>
      <c r="I7261" s="115">
        <v>129</v>
      </c>
      <c r="J7261" s="115">
        <v>0</v>
      </c>
      <c r="K7261" s="115">
        <v>95</v>
      </c>
    </row>
    <row r="7262" spans="1:11" x14ac:dyDescent="0.25">
      <c r="B7262" s="115" t="s">
        <v>8253</v>
      </c>
      <c r="D7262" s="115" t="s">
        <v>13301</v>
      </c>
      <c r="E7262" s="115" t="s">
        <v>8254</v>
      </c>
      <c r="F7262" s="115">
        <v>0</v>
      </c>
      <c r="G7262" s="115">
        <v>-213</v>
      </c>
      <c r="H7262" s="115">
        <v>180</v>
      </c>
      <c r="I7262" s="115">
        <v>-78</v>
      </c>
      <c r="J7262" s="115">
        <v>-638</v>
      </c>
      <c r="K7262" s="115">
        <v>-156</v>
      </c>
    </row>
    <row r="7263" spans="1:11" x14ac:dyDescent="0.25">
      <c r="A7263" s="115">
        <v>-1</v>
      </c>
      <c r="B7263" s="115" t="s">
        <v>3707</v>
      </c>
      <c r="D7263" s="115" t="s">
        <v>13302</v>
      </c>
      <c r="E7263" s="115" t="s">
        <v>8255</v>
      </c>
      <c r="F7263" s="115">
        <v>0</v>
      </c>
      <c r="G7263" s="115">
        <v>0</v>
      </c>
      <c r="H7263" s="115">
        <v>0</v>
      </c>
      <c r="I7263" s="115">
        <v>0</v>
      </c>
      <c r="J7263" s="115">
        <v>-55</v>
      </c>
      <c r="K7263" s="115">
        <v>0</v>
      </c>
    </row>
    <row r="7264" spans="1:11" x14ac:dyDescent="0.25">
      <c r="B7264" s="115" t="s">
        <v>1241</v>
      </c>
      <c r="C7264" s="115" t="s">
        <v>1239</v>
      </c>
      <c r="D7264" s="115" t="s">
        <v>13303</v>
      </c>
      <c r="E7264" s="115" t="s">
        <v>1242</v>
      </c>
      <c r="F7264" s="115">
        <v>369</v>
      </c>
      <c r="G7264" s="115">
        <v>0</v>
      </c>
      <c r="H7264" s="115">
        <v>0</v>
      </c>
      <c r="I7264" s="115">
        <v>0</v>
      </c>
      <c r="J7264" s="115">
        <v>0</v>
      </c>
      <c r="K7264" s="115">
        <v>0</v>
      </c>
    </row>
    <row r="7265" spans="1:11" x14ac:dyDescent="0.25">
      <c r="A7265" s="115" t="s">
        <v>1239</v>
      </c>
      <c r="B7265" s="115" t="s">
        <v>4535</v>
      </c>
      <c r="D7265" s="115" t="s">
        <v>13304</v>
      </c>
      <c r="E7265" s="115" t="s">
        <v>8256</v>
      </c>
      <c r="F7265" s="115">
        <v>0</v>
      </c>
      <c r="G7265" s="115">
        <v>0</v>
      </c>
      <c r="H7265" s="115">
        <v>-1403</v>
      </c>
      <c r="I7265" s="115">
        <v>-132</v>
      </c>
      <c r="J7265" s="115">
        <v>0</v>
      </c>
      <c r="K7265" s="115">
        <v>2261</v>
      </c>
    </row>
    <row r="7266" spans="1:11" x14ac:dyDescent="0.25">
      <c r="B7266" s="115" t="s">
        <v>1241</v>
      </c>
      <c r="D7266" s="115" t="s">
        <v>13305</v>
      </c>
      <c r="E7266" s="115" t="s">
        <v>8257</v>
      </c>
      <c r="F7266" s="115">
        <v>597</v>
      </c>
      <c r="G7266" s="115">
        <v>675</v>
      </c>
      <c r="H7266" s="115">
        <v>-443</v>
      </c>
      <c r="I7266" s="115">
        <v>0</v>
      </c>
      <c r="J7266" s="115">
        <v>0</v>
      </c>
      <c r="K7266" s="115">
        <v>479</v>
      </c>
    </row>
    <row r="7267" spans="1:11" x14ac:dyDescent="0.25">
      <c r="A7267" s="115" t="s">
        <v>1239</v>
      </c>
      <c r="B7267" s="115" t="s">
        <v>8258</v>
      </c>
      <c r="D7267" s="115" t="s">
        <v>13306</v>
      </c>
      <c r="E7267" s="115" t="s">
        <v>8259</v>
      </c>
      <c r="F7267" s="115">
        <v>-256</v>
      </c>
      <c r="G7267" s="115">
        <v>-1073</v>
      </c>
      <c r="H7267" s="115">
        <v>-133</v>
      </c>
      <c r="I7267" s="115">
        <v>144</v>
      </c>
      <c r="J7267" s="115">
        <v>542</v>
      </c>
      <c r="K7267" s="115">
        <v>0</v>
      </c>
    </row>
    <row r="7268" spans="1:11" x14ac:dyDescent="0.25">
      <c r="B7268" s="115" t="s">
        <v>1241</v>
      </c>
      <c r="D7268" s="115" t="s">
        <v>13307</v>
      </c>
      <c r="E7268" s="115" t="s">
        <v>8260</v>
      </c>
      <c r="F7268" s="115">
        <v>289</v>
      </c>
      <c r="G7268" s="115">
        <v>0</v>
      </c>
      <c r="H7268" s="115">
        <v>28</v>
      </c>
      <c r="I7268" s="115">
        <v>-770</v>
      </c>
      <c r="J7268" s="115">
        <v>718</v>
      </c>
      <c r="K7268" s="115">
        <v>0</v>
      </c>
    </row>
    <row r="7269" spans="1:11" x14ac:dyDescent="0.25">
      <c r="A7269" s="115">
        <v>-1</v>
      </c>
      <c r="B7269" s="115" t="s">
        <v>8261</v>
      </c>
      <c r="C7269" s="115" t="s">
        <v>1239</v>
      </c>
      <c r="D7269" s="115" t="s">
        <v>13308</v>
      </c>
      <c r="E7269" s="115" t="s">
        <v>8262</v>
      </c>
      <c r="F7269" s="115">
        <v>7890</v>
      </c>
      <c r="G7269" s="115">
        <v>0</v>
      </c>
      <c r="H7269" s="115">
        <v>1949</v>
      </c>
      <c r="I7269" s="115">
        <v>2942</v>
      </c>
      <c r="J7269" s="115">
        <v>3066</v>
      </c>
      <c r="K7269" s="115">
        <v>284</v>
      </c>
    </row>
    <row r="7270" spans="1:11" x14ac:dyDescent="0.25">
      <c r="B7270" s="115" t="s">
        <v>4666</v>
      </c>
      <c r="D7270" s="115" t="s">
        <v>13309</v>
      </c>
      <c r="E7270" s="115" t="s">
        <v>8263</v>
      </c>
      <c r="F7270" s="115">
        <v>0</v>
      </c>
      <c r="G7270" s="115">
        <v>0</v>
      </c>
      <c r="H7270" s="115">
        <v>-160</v>
      </c>
      <c r="I7270" s="115">
        <v>203</v>
      </c>
      <c r="J7270" s="115">
        <v>0</v>
      </c>
      <c r="K7270" s="115">
        <v>-278</v>
      </c>
    </row>
    <row r="7271" spans="1:11" x14ac:dyDescent="0.25">
      <c r="A7271" s="115">
        <v>1</v>
      </c>
      <c r="B7271" s="115" t="s">
        <v>8264</v>
      </c>
      <c r="D7271" s="115" t="s">
        <v>13310</v>
      </c>
      <c r="E7271" s="115" t="s">
        <v>7388</v>
      </c>
      <c r="F7271" s="115">
        <v>0</v>
      </c>
      <c r="G7271" s="115">
        <v>0</v>
      </c>
      <c r="H7271" s="115">
        <v>0</v>
      </c>
      <c r="I7271" s="115">
        <v>0</v>
      </c>
      <c r="J7271" s="115">
        <v>13</v>
      </c>
      <c r="K7271" s="115">
        <v>0</v>
      </c>
    </row>
    <row r="7272" spans="1:11" x14ac:dyDescent="0.25">
      <c r="B7272" s="115" t="s">
        <v>8265</v>
      </c>
      <c r="D7272" s="115" t="s">
        <v>13311</v>
      </c>
      <c r="E7272" s="115" t="s">
        <v>8266</v>
      </c>
      <c r="F7272" s="115">
        <v>-670</v>
      </c>
      <c r="G7272" s="115">
        <v>-672</v>
      </c>
      <c r="H7272" s="115">
        <v>-2058</v>
      </c>
      <c r="I7272" s="115">
        <v>7157</v>
      </c>
      <c r="J7272" s="115">
        <v>6967</v>
      </c>
      <c r="K7272" s="115">
        <v>1676</v>
      </c>
    </row>
    <row r="7273" spans="1:11" x14ac:dyDescent="0.25">
      <c r="A7273" s="115">
        <v>1</v>
      </c>
      <c r="B7273" s="115" t="s">
        <v>8267</v>
      </c>
      <c r="D7273" s="115" t="s">
        <v>13312</v>
      </c>
      <c r="E7273" s="115" t="s">
        <v>8268</v>
      </c>
      <c r="F7273" s="115">
        <v>0</v>
      </c>
      <c r="G7273" s="115">
        <v>0</v>
      </c>
      <c r="H7273" s="115">
        <v>657</v>
      </c>
      <c r="I7273" s="115">
        <v>394</v>
      </c>
      <c r="J7273" s="115">
        <v>0</v>
      </c>
      <c r="K7273" s="115">
        <v>165</v>
      </c>
    </row>
    <row r="7274" spans="1:11" x14ac:dyDescent="0.25">
      <c r="B7274" s="115" t="s">
        <v>1241</v>
      </c>
      <c r="D7274" s="115" t="s">
        <v>13313</v>
      </c>
      <c r="E7274" s="115" t="s">
        <v>8269</v>
      </c>
      <c r="F7274" s="115">
        <v>68</v>
      </c>
      <c r="G7274" s="115">
        <v>70</v>
      </c>
      <c r="H7274" s="115">
        <v>-775</v>
      </c>
      <c r="I7274" s="115">
        <v>0</v>
      </c>
      <c r="J7274" s="115">
        <v>0</v>
      </c>
      <c r="K7274" s="115">
        <v>0</v>
      </c>
    </row>
    <row r="7275" spans="1:11" x14ac:dyDescent="0.25">
      <c r="B7275" s="115" t="s">
        <v>1241</v>
      </c>
      <c r="D7275" s="115" t="s">
        <v>13314</v>
      </c>
      <c r="E7275" s="115" t="s">
        <v>8270</v>
      </c>
      <c r="F7275" s="115">
        <v>-508</v>
      </c>
      <c r="G7275" s="115">
        <v>-273</v>
      </c>
      <c r="H7275" s="115">
        <v>1137</v>
      </c>
      <c r="I7275" s="115">
        <v>0</v>
      </c>
      <c r="J7275" s="115">
        <v>-581</v>
      </c>
      <c r="K7275" s="115">
        <v>-184</v>
      </c>
    </row>
    <row r="7276" spans="1:11" x14ac:dyDescent="0.25">
      <c r="A7276" s="115">
        <v>-1</v>
      </c>
      <c r="B7276" s="115" t="s">
        <v>8271</v>
      </c>
      <c r="D7276" s="115" t="s">
        <v>13315</v>
      </c>
      <c r="E7276" s="115" t="s">
        <v>8272</v>
      </c>
      <c r="F7276" s="115">
        <v>246</v>
      </c>
      <c r="G7276" s="115">
        <v>348</v>
      </c>
      <c r="H7276" s="115">
        <v>31</v>
      </c>
      <c r="I7276" s="115">
        <v>527</v>
      </c>
      <c r="J7276" s="115">
        <v>197</v>
      </c>
      <c r="K7276" s="115">
        <v>0</v>
      </c>
    </row>
    <row r="7277" spans="1:11" x14ac:dyDescent="0.25">
      <c r="B7277" s="115" t="s">
        <v>8273</v>
      </c>
      <c r="D7277" s="115" t="s">
        <v>13316</v>
      </c>
      <c r="E7277" s="115" t="s">
        <v>8274</v>
      </c>
      <c r="F7277" s="115">
        <v>0</v>
      </c>
      <c r="G7277" s="115">
        <v>128</v>
      </c>
      <c r="H7277" s="115">
        <v>0</v>
      </c>
      <c r="I7277" s="115">
        <v>-484</v>
      </c>
      <c r="J7277" s="115">
        <v>0</v>
      </c>
      <c r="K7277" s="115">
        <v>0</v>
      </c>
    </row>
    <row r="7278" spans="1:11" x14ac:dyDescent="0.25">
      <c r="B7278" s="115" t="s">
        <v>1241</v>
      </c>
      <c r="D7278" s="115" t="s">
        <v>13317</v>
      </c>
      <c r="E7278" s="115" t="s">
        <v>8275</v>
      </c>
      <c r="F7278" s="115">
        <v>0</v>
      </c>
      <c r="G7278" s="115">
        <v>0</v>
      </c>
      <c r="H7278" s="115">
        <v>49</v>
      </c>
      <c r="I7278" s="115">
        <v>0</v>
      </c>
      <c r="J7278" s="115">
        <v>-123</v>
      </c>
      <c r="K7278" s="115">
        <v>-164</v>
      </c>
    </row>
    <row r="7279" spans="1:11" x14ac:dyDescent="0.25">
      <c r="B7279" s="115" t="s">
        <v>8276</v>
      </c>
      <c r="D7279" s="115" t="s">
        <v>13318</v>
      </c>
      <c r="E7279" s="115" t="s">
        <v>2504</v>
      </c>
      <c r="F7279" s="115">
        <v>0</v>
      </c>
      <c r="G7279" s="115">
        <v>0</v>
      </c>
      <c r="H7279" s="115">
        <v>0</v>
      </c>
      <c r="I7279" s="115">
        <v>0</v>
      </c>
      <c r="J7279" s="115">
        <v>0</v>
      </c>
      <c r="K7279" s="115">
        <v>-533</v>
      </c>
    </row>
    <row r="7280" spans="1:11" x14ac:dyDescent="0.25">
      <c r="A7280" s="115" t="s">
        <v>1239</v>
      </c>
      <c r="B7280" s="115" t="s">
        <v>8277</v>
      </c>
      <c r="D7280" s="115" t="s">
        <v>13319</v>
      </c>
      <c r="E7280" s="115" t="s">
        <v>8278</v>
      </c>
      <c r="F7280" s="115">
        <v>748</v>
      </c>
      <c r="G7280" s="115">
        <v>0</v>
      </c>
      <c r="H7280" s="115">
        <v>0</v>
      </c>
      <c r="I7280" s="115">
        <v>0</v>
      </c>
      <c r="J7280" s="115">
        <v>0</v>
      </c>
      <c r="K7280" s="115">
        <v>-182</v>
      </c>
    </row>
    <row r="7281" spans="1:11" x14ac:dyDescent="0.25">
      <c r="B7281" s="115" t="s">
        <v>2479</v>
      </c>
      <c r="D7281" s="115" t="s">
        <v>13320</v>
      </c>
      <c r="E7281" s="115" t="s">
        <v>8279</v>
      </c>
      <c r="F7281" s="115">
        <v>11</v>
      </c>
      <c r="G7281" s="115">
        <v>-12368</v>
      </c>
      <c r="H7281" s="115">
        <v>0</v>
      </c>
      <c r="I7281" s="115">
        <v>0</v>
      </c>
      <c r="J7281" s="115">
        <v>0</v>
      </c>
      <c r="K7281" s="115">
        <v>0</v>
      </c>
    </row>
    <row r="7282" spans="1:11" x14ac:dyDescent="0.25">
      <c r="A7282" s="115" t="s">
        <v>1239</v>
      </c>
      <c r="B7282" s="115" t="s">
        <v>4101</v>
      </c>
      <c r="D7282" s="115" t="s">
        <v>13321</v>
      </c>
      <c r="E7282" s="115" t="s">
        <v>8280</v>
      </c>
      <c r="F7282" s="115">
        <v>12</v>
      </c>
      <c r="G7282" s="115">
        <v>-1047</v>
      </c>
      <c r="H7282" s="115">
        <v>3125</v>
      </c>
      <c r="I7282" s="115">
        <v>-12268</v>
      </c>
      <c r="J7282" s="115">
        <v>-11310</v>
      </c>
      <c r="K7282" s="115">
        <v>-2633</v>
      </c>
    </row>
    <row r="7283" spans="1:11" x14ac:dyDescent="0.25">
      <c r="A7283" s="115">
        <v>-1</v>
      </c>
      <c r="B7283" s="115" t="s">
        <v>8281</v>
      </c>
      <c r="D7283" s="115" t="s">
        <v>13322</v>
      </c>
      <c r="E7283" s="115" t="s">
        <v>8282</v>
      </c>
      <c r="F7283" s="115">
        <v>0</v>
      </c>
      <c r="G7283" s="115">
        <v>0</v>
      </c>
      <c r="H7283" s="115">
        <v>0</v>
      </c>
      <c r="I7283" s="115">
        <v>0</v>
      </c>
      <c r="J7283" s="115">
        <v>0</v>
      </c>
      <c r="K7283" s="115">
        <v>593</v>
      </c>
    </row>
    <row r="7284" spans="1:11" x14ac:dyDescent="0.25">
      <c r="B7284" s="115" t="s">
        <v>8283</v>
      </c>
      <c r="D7284" s="115" t="s">
        <v>13323</v>
      </c>
      <c r="E7284" s="115" t="s">
        <v>8284</v>
      </c>
      <c r="F7284" s="115">
        <v>489</v>
      </c>
      <c r="G7284" s="115">
        <v>0</v>
      </c>
      <c r="H7284" s="115">
        <v>0</v>
      </c>
      <c r="I7284" s="115">
        <v>-47588</v>
      </c>
      <c r="J7284" s="115">
        <v>0</v>
      </c>
      <c r="K7284" s="115">
        <v>-1586</v>
      </c>
    </row>
    <row r="7285" spans="1:11" x14ac:dyDescent="0.25">
      <c r="A7285" s="115">
        <v>9</v>
      </c>
      <c r="B7285" s="115" t="s">
        <v>8285</v>
      </c>
      <c r="D7285" s="115" t="s">
        <v>13324</v>
      </c>
      <c r="E7285" s="115" t="s">
        <v>8286</v>
      </c>
      <c r="F7285" s="115">
        <v>0</v>
      </c>
      <c r="G7285" s="115">
        <v>-1235</v>
      </c>
      <c r="H7285" s="115">
        <v>0</v>
      </c>
      <c r="I7285" s="115">
        <v>-534</v>
      </c>
      <c r="J7285" s="115">
        <v>-239</v>
      </c>
      <c r="K7285" s="115">
        <v>0</v>
      </c>
    </row>
    <row r="7286" spans="1:11" x14ac:dyDescent="0.25">
      <c r="B7286" s="115" t="s">
        <v>1241</v>
      </c>
      <c r="D7286" s="115" t="s">
        <v>8710</v>
      </c>
      <c r="E7286" s="115" t="s">
        <v>1242</v>
      </c>
      <c r="F7286" s="115">
        <v>0</v>
      </c>
      <c r="G7286" s="115">
        <v>0</v>
      </c>
      <c r="H7286" s="115">
        <v>0</v>
      </c>
      <c r="I7286" s="115">
        <v>0</v>
      </c>
      <c r="J7286" s="115">
        <v>0</v>
      </c>
      <c r="K7286" s="115">
        <v>0</v>
      </c>
    </row>
    <row r="7287" spans="1:11" x14ac:dyDescent="0.25">
      <c r="B7287" s="115" t="s">
        <v>1241</v>
      </c>
      <c r="D7287" s="115" t="s">
        <v>13325</v>
      </c>
      <c r="E7287" s="115" t="s">
        <v>1242</v>
      </c>
      <c r="F7287" s="115">
        <v>4125</v>
      </c>
      <c r="G7287" s="115">
        <v>0</v>
      </c>
      <c r="H7287" s="115">
        <v>0</v>
      </c>
      <c r="I7287" s="115">
        <v>0</v>
      </c>
      <c r="J7287" s="115">
        <v>0</v>
      </c>
      <c r="K7287" s="115">
        <v>0</v>
      </c>
    </row>
    <row r="7288" spans="1:11" x14ac:dyDescent="0.25">
      <c r="A7288" s="115">
        <v>-1</v>
      </c>
      <c r="B7288" s="115" t="s">
        <v>8287</v>
      </c>
      <c r="D7288" s="115" t="s">
        <v>13326</v>
      </c>
      <c r="E7288" s="115" t="s">
        <v>8288</v>
      </c>
      <c r="F7288" s="115">
        <v>5199</v>
      </c>
      <c r="G7288" s="115">
        <v>4190</v>
      </c>
      <c r="H7288" s="115">
        <v>1139</v>
      </c>
      <c r="I7288" s="115">
        <v>4022</v>
      </c>
      <c r="J7288" s="115">
        <v>-6004</v>
      </c>
      <c r="K7288" s="115">
        <v>109</v>
      </c>
    </row>
    <row r="7289" spans="1:11" x14ac:dyDescent="0.25">
      <c r="B7289" s="115" t="s">
        <v>8289</v>
      </c>
      <c r="D7289" s="115" t="s">
        <v>13327</v>
      </c>
      <c r="E7289" s="115" t="s">
        <v>8290</v>
      </c>
      <c r="F7289" s="115">
        <v>1259</v>
      </c>
      <c r="G7289" s="115">
        <v>457</v>
      </c>
      <c r="H7289" s="115">
        <v>-1565</v>
      </c>
      <c r="I7289" s="115">
        <v>0</v>
      </c>
      <c r="J7289" s="115">
        <v>858</v>
      </c>
      <c r="K7289" s="115">
        <v>1388</v>
      </c>
    </row>
    <row r="7290" spans="1:11" x14ac:dyDescent="0.25">
      <c r="A7290" s="115">
        <v>1</v>
      </c>
      <c r="B7290" s="115" t="s">
        <v>8291</v>
      </c>
      <c r="D7290" s="115" t="s">
        <v>13328</v>
      </c>
      <c r="E7290" s="115" t="s">
        <v>8292</v>
      </c>
      <c r="F7290" s="115">
        <v>256</v>
      </c>
      <c r="G7290" s="115">
        <v>685</v>
      </c>
      <c r="H7290" s="115">
        <v>266</v>
      </c>
      <c r="I7290" s="115">
        <v>345</v>
      </c>
      <c r="J7290" s="115">
        <v>3323</v>
      </c>
      <c r="K7290" s="115">
        <v>646</v>
      </c>
    </row>
    <row r="7291" spans="1:11" x14ac:dyDescent="0.25">
      <c r="B7291" s="115" t="s">
        <v>8293</v>
      </c>
      <c r="D7291" s="115" t="s">
        <v>13329</v>
      </c>
      <c r="E7291" s="115" t="s">
        <v>8294</v>
      </c>
      <c r="F7291" s="115">
        <v>-76</v>
      </c>
      <c r="G7291" s="115">
        <v>-100</v>
      </c>
      <c r="H7291" s="115">
        <v>-59</v>
      </c>
      <c r="I7291" s="115">
        <v>356</v>
      </c>
      <c r="J7291" s="115">
        <v>-3340</v>
      </c>
      <c r="K7291" s="115">
        <v>-3421</v>
      </c>
    </row>
    <row r="7292" spans="1:11" x14ac:dyDescent="0.25">
      <c r="A7292" s="115">
        <v>-1</v>
      </c>
      <c r="B7292" s="115" t="s">
        <v>8295</v>
      </c>
      <c r="C7292" s="115" t="s">
        <v>1239</v>
      </c>
      <c r="D7292" s="115" t="s">
        <v>13330</v>
      </c>
      <c r="E7292" s="115" t="s">
        <v>8296</v>
      </c>
      <c r="F7292" s="115">
        <v>53</v>
      </c>
      <c r="G7292" s="115">
        <v>-104</v>
      </c>
      <c r="H7292" s="115">
        <v>-487</v>
      </c>
      <c r="I7292" s="115">
        <v>-901</v>
      </c>
      <c r="J7292" s="115">
        <v>-2103</v>
      </c>
      <c r="K7292" s="115">
        <v>1976</v>
      </c>
    </row>
    <row r="7293" spans="1:11" x14ac:dyDescent="0.25">
      <c r="A7293" s="115">
        <v>1</v>
      </c>
      <c r="B7293" s="115" t="s">
        <v>8297</v>
      </c>
      <c r="D7293" s="115" t="s">
        <v>13331</v>
      </c>
      <c r="E7293" s="115" t="s">
        <v>8298</v>
      </c>
      <c r="F7293" s="115">
        <v>1455</v>
      </c>
      <c r="G7293" s="115">
        <v>420</v>
      </c>
      <c r="H7293" s="115">
        <v>1177</v>
      </c>
      <c r="I7293" s="115">
        <v>435</v>
      </c>
      <c r="J7293" s="115">
        <v>-121</v>
      </c>
      <c r="K7293" s="115">
        <v>117</v>
      </c>
    </row>
    <row r="7294" spans="1:11" x14ac:dyDescent="0.25">
      <c r="B7294" s="127">
        <v>42445</v>
      </c>
      <c r="D7294" s="115">
        <f>-122    -68   -355   -327   -161   -213   -254   -235</f>
        <v>-1735</v>
      </c>
      <c r="E7294" s="115">
        <f>-327   -161   -213   -254   -235</f>
        <v>-1190</v>
      </c>
      <c r="F7294" s="115">
        <v>-355</v>
      </c>
      <c r="G7294" s="115">
        <v>-327</v>
      </c>
      <c r="H7294" s="115">
        <v>-161</v>
      </c>
      <c r="I7294" s="115">
        <v>-213</v>
      </c>
      <c r="J7294" s="115">
        <v>-254</v>
      </c>
      <c r="K7294" s="115">
        <v>-235</v>
      </c>
    </row>
    <row r="7295" spans="1:11" x14ac:dyDescent="0.25">
      <c r="A7295" s="115" t="s">
        <v>1239</v>
      </c>
      <c r="B7295" s="115" t="s">
        <v>8299</v>
      </c>
      <c r="D7295" s="115" t="s">
        <v>13332</v>
      </c>
      <c r="E7295" s="115" t="s">
        <v>8300</v>
      </c>
      <c r="F7295" s="115">
        <v>33</v>
      </c>
      <c r="G7295" s="115">
        <v>-124</v>
      </c>
      <c r="H7295" s="115">
        <v>88</v>
      </c>
      <c r="I7295" s="115">
        <v>355</v>
      </c>
      <c r="J7295" s="115">
        <v>171</v>
      </c>
      <c r="K7295" s="115">
        <v>124</v>
      </c>
    </row>
    <row r="7296" spans="1:11" x14ac:dyDescent="0.25">
      <c r="B7296" s="115" t="s">
        <v>8301</v>
      </c>
      <c r="D7296" s="115" t="s">
        <v>13333</v>
      </c>
      <c r="E7296" s="115" t="s">
        <v>8302</v>
      </c>
      <c r="F7296" s="115">
        <v>106</v>
      </c>
      <c r="G7296" s="115">
        <v>-1358</v>
      </c>
      <c r="H7296" s="115">
        <v>-94</v>
      </c>
      <c r="I7296" s="115">
        <v>-257</v>
      </c>
      <c r="J7296" s="115">
        <v>-584</v>
      </c>
      <c r="K7296" s="115">
        <v>445</v>
      </c>
    </row>
    <row r="7297" spans="1:11" x14ac:dyDescent="0.25">
      <c r="A7297" s="115" t="s">
        <v>1239</v>
      </c>
      <c r="B7297" s="115" t="s">
        <v>2509</v>
      </c>
      <c r="D7297" s="115" t="s">
        <v>13334</v>
      </c>
      <c r="E7297" s="115" t="s">
        <v>8303</v>
      </c>
      <c r="F7297" s="115">
        <v>0</v>
      </c>
      <c r="G7297" s="115">
        <v>0</v>
      </c>
      <c r="H7297" s="115">
        <v>0</v>
      </c>
      <c r="I7297" s="115">
        <v>139</v>
      </c>
      <c r="J7297" s="115">
        <v>-156</v>
      </c>
      <c r="K7297" s="115">
        <v>0</v>
      </c>
    </row>
    <row r="7298" spans="1:11" x14ac:dyDescent="0.25">
      <c r="B7298" s="115" t="s">
        <v>1241</v>
      </c>
      <c r="D7298" s="115" t="s">
        <v>13335</v>
      </c>
      <c r="E7298" s="115" t="s">
        <v>8304</v>
      </c>
      <c r="F7298" s="115">
        <v>0</v>
      </c>
      <c r="G7298" s="115">
        <v>52</v>
      </c>
      <c r="H7298" s="115">
        <v>0</v>
      </c>
      <c r="I7298" s="115">
        <v>0</v>
      </c>
      <c r="J7298" s="115">
        <v>-47</v>
      </c>
      <c r="K7298" s="115">
        <v>0</v>
      </c>
    </row>
    <row r="7299" spans="1:11" x14ac:dyDescent="0.25">
      <c r="B7299" s="115" t="s">
        <v>2643</v>
      </c>
      <c r="D7299" s="115" t="s">
        <v>13336</v>
      </c>
      <c r="E7299" s="115" t="s">
        <v>8305</v>
      </c>
      <c r="F7299" s="115">
        <v>-509</v>
      </c>
      <c r="G7299" s="115">
        <v>0</v>
      </c>
      <c r="H7299" s="115">
        <v>-265</v>
      </c>
      <c r="I7299" s="115">
        <v>-236</v>
      </c>
      <c r="J7299" s="115">
        <v>274</v>
      </c>
      <c r="K7299" s="115">
        <v>-304</v>
      </c>
    </row>
    <row r="7300" spans="1:11" x14ac:dyDescent="0.25">
      <c r="A7300" s="115">
        <v>-1</v>
      </c>
      <c r="B7300" s="115" t="s">
        <v>8306</v>
      </c>
      <c r="D7300" s="115" t="s">
        <v>13337</v>
      </c>
      <c r="E7300" s="115" t="s">
        <v>8307</v>
      </c>
      <c r="F7300" s="115">
        <v>0</v>
      </c>
      <c r="G7300" s="115">
        <v>0</v>
      </c>
      <c r="H7300" s="115">
        <v>0</v>
      </c>
      <c r="I7300" s="115">
        <v>0</v>
      </c>
      <c r="J7300" s="115">
        <v>0</v>
      </c>
      <c r="K7300" s="115">
        <v>48</v>
      </c>
    </row>
    <row r="7301" spans="1:11" x14ac:dyDescent="0.25">
      <c r="B7301" s="115" t="s">
        <v>1241</v>
      </c>
      <c r="D7301" s="115" t="s">
        <v>13338</v>
      </c>
      <c r="E7301" s="115" t="s">
        <v>8308</v>
      </c>
      <c r="F7301" s="115">
        <v>0</v>
      </c>
      <c r="G7301" s="115">
        <v>166</v>
      </c>
      <c r="H7301" s="115">
        <v>0</v>
      </c>
      <c r="I7301" s="115">
        <v>0</v>
      </c>
      <c r="J7301" s="115">
        <v>0</v>
      </c>
      <c r="K7301" s="115">
        <v>0</v>
      </c>
    </row>
    <row r="7302" spans="1:11" x14ac:dyDescent="0.25">
      <c r="B7302" s="115" t="s">
        <v>8309</v>
      </c>
      <c r="D7302" s="115" t="s">
        <v>13339</v>
      </c>
      <c r="E7302" s="115" t="s">
        <v>8310</v>
      </c>
      <c r="F7302" s="115">
        <v>805</v>
      </c>
      <c r="G7302" s="115">
        <v>0</v>
      </c>
      <c r="H7302" s="115">
        <v>0</v>
      </c>
      <c r="I7302" s="115">
        <v>-557</v>
      </c>
      <c r="J7302" s="115">
        <v>-495</v>
      </c>
      <c r="K7302" s="115">
        <v>0</v>
      </c>
    </row>
    <row r="7303" spans="1:11" x14ac:dyDescent="0.25">
      <c r="A7303" s="115" t="s">
        <v>1239</v>
      </c>
      <c r="B7303" s="115" t="s">
        <v>1934</v>
      </c>
      <c r="D7303" s="115" t="s">
        <v>13340</v>
      </c>
      <c r="E7303" s="115" t="s">
        <v>8311</v>
      </c>
      <c r="F7303" s="115">
        <v>0</v>
      </c>
      <c r="G7303" s="115">
        <v>-3763</v>
      </c>
      <c r="H7303" s="115">
        <v>-1127</v>
      </c>
      <c r="I7303" s="115">
        <v>152</v>
      </c>
      <c r="J7303" s="115">
        <v>0</v>
      </c>
      <c r="K7303" s="115">
        <v>0</v>
      </c>
    </row>
    <row r="7304" spans="1:11" x14ac:dyDescent="0.25">
      <c r="A7304" s="115">
        <v>-1</v>
      </c>
      <c r="B7304" s="115" t="s">
        <v>8312</v>
      </c>
      <c r="D7304" s="115" t="s">
        <v>13341</v>
      </c>
      <c r="E7304" s="115">
        <f>-57   -281   -589   -685   -566</f>
        <v>-2178</v>
      </c>
      <c r="F7304" s="115">
        <v>-192</v>
      </c>
      <c r="G7304" s="115">
        <v>-57</v>
      </c>
      <c r="H7304" s="115">
        <v>-281</v>
      </c>
      <c r="I7304" s="115">
        <v>-589</v>
      </c>
      <c r="J7304" s="115">
        <v>-685</v>
      </c>
      <c r="K7304" s="115">
        <v>-566</v>
      </c>
    </row>
    <row r="7305" spans="1:11" x14ac:dyDescent="0.25">
      <c r="B7305" s="115" t="s">
        <v>1241</v>
      </c>
      <c r="D7305" s="115" t="s">
        <v>13342</v>
      </c>
      <c r="E7305" s="115" t="s">
        <v>8313</v>
      </c>
      <c r="F7305" s="115">
        <v>0</v>
      </c>
      <c r="G7305" s="115">
        <v>1774</v>
      </c>
      <c r="H7305" s="115">
        <v>0</v>
      </c>
      <c r="I7305" s="115">
        <v>1044</v>
      </c>
      <c r="J7305" s="115">
        <v>-1320</v>
      </c>
      <c r="K7305" s="115">
        <v>63</v>
      </c>
    </row>
    <row r="7306" spans="1:11" x14ac:dyDescent="0.25">
      <c r="B7306" s="115" t="s">
        <v>8314</v>
      </c>
      <c r="D7306" s="115" t="s">
        <v>13343</v>
      </c>
      <c r="E7306" s="115" t="s">
        <v>8315</v>
      </c>
      <c r="F7306" s="115">
        <v>-11</v>
      </c>
      <c r="G7306" s="115">
        <v>468</v>
      </c>
      <c r="H7306" s="115">
        <v>0</v>
      </c>
      <c r="I7306" s="115">
        <v>700</v>
      </c>
      <c r="J7306" s="115">
        <v>3490</v>
      </c>
      <c r="K7306" s="115">
        <v>-1652</v>
      </c>
    </row>
    <row r="7307" spans="1:11" x14ac:dyDescent="0.25">
      <c r="A7307" s="115">
        <v>-1</v>
      </c>
      <c r="B7307" s="115" t="s">
        <v>8316</v>
      </c>
      <c r="D7307" s="115" t="s">
        <v>13344</v>
      </c>
      <c r="E7307" s="115" t="s">
        <v>8317</v>
      </c>
      <c r="F7307" s="115">
        <v>0</v>
      </c>
      <c r="G7307" s="115">
        <v>0</v>
      </c>
      <c r="H7307" s="115">
        <v>0</v>
      </c>
      <c r="I7307" s="115">
        <v>214</v>
      </c>
      <c r="J7307" s="115">
        <v>199</v>
      </c>
      <c r="K7307" s="115">
        <v>0</v>
      </c>
    </row>
    <row r="7308" spans="1:11" x14ac:dyDescent="0.25">
      <c r="B7308" s="115" t="s">
        <v>8318</v>
      </c>
      <c r="D7308" s="115" t="s">
        <v>13345</v>
      </c>
      <c r="E7308" s="115" t="s">
        <v>8319</v>
      </c>
      <c r="F7308" s="115">
        <v>0</v>
      </c>
      <c r="G7308" s="115">
        <v>0</v>
      </c>
      <c r="H7308" s="115">
        <v>0</v>
      </c>
      <c r="I7308" s="115">
        <v>0</v>
      </c>
      <c r="J7308" s="115">
        <v>0</v>
      </c>
      <c r="K7308" s="115">
        <v>-3177</v>
      </c>
    </row>
    <row r="7309" spans="1:11" x14ac:dyDescent="0.25">
      <c r="B7309" s="115" t="s">
        <v>8320</v>
      </c>
      <c r="C7309" s="115" t="s">
        <v>1239</v>
      </c>
      <c r="D7309" s="115" t="s">
        <v>13346</v>
      </c>
      <c r="E7309" s="115" t="s">
        <v>8321</v>
      </c>
      <c r="F7309" s="115">
        <v>0</v>
      </c>
      <c r="G7309" s="115">
        <v>2387</v>
      </c>
      <c r="H7309" s="115">
        <v>31</v>
      </c>
      <c r="I7309" s="115">
        <v>548</v>
      </c>
      <c r="J7309" s="115">
        <v>1015</v>
      </c>
      <c r="K7309" s="115">
        <v>1111</v>
      </c>
    </row>
    <row r="7310" spans="1:11" x14ac:dyDescent="0.25">
      <c r="B7310" s="115" t="s">
        <v>8322</v>
      </c>
      <c r="D7310" s="115" t="s">
        <v>13347</v>
      </c>
      <c r="E7310" s="115" t="s">
        <v>8323</v>
      </c>
      <c r="F7310" s="115">
        <v>-1300</v>
      </c>
      <c r="G7310" s="115">
        <v>0</v>
      </c>
      <c r="H7310" s="115">
        <v>0</v>
      </c>
      <c r="I7310" s="115">
        <v>-360</v>
      </c>
      <c r="J7310" s="115">
        <v>-2844</v>
      </c>
      <c r="K7310" s="115">
        <v>0</v>
      </c>
    </row>
    <row r="7311" spans="1:11" x14ac:dyDescent="0.25">
      <c r="B7311" s="115" t="s">
        <v>4884</v>
      </c>
      <c r="D7311" s="115" t="s">
        <v>13348</v>
      </c>
      <c r="E7311" s="115" t="s">
        <v>8324</v>
      </c>
      <c r="F7311" s="115">
        <v>0</v>
      </c>
      <c r="G7311" s="115">
        <v>-296</v>
      </c>
      <c r="H7311" s="115">
        <v>-242</v>
      </c>
      <c r="I7311" s="115">
        <v>390</v>
      </c>
      <c r="J7311" s="115">
        <v>0</v>
      </c>
      <c r="K7311" s="115">
        <v>0</v>
      </c>
    </row>
    <row r="7312" spans="1:11" x14ac:dyDescent="0.25">
      <c r="B7312" s="115" t="s">
        <v>1241</v>
      </c>
      <c r="D7312" s="115" t="s">
        <v>13349</v>
      </c>
      <c r="E7312" s="115" t="s">
        <v>8325</v>
      </c>
      <c r="F7312" s="115">
        <v>0</v>
      </c>
      <c r="G7312" s="115">
        <v>-68</v>
      </c>
      <c r="H7312" s="115">
        <v>-2058</v>
      </c>
      <c r="I7312" s="115">
        <v>-500</v>
      </c>
      <c r="J7312" s="115">
        <v>0</v>
      </c>
      <c r="K7312" s="115">
        <v>4651</v>
      </c>
    </row>
    <row r="7313" spans="1:11" x14ac:dyDescent="0.25">
      <c r="B7313" s="115" t="s">
        <v>8326</v>
      </c>
      <c r="D7313" s="115" t="s">
        <v>13350</v>
      </c>
      <c r="E7313" s="115" t="s">
        <v>8327</v>
      </c>
      <c r="F7313" s="115">
        <v>0</v>
      </c>
      <c r="G7313" s="115">
        <v>386</v>
      </c>
      <c r="H7313" s="115">
        <v>2191</v>
      </c>
      <c r="I7313" s="115">
        <v>-1192</v>
      </c>
      <c r="J7313" s="115">
        <v>-421</v>
      </c>
      <c r="K7313" s="115">
        <v>332</v>
      </c>
    </row>
    <row r="7314" spans="1:11" x14ac:dyDescent="0.25">
      <c r="B7314" s="115" t="s">
        <v>8328</v>
      </c>
      <c r="D7314" s="115" t="s">
        <v>13351</v>
      </c>
      <c r="E7314" s="115" t="s">
        <v>8329</v>
      </c>
      <c r="F7314" s="115">
        <v>-43</v>
      </c>
      <c r="G7314" s="115">
        <v>0</v>
      </c>
      <c r="H7314" s="115">
        <v>0</v>
      </c>
      <c r="I7314" s="115">
        <v>0</v>
      </c>
      <c r="J7314" s="115">
        <v>-142</v>
      </c>
      <c r="K7314" s="115">
        <v>0</v>
      </c>
    </row>
    <row r="7315" spans="1:11" x14ac:dyDescent="0.25">
      <c r="B7315" s="115" t="s">
        <v>1241</v>
      </c>
      <c r="D7315" s="115" t="s">
        <v>13352</v>
      </c>
      <c r="E7315" s="115" t="s">
        <v>8330</v>
      </c>
      <c r="F7315" s="115">
        <v>0</v>
      </c>
      <c r="G7315" s="115">
        <v>0</v>
      </c>
      <c r="H7315" s="115">
        <v>0</v>
      </c>
      <c r="I7315" s="115">
        <v>-4792</v>
      </c>
      <c r="J7315" s="115">
        <v>0</v>
      </c>
      <c r="K7315" s="115">
        <v>-1930</v>
      </c>
    </row>
    <row r="7316" spans="1:11" x14ac:dyDescent="0.25">
      <c r="A7316" s="115" t="s">
        <v>1239</v>
      </c>
      <c r="B7316" s="115" t="s">
        <v>8331</v>
      </c>
      <c r="D7316" s="115" t="s">
        <v>13353</v>
      </c>
      <c r="E7316" s="115" t="s">
        <v>1242</v>
      </c>
      <c r="F7316" s="115">
        <v>338</v>
      </c>
      <c r="G7316" s="115">
        <v>0</v>
      </c>
      <c r="H7316" s="115">
        <v>0</v>
      </c>
      <c r="I7316" s="115">
        <v>0</v>
      </c>
      <c r="J7316" s="115">
        <v>0</v>
      </c>
      <c r="K7316" s="115">
        <v>0</v>
      </c>
    </row>
    <row r="7317" spans="1:11" x14ac:dyDescent="0.25">
      <c r="A7317" s="115">
        <v>3</v>
      </c>
      <c r="B7317" s="115" t="s">
        <v>8332</v>
      </c>
      <c r="C7317" s="115" t="s">
        <v>1239</v>
      </c>
      <c r="D7317" s="115" t="s">
        <v>13354</v>
      </c>
      <c r="E7317" s="115" t="s">
        <v>8333</v>
      </c>
      <c r="F7317" s="115">
        <v>1393</v>
      </c>
      <c r="G7317" s="115">
        <v>-1550</v>
      </c>
      <c r="H7317" s="115">
        <v>0</v>
      </c>
      <c r="I7317" s="115">
        <v>0</v>
      </c>
      <c r="J7317" s="115">
        <v>0</v>
      </c>
      <c r="K7317" s="115">
        <v>0</v>
      </c>
    </row>
    <row r="7318" spans="1:11" x14ac:dyDescent="0.25">
      <c r="B7318" s="115" t="s">
        <v>5199</v>
      </c>
      <c r="D7318" s="115" t="s">
        <v>13355</v>
      </c>
      <c r="E7318" s="115" t="s">
        <v>8334</v>
      </c>
      <c r="F7318" s="115">
        <v>0</v>
      </c>
      <c r="G7318" s="115">
        <v>482</v>
      </c>
      <c r="H7318" s="115">
        <v>158</v>
      </c>
      <c r="I7318" s="115">
        <v>0</v>
      </c>
      <c r="J7318" s="115">
        <v>0</v>
      </c>
      <c r="K7318" s="115">
        <v>0</v>
      </c>
    </row>
    <row r="7319" spans="1:11" x14ac:dyDescent="0.25">
      <c r="B7319" s="115" t="s">
        <v>8335</v>
      </c>
      <c r="D7319" s="115" t="s">
        <v>13356</v>
      </c>
      <c r="E7319" s="115" t="s">
        <v>8336</v>
      </c>
      <c r="F7319" s="115">
        <v>-1597</v>
      </c>
      <c r="G7319" s="115">
        <v>645</v>
      </c>
      <c r="H7319" s="115">
        <v>-599</v>
      </c>
      <c r="I7319" s="115">
        <v>1128</v>
      </c>
      <c r="J7319" s="115">
        <v>942</v>
      </c>
      <c r="K7319" s="115">
        <v>359</v>
      </c>
    </row>
    <row r="7320" spans="1:11" x14ac:dyDescent="0.25">
      <c r="A7320" s="115" t="s">
        <v>1239</v>
      </c>
      <c r="B7320" s="115" t="s">
        <v>8337</v>
      </c>
      <c r="D7320" s="115" t="s">
        <v>13357</v>
      </c>
      <c r="E7320" s="115" t="s">
        <v>1242</v>
      </c>
      <c r="F7320" s="115">
        <v>0</v>
      </c>
      <c r="G7320" s="115">
        <v>0</v>
      </c>
      <c r="H7320" s="115">
        <v>0</v>
      </c>
      <c r="I7320" s="115">
        <v>0</v>
      </c>
      <c r="J7320" s="115">
        <v>0</v>
      </c>
      <c r="K7320" s="115">
        <v>0</v>
      </c>
    </row>
    <row r="7321" spans="1:11" x14ac:dyDescent="0.25">
      <c r="B7321" s="115" t="s">
        <v>8338</v>
      </c>
      <c r="D7321" s="115" t="s">
        <v>13358</v>
      </c>
      <c r="E7321" s="115" t="s">
        <v>8339</v>
      </c>
      <c r="F7321" s="115">
        <v>2593</v>
      </c>
      <c r="G7321" s="115">
        <v>-982</v>
      </c>
      <c r="H7321" s="115">
        <v>0</v>
      </c>
      <c r="I7321" s="115">
        <v>0</v>
      </c>
      <c r="J7321" s="115">
        <v>75</v>
      </c>
      <c r="K7321" s="115">
        <v>0</v>
      </c>
    </row>
    <row r="7322" spans="1:11" x14ac:dyDescent="0.25">
      <c r="A7322" s="115">
        <v>-13</v>
      </c>
      <c r="B7322" s="115" t="s">
        <v>8340</v>
      </c>
      <c r="D7322" s="115" t="s">
        <v>13359</v>
      </c>
      <c r="E7322" s="115" t="s">
        <v>8341</v>
      </c>
      <c r="F7322" s="115">
        <v>0</v>
      </c>
      <c r="G7322" s="115">
        <v>0</v>
      </c>
      <c r="H7322" s="115">
        <v>-612</v>
      </c>
      <c r="I7322" s="115">
        <v>0</v>
      </c>
      <c r="J7322" s="115">
        <v>-813</v>
      </c>
      <c r="K7322" s="115">
        <v>-3168</v>
      </c>
    </row>
    <row r="7323" spans="1:11" x14ac:dyDescent="0.25">
      <c r="B7323" s="115" t="s">
        <v>1241</v>
      </c>
      <c r="D7323" s="115" t="s">
        <v>8710</v>
      </c>
      <c r="E7323" s="115" t="s">
        <v>1242</v>
      </c>
      <c r="F7323" s="115">
        <v>0</v>
      </c>
      <c r="G7323" s="115">
        <v>0</v>
      </c>
      <c r="H7323" s="115">
        <v>0</v>
      </c>
      <c r="I7323" s="115">
        <v>0</v>
      </c>
      <c r="J7323" s="115">
        <v>0</v>
      </c>
      <c r="K7323" s="115">
        <v>0</v>
      </c>
    </row>
    <row r="7324" spans="1:11" x14ac:dyDescent="0.25">
      <c r="B7324" s="115" t="s">
        <v>1241</v>
      </c>
      <c r="D7324" s="115" t="s">
        <v>13360</v>
      </c>
      <c r="E7324" s="115" t="s">
        <v>8342</v>
      </c>
      <c r="F7324" s="115">
        <v>0</v>
      </c>
      <c r="G7324" s="115">
        <v>-297</v>
      </c>
      <c r="H7324" s="115">
        <v>0</v>
      </c>
      <c r="I7324" s="115">
        <v>0</v>
      </c>
      <c r="J7324" s="115">
        <v>0</v>
      </c>
      <c r="K7324" s="115">
        <v>0</v>
      </c>
    </row>
    <row r="7325" spans="1:11" x14ac:dyDescent="0.25">
      <c r="B7325" s="115" t="s">
        <v>5421</v>
      </c>
      <c r="D7325" s="115" t="s">
        <v>13361</v>
      </c>
      <c r="E7325" s="115" t="s">
        <v>8343</v>
      </c>
      <c r="F7325" s="115">
        <v>-676</v>
      </c>
      <c r="G7325" s="115">
        <v>-318</v>
      </c>
      <c r="H7325" s="115">
        <v>198</v>
      </c>
      <c r="I7325" s="115">
        <v>-207</v>
      </c>
      <c r="J7325" s="115">
        <v>812</v>
      </c>
      <c r="K7325" s="115">
        <v>-642</v>
      </c>
    </row>
    <row r="7326" spans="1:11" x14ac:dyDescent="0.25">
      <c r="B7326" s="115" t="s">
        <v>8344</v>
      </c>
      <c r="D7326" s="115" t="s">
        <v>13362</v>
      </c>
      <c r="E7326" s="115" t="s">
        <v>8345</v>
      </c>
      <c r="F7326" s="115">
        <v>-528</v>
      </c>
      <c r="G7326" s="115">
        <v>-415</v>
      </c>
      <c r="H7326" s="115">
        <v>-92</v>
      </c>
      <c r="I7326" s="115">
        <v>-736</v>
      </c>
      <c r="J7326" s="115">
        <v>0</v>
      </c>
      <c r="K7326" s="115">
        <v>-726</v>
      </c>
    </row>
    <row r="7327" spans="1:11" x14ac:dyDescent="0.25">
      <c r="B7327" s="115" t="s">
        <v>8346</v>
      </c>
      <c r="D7327" s="115" t="s">
        <v>13363</v>
      </c>
      <c r="E7327" s="115" t="s">
        <v>8347</v>
      </c>
      <c r="F7327" s="115">
        <v>80</v>
      </c>
      <c r="G7327" s="115">
        <v>94</v>
      </c>
      <c r="H7327" s="115">
        <v>160</v>
      </c>
      <c r="I7327" s="115">
        <v>128</v>
      </c>
      <c r="J7327" s="115">
        <v>238</v>
      </c>
      <c r="K7327" s="115">
        <v>116</v>
      </c>
    </row>
    <row r="7328" spans="1:11" x14ac:dyDescent="0.25">
      <c r="B7328" s="115" t="s">
        <v>8348</v>
      </c>
      <c r="D7328" s="115" t="s">
        <v>13364</v>
      </c>
      <c r="E7328" s="115" t="s">
        <v>8349</v>
      </c>
      <c r="F7328" s="115">
        <v>81</v>
      </c>
      <c r="G7328" s="115">
        <v>50</v>
      </c>
      <c r="H7328" s="115">
        <v>13</v>
      </c>
      <c r="I7328" s="115">
        <v>-14</v>
      </c>
      <c r="J7328" s="115">
        <v>196</v>
      </c>
      <c r="K7328" s="115">
        <v>132</v>
      </c>
    </row>
    <row r="7329" spans="1:11" x14ac:dyDescent="0.25">
      <c r="A7329" s="115" t="s">
        <v>1239</v>
      </c>
      <c r="B7329" s="115" t="s">
        <v>8350</v>
      </c>
      <c r="D7329" s="115">
        <f>-383   -222   -882    -72   -322   -740   -216   -468</f>
        <v>-3305</v>
      </c>
      <c r="E7329" s="115">
        <f>-72   -322   -740   -216   -468</f>
        <v>-1818</v>
      </c>
      <c r="F7329" s="115">
        <v>-882</v>
      </c>
      <c r="G7329" s="115">
        <v>-72</v>
      </c>
      <c r="H7329" s="115">
        <v>-322</v>
      </c>
      <c r="I7329" s="115">
        <v>-740</v>
      </c>
      <c r="J7329" s="115">
        <v>-216</v>
      </c>
      <c r="K7329" s="115">
        <v>-468</v>
      </c>
    </row>
    <row r="7330" spans="1:11" x14ac:dyDescent="0.25">
      <c r="A7330" s="115">
        <v>-2</v>
      </c>
      <c r="B7330" s="115" t="s">
        <v>8351</v>
      </c>
      <c r="C7330" s="115" t="s">
        <v>1239</v>
      </c>
      <c r="D7330" s="115" t="s">
        <v>13365</v>
      </c>
      <c r="E7330" s="115" t="s">
        <v>8352</v>
      </c>
      <c r="F7330" s="115">
        <v>-1925</v>
      </c>
      <c r="G7330" s="115">
        <v>-1355</v>
      </c>
      <c r="H7330" s="115">
        <v>-2397</v>
      </c>
      <c r="I7330" s="115">
        <v>-1006</v>
      </c>
      <c r="J7330" s="115">
        <v>-2249</v>
      </c>
      <c r="K7330" s="115">
        <v>272</v>
      </c>
    </row>
    <row r="7331" spans="1:11" x14ac:dyDescent="0.25">
      <c r="B7331" s="115" t="s">
        <v>8353</v>
      </c>
      <c r="D7331" s="115" t="s">
        <v>13366</v>
      </c>
      <c r="E7331" s="115" t="s">
        <v>8354</v>
      </c>
      <c r="F7331" s="115">
        <v>273</v>
      </c>
      <c r="G7331" s="115">
        <v>338</v>
      </c>
      <c r="H7331" s="115">
        <v>121</v>
      </c>
      <c r="I7331" s="115">
        <v>269</v>
      </c>
      <c r="J7331" s="115">
        <v>385</v>
      </c>
      <c r="K7331" s="115">
        <v>-83</v>
      </c>
    </row>
    <row r="7332" spans="1:11" x14ac:dyDescent="0.25">
      <c r="B7332" s="115" t="s">
        <v>8355</v>
      </c>
      <c r="D7332" s="115" t="s">
        <v>13367</v>
      </c>
      <c r="E7332" s="115" t="s">
        <v>8356</v>
      </c>
      <c r="F7332" s="115">
        <v>-100</v>
      </c>
      <c r="G7332" s="115">
        <v>-36</v>
      </c>
      <c r="H7332" s="115">
        <v>-28</v>
      </c>
      <c r="I7332" s="115">
        <v>42</v>
      </c>
      <c r="J7332" s="115">
        <v>455</v>
      </c>
      <c r="K7332" s="115">
        <v>403</v>
      </c>
    </row>
    <row r="7333" spans="1:11" x14ac:dyDescent="0.25">
      <c r="B7333" s="115" t="s">
        <v>8357</v>
      </c>
      <c r="D7333" s="115" t="s">
        <v>13368</v>
      </c>
      <c r="E7333" s="115" t="s">
        <v>8358</v>
      </c>
      <c r="F7333" s="115">
        <v>143</v>
      </c>
      <c r="G7333" s="115">
        <v>173</v>
      </c>
      <c r="H7333" s="115">
        <v>11443</v>
      </c>
      <c r="I7333" s="115">
        <v>539</v>
      </c>
      <c r="J7333" s="115">
        <v>-1911</v>
      </c>
      <c r="K7333" s="115">
        <v>-784</v>
      </c>
    </row>
    <row r="7334" spans="1:11" x14ac:dyDescent="0.25">
      <c r="B7334" s="115" t="s">
        <v>8359</v>
      </c>
      <c r="D7334" s="115" t="s">
        <v>13369</v>
      </c>
      <c r="E7334" s="115" t="s">
        <v>8360</v>
      </c>
      <c r="F7334" s="115">
        <v>0</v>
      </c>
      <c r="G7334" s="115">
        <v>197</v>
      </c>
      <c r="H7334" s="115">
        <v>0</v>
      </c>
      <c r="I7334" s="115">
        <v>0</v>
      </c>
      <c r="J7334" s="115">
        <v>0</v>
      </c>
      <c r="K7334" s="115">
        <v>-166</v>
      </c>
    </row>
    <row r="7335" spans="1:11" x14ac:dyDescent="0.25">
      <c r="A7335" s="115" t="s">
        <v>1239</v>
      </c>
      <c r="B7335" s="115" t="s">
        <v>8361</v>
      </c>
      <c r="D7335" s="115" t="s">
        <v>13370</v>
      </c>
      <c r="E7335" s="115" t="s">
        <v>8362</v>
      </c>
      <c r="F7335" s="115">
        <v>0</v>
      </c>
      <c r="G7335" s="115">
        <v>0</v>
      </c>
      <c r="H7335" s="115">
        <v>0</v>
      </c>
      <c r="I7335" s="115">
        <v>1416</v>
      </c>
      <c r="J7335" s="115">
        <v>0</v>
      </c>
      <c r="K7335" s="115">
        <v>0</v>
      </c>
    </row>
    <row r="7336" spans="1:11" x14ac:dyDescent="0.25">
      <c r="B7336" s="115" t="s">
        <v>3836</v>
      </c>
      <c r="D7336" s="115" t="s">
        <v>13371</v>
      </c>
      <c r="E7336" s="115" t="s">
        <v>8363</v>
      </c>
      <c r="F7336" s="115">
        <v>73</v>
      </c>
      <c r="G7336" s="115">
        <v>503</v>
      </c>
      <c r="H7336" s="115">
        <v>273</v>
      </c>
      <c r="I7336" s="115">
        <v>0</v>
      </c>
      <c r="J7336" s="115">
        <v>-904</v>
      </c>
      <c r="K7336" s="115">
        <v>-754</v>
      </c>
    </row>
    <row r="7337" spans="1:11" x14ac:dyDescent="0.25">
      <c r="A7337" s="115" t="s">
        <v>1239</v>
      </c>
      <c r="B7337" s="115" t="s">
        <v>8364</v>
      </c>
      <c r="C7337" s="115">
        <v>1</v>
      </c>
      <c r="D7337" s="115" t="s">
        <v>13372</v>
      </c>
      <c r="E7337" s="115" t="s">
        <v>8365</v>
      </c>
      <c r="F7337" s="115">
        <v>0</v>
      </c>
      <c r="G7337" s="115">
        <v>-699</v>
      </c>
      <c r="H7337" s="115">
        <v>0</v>
      </c>
      <c r="I7337" s="115">
        <v>0</v>
      </c>
      <c r="J7337" s="115">
        <v>0</v>
      </c>
      <c r="K7337" s="115">
        <v>0</v>
      </c>
    </row>
    <row r="7338" spans="1:11" x14ac:dyDescent="0.25">
      <c r="B7338" s="115" t="s">
        <v>8366</v>
      </c>
      <c r="D7338" s="115" t="s">
        <v>13373</v>
      </c>
      <c r="E7338" s="115" t="s">
        <v>8367</v>
      </c>
      <c r="F7338" s="115">
        <v>0</v>
      </c>
      <c r="G7338" s="115">
        <v>373</v>
      </c>
      <c r="H7338" s="115">
        <v>0</v>
      </c>
      <c r="I7338" s="115">
        <v>-428</v>
      </c>
      <c r="J7338" s="115">
        <v>0</v>
      </c>
      <c r="K7338" s="115">
        <v>0</v>
      </c>
    </row>
    <row r="7339" spans="1:11" x14ac:dyDescent="0.25">
      <c r="B7339" s="115" t="s">
        <v>1241</v>
      </c>
      <c r="D7339" s="115" t="s">
        <v>13374</v>
      </c>
      <c r="E7339" s="115" t="s">
        <v>8368</v>
      </c>
      <c r="F7339" s="115">
        <v>0</v>
      </c>
      <c r="G7339" s="115">
        <v>1485</v>
      </c>
      <c r="H7339" s="115">
        <v>-3153</v>
      </c>
      <c r="I7339" s="115">
        <v>0</v>
      </c>
      <c r="J7339" s="115">
        <v>0</v>
      </c>
      <c r="K7339" s="115">
        <v>6907</v>
      </c>
    </row>
    <row r="7340" spans="1:11" x14ac:dyDescent="0.25">
      <c r="B7340" s="115" t="s">
        <v>1453</v>
      </c>
      <c r="D7340" s="115" t="s">
        <v>13375</v>
      </c>
      <c r="E7340" s="115" t="s">
        <v>8369</v>
      </c>
      <c r="F7340" s="115">
        <v>0</v>
      </c>
      <c r="G7340" s="115">
        <v>0</v>
      </c>
      <c r="H7340" s="115">
        <v>0</v>
      </c>
      <c r="I7340" s="115">
        <v>7257</v>
      </c>
      <c r="J7340" s="115">
        <v>272</v>
      </c>
      <c r="K7340" s="115">
        <v>-480</v>
      </c>
    </row>
    <row r="7341" spans="1:11" x14ac:dyDescent="0.25">
      <c r="B7341" s="115" t="s">
        <v>1241</v>
      </c>
      <c r="D7341" s="115" t="s">
        <v>13376</v>
      </c>
      <c r="E7341" s="115" t="s">
        <v>8370</v>
      </c>
      <c r="F7341" s="115">
        <v>0</v>
      </c>
      <c r="G7341" s="115">
        <v>1483</v>
      </c>
      <c r="H7341" s="115">
        <v>2009</v>
      </c>
      <c r="I7341" s="115">
        <v>610</v>
      </c>
      <c r="J7341" s="115">
        <v>1536</v>
      </c>
      <c r="K7341" s="115">
        <v>1530</v>
      </c>
    </row>
    <row r="7342" spans="1:11" x14ac:dyDescent="0.25">
      <c r="A7342" s="115">
        <v>1</v>
      </c>
      <c r="B7342" s="115" t="s">
        <v>8371</v>
      </c>
      <c r="D7342" s="115" t="s">
        <v>13377</v>
      </c>
      <c r="E7342" s="115" t="s">
        <v>8372</v>
      </c>
      <c r="F7342" s="115">
        <v>0</v>
      </c>
      <c r="G7342" s="115">
        <v>0</v>
      </c>
      <c r="H7342" s="115">
        <v>0</v>
      </c>
      <c r="I7342" s="115">
        <v>-7133</v>
      </c>
      <c r="J7342" s="115">
        <v>0</v>
      </c>
      <c r="K7342" s="115">
        <v>-2021</v>
      </c>
    </row>
    <row r="7343" spans="1:11" x14ac:dyDescent="0.25">
      <c r="B7343" s="115" t="s">
        <v>8373</v>
      </c>
      <c r="D7343" s="115" t="s">
        <v>13378</v>
      </c>
      <c r="E7343" s="115" t="s">
        <v>8374</v>
      </c>
      <c r="F7343" s="115">
        <v>-1198</v>
      </c>
      <c r="G7343" s="115">
        <v>705</v>
      </c>
      <c r="H7343" s="115">
        <v>2986</v>
      </c>
      <c r="I7343" s="115">
        <v>2356</v>
      </c>
      <c r="J7343" s="115">
        <v>0</v>
      </c>
      <c r="K7343" s="115">
        <v>-3485</v>
      </c>
    </row>
    <row r="7344" spans="1:11" x14ac:dyDescent="0.25">
      <c r="A7344" s="115">
        <v>-14</v>
      </c>
      <c r="B7344" s="115" t="s">
        <v>8375</v>
      </c>
      <c r="D7344" s="115" t="s">
        <v>13379</v>
      </c>
      <c r="E7344" s="115" t="s">
        <v>8376</v>
      </c>
      <c r="F7344" s="115">
        <v>-233</v>
      </c>
      <c r="G7344" s="115">
        <v>2243</v>
      </c>
      <c r="H7344" s="115">
        <v>0</v>
      </c>
      <c r="I7344" s="115">
        <v>0</v>
      </c>
      <c r="J7344" s="115">
        <v>0</v>
      </c>
      <c r="K7344" s="115">
        <v>-68</v>
      </c>
    </row>
    <row r="7345" spans="1:11" x14ac:dyDescent="0.25">
      <c r="A7345" s="115" t="s">
        <v>1239</v>
      </c>
      <c r="B7345" s="115" t="s">
        <v>3412</v>
      </c>
      <c r="D7345" s="115" t="s">
        <v>13380</v>
      </c>
      <c r="E7345" s="115" t="s">
        <v>8377</v>
      </c>
      <c r="F7345" s="115">
        <v>2</v>
      </c>
      <c r="G7345" s="115">
        <v>-47</v>
      </c>
      <c r="H7345" s="115">
        <v>0</v>
      </c>
      <c r="I7345" s="115">
        <v>0</v>
      </c>
      <c r="J7345" s="115">
        <v>0</v>
      </c>
      <c r="K7345" s="115">
        <v>0</v>
      </c>
    </row>
    <row r="7346" spans="1:11" x14ac:dyDescent="0.25">
      <c r="B7346" s="115" t="s">
        <v>8378</v>
      </c>
      <c r="D7346" s="115" t="s">
        <v>13381</v>
      </c>
      <c r="E7346" s="115" t="s">
        <v>8379</v>
      </c>
      <c r="F7346" s="115">
        <v>622</v>
      </c>
      <c r="G7346" s="115">
        <v>-456</v>
      </c>
      <c r="H7346" s="115">
        <v>0</v>
      </c>
      <c r="I7346" s="115">
        <v>54</v>
      </c>
      <c r="J7346" s="115">
        <v>57</v>
      </c>
      <c r="K7346" s="115">
        <v>46</v>
      </c>
    </row>
    <row r="7347" spans="1:11" x14ac:dyDescent="0.25">
      <c r="A7347" s="115">
        <v>1</v>
      </c>
      <c r="B7347" s="115" t="s">
        <v>8380</v>
      </c>
      <c r="C7347" s="115" t="s">
        <v>1239</v>
      </c>
      <c r="D7347" s="115" t="s">
        <v>13382</v>
      </c>
      <c r="E7347" s="115" t="s">
        <v>8381</v>
      </c>
      <c r="F7347" s="115">
        <v>-13664</v>
      </c>
      <c r="G7347" s="115">
        <v>0</v>
      </c>
      <c r="H7347" s="115">
        <v>158</v>
      </c>
      <c r="I7347" s="115">
        <v>0</v>
      </c>
      <c r="J7347" s="115">
        <v>0</v>
      </c>
      <c r="K7347" s="115">
        <v>2186</v>
      </c>
    </row>
    <row r="7348" spans="1:11" x14ac:dyDescent="0.25">
      <c r="B7348" s="115" t="s">
        <v>3936</v>
      </c>
      <c r="D7348" s="115" t="s">
        <v>13383</v>
      </c>
      <c r="E7348" s="115" t="s">
        <v>8382</v>
      </c>
      <c r="F7348" s="115">
        <v>0</v>
      </c>
      <c r="G7348" s="115">
        <v>74</v>
      </c>
      <c r="H7348" s="115">
        <v>0</v>
      </c>
      <c r="I7348" s="115">
        <v>-90</v>
      </c>
      <c r="J7348" s="115">
        <v>240</v>
      </c>
      <c r="K7348" s="115">
        <v>60</v>
      </c>
    </row>
    <row r="7349" spans="1:11" x14ac:dyDescent="0.25">
      <c r="B7349" s="115" t="s">
        <v>1241</v>
      </c>
      <c r="D7349" s="115" t="s">
        <v>13384</v>
      </c>
      <c r="E7349" s="115" t="s">
        <v>8383</v>
      </c>
      <c r="F7349" s="115">
        <v>0</v>
      </c>
      <c r="G7349" s="115">
        <v>1299</v>
      </c>
      <c r="H7349" s="115">
        <v>0</v>
      </c>
      <c r="I7349" s="115">
        <v>-1035</v>
      </c>
      <c r="J7349" s="115">
        <v>622</v>
      </c>
      <c r="K7349" s="115">
        <v>-197</v>
      </c>
    </row>
    <row r="7350" spans="1:11" x14ac:dyDescent="0.25">
      <c r="B7350" s="115" t="s">
        <v>8384</v>
      </c>
      <c r="D7350" s="115" t="s">
        <v>13385</v>
      </c>
      <c r="E7350" s="115" t="s">
        <v>8385</v>
      </c>
      <c r="F7350" s="115">
        <v>0</v>
      </c>
      <c r="G7350" s="115">
        <v>0</v>
      </c>
      <c r="H7350" s="115">
        <v>0</v>
      </c>
      <c r="I7350" s="115">
        <v>-2222</v>
      </c>
      <c r="J7350" s="115">
        <v>-9559</v>
      </c>
      <c r="K7350" s="115">
        <v>-117</v>
      </c>
    </row>
    <row r="7351" spans="1:11" x14ac:dyDescent="0.25">
      <c r="A7351" s="115" t="s">
        <v>1239</v>
      </c>
      <c r="B7351" s="115" t="s">
        <v>8386</v>
      </c>
      <c r="D7351" s="115" t="s">
        <v>13386</v>
      </c>
      <c r="E7351" s="115" t="s">
        <v>8387</v>
      </c>
      <c r="F7351" s="115">
        <v>0</v>
      </c>
      <c r="G7351" s="115">
        <v>0</v>
      </c>
      <c r="H7351" s="115">
        <v>-24</v>
      </c>
      <c r="I7351" s="115">
        <v>0</v>
      </c>
      <c r="J7351" s="115">
        <v>-216</v>
      </c>
      <c r="K7351" s="115">
        <v>0</v>
      </c>
    </row>
    <row r="7352" spans="1:11" x14ac:dyDescent="0.25">
      <c r="B7352" s="115" t="s">
        <v>8388</v>
      </c>
      <c r="D7352" s="115" t="s">
        <v>13387</v>
      </c>
      <c r="E7352" s="115" t="s">
        <v>8389</v>
      </c>
      <c r="F7352" s="115">
        <v>0</v>
      </c>
      <c r="G7352" s="115">
        <v>0</v>
      </c>
      <c r="H7352" s="115">
        <v>0</v>
      </c>
      <c r="I7352" s="115">
        <v>0</v>
      </c>
      <c r="J7352" s="115">
        <v>0</v>
      </c>
      <c r="K7352" s="115">
        <v>1665</v>
      </c>
    </row>
    <row r="7353" spans="1:11" x14ac:dyDescent="0.25">
      <c r="B7353" s="115" t="s">
        <v>8390</v>
      </c>
      <c r="D7353" s="115" t="s">
        <v>13388</v>
      </c>
      <c r="E7353" s="115" t="s">
        <v>8391</v>
      </c>
      <c r="F7353" s="115">
        <v>0</v>
      </c>
      <c r="G7353" s="115">
        <v>743</v>
      </c>
      <c r="H7353" s="115">
        <v>1711</v>
      </c>
      <c r="I7353" s="115">
        <v>0</v>
      </c>
      <c r="J7353" s="115">
        <v>0</v>
      </c>
      <c r="K7353" s="115">
        <v>0</v>
      </c>
    </row>
    <row r="7354" spans="1:11" x14ac:dyDescent="0.25">
      <c r="B7354" s="115" t="s">
        <v>1241</v>
      </c>
      <c r="C7354" s="115">
        <v>-1</v>
      </c>
      <c r="D7354" s="115" t="s">
        <v>13389</v>
      </c>
      <c r="E7354" s="115" t="s">
        <v>8392</v>
      </c>
      <c r="F7354" s="115">
        <v>191</v>
      </c>
      <c r="G7354" s="115">
        <v>-101</v>
      </c>
      <c r="H7354" s="115">
        <v>-588</v>
      </c>
      <c r="I7354" s="115">
        <v>4643</v>
      </c>
      <c r="J7354" s="115">
        <v>0</v>
      </c>
      <c r="K7354" s="115">
        <v>0</v>
      </c>
    </row>
    <row r="7355" spans="1:11" x14ac:dyDescent="0.25">
      <c r="B7355" s="115" t="s">
        <v>1241</v>
      </c>
      <c r="C7355" s="115" t="s">
        <v>1239</v>
      </c>
      <c r="D7355" s="115" t="s">
        <v>13390</v>
      </c>
      <c r="E7355" s="115" t="s">
        <v>8393</v>
      </c>
      <c r="F7355" s="115">
        <v>-389</v>
      </c>
      <c r="G7355" s="115">
        <v>0</v>
      </c>
      <c r="H7355" s="115">
        <v>0</v>
      </c>
      <c r="I7355" s="115">
        <v>-45</v>
      </c>
      <c r="J7355" s="115">
        <v>-804</v>
      </c>
      <c r="K7355" s="115">
        <v>0</v>
      </c>
    </row>
    <row r="7356" spans="1:11" x14ac:dyDescent="0.25">
      <c r="B7356" s="115" t="s">
        <v>1241</v>
      </c>
      <c r="D7356" s="115" t="s">
        <v>13391</v>
      </c>
      <c r="E7356" s="115" t="s">
        <v>8394</v>
      </c>
      <c r="F7356" s="115">
        <v>0</v>
      </c>
      <c r="G7356" s="115">
        <v>-2816</v>
      </c>
      <c r="H7356" s="115">
        <v>134</v>
      </c>
      <c r="I7356" s="115">
        <v>-1338</v>
      </c>
      <c r="J7356" s="115">
        <v>-157</v>
      </c>
      <c r="K7356" s="115">
        <v>-2020</v>
      </c>
    </row>
    <row r="7357" spans="1:11" x14ac:dyDescent="0.25">
      <c r="A7357" s="115">
        <v>-6</v>
      </c>
      <c r="B7357" s="115" t="s">
        <v>8395</v>
      </c>
      <c r="D7357" s="115" t="s">
        <v>13392</v>
      </c>
      <c r="E7357" s="115" t="s">
        <v>1242</v>
      </c>
      <c r="F7357" s="115">
        <v>-45202</v>
      </c>
      <c r="G7357" s="115">
        <v>0</v>
      </c>
      <c r="H7357" s="115">
        <v>0</v>
      </c>
      <c r="I7357" s="115">
        <v>0</v>
      </c>
      <c r="J7357" s="115">
        <v>0</v>
      </c>
      <c r="K7357" s="115">
        <v>0</v>
      </c>
    </row>
    <row r="7358" spans="1:11" x14ac:dyDescent="0.25">
      <c r="B7358" s="115" t="s">
        <v>1241</v>
      </c>
      <c r="D7358" s="115" t="s">
        <v>13393</v>
      </c>
      <c r="E7358" s="115" t="s">
        <v>8396</v>
      </c>
      <c r="F7358" s="115">
        <v>-1600</v>
      </c>
      <c r="G7358" s="115">
        <v>363</v>
      </c>
      <c r="H7358" s="115">
        <v>-1341</v>
      </c>
      <c r="I7358" s="115">
        <v>1110</v>
      </c>
      <c r="J7358" s="115">
        <v>0</v>
      </c>
      <c r="K7358" s="115">
        <v>0</v>
      </c>
    </row>
    <row r="7359" spans="1:11" x14ac:dyDescent="0.25">
      <c r="A7359" s="115">
        <v>-3</v>
      </c>
      <c r="B7359" s="115" t="s">
        <v>8397</v>
      </c>
      <c r="D7359" s="115" t="s">
        <v>13394</v>
      </c>
      <c r="E7359" s="115" t="s">
        <v>8398</v>
      </c>
      <c r="F7359" s="115">
        <v>0</v>
      </c>
      <c r="G7359" s="115">
        <v>0</v>
      </c>
      <c r="H7359" s="115">
        <v>0</v>
      </c>
      <c r="I7359" s="115">
        <v>0</v>
      </c>
      <c r="J7359" s="115">
        <v>543</v>
      </c>
      <c r="K7359" s="115">
        <v>0</v>
      </c>
    </row>
    <row r="7360" spans="1:11" x14ac:dyDescent="0.25">
      <c r="A7360" s="115">
        <v>1</v>
      </c>
      <c r="B7360" s="115" t="s">
        <v>8399</v>
      </c>
      <c r="D7360" s="115" t="s">
        <v>8710</v>
      </c>
      <c r="E7360" s="115" t="s">
        <v>1242</v>
      </c>
      <c r="F7360" s="115">
        <v>0</v>
      </c>
      <c r="G7360" s="115">
        <v>0</v>
      </c>
      <c r="H7360" s="115">
        <v>0</v>
      </c>
      <c r="I7360" s="115">
        <v>0</v>
      </c>
      <c r="J7360" s="115">
        <v>0</v>
      </c>
      <c r="K7360" s="115">
        <v>0</v>
      </c>
    </row>
    <row r="7361" spans="1:11" x14ac:dyDescent="0.25">
      <c r="B7361" s="115" t="s">
        <v>1241</v>
      </c>
      <c r="D7361" s="115" t="s">
        <v>13395</v>
      </c>
      <c r="E7361" s="115" t="s">
        <v>8400</v>
      </c>
      <c r="F7361" s="115">
        <v>0</v>
      </c>
      <c r="G7361" s="115">
        <v>0</v>
      </c>
      <c r="H7361" s="115">
        <v>0</v>
      </c>
      <c r="I7361" s="115">
        <v>611</v>
      </c>
      <c r="J7361" s="115">
        <v>0</v>
      </c>
      <c r="K7361" s="115">
        <v>0</v>
      </c>
    </row>
    <row r="7362" spans="1:11" x14ac:dyDescent="0.25">
      <c r="B7362" s="115" t="s">
        <v>1241</v>
      </c>
      <c r="D7362" s="115" t="s">
        <v>13396</v>
      </c>
      <c r="E7362" s="115" t="s">
        <v>8401</v>
      </c>
      <c r="F7362" s="115">
        <v>895</v>
      </c>
      <c r="G7362" s="115">
        <v>515</v>
      </c>
      <c r="H7362" s="115">
        <v>1907</v>
      </c>
      <c r="I7362" s="115">
        <v>1230</v>
      </c>
      <c r="J7362" s="115">
        <v>880</v>
      </c>
      <c r="K7362" s="115">
        <v>78</v>
      </c>
    </row>
    <row r="7363" spans="1:11" x14ac:dyDescent="0.25">
      <c r="A7363" s="115">
        <v>-1</v>
      </c>
      <c r="B7363" s="115" t="s">
        <v>8402</v>
      </c>
      <c r="C7363" s="115" t="s">
        <v>1239</v>
      </c>
      <c r="D7363" s="115" t="s">
        <v>13397</v>
      </c>
      <c r="E7363" s="115" t="s">
        <v>8403</v>
      </c>
      <c r="F7363" s="115">
        <v>-1479</v>
      </c>
      <c r="G7363" s="115">
        <v>-3195</v>
      </c>
      <c r="H7363" s="115">
        <v>2704</v>
      </c>
      <c r="I7363" s="115">
        <v>1406</v>
      </c>
      <c r="J7363" s="115">
        <v>-56</v>
      </c>
      <c r="K7363" s="115">
        <v>12074</v>
      </c>
    </row>
    <row r="7364" spans="1:11" x14ac:dyDescent="0.25">
      <c r="B7364" s="115" t="s">
        <v>8404</v>
      </c>
      <c r="D7364" s="115" t="s">
        <v>13398</v>
      </c>
      <c r="E7364" s="115" t="s">
        <v>8405</v>
      </c>
      <c r="F7364" s="115">
        <v>183</v>
      </c>
      <c r="G7364" s="115">
        <v>824</v>
      </c>
      <c r="H7364" s="115">
        <v>718</v>
      </c>
      <c r="I7364" s="115">
        <v>236</v>
      </c>
      <c r="J7364" s="115">
        <v>108</v>
      </c>
      <c r="K7364" s="115">
        <v>627</v>
      </c>
    </row>
    <row r="7365" spans="1:11" x14ac:dyDescent="0.25">
      <c r="B7365" s="115" t="s">
        <v>8406</v>
      </c>
      <c r="D7365" s="115" t="s">
        <v>13399</v>
      </c>
      <c r="E7365" s="115" t="s">
        <v>8407</v>
      </c>
      <c r="F7365" s="115">
        <v>173</v>
      </c>
      <c r="G7365" s="115">
        <v>195</v>
      </c>
      <c r="H7365" s="115">
        <v>-33</v>
      </c>
      <c r="I7365" s="115">
        <v>926</v>
      </c>
      <c r="J7365" s="115">
        <v>816</v>
      </c>
      <c r="K7365" s="115">
        <v>933</v>
      </c>
    </row>
    <row r="7366" spans="1:11" x14ac:dyDescent="0.25">
      <c r="B7366" s="115" t="s">
        <v>8408</v>
      </c>
      <c r="D7366" s="115" t="s">
        <v>13400</v>
      </c>
      <c r="E7366" s="115" t="s">
        <v>8409</v>
      </c>
      <c r="F7366" s="115">
        <v>4618</v>
      </c>
      <c r="G7366" s="115">
        <v>3199</v>
      </c>
      <c r="H7366" s="115">
        <v>5770</v>
      </c>
      <c r="I7366" s="115">
        <v>-3985</v>
      </c>
      <c r="J7366" s="115">
        <v>-376</v>
      </c>
      <c r="K7366" s="115">
        <v>-410</v>
      </c>
    </row>
    <row r="7367" spans="1:11" x14ac:dyDescent="0.25">
      <c r="A7367" s="115">
        <v>-1</v>
      </c>
      <c r="B7367" s="115" t="s">
        <v>8410</v>
      </c>
      <c r="D7367" s="115" t="s">
        <v>13401</v>
      </c>
      <c r="E7367" s="115" t="s">
        <v>8411</v>
      </c>
      <c r="F7367" s="115">
        <v>1182</v>
      </c>
      <c r="G7367" s="115">
        <v>4260</v>
      </c>
      <c r="H7367" s="115">
        <v>1570</v>
      </c>
      <c r="I7367" s="115">
        <v>1109</v>
      </c>
      <c r="J7367" s="115">
        <v>4256</v>
      </c>
      <c r="K7367" s="115">
        <v>460</v>
      </c>
    </row>
    <row r="7368" spans="1:11" x14ac:dyDescent="0.25">
      <c r="A7368" s="115">
        <v>3</v>
      </c>
      <c r="B7368" s="115" t="s">
        <v>8412</v>
      </c>
      <c r="D7368" s="115" t="s">
        <v>13402</v>
      </c>
      <c r="E7368" s="115" t="s">
        <v>8413</v>
      </c>
      <c r="F7368" s="115">
        <v>44</v>
      </c>
      <c r="G7368" s="115">
        <v>-328</v>
      </c>
      <c r="H7368" s="115">
        <v>721</v>
      </c>
      <c r="I7368" s="115">
        <v>918</v>
      </c>
      <c r="J7368" s="115">
        <v>907</v>
      </c>
      <c r="K7368" s="115">
        <v>844</v>
      </c>
    </row>
    <row r="7369" spans="1:11" x14ac:dyDescent="0.25">
      <c r="B7369" s="115" t="s">
        <v>8414</v>
      </c>
      <c r="D7369" s="115" t="s">
        <v>13403</v>
      </c>
      <c r="E7369" s="115" t="s">
        <v>8415</v>
      </c>
      <c r="F7369" s="115">
        <v>267</v>
      </c>
      <c r="G7369" s="115">
        <v>493</v>
      </c>
      <c r="H7369" s="115">
        <v>410</v>
      </c>
      <c r="I7369" s="115">
        <v>91</v>
      </c>
      <c r="J7369" s="115">
        <v>310</v>
      </c>
      <c r="K7369" s="115">
        <v>-34</v>
      </c>
    </row>
    <row r="7370" spans="1:11" x14ac:dyDescent="0.25">
      <c r="B7370" s="115" t="s">
        <v>8416</v>
      </c>
      <c r="D7370" s="115" t="s">
        <v>13404</v>
      </c>
      <c r="E7370" s="115" t="s">
        <v>8417</v>
      </c>
      <c r="F7370" s="115">
        <v>258</v>
      </c>
      <c r="G7370" s="115">
        <v>280</v>
      </c>
      <c r="H7370" s="115">
        <v>-779</v>
      </c>
      <c r="I7370" s="115">
        <v>-733</v>
      </c>
      <c r="J7370" s="115">
        <v>-7937</v>
      </c>
      <c r="K7370" s="115">
        <v>3979</v>
      </c>
    </row>
    <row r="7371" spans="1:11" x14ac:dyDescent="0.25">
      <c r="A7371" s="115">
        <v>-22</v>
      </c>
      <c r="B7371" s="115" t="s">
        <v>8418</v>
      </c>
      <c r="D7371" s="115" t="s">
        <v>13405</v>
      </c>
      <c r="E7371" s="115" t="s">
        <v>8419</v>
      </c>
      <c r="F7371" s="115">
        <v>-302</v>
      </c>
      <c r="G7371" s="115">
        <v>648</v>
      </c>
      <c r="H7371" s="115">
        <v>0</v>
      </c>
      <c r="I7371" s="115">
        <v>0</v>
      </c>
      <c r="J7371" s="115">
        <v>-71</v>
      </c>
      <c r="K7371" s="115">
        <v>0</v>
      </c>
    </row>
    <row r="7372" spans="1:11" x14ac:dyDescent="0.25">
      <c r="B7372" s="115" t="s">
        <v>1241</v>
      </c>
      <c r="D7372" s="115" t="s">
        <v>13406</v>
      </c>
      <c r="E7372" s="115" t="s">
        <v>1242</v>
      </c>
      <c r="F7372" s="115">
        <v>0</v>
      </c>
      <c r="G7372" s="115">
        <v>0</v>
      </c>
      <c r="H7372" s="115">
        <v>0</v>
      </c>
      <c r="I7372" s="115">
        <v>0</v>
      </c>
      <c r="J7372" s="115">
        <v>0</v>
      </c>
      <c r="K7372" s="115">
        <v>0</v>
      </c>
    </row>
    <row r="7373" spans="1:11" x14ac:dyDescent="0.25">
      <c r="A7373" s="115">
        <v>-2</v>
      </c>
      <c r="B7373" s="115" t="s">
        <v>4399</v>
      </c>
      <c r="D7373" s="115" t="s">
        <v>13407</v>
      </c>
      <c r="E7373" s="115" t="s">
        <v>8420</v>
      </c>
      <c r="F7373" s="115">
        <v>0</v>
      </c>
      <c r="G7373" s="115">
        <v>124</v>
      </c>
      <c r="H7373" s="115">
        <v>0</v>
      </c>
      <c r="I7373" s="115">
        <v>-165</v>
      </c>
      <c r="J7373" s="115">
        <v>745</v>
      </c>
      <c r="K7373" s="115">
        <v>530</v>
      </c>
    </row>
    <row r="7374" spans="1:11" x14ac:dyDescent="0.25">
      <c r="B7374" s="115" t="s">
        <v>8421</v>
      </c>
      <c r="D7374" s="115" t="s">
        <v>13408</v>
      </c>
      <c r="E7374" s="115" t="s">
        <v>8422</v>
      </c>
      <c r="F7374" s="115">
        <v>939</v>
      </c>
      <c r="G7374" s="115">
        <v>-1006</v>
      </c>
      <c r="H7374" s="115">
        <v>-1231</v>
      </c>
      <c r="I7374" s="115">
        <v>0</v>
      </c>
      <c r="J7374" s="115">
        <v>238</v>
      </c>
      <c r="K7374" s="115">
        <v>0</v>
      </c>
    </row>
    <row r="7375" spans="1:11" x14ac:dyDescent="0.25">
      <c r="B7375" s="115" t="s">
        <v>1241</v>
      </c>
      <c r="D7375" s="115" t="s">
        <v>13409</v>
      </c>
      <c r="E7375" s="115" t="s">
        <v>8423</v>
      </c>
      <c r="F7375" s="115">
        <v>213</v>
      </c>
      <c r="G7375" s="115">
        <v>0</v>
      </c>
      <c r="H7375" s="115">
        <v>0</v>
      </c>
      <c r="I7375" s="115">
        <v>0</v>
      </c>
      <c r="J7375" s="115">
        <v>-199</v>
      </c>
      <c r="K7375" s="115">
        <v>0</v>
      </c>
    </row>
    <row r="7376" spans="1:11" x14ac:dyDescent="0.25">
      <c r="B7376" s="115" t="s">
        <v>7983</v>
      </c>
      <c r="D7376" s="115" t="s">
        <v>13410</v>
      </c>
      <c r="E7376" s="115" t="s">
        <v>8424</v>
      </c>
      <c r="F7376" s="115">
        <v>0</v>
      </c>
      <c r="G7376" s="115">
        <v>0</v>
      </c>
      <c r="H7376" s="115">
        <v>-69</v>
      </c>
      <c r="I7376" s="115">
        <v>0</v>
      </c>
      <c r="J7376" s="115">
        <v>161</v>
      </c>
      <c r="K7376" s="115">
        <v>1001</v>
      </c>
    </row>
    <row r="7377" spans="1:11" x14ac:dyDescent="0.25">
      <c r="B7377" s="115" t="s">
        <v>1241</v>
      </c>
      <c r="C7377" s="115">
        <v>-1</v>
      </c>
      <c r="D7377" s="115" t="s">
        <v>13411</v>
      </c>
      <c r="E7377" s="115" t="s">
        <v>8425</v>
      </c>
      <c r="F7377" s="115">
        <v>0</v>
      </c>
      <c r="G7377" s="115">
        <v>-5370</v>
      </c>
      <c r="H7377" s="115">
        <v>0</v>
      </c>
      <c r="I7377" s="115">
        <v>0</v>
      </c>
      <c r="J7377" s="115">
        <v>0</v>
      </c>
      <c r="K7377" s="115">
        <v>0</v>
      </c>
    </row>
    <row r="7378" spans="1:11" x14ac:dyDescent="0.25">
      <c r="A7378" s="115">
        <v>7</v>
      </c>
      <c r="B7378" s="115" t="s">
        <v>8426</v>
      </c>
      <c r="D7378" s="115" t="s">
        <v>13412</v>
      </c>
      <c r="E7378" s="115" t="s">
        <v>8427</v>
      </c>
      <c r="F7378" s="115">
        <v>0</v>
      </c>
      <c r="G7378" s="115">
        <v>354</v>
      </c>
      <c r="H7378" s="115">
        <v>285</v>
      </c>
      <c r="I7378" s="115">
        <v>0</v>
      </c>
      <c r="J7378" s="115">
        <v>-1258</v>
      </c>
      <c r="K7378" s="115">
        <v>-1564</v>
      </c>
    </row>
    <row r="7379" spans="1:11" x14ac:dyDescent="0.25">
      <c r="A7379" s="115" t="s">
        <v>1239</v>
      </c>
      <c r="B7379" s="115" t="s">
        <v>8428</v>
      </c>
      <c r="D7379" s="115" t="s">
        <v>13413</v>
      </c>
      <c r="E7379" s="115" t="s">
        <v>1242</v>
      </c>
      <c r="F7379" s="115">
        <v>-2617</v>
      </c>
      <c r="G7379" s="115">
        <v>0</v>
      </c>
      <c r="H7379" s="115">
        <v>0</v>
      </c>
      <c r="I7379" s="115">
        <v>0</v>
      </c>
      <c r="J7379" s="115">
        <v>0</v>
      </c>
      <c r="K7379" s="115">
        <v>0</v>
      </c>
    </row>
    <row r="7380" spans="1:11" x14ac:dyDescent="0.25">
      <c r="A7380" s="115">
        <v>-12</v>
      </c>
      <c r="B7380" s="115" t="s">
        <v>1817</v>
      </c>
      <c r="C7380" s="115" t="s">
        <v>1239</v>
      </c>
      <c r="D7380" s="115" t="s">
        <v>13414</v>
      </c>
      <c r="E7380" s="115" t="s">
        <v>8429</v>
      </c>
      <c r="F7380" s="115">
        <v>1222</v>
      </c>
      <c r="G7380" s="115">
        <v>0</v>
      </c>
      <c r="H7380" s="115">
        <v>-12896</v>
      </c>
      <c r="I7380" s="115">
        <v>1159</v>
      </c>
      <c r="J7380" s="115">
        <v>-623</v>
      </c>
      <c r="K7380" s="115">
        <v>-3968</v>
      </c>
    </row>
    <row r="7381" spans="1:11" x14ac:dyDescent="0.25">
      <c r="A7381" s="115">
        <v>-3</v>
      </c>
      <c r="B7381" s="115" t="s">
        <v>8430</v>
      </c>
      <c r="D7381" s="115" t="s">
        <v>13415</v>
      </c>
      <c r="E7381" s="115" t="s">
        <v>8431</v>
      </c>
      <c r="F7381" s="115">
        <v>3846</v>
      </c>
      <c r="G7381" s="115">
        <v>690</v>
      </c>
      <c r="H7381" s="115">
        <v>0</v>
      </c>
      <c r="I7381" s="115">
        <v>-724</v>
      </c>
      <c r="J7381" s="115">
        <v>15024</v>
      </c>
      <c r="K7381" s="115">
        <v>0</v>
      </c>
    </row>
    <row r="7382" spans="1:11" x14ac:dyDescent="0.25">
      <c r="B7382" s="115" t="s">
        <v>1241</v>
      </c>
      <c r="D7382" s="115" t="s">
        <v>13416</v>
      </c>
      <c r="E7382" s="115" t="s">
        <v>8432</v>
      </c>
      <c r="F7382" s="115">
        <v>0</v>
      </c>
      <c r="G7382" s="115">
        <v>311</v>
      </c>
      <c r="H7382" s="115">
        <v>886</v>
      </c>
      <c r="I7382" s="115">
        <v>241</v>
      </c>
      <c r="J7382" s="115">
        <v>284</v>
      </c>
      <c r="K7382" s="115">
        <v>0</v>
      </c>
    </row>
    <row r="7383" spans="1:11" x14ac:dyDescent="0.25">
      <c r="B7383" s="115" t="s">
        <v>1241</v>
      </c>
      <c r="D7383" s="115" t="s">
        <v>13417</v>
      </c>
      <c r="E7383" s="115" t="s">
        <v>8433</v>
      </c>
      <c r="F7383" s="115">
        <v>-15737</v>
      </c>
      <c r="G7383" s="115">
        <v>0</v>
      </c>
      <c r="H7383" s="115">
        <v>-4037</v>
      </c>
      <c r="I7383" s="115">
        <v>554</v>
      </c>
      <c r="J7383" s="115">
        <v>-612</v>
      </c>
      <c r="K7383" s="115">
        <v>0</v>
      </c>
    </row>
    <row r="7384" spans="1:11" x14ac:dyDescent="0.25">
      <c r="A7384" s="115">
        <v>-12</v>
      </c>
      <c r="B7384" s="115" t="s">
        <v>8434</v>
      </c>
      <c r="D7384" s="115" t="s">
        <v>13418</v>
      </c>
      <c r="E7384" s="115" t="s">
        <v>8435</v>
      </c>
      <c r="F7384" s="115">
        <v>-2868</v>
      </c>
      <c r="G7384" s="115">
        <v>560</v>
      </c>
      <c r="H7384" s="115">
        <v>1649</v>
      </c>
      <c r="I7384" s="115">
        <v>-3169</v>
      </c>
      <c r="J7384" s="115">
        <v>0</v>
      </c>
      <c r="K7384" s="115">
        <v>211</v>
      </c>
    </row>
    <row r="7385" spans="1:11" x14ac:dyDescent="0.25">
      <c r="B7385" s="115" t="s">
        <v>1241</v>
      </c>
      <c r="C7385" s="115">
        <v>1</v>
      </c>
      <c r="D7385" s="115" t="s">
        <v>13419</v>
      </c>
      <c r="E7385" s="115" t="s">
        <v>8436</v>
      </c>
      <c r="F7385" s="115">
        <v>0</v>
      </c>
      <c r="G7385" s="115">
        <v>-81</v>
      </c>
      <c r="H7385" s="115">
        <v>0</v>
      </c>
      <c r="I7385" s="115">
        <v>0</v>
      </c>
      <c r="J7385" s="115">
        <v>273</v>
      </c>
      <c r="K7385" s="115">
        <v>0</v>
      </c>
    </row>
    <row r="7386" spans="1:11" x14ac:dyDescent="0.25">
      <c r="B7386" s="115" t="s">
        <v>8437</v>
      </c>
      <c r="D7386" s="115" t="s">
        <v>13420</v>
      </c>
      <c r="E7386" s="115" t="s">
        <v>8438</v>
      </c>
      <c r="F7386" s="115">
        <v>0</v>
      </c>
      <c r="G7386" s="115">
        <v>0</v>
      </c>
      <c r="H7386" s="115">
        <v>0</v>
      </c>
      <c r="I7386" s="115">
        <v>0</v>
      </c>
      <c r="J7386" s="115">
        <v>-15347</v>
      </c>
      <c r="K7386" s="115">
        <v>0</v>
      </c>
    </row>
    <row r="7387" spans="1:11" x14ac:dyDescent="0.25">
      <c r="A7387" s="115">
        <v>-4</v>
      </c>
      <c r="B7387" s="115" t="s">
        <v>8439</v>
      </c>
      <c r="D7387" s="115" t="s">
        <v>13421</v>
      </c>
      <c r="E7387" s="115" t="s">
        <v>8440</v>
      </c>
      <c r="F7387" s="115">
        <v>-29333</v>
      </c>
      <c r="G7387" s="115">
        <v>-1272</v>
      </c>
      <c r="H7387" s="115">
        <v>801</v>
      </c>
      <c r="I7387" s="115">
        <v>0</v>
      </c>
      <c r="J7387" s="115">
        <v>0</v>
      </c>
      <c r="K7387" s="115">
        <v>0</v>
      </c>
    </row>
    <row r="7388" spans="1:11" x14ac:dyDescent="0.25">
      <c r="A7388" s="115">
        <v>1</v>
      </c>
      <c r="B7388" s="115" t="s">
        <v>8441</v>
      </c>
      <c r="D7388" s="115" t="s">
        <v>13422</v>
      </c>
      <c r="E7388" s="115" t="s">
        <v>8442</v>
      </c>
      <c r="F7388" s="115">
        <v>-454</v>
      </c>
      <c r="G7388" s="115">
        <v>0</v>
      </c>
      <c r="H7388" s="115">
        <v>7694</v>
      </c>
      <c r="I7388" s="115">
        <v>0</v>
      </c>
      <c r="J7388" s="115">
        <v>0</v>
      </c>
      <c r="K7388" s="115">
        <v>-226</v>
      </c>
    </row>
    <row r="7389" spans="1:11" x14ac:dyDescent="0.25">
      <c r="B7389" s="115" t="s">
        <v>8443</v>
      </c>
      <c r="D7389" s="115" t="s">
        <v>13423</v>
      </c>
      <c r="E7389" s="115" t="s">
        <v>1242</v>
      </c>
      <c r="F7389" s="115">
        <v>0</v>
      </c>
      <c r="G7389" s="115">
        <v>0</v>
      </c>
      <c r="H7389" s="115">
        <v>0</v>
      </c>
      <c r="I7389" s="115">
        <v>0</v>
      </c>
      <c r="J7389" s="115">
        <v>0</v>
      </c>
      <c r="K7389" s="115">
        <v>0</v>
      </c>
    </row>
    <row r="7390" spans="1:11" x14ac:dyDescent="0.25">
      <c r="B7390" s="115" t="s">
        <v>1241</v>
      </c>
      <c r="C7390" s="115" t="s">
        <v>1239</v>
      </c>
      <c r="D7390" s="115" t="s">
        <v>13424</v>
      </c>
      <c r="E7390" s="115" t="s">
        <v>8444</v>
      </c>
      <c r="F7390" s="115">
        <v>-948</v>
      </c>
      <c r="G7390" s="115">
        <v>-1566</v>
      </c>
      <c r="H7390" s="115">
        <v>-495</v>
      </c>
      <c r="I7390" s="115">
        <v>0</v>
      </c>
      <c r="J7390" s="115">
        <v>-14941</v>
      </c>
      <c r="K7390" s="115">
        <v>197</v>
      </c>
    </row>
    <row r="7391" spans="1:11" x14ac:dyDescent="0.25">
      <c r="B7391" s="115" t="s">
        <v>1241</v>
      </c>
      <c r="D7391" s="115" t="s">
        <v>13425</v>
      </c>
      <c r="E7391" s="115" t="s">
        <v>8445</v>
      </c>
      <c r="F7391" s="115">
        <v>0</v>
      </c>
      <c r="G7391" s="115">
        <v>-4060</v>
      </c>
      <c r="H7391" s="115">
        <v>1573</v>
      </c>
      <c r="I7391" s="115">
        <v>-815</v>
      </c>
      <c r="J7391" s="115">
        <v>-2037</v>
      </c>
      <c r="K7391" s="115">
        <v>-1464</v>
      </c>
    </row>
    <row r="7392" spans="1:11" x14ac:dyDescent="0.25">
      <c r="A7392" s="115">
        <v>14</v>
      </c>
      <c r="B7392" s="115" t="s">
        <v>4931</v>
      </c>
      <c r="D7392" s="115" t="s">
        <v>13426</v>
      </c>
      <c r="E7392" s="115" t="s">
        <v>8446</v>
      </c>
      <c r="F7392" s="115">
        <v>0</v>
      </c>
      <c r="G7392" s="115">
        <v>-1520</v>
      </c>
      <c r="H7392" s="115">
        <v>0</v>
      </c>
      <c r="I7392" s="115">
        <v>-335</v>
      </c>
      <c r="J7392" s="115">
        <v>0</v>
      </c>
      <c r="K7392" s="115">
        <v>0</v>
      </c>
    </row>
    <row r="7393" spans="1:11" x14ac:dyDescent="0.25">
      <c r="A7393" s="115">
        <v>-1</v>
      </c>
      <c r="B7393" s="115" t="s">
        <v>8447</v>
      </c>
      <c r="D7393" s="115" t="s">
        <v>13427</v>
      </c>
      <c r="E7393" s="115" t="s">
        <v>8448</v>
      </c>
      <c r="F7393" s="115">
        <v>0</v>
      </c>
      <c r="G7393" s="115">
        <v>0</v>
      </c>
      <c r="H7393" s="115">
        <v>-17549</v>
      </c>
      <c r="I7393" s="115">
        <v>0</v>
      </c>
      <c r="J7393" s="115">
        <v>-2391</v>
      </c>
      <c r="K7393" s="115">
        <v>-1521</v>
      </c>
    </row>
    <row r="7394" spans="1:11" x14ac:dyDescent="0.25">
      <c r="A7394" s="115">
        <v>-1</v>
      </c>
      <c r="B7394" s="115" t="s">
        <v>8449</v>
      </c>
      <c r="D7394" s="115" t="s">
        <v>13428</v>
      </c>
      <c r="E7394" s="115" t="s">
        <v>8450</v>
      </c>
      <c r="F7394" s="115">
        <v>11005</v>
      </c>
      <c r="G7394" s="115">
        <v>-788</v>
      </c>
      <c r="H7394" s="115">
        <v>-5419</v>
      </c>
      <c r="I7394" s="115">
        <v>3702</v>
      </c>
      <c r="J7394" s="115">
        <v>0</v>
      </c>
      <c r="K7394" s="115">
        <v>0</v>
      </c>
    </row>
    <row r="7395" spans="1:11" x14ac:dyDescent="0.25">
      <c r="B7395" s="115" t="s">
        <v>1241</v>
      </c>
      <c r="D7395" s="115" t="s">
        <v>13429</v>
      </c>
      <c r="E7395" s="115">
        <f>-727   -222  -1625   -384  -1386</f>
        <v>-4344</v>
      </c>
      <c r="F7395" s="115">
        <v>0</v>
      </c>
      <c r="G7395" s="115">
        <v>-727</v>
      </c>
      <c r="H7395" s="115">
        <v>-222</v>
      </c>
      <c r="I7395" s="115">
        <v>-1625</v>
      </c>
      <c r="J7395" s="115">
        <v>-384</v>
      </c>
      <c r="K7395" s="115">
        <v>-1386</v>
      </c>
    </row>
    <row r="7396" spans="1:11" x14ac:dyDescent="0.25">
      <c r="A7396" s="115" t="s">
        <v>1239</v>
      </c>
      <c r="B7396" s="115" t="s">
        <v>8451</v>
      </c>
      <c r="D7396" s="115" t="s">
        <v>13430</v>
      </c>
      <c r="E7396" s="115" t="s">
        <v>8452</v>
      </c>
      <c r="F7396" s="115">
        <v>0</v>
      </c>
      <c r="G7396" s="115">
        <v>-992</v>
      </c>
      <c r="H7396" s="115">
        <v>18665</v>
      </c>
      <c r="I7396" s="115">
        <v>0</v>
      </c>
      <c r="J7396" s="115">
        <v>0</v>
      </c>
      <c r="K7396" s="115">
        <v>0</v>
      </c>
    </row>
    <row r="7397" spans="1:11" x14ac:dyDescent="0.25">
      <c r="B7397" s="115" t="s">
        <v>8453</v>
      </c>
      <c r="D7397" s="115" t="s">
        <v>13431</v>
      </c>
      <c r="E7397" s="115" t="s">
        <v>1242</v>
      </c>
      <c r="F7397" s="115">
        <v>1569</v>
      </c>
      <c r="G7397" s="115">
        <v>0</v>
      </c>
      <c r="H7397" s="115">
        <v>0</v>
      </c>
      <c r="I7397" s="115">
        <v>0</v>
      </c>
      <c r="J7397" s="115">
        <v>0</v>
      </c>
      <c r="K7397" s="115">
        <v>0</v>
      </c>
    </row>
    <row r="7398" spans="1:11" x14ac:dyDescent="0.25">
      <c r="B7398" s="115" t="s">
        <v>1241</v>
      </c>
      <c r="D7398" s="115" t="s">
        <v>8710</v>
      </c>
      <c r="E7398" s="115" t="s">
        <v>1242</v>
      </c>
      <c r="F7398" s="115">
        <v>0</v>
      </c>
      <c r="G7398" s="115">
        <v>0</v>
      </c>
      <c r="H7398" s="115">
        <v>0</v>
      </c>
      <c r="I7398" s="115">
        <v>0</v>
      </c>
      <c r="J7398" s="115">
        <v>0</v>
      </c>
      <c r="K7398" s="115">
        <v>0</v>
      </c>
    </row>
    <row r="7399" spans="1:11" x14ac:dyDescent="0.25">
      <c r="A7399" s="115" t="s">
        <v>1239</v>
      </c>
      <c r="B7399" s="115" t="s">
        <v>2217</v>
      </c>
      <c r="D7399" s="115" t="s">
        <v>13432</v>
      </c>
      <c r="E7399" s="115" t="s">
        <v>8454</v>
      </c>
      <c r="F7399" s="115">
        <v>0</v>
      </c>
      <c r="G7399" s="115">
        <v>0</v>
      </c>
      <c r="H7399" s="115">
        <v>215</v>
      </c>
      <c r="I7399" s="115">
        <v>-421</v>
      </c>
      <c r="J7399" s="115">
        <v>-87</v>
      </c>
      <c r="K7399" s="115">
        <v>-1687</v>
      </c>
    </row>
    <row r="7400" spans="1:11" x14ac:dyDescent="0.25">
      <c r="A7400" s="115">
        <v>-3</v>
      </c>
      <c r="B7400" s="115" t="s">
        <v>8455</v>
      </c>
      <c r="C7400" s="115" t="s">
        <v>1239</v>
      </c>
      <c r="D7400" s="115" t="s">
        <v>13433</v>
      </c>
      <c r="E7400" s="115" t="s">
        <v>8456</v>
      </c>
      <c r="F7400" s="115">
        <v>245</v>
      </c>
      <c r="G7400" s="115">
        <v>-470</v>
      </c>
      <c r="H7400" s="115">
        <v>-242</v>
      </c>
      <c r="I7400" s="115">
        <v>126</v>
      </c>
      <c r="J7400" s="115">
        <v>-2734</v>
      </c>
      <c r="K7400" s="115">
        <v>-3764</v>
      </c>
    </row>
    <row r="7401" spans="1:11" x14ac:dyDescent="0.25">
      <c r="A7401" s="115">
        <v>-2</v>
      </c>
      <c r="B7401" s="115" t="s">
        <v>8457</v>
      </c>
      <c r="D7401" s="115" t="s">
        <v>13434</v>
      </c>
      <c r="E7401" s="115" t="s">
        <v>8458</v>
      </c>
      <c r="F7401" s="115">
        <v>-2014</v>
      </c>
      <c r="G7401" s="115">
        <v>-829</v>
      </c>
      <c r="H7401" s="115">
        <v>-1195</v>
      </c>
      <c r="I7401" s="115">
        <v>-502</v>
      </c>
      <c r="J7401" s="115">
        <v>1221</v>
      </c>
      <c r="K7401" s="115">
        <v>5105</v>
      </c>
    </row>
    <row r="7402" spans="1:11" x14ac:dyDescent="0.25">
      <c r="A7402" s="115" t="s">
        <v>1239</v>
      </c>
      <c r="B7402" s="115" t="s">
        <v>8459</v>
      </c>
      <c r="D7402" s="115" t="s">
        <v>13435</v>
      </c>
      <c r="E7402" s="115" t="s">
        <v>8460</v>
      </c>
      <c r="F7402" s="115">
        <v>4986</v>
      </c>
      <c r="G7402" s="115">
        <v>-221</v>
      </c>
      <c r="H7402" s="115">
        <v>-1381</v>
      </c>
      <c r="I7402" s="115">
        <v>-994</v>
      </c>
      <c r="J7402" s="115">
        <v>-468</v>
      </c>
      <c r="K7402" s="115">
        <v>3540</v>
      </c>
    </row>
    <row r="7403" spans="1:11" x14ac:dyDescent="0.25">
      <c r="B7403" s="115" t="s">
        <v>8461</v>
      </c>
      <c r="D7403" s="115">
        <f>-253   -480  -7591 -15085 -15067 -15032 -15784 -15279</f>
        <v>-84571</v>
      </c>
      <c r="E7403" s="115" t="s">
        <v>8462</v>
      </c>
      <c r="F7403" s="115">
        <v>-7591</v>
      </c>
      <c r="G7403" s="115">
        <v>-15085</v>
      </c>
      <c r="H7403" s="115">
        <v>-15067</v>
      </c>
      <c r="I7403" s="115">
        <v>-15032</v>
      </c>
      <c r="J7403" s="115">
        <v>-15784</v>
      </c>
      <c r="K7403" s="115">
        <v>-15279</v>
      </c>
    </row>
    <row r="7404" spans="1:11" x14ac:dyDescent="0.25">
      <c r="A7404" s="115">
        <v>-4</v>
      </c>
      <c r="B7404" s="115" t="s">
        <v>8463</v>
      </c>
      <c r="C7404" s="115">
        <v>-1</v>
      </c>
      <c r="D7404" s="115" t="s">
        <v>13436</v>
      </c>
      <c r="E7404" s="115" t="s">
        <v>8464</v>
      </c>
      <c r="F7404" s="115">
        <v>-12110</v>
      </c>
      <c r="G7404" s="115">
        <v>38575</v>
      </c>
      <c r="H7404" s="115">
        <v>35366</v>
      </c>
      <c r="I7404" s="115">
        <v>25387</v>
      </c>
      <c r="J7404" s="115">
        <v>38280</v>
      </c>
      <c r="K7404" s="115">
        <v>41426</v>
      </c>
    </row>
    <row r="7405" spans="1:11" x14ac:dyDescent="0.25">
      <c r="A7405" s="115">
        <v>33</v>
      </c>
      <c r="B7405" s="115" t="s">
        <v>8465</v>
      </c>
      <c r="C7405" s="115">
        <v>2</v>
      </c>
      <c r="D7405" s="115" t="s">
        <v>13437</v>
      </c>
      <c r="E7405" s="115" t="s">
        <v>8466</v>
      </c>
      <c r="F7405" s="115">
        <v>694</v>
      </c>
      <c r="G7405" s="115">
        <v>794</v>
      </c>
      <c r="H7405" s="115">
        <v>646</v>
      </c>
      <c r="I7405" s="115">
        <v>970</v>
      </c>
      <c r="J7405" s="115">
        <v>124</v>
      </c>
      <c r="K7405" s="115">
        <v>123</v>
      </c>
    </row>
    <row r="7406" spans="1:11" x14ac:dyDescent="0.25">
      <c r="B7406" s="115" t="s">
        <v>8467</v>
      </c>
      <c r="D7406" s="115" t="s">
        <v>13438</v>
      </c>
      <c r="E7406" s="115" t="s">
        <v>8468</v>
      </c>
      <c r="F7406" s="115">
        <v>716</v>
      </c>
      <c r="G7406" s="115">
        <v>767</v>
      </c>
      <c r="H7406" s="115">
        <v>253</v>
      </c>
      <c r="I7406" s="115">
        <v>28</v>
      </c>
      <c r="J7406" s="115">
        <v>521</v>
      </c>
      <c r="K7406" s="115">
        <v>483</v>
      </c>
    </row>
    <row r="7407" spans="1:11" x14ac:dyDescent="0.25">
      <c r="B7407" s="115" t="s">
        <v>8469</v>
      </c>
      <c r="D7407" s="115" t="s">
        <v>13439</v>
      </c>
      <c r="E7407" s="115" t="s">
        <v>8470</v>
      </c>
      <c r="F7407" s="115">
        <v>565</v>
      </c>
      <c r="G7407" s="115">
        <v>535</v>
      </c>
      <c r="H7407" s="115">
        <v>162</v>
      </c>
      <c r="I7407" s="115">
        <v>591</v>
      </c>
      <c r="J7407" s="115">
        <v>626</v>
      </c>
      <c r="K7407" s="115">
        <v>5597</v>
      </c>
    </row>
    <row r="7408" spans="1:11" x14ac:dyDescent="0.25">
      <c r="A7408" s="115">
        <v>3</v>
      </c>
      <c r="B7408" s="115" t="s">
        <v>8471</v>
      </c>
      <c r="C7408" s="115" t="s">
        <v>1239</v>
      </c>
      <c r="D7408" s="115" t="s">
        <v>13440</v>
      </c>
      <c r="E7408" s="115" t="s">
        <v>1242</v>
      </c>
      <c r="F7408" s="115">
        <v>4843</v>
      </c>
      <c r="G7408" s="115">
        <v>0</v>
      </c>
      <c r="H7408" s="115">
        <v>0</v>
      </c>
      <c r="I7408" s="115">
        <v>0</v>
      </c>
      <c r="J7408" s="115">
        <v>0</v>
      </c>
      <c r="K7408" s="115">
        <v>0</v>
      </c>
    </row>
    <row r="7409" spans="2:11" x14ac:dyDescent="0.25">
      <c r="B7409" s="115" t="s">
        <v>1241</v>
      </c>
      <c r="D7409" s="115" t="s">
        <v>8710</v>
      </c>
      <c r="E7409" s="115" t="s">
        <v>1242</v>
      </c>
      <c r="F7409" s="115">
        <v>0</v>
      </c>
      <c r="G7409" s="115">
        <v>0</v>
      </c>
      <c r="H7409" s="115">
        <v>0</v>
      </c>
      <c r="I7409" s="115">
        <v>0</v>
      </c>
      <c r="J7409" s="115">
        <v>0</v>
      </c>
      <c r="K7409" s="115">
        <v>0</v>
      </c>
    </row>
    <row r="7410" spans="2:11" x14ac:dyDescent="0.25">
      <c r="B7410" s="115" t="s">
        <v>1241</v>
      </c>
      <c r="D7410" s="115" t="s">
        <v>8710</v>
      </c>
      <c r="E7410" s="115" t="s">
        <v>1242</v>
      </c>
      <c r="F7410" s="115">
        <v>0</v>
      </c>
      <c r="G7410" s="115">
        <v>0</v>
      </c>
      <c r="H7410" s="115">
        <v>0</v>
      </c>
      <c r="I7410" s="115">
        <v>0</v>
      </c>
      <c r="J7410" s="115">
        <v>0</v>
      </c>
      <c r="K7410" s="115">
        <v>0</v>
      </c>
    </row>
    <row r="7411" spans="2:11" x14ac:dyDescent="0.25">
      <c r="B7411" s="115" t="s">
        <v>1241</v>
      </c>
      <c r="D7411" s="115" t="s">
        <v>8710</v>
      </c>
      <c r="E7411" s="115" t="s">
        <v>1242</v>
      </c>
      <c r="F7411" s="115">
        <v>0</v>
      </c>
      <c r="G7411" s="115">
        <v>0</v>
      </c>
      <c r="H7411" s="115">
        <v>0</v>
      </c>
      <c r="I7411" s="115">
        <v>0</v>
      </c>
      <c r="J7411" s="115">
        <v>0</v>
      </c>
      <c r="K7411" s="115">
        <v>0</v>
      </c>
    </row>
    <row r="7412" spans="2:11" x14ac:dyDescent="0.25">
      <c r="B7412" s="115" t="s">
        <v>1241</v>
      </c>
      <c r="D7412" s="115" t="s">
        <v>8710</v>
      </c>
      <c r="E7412" s="115" t="s">
        <v>1242</v>
      </c>
      <c r="F7412" s="115">
        <v>0</v>
      </c>
      <c r="G7412" s="115">
        <v>0</v>
      </c>
      <c r="H7412" s="115">
        <v>0</v>
      </c>
      <c r="I7412" s="115">
        <v>0</v>
      </c>
      <c r="J7412" s="115">
        <v>0</v>
      </c>
      <c r="K7412" s="115">
        <v>0</v>
      </c>
    </row>
    <row r="7413" spans="2:11" x14ac:dyDescent="0.25">
      <c r="B7413" s="115" t="s">
        <v>1241</v>
      </c>
      <c r="D7413" s="115" t="s">
        <v>8710</v>
      </c>
      <c r="E7413" s="115" t="s">
        <v>1242</v>
      </c>
      <c r="F7413" s="115">
        <v>0</v>
      </c>
      <c r="G7413" s="115">
        <v>0</v>
      </c>
      <c r="H7413" s="115">
        <v>0</v>
      </c>
      <c r="I7413" s="115">
        <v>0</v>
      </c>
      <c r="J7413" s="115">
        <v>0</v>
      </c>
      <c r="K7413" s="115">
        <v>0</v>
      </c>
    </row>
    <row r="7414" spans="2:11" x14ac:dyDescent="0.25">
      <c r="B7414" s="115" t="s">
        <v>1241</v>
      </c>
      <c r="D7414" s="115" t="s">
        <v>8710</v>
      </c>
      <c r="E7414" s="115" t="s">
        <v>1242</v>
      </c>
      <c r="F7414" s="115">
        <v>0</v>
      </c>
      <c r="G7414" s="115">
        <v>0</v>
      </c>
      <c r="H7414" s="115">
        <v>0</v>
      </c>
      <c r="I7414" s="115">
        <v>0</v>
      </c>
      <c r="J7414" s="115">
        <v>0</v>
      </c>
      <c r="K7414" s="115">
        <v>0</v>
      </c>
    </row>
    <row r="7415" spans="2:11" x14ac:dyDescent="0.25">
      <c r="B7415" s="115" t="s">
        <v>1241</v>
      </c>
      <c r="D7415" s="115" t="s">
        <v>8710</v>
      </c>
      <c r="E7415" s="115" t="s">
        <v>1242</v>
      </c>
      <c r="F7415" s="115">
        <v>0</v>
      </c>
      <c r="G7415" s="115">
        <v>0</v>
      </c>
      <c r="H7415" s="115">
        <v>0</v>
      </c>
      <c r="I7415" s="115">
        <v>0</v>
      </c>
      <c r="J7415" s="115">
        <v>0</v>
      </c>
      <c r="K7415" s="115">
        <v>0</v>
      </c>
    </row>
    <row r="7416" spans="2:11" x14ac:dyDescent="0.25">
      <c r="B7416" s="115" t="s">
        <v>1241</v>
      </c>
      <c r="D7416" s="115" t="s">
        <v>8710</v>
      </c>
      <c r="E7416" s="115" t="s">
        <v>1242</v>
      </c>
      <c r="F7416" s="115">
        <v>0</v>
      </c>
      <c r="G7416" s="115">
        <v>0</v>
      </c>
      <c r="H7416" s="115">
        <v>0</v>
      </c>
      <c r="I7416" s="115">
        <v>0</v>
      </c>
      <c r="J7416" s="115">
        <v>0</v>
      </c>
      <c r="K7416" s="115">
        <v>0</v>
      </c>
    </row>
    <row r="7417" spans="2:11" x14ac:dyDescent="0.25">
      <c r="B7417" s="115" t="s">
        <v>1241</v>
      </c>
      <c r="D7417" s="115" t="s">
        <v>8710</v>
      </c>
      <c r="E7417" s="115" t="s">
        <v>1242</v>
      </c>
      <c r="F7417" s="115">
        <v>0</v>
      </c>
      <c r="G7417" s="115">
        <v>0</v>
      </c>
      <c r="H7417" s="115">
        <v>0</v>
      </c>
      <c r="I7417" s="115">
        <v>0</v>
      </c>
      <c r="J7417" s="115">
        <v>0</v>
      </c>
      <c r="K7417" s="115">
        <v>0</v>
      </c>
    </row>
    <row r="7418" spans="2:11" x14ac:dyDescent="0.25">
      <c r="B7418" s="115" t="s">
        <v>1241</v>
      </c>
      <c r="D7418" s="115" t="s">
        <v>8710</v>
      </c>
      <c r="E7418" s="115" t="s">
        <v>1242</v>
      </c>
      <c r="F7418" s="115">
        <v>0</v>
      </c>
      <c r="G7418" s="115">
        <v>0</v>
      </c>
      <c r="H7418" s="115">
        <v>0</v>
      </c>
      <c r="I7418" s="115">
        <v>0</v>
      </c>
      <c r="J7418" s="115">
        <v>0</v>
      </c>
      <c r="K7418" s="115">
        <v>0</v>
      </c>
    </row>
    <row r="7419" spans="2:11" x14ac:dyDescent="0.25">
      <c r="B7419" s="115" t="s">
        <v>1241</v>
      </c>
      <c r="D7419" s="115" t="s">
        <v>8710</v>
      </c>
      <c r="E7419" s="115" t="s">
        <v>1242</v>
      </c>
      <c r="F7419" s="115">
        <v>0</v>
      </c>
      <c r="G7419" s="115">
        <v>0</v>
      </c>
      <c r="H7419" s="115">
        <v>0</v>
      </c>
      <c r="I7419" s="115">
        <v>0</v>
      </c>
      <c r="J7419" s="115">
        <v>0</v>
      </c>
      <c r="K7419" s="115">
        <v>0</v>
      </c>
    </row>
    <row r="7420" spans="2:11" x14ac:dyDescent="0.25">
      <c r="B7420" s="115" t="s">
        <v>1241</v>
      </c>
      <c r="D7420" s="115" t="s">
        <v>8710</v>
      </c>
      <c r="E7420" s="115" t="s">
        <v>1242</v>
      </c>
      <c r="F7420" s="115">
        <v>0</v>
      </c>
      <c r="G7420" s="115">
        <v>0</v>
      </c>
      <c r="H7420" s="115">
        <v>0</v>
      </c>
      <c r="I7420" s="115">
        <v>0</v>
      </c>
      <c r="J7420" s="115">
        <v>0</v>
      </c>
      <c r="K7420" s="115">
        <v>0</v>
      </c>
    </row>
    <row r="7421" spans="2:11" x14ac:dyDescent="0.25">
      <c r="B7421" s="115" t="s">
        <v>1241</v>
      </c>
      <c r="D7421" s="115" t="s">
        <v>8710</v>
      </c>
      <c r="E7421" s="115" t="s">
        <v>1242</v>
      </c>
      <c r="F7421" s="115">
        <v>0</v>
      </c>
      <c r="G7421" s="115">
        <v>0</v>
      </c>
      <c r="H7421" s="115">
        <v>0</v>
      </c>
      <c r="I7421" s="115">
        <v>0</v>
      </c>
      <c r="J7421" s="115">
        <v>0</v>
      </c>
      <c r="K7421" s="115">
        <v>0</v>
      </c>
    </row>
    <row r="7422" spans="2:11" x14ac:dyDescent="0.25">
      <c r="B7422" s="115" t="s">
        <v>1241</v>
      </c>
      <c r="D7422" s="115" t="s">
        <v>8710</v>
      </c>
      <c r="E7422" s="115" t="s">
        <v>1242</v>
      </c>
      <c r="F7422" s="115">
        <v>0</v>
      </c>
      <c r="G7422" s="115">
        <v>0</v>
      </c>
      <c r="H7422" s="115">
        <v>0</v>
      </c>
      <c r="I7422" s="115">
        <v>0</v>
      </c>
      <c r="J7422" s="115">
        <v>0</v>
      </c>
      <c r="K7422" s="115">
        <v>0</v>
      </c>
    </row>
    <row r="7423" spans="2:11" x14ac:dyDescent="0.25">
      <c r="B7423" s="115" t="s">
        <v>1241</v>
      </c>
      <c r="D7423" s="115" t="s">
        <v>8710</v>
      </c>
      <c r="E7423" s="115" t="s">
        <v>1242</v>
      </c>
      <c r="F7423" s="115">
        <v>0</v>
      </c>
      <c r="G7423" s="115">
        <v>0</v>
      </c>
      <c r="H7423" s="115">
        <v>0</v>
      </c>
      <c r="I7423" s="115">
        <v>0</v>
      </c>
      <c r="J7423" s="115">
        <v>0</v>
      </c>
      <c r="K7423" s="115">
        <v>0</v>
      </c>
    </row>
    <row r="7424" spans="2:11" x14ac:dyDescent="0.25">
      <c r="B7424" s="115" t="s">
        <v>1241</v>
      </c>
      <c r="D7424" s="115" t="s">
        <v>8710</v>
      </c>
      <c r="E7424" s="115" t="s">
        <v>1242</v>
      </c>
      <c r="F7424" s="115">
        <v>0</v>
      </c>
      <c r="G7424" s="115">
        <v>0</v>
      </c>
      <c r="H7424" s="115">
        <v>0</v>
      </c>
      <c r="I7424" s="115">
        <v>0</v>
      </c>
      <c r="J7424" s="115">
        <v>0</v>
      </c>
      <c r="K7424" s="115">
        <v>0</v>
      </c>
    </row>
    <row r="7425" spans="2:11" x14ac:dyDescent="0.25">
      <c r="B7425" s="115" t="s">
        <v>1241</v>
      </c>
      <c r="D7425" s="115" t="s">
        <v>8710</v>
      </c>
      <c r="E7425" s="115" t="s">
        <v>1242</v>
      </c>
      <c r="F7425" s="115">
        <v>0</v>
      </c>
      <c r="G7425" s="115">
        <v>0</v>
      </c>
      <c r="H7425" s="115">
        <v>0</v>
      </c>
      <c r="I7425" s="115">
        <v>0</v>
      </c>
      <c r="J7425" s="115">
        <v>0</v>
      </c>
      <c r="K7425" s="115">
        <v>0</v>
      </c>
    </row>
    <row r="7426" spans="2:11" x14ac:dyDescent="0.25">
      <c r="B7426" s="115" t="s">
        <v>1241</v>
      </c>
      <c r="D7426" s="115" t="s">
        <v>8710</v>
      </c>
      <c r="E7426" s="115" t="s">
        <v>1242</v>
      </c>
      <c r="F7426" s="115">
        <v>0</v>
      </c>
      <c r="G7426" s="115">
        <v>0</v>
      </c>
      <c r="H7426" s="115">
        <v>0</v>
      </c>
      <c r="I7426" s="115">
        <v>0</v>
      </c>
      <c r="J7426" s="115">
        <v>0</v>
      </c>
      <c r="K7426" s="115">
        <v>0</v>
      </c>
    </row>
    <row r="7427" spans="2:11" x14ac:dyDescent="0.25">
      <c r="B7427" s="115" t="s">
        <v>1241</v>
      </c>
      <c r="D7427" s="115" t="s">
        <v>8710</v>
      </c>
      <c r="E7427" s="115" t="s">
        <v>1242</v>
      </c>
      <c r="F7427" s="115">
        <v>0</v>
      </c>
      <c r="G7427" s="115">
        <v>0</v>
      </c>
      <c r="H7427" s="115">
        <v>0</v>
      </c>
      <c r="I7427" s="115">
        <v>0</v>
      </c>
      <c r="J7427" s="115">
        <v>0</v>
      </c>
      <c r="K7427" s="115">
        <v>0</v>
      </c>
    </row>
    <row r="7428" spans="2:11" x14ac:dyDescent="0.25">
      <c r="B7428" s="115" t="s">
        <v>1241</v>
      </c>
      <c r="D7428" s="115" t="s">
        <v>8710</v>
      </c>
      <c r="E7428" s="115" t="s">
        <v>1242</v>
      </c>
      <c r="F7428" s="115">
        <v>0</v>
      </c>
      <c r="G7428" s="115">
        <v>0</v>
      </c>
      <c r="H7428" s="115">
        <v>0</v>
      </c>
      <c r="I7428" s="115">
        <v>0</v>
      </c>
      <c r="J7428" s="115">
        <v>0</v>
      </c>
      <c r="K7428" s="115">
        <v>0</v>
      </c>
    </row>
    <row r="7429" spans="2:11" x14ac:dyDescent="0.25">
      <c r="B7429" s="115" t="s">
        <v>1241</v>
      </c>
      <c r="D7429" s="115" t="s">
        <v>8710</v>
      </c>
      <c r="E7429" s="115" t="s">
        <v>1242</v>
      </c>
      <c r="F7429" s="115">
        <v>0</v>
      </c>
      <c r="G7429" s="115">
        <v>0</v>
      </c>
      <c r="H7429" s="115">
        <v>0</v>
      </c>
      <c r="I7429" s="115">
        <v>0</v>
      </c>
      <c r="J7429" s="115">
        <v>0</v>
      </c>
      <c r="K7429" s="115">
        <v>0</v>
      </c>
    </row>
    <row r="7430" spans="2:11" x14ac:dyDescent="0.25">
      <c r="B7430" s="115" t="s">
        <v>1241</v>
      </c>
      <c r="D7430" s="115" t="s">
        <v>8710</v>
      </c>
      <c r="E7430" s="115" t="s">
        <v>1242</v>
      </c>
      <c r="F7430" s="115">
        <v>0</v>
      </c>
      <c r="G7430" s="115">
        <v>0</v>
      </c>
      <c r="H7430" s="115">
        <v>0</v>
      </c>
      <c r="I7430" s="115">
        <v>0</v>
      </c>
      <c r="J7430" s="115">
        <v>0</v>
      </c>
      <c r="K7430" s="115">
        <v>0</v>
      </c>
    </row>
    <row r="7431" spans="2:11" x14ac:dyDescent="0.25">
      <c r="B7431" s="115" t="s">
        <v>1241</v>
      </c>
      <c r="D7431" s="115" t="s">
        <v>8710</v>
      </c>
      <c r="E7431" s="115" t="s">
        <v>1242</v>
      </c>
      <c r="F7431" s="115">
        <v>0</v>
      </c>
      <c r="G7431" s="115">
        <v>0</v>
      </c>
      <c r="H7431" s="115">
        <v>0</v>
      </c>
      <c r="I7431" s="115">
        <v>0</v>
      </c>
      <c r="J7431" s="115">
        <v>0</v>
      </c>
      <c r="K7431" s="115">
        <v>0</v>
      </c>
    </row>
    <row r="7432" spans="2:11" x14ac:dyDescent="0.25">
      <c r="B7432" s="115" t="s">
        <v>1241</v>
      </c>
      <c r="D7432" s="115" t="s">
        <v>8710</v>
      </c>
      <c r="E7432" s="115" t="s">
        <v>1242</v>
      </c>
      <c r="F7432" s="115">
        <v>0</v>
      </c>
      <c r="G7432" s="115">
        <v>0</v>
      </c>
      <c r="H7432" s="115">
        <v>0</v>
      </c>
      <c r="I7432" s="115">
        <v>0</v>
      </c>
      <c r="J7432" s="115">
        <v>0</v>
      </c>
      <c r="K7432" s="115">
        <v>0</v>
      </c>
    </row>
    <row r="7433" spans="2:11" x14ac:dyDescent="0.25">
      <c r="B7433" s="115" t="s">
        <v>1241</v>
      </c>
      <c r="D7433" s="115" t="s">
        <v>8710</v>
      </c>
      <c r="E7433" s="115" t="s">
        <v>1242</v>
      </c>
      <c r="F7433" s="115">
        <v>0</v>
      </c>
      <c r="G7433" s="115">
        <v>0</v>
      </c>
      <c r="H7433" s="115">
        <v>0</v>
      </c>
      <c r="I7433" s="115">
        <v>0</v>
      </c>
      <c r="J7433" s="115">
        <v>0</v>
      </c>
      <c r="K7433" s="115">
        <v>0</v>
      </c>
    </row>
    <row r="7434" spans="2:11" x14ac:dyDescent="0.25">
      <c r="B7434" s="115" t="s">
        <v>1241</v>
      </c>
      <c r="D7434" s="115" t="s">
        <v>8710</v>
      </c>
      <c r="E7434" s="115" t="s">
        <v>1242</v>
      </c>
      <c r="F7434" s="115">
        <v>0</v>
      </c>
      <c r="G7434" s="115">
        <v>0</v>
      </c>
      <c r="H7434" s="115">
        <v>0</v>
      </c>
      <c r="I7434" s="115">
        <v>0</v>
      </c>
      <c r="J7434" s="115">
        <v>0</v>
      </c>
      <c r="K7434" s="115">
        <v>0</v>
      </c>
    </row>
    <row r="7435" spans="2:11" x14ac:dyDescent="0.25">
      <c r="B7435" s="115" t="s">
        <v>1241</v>
      </c>
      <c r="D7435" s="115" t="s">
        <v>8710</v>
      </c>
      <c r="E7435" s="115" t="s">
        <v>1242</v>
      </c>
      <c r="F7435" s="115">
        <v>0</v>
      </c>
      <c r="G7435" s="115">
        <v>0</v>
      </c>
      <c r="H7435" s="115">
        <v>0</v>
      </c>
      <c r="I7435" s="115">
        <v>0</v>
      </c>
      <c r="J7435" s="115">
        <v>0</v>
      </c>
      <c r="K7435" s="115">
        <v>0</v>
      </c>
    </row>
    <row r="7436" spans="2:11" x14ac:dyDescent="0.25">
      <c r="B7436" s="115" t="s">
        <v>1241</v>
      </c>
      <c r="D7436" s="115" t="s">
        <v>8710</v>
      </c>
      <c r="E7436" s="115" t="s">
        <v>1242</v>
      </c>
      <c r="F7436" s="115">
        <v>0</v>
      </c>
      <c r="G7436" s="115">
        <v>0</v>
      </c>
      <c r="H7436" s="115">
        <v>0</v>
      </c>
      <c r="I7436" s="115">
        <v>0</v>
      </c>
      <c r="J7436" s="115">
        <v>0</v>
      </c>
      <c r="K7436" s="115">
        <v>0</v>
      </c>
    </row>
    <row r="7437" spans="2:11" x14ac:dyDescent="0.25">
      <c r="B7437" s="115" t="s">
        <v>1241</v>
      </c>
      <c r="D7437" s="115" t="s">
        <v>8710</v>
      </c>
      <c r="E7437" s="115" t="s">
        <v>1242</v>
      </c>
      <c r="F7437" s="115">
        <v>0</v>
      </c>
      <c r="G7437" s="115">
        <v>0</v>
      </c>
      <c r="H7437" s="115">
        <v>0</v>
      </c>
      <c r="I7437" s="115">
        <v>0</v>
      </c>
      <c r="J7437" s="115">
        <v>0</v>
      </c>
      <c r="K7437" s="115">
        <v>0</v>
      </c>
    </row>
    <row r="7438" spans="2:11" x14ac:dyDescent="0.25">
      <c r="B7438" s="115" t="s">
        <v>1241</v>
      </c>
      <c r="D7438" s="115" t="s">
        <v>8710</v>
      </c>
      <c r="E7438" s="115" t="s">
        <v>1242</v>
      </c>
      <c r="F7438" s="115">
        <v>0</v>
      </c>
      <c r="G7438" s="115">
        <v>0</v>
      </c>
      <c r="H7438" s="115">
        <v>0</v>
      </c>
      <c r="I7438" s="115">
        <v>0</v>
      </c>
      <c r="J7438" s="115">
        <v>0</v>
      </c>
      <c r="K7438" s="115">
        <v>0</v>
      </c>
    </row>
    <row r="7439" spans="2:11" x14ac:dyDescent="0.25">
      <c r="B7439" s="115" t="s">
        <v>1241</v>
      </c>
      <c r="D7439" s="115" t="s">
        <v>8710</v>
      </c>
      <c r="E7439" s="115" t="s">
        <v>1242</v>
      </c>
      <c r="F7439" s="115">
        <v>0</v>
      </c>
      <c r="G7439" s="115">
        <v>0</v>
      </c>
      <c r="H7439" s="115">
        <v>0</v>
      </c>
      <c r="I7439" s="115">
        <v>0</v>
      </c>
      <c r="J7439" s="115">
        <v>0</v>
      </c>
      <c r="K7439" s="115">
        <v>0</v>
      </c>
    </row>
    <row r="7440" spans="2:11" x14ac:dyDescent="0.25">
      <c r="B7440" s="115" t="s">
        <v>1241</v>
      </c>
      <c r="D7440" s="115" t="s">
        <v>8710</v>
      </c>
      <c r="E7440" s="115" t="s">
        <v>1242</v>
      </c>
      <c r="F7440" s="115">
        <v>0</v>
      </c>
      <c r="G7440" s="115">
        <v>0</v>
      </c>
      <c r="H7440" s="115">
        <v>0</v>
      </c>
      <c r="I7440" s="115">
        <v>0</v>
      </c>
      <c r="J7440" s="115">
        <v>0</v>
      </c>
      <c r="K7440" s="115">
        <v>0</v>
      </c>
    </row>
    <row r="7441" spans="1:11" x14ac:dyDescent="0.25">
      <c r="B7441" s="115" t="s">
        <v>1241</v>
      </c>
      <c r="D7441" s="115" t="s">
        <v>8710</v>
      </c>
      <c r="E7441" s="115" t="s">
        <v>1242</v>
      </c>
      <c r="F7441" s="115">
        <v>0</v>
      </c>
      <c r="G7441" s="115">
        <v>0</v>
      </c>
      <c r="H7441" s="115">
        <v>0</v>
      </c>
      <c r="I7441" s="115">
        <v>0</v>
      </c>
      <c r="J7441" s="115">
        <v>0</v>
      </c>
      <c r="K7441" s="115">
        <v>0</v>
      </c>
    </row>
    <row r="7442" spans="1:11" x14ac:dyDescent="0.25">
      <c r="B7442" s="115" t="s">
        <v>1241</v>
      </c>
      <c r="D7442" s="115" t="s">
        <v>8710</v>
      </c>
      <c r="E7442" s="115" t="s">
        <v>1242</v>
      </c>
      <c r="F7442" s="115">
        <v>0</v>
      </c>
      <c r="G7442" s="115">
        <v>0</v>
      </c>
      <c r="H7442" s="115">
        <v>0</v>
      </c>
      <c r="I7442" s="115">
        <v>0</v>
      </c>
      <c r="J7442" s="115">
        <v>0</v>
      </c>
      <c r="K7442" s="115">
        <v>0</v>
      </c>
    </row>
    <row r="7443" spans="1:11" x14ac:dyDescent="0.25">
      <c r="B7443" s="115" t="s">
        <v>1241</v>
      </c>
      <c r="D7443" s="115" t="s">
        <v>8710</v>
      </c>
      <c r="E7443" s="115" t="s">
        <v>1242</v>
      </c>
      <c r="F7443" s="115">
        <v>0</v>
      </c>
      <c r="G7443" s="115">
        <v>0</v>
      </c>
      <c r="H7443" s="115">
        <v>0</v>
      </c>
      <c r="I7443" s="115">
        <v>0</v>
      </c>
      <c r="J7443" s="115">
        <v>0</v>
      </c>
      <c r="K7443" s="115">
        <v>0</v>
      </c>
    </row>
    <row r="7444" spans="1:11" x14ac:dyDescent="0.25">
      <c r="B7444" s="115" t="s">
        <v>1241</v>
      </c>
      <c r="D7444" s="115" t="s">
        <v>8710</v>
      </c>
      <c r="E7444" s="115" t="s">
        <v>1242</v>
      </c>
      <c r="F7444" s="115">
        <v>0</v>
      </c>
      <c r="G7444" s="115">
        <v>0</v>
      </c>
      <c r="H7444" s="115">
        <v>0</v>
      </c>
      <c r="I7444" s="115">
        <v>0</v>
      </c>
      <c r="J7444" s="115">
        <v>0</v>
      </c>
      <c r="K7444" s="115">
        <v>0</v>
      </c>
    </row>
    <row r="7445" spans="1:11" x14ac:dyDescent="0.25">
      <c r="B7445" s="115" t="s">
        <v>1241</v>
      </c>
      <c r="D7445" s="115" t="s">
        <v>8710</v>
      </c>
      <c r="E7445" s="115" t="s">
        <v>1242</v>
      </c>
      <c r="F7445" s="115">
        <v>0</v>
      </c>
      <c r="G7445" s="115">
        <v>0</v>
      </c>
      <c r="H7445" s="115">
        <v>0</v>
      </c>
      <c r="I7445" s="115">
        <v>0</v>
      </c>
      <c r="J7445" s="115">
        <v>0</v>
      </c>
      <c r="K7445" s="115">
        <v>0</v>
      </c>
    </row>
    <row r="7446" spans="1:11" x14ac:dyDescent="0.25">
      <c r="B7446" s="115" t="s">
        <v>8472</v>
      </c>
      <c r="D7446" s="115" t="s">
        <v>13441</v>
      </c>
      <c r="E7446" s="115" t="s">
        <v>8473</v>
      </c>
      <c r="F7446" s="115">
        <v>49</v>
      </c>
      <c r="G7446" s="115">
        <v>0</v>
      </c>
      <c r="H7446" s="115">
        <v>0</v>
      </c>
      <c r="I7446" s="115">
        <v>-1113</v>
      </c>
      <c r="J7446" s="115">
        <v>0</v>
      </c>
      <c r="K7446" s="115">
        <v>0</v>
      </c>
    </row>
    <row r="7447" spans="1:11" x14ac:dyDescent="0.25">
      <c r="B7447" s="115" t="s">
        <v>8474</v>
      </c>
      <c r="D7447" s="115" t="s">
        <v>13442</v>
      </c>
      <c r="E7447" s="115" t="s">
        <v>4606</v>
      </c>
      <c r="F7447" s="115">
        <v>0</v>
      </c>
      <c r="G7447" s="115">
        <v>0</v>
      </c>
      <c r="H7447" s="115">
        <v>0</v>
      </c>
      <c r="I7447" s="115">
        <v>0</v>
      </c>
      <c r="J7447" s="115">
        <v>0</v>
      </c>
      <c r="K7447" s="115">
        <v>70</v>
      </c>
    </row>
    <row r="7448" spans="1:11" x14ac:dyDescent="0.25">
      <c r="B7448" s="115" t="s">
        <v>1241</v>
      </c>
      <c r="D7448" s="115" t="s">
        <v>13443</v>
      </c>
      <c r="E7448" s="115" t="s">
        <v>8475</v>
      </c>
      <c r="F7448" s="115">
        <v>-148</v>
      </c>
      <c r="G7448" s="115">
        <v>0</v>
      </c>
      <c r="H7448" s="115">
        <v>-242</v>
      </c>
      <c r="I7448" s="115">
        <v>277</v>
      </c>
      <c r="J7448" s="115">
        <v>709</v>
      </c>
      <c r="K7448" s="115">
        <v>0</v>
      </c>
    </row>
    <row r="7449" spans="1:11" x14ac:dyDescent="0.25">
      <c r="A7449" s="115" t="s">
        <v>1239</v>
      </c>
      <c r="B7449" s="115" t="s">
        <v>8476</v>
      </c>
      <c r="D7449" s="115" t="s">
        <v>13444</v>
      </c>
      <c r="E7449" s="115" t="s">
        <v>8477</v>
      </c>
      <c r="F7449" s="115">
        <v>343</v>
      </c>
      <c r="G7449" s="115">
        <v>-1286</v>
      </c>
      <c r="H7449" s="115">
        <v>0</v>
      </c>
      <c r="I7449" s="115">
        <v>587</v>
      </c>
      <c r="J7449" s="115">
        <v>0</v>
      </c>
      <c r="K7449" s="115">
        <v>0</v>
      </c>
    </row>
    <row r="7450" spans="1:11" x14ac:dyDescent="0.25">
      <c r="B7450" s="115" t="s">
        <v>1241</v>
      </c>
      <c r="D7450" s="115" t="s">
        <v>13445</v>
      </c>
      <c r="E7450" s="115" t="s">
        <v>8478</v>
      </c>
      <c r="F7450" s="115">
        <v>0</v>
      </c>
      <c r="G7450" s="115">
        <v>0</v>
      </c>
      <c r="H7450" s="115">
        <v>0</v>
      </c>
      <c r="I7450" s="115">
        <v>161</v>
      </c>
      <c r="J7450" s="115">
        <v>0</v>
      </c>
      <c r="K7450" s="115">
        <v>-262</v>
      </c>
    </row>
    <row r="7451" spans="1:11" x14ac:dyDescent="0.25">
      <c r="B7451" s="115" t="s">
        <v>1241</v>
      </c>
      <c r="D7451" s="115" t="s">
        <v>13446</v>
      </c>
      <c r="E7451" s="115" t="s">
        <v>8479</v>
      </c>
      <c r="F7451" s="115">
        <v>0</v>
      </c>
      <c r="G7451" s="115">
        <v>672</v>
      </c>
      <c r="H7451" s="115">
        <v>0</v>
      </c>
      <c r="I7451" s="115">
        <v>-316</v>
      </c>
      <c r="J7451" s="115">
        <v>374</v>
      </c>
      <c r="K7451" s="115">
        <v>0</v>
      </c>
    </row>
    <row r="7452" spans="1:11" x14ac:dyDescent="0.25">
      <c r="B7452" s="115" t="s">
        <v>8480</v>
      </c>
      <c r="C7452" s="115">
        <v>-1</v>
      </c>
      <c r="D7452" s="115" t="s">
        <v>13447</v>
      </c>
      <c r="E7452" s="115" t="s">
        <v>8481</v>
      </c>
      <c r="F7452" s="115">
        <v>2037</v>
      </c>
      <c r="G7452" s="115">
        <v>0</v>
      </c>
      <c r="H7452" s="115">
        <v>0</v>
      </c>
      <c r="I7452" s="115">
        <v>0</v>
      </c>
      <c r="J7452" s="115">
        <v>0</v>
      </c>
      <c r="K7452" s="115">
        <v>-10606</v>
      </c>
    </row>
    <row r="7453" spans="1:11" x14ac:dyDescent="0.25">
      <c r="A7453" s="115">
        <v>5</v>
      </c>
      <c r="B7453" s="115" t="s">
        <v>8482</v>
      </c>
      <c r="D7453" s="115" t="s">
        <v>13448</v>
      </c>
      <c r="E7453" s="115" t="s">
        <v>8483</v>
      </c>
      <c r="F7453" s="115">
        <v>-2695</v>
      </c>
      <c r="G7453" s="115">
        <v>408</v>
      </c>
      <c r="H7453" s="115">
        <v>0</v>
      </c>
      <c r="I7453" s="115">
        <v>403</v>
      </c>
      <c r="J7453" s="115">
        <v>1812</v>
      </c>
      <c r="K7453" s="115">
        <v>52</v>
      </c>
    </row>
    <row r="7454" spans="1:11" x14ac:dyDescent="0.25">
      <c r="B7454" s="115" t="s">
        <v>8484</v>
      </c>
      <c r="D7454" s="115" t="s">
        <v>13449</v>
      </c>
      <c r="E7454" s="115" t="s">
        <v>8485</v>
      </c>
      <c r="F7454" s="115">
        <v>0</v>
      </c>
      <c r="G7454" s="115">
        <v>0</v>
      </c>
      <c r="H7454" s="115">
        <v>0</v>
      </c>
      <c r="I7454" s="115">
        <v>0</v>
      </c>
      <c r="J7454" s="115">
        <v>0</v>
      </c>
      <c r="K7454" s="115">
        <v>9678</v>
      </c>
    </row>
    <row r="7455" spans="1:11" x14ac:dyDescent="0.25">
      <c r="B7455" s="115" t="s">
        <v>8486</v>
      </c>
      <c r="D7455" s="115" t="s">
        <v>13450</v>
      </c>
      <c r="E7455" s="115" t="s">
        <v>8487</v>
      </c>
      <c r="F7455" s="115">
        <v>0</v>
      </c>
      <c r="G7455" s="115">
        <v>-416</v>
      </c>
      <c r="H7455" s="115">
        <v>3654</v>
      </c>
      <c r="I7455" s="115">
        <v>-145</v>
      </c>
      <c r="J7455" s="115">
        <v>-524</v>
      </c>
      <c r="K7455" s="115">
        <v>-449</v>
      </c>
    </row>
    <row r="7456" spans="1:11" x14ac:dyDescent="0.25">
      <c r="B7456" s="115" t="s">
        <v>8488</v>
      </c>
      <c r="D7456" s="115" t="s">
        <v>13451</v>
      </c>
      <c r="E7456" s="115" t="s">
        <v>8489</v>
      </c>
      <c r="F7456" s="115">
        <v>-158</v>
      </c>
      <c r="G7456" s="115">
        <v>0</v>
      </c>
      <c r="H7456" s="115">
        <v>157</v>
      </c>
      <c r="I7456" s="115">
        <v>-44403</v>
      </c>
      <c r="J7456" s="115">
        <v>0</v>
      </c>
      <c r="K7456" s="115">
        <v>0</v>
      </c>
    </row>
    <row r="7457" spans="1:11" x14ac:dyDescent="0.25">
      <c r="B7457" s="115" t="s">
        <v>8490</v>
      </c>
      <c r="D7457" s="115" t="s">
        <v>13452</v>
      </c>
      <c r="E7457" s="115" t="s">
        <v>8491</v>
      </c>
      <c r="F7457" s="115">
        <v>-85</v>
      </c>
      <c r="G7457" s="115">
        <v>-126</v>
      </c>
      <c r="H7457" s="115">
        <v>92</v>
      </c>
      <c r="I7457" s="115">
        <v>-364</v>
      </c>
      <c r="J7457" s="115">
        <v>0</v>
      </c>
      <c r="K7457" s="115">
        <v>0</v>
      </c>
    </row>
    <row r="7458" spans="1:11" x14ac:dyDescent="0.25">
      <c r="B7458" s="115" t="s">
        <v>1241</v>
      </c>
      <c r="D7458" s="115" t="s">
        <v>13453</v>
      </c>
      <c r="E7458" s="115" t="s">
        <v>8492</v>
      </c>
      <c r="F7458" s="115">
        <v>0</v>
      </c>
      <c r="G7458" s="115">
        <v>2706</v>
      </c>
      <c r="H7458" s="115">
        <v>-80</v>
      </c>
      <c r="I7458" s="115">
        <v>-186</v>
      </c>
      <c r="J7458" s="115">
        <v>0</v>
      </c>
      <c r="K7458" s="115">
        <v>9</v>
      </c>
    </row>
    <row r="7459" spans="1:11" x14ac:dyDescent="0.25">
      <c r="A7459" s="115">
        <v>4</v>
      </c>
      <c r="B7459" s="115" t="s">
        <v>8493</v>
      </c>
      <c r="D7459" s="115" t="s">
        <v>13454</v>
      </c>
      <c r="E7459" s="115" t="s">
        <v>8494</v>
      </c>
      <c r="F7459" s="115">
        <v>-447</v>
      </c>
      <c r="G7459" s="115">
        <v>-2107</v>
      </c>
      <c r="H7459" s="115">
        <v>5018</v>
      </c>
      <c r="I7459" s="115">
        <v>0</v>
      </c>
      <c r="J7459" s="115">
        <v>-133</v>
      </c>
      <c r="K7459" s="115">
        <v>0</v>
      </c>
    </row>
    <row r="7460" spans="1:11" x14ac:dyDescent="0.25">
      <c r="B7460" s="115" t="s">
        <v>8495</v>
      </c>
      <c r="D7460" s="115" t="s">
        <v>13455</v>
      </c>
      <c r="E7460" s="115" t="s">
        <v>8496</v>
      </c>
      <c r="F7460" s="115">
        <v>99</v>
      </c>
      <c r="G7460" s="115">
        <v>0</v>
      </c>
      <c r="H7460" s="115">
        <v>0</v>
      </c>
      <c r="I7460" s="115">
        <v>130</v>
      </c>
      <c r="J7460" s="115">
        <v>0</v>
      </c>
      <c r="K7460" s="115">
        <v>245</v>
      </c>
    </row>
    <row r="7461" spans="1:11" x14ac:dyDescent="0.25">
      <c r="B7461" s="115" t="s">
        <v>8497</v>
      </c>
      <c r="D7461" s="115" t="s">
        <v>13456</v>
      </c>
      <c r="E7461" s="115" t="s">
        <v>8498</v>
      </c>
      <c r="F7461" s="115">
        <v>0</v>
      </c>
      <c r="G7461" s="115">
        <v>0</v>
      </c>
      <c r="H7461" s="115">
        <v>0</v>
      </c>
      <c r="I7461" s="115">
        <v>6816</v>
      </c>
      <c r="J7461" s="115">
        <v>0</v>
      </c>
      <c r="K7461" s="115">
        <v>1571</v>
      </c>
    </row>
    <row r="7462" spans="1:11" x14ac:dyDescent="0.25">
      <c r="B7462" s="115" t="s">
        <v>8499</v>
      </c>
      <c r="D7462" s="115" t="s">
        <v>13457</v>
      </c>
      <c r="E7462" s="115" t="s">
        <v>8500</v>
      </c>
      <c r="F7462" s="115">
        <v>3976</v>
      </c>
      <c r="G7462" s="115">
        <v>369</v>
      </c>
      <c r="H7462" s="115">
        <v>0</v>
      </c>
      <c r="I7462" s="115">
        <v>0</v>
      </c>
      <c r="J7462" s="115">
        <v>0</v>
      </c>
      <c r="K7462" s="115">
        <v>-1623</v>
      </c>
    </row>
    <row r="7463" spans="1:11" x14ac:dyDescent="0.25">
      <c r="A7463" s="115">
        <v>2</v>
      </c>
      <c r="B7463" s="115" t="s">
        <v>8501</v>
      </c>
      <c r="D7463" s="115" t="s">
        <v>13458</v>
      </c>
      <c r="E7463" s="115" t="s">
        <v>8502</v>
      </c>
      <c r="F7463" s="115">
        <v>0</v>
      </c>
      <c r="G7463" s="115">
        <v>-34026</v>
      </c>
      <c r="H7463" s="115">
        <v>0</v>
      </c>
      <c r="I7463" s="115">
        <v>0</v>
      </c>
      <c r="J7463" s="115">
        <v>-153</v>
      </c>
      <c r="K7463" s="115">
        <v>0</v>
      </c>
    </row>
    <row r="7464" spans="1:11" x14ac:dyDescent="0.25">
      <c r="A7464" s="115" t="s">
        <v>1239</v>
      </c>
      <c r="B7464" s="115" t="s">
        <v>3010</v>
      </c>
      <c r="D7464" s="115" t="s">
        <v>13459</v>
      </c>
      <c r="E7464" s="115" t="s">
        <v>1242</v>
      </c>
      <c r="F7464" s="115">
        <v>0</v>
      </c>
      <c r="G7464" s="115">
        <v>0</v>
      </c>
      <c r="H7464" s="115">
        <v>0</v>
      </c>
      <c r="I7464" s="115">
        <v>0</v>
      </c>
      <c r="J7464" s="115">
        <v>0</v>
      </c>
      <c r="K7464" s="115">
        <v>0</v>
      </c>
    </row>
    <row r="7465" spans="1:11" x14ac:dyDescent="0.25">
      <c r="B7465" s="115" t="s">
        <v>8503</v>
      </c>
      <c r="D7465" s="115" t="s">
        <v>13460</v>
      </c>
      <c r="E7465" s="115" t="s">
        <v>8504</v>
      </c>
      <c r="F7465" s="115">
        <v>-194</v>
      </c>
      <c r="G7465" s="115">
        <v>-136</v>
      </c>
      <c r="H7465" s="115">
        <v>0</v>
      </c>
      <c r="I7465" s="115">
        <v>-2214</v>
      </c>
      <c r="J7465" s="115">
        <v>-126</v>
      </c>
      <c r="K7465" s="115">
        <v>0</v>
      </c>
    </row>
    <row r="7466" spans="1:11" x14ac:dyDescent="0.25">
      <c r="B7466" s="115" t="s">
        <v>1241</v>
      </c>
      <c r="D7466" s="115" t="s">
        <v>13461</v>
      </c>
      <c r="E7466" s="115" t="s">
        <v>8505</v>
      </c>
      <c r="F7466" s="115">
        <v>6566</v>
      </c>
      <c r="G7466" s="115">
        <v>544</v>
      </c>
      <c r="H7466" s="115">
        <v>3450</v>
      </c>
      <c r="I7466" s="115">
        <v>3067</v>
      </c>
      <c r="J7466" s="115">
        <v>1934</v>
      </c>
      <c r="K7466" s="115">
        <v>-29735</v>
      </c>
    </row>
    <row r="7467" spans="1:11" x14ac:dyDescent="0.25">
      <c r="B7467" s="115" t="s">
        <v>1241</v>
      </c>
      <c r="D7467" s="115" t="s">
        <v>13462</v>
      </c>
      <c r="E7467" s="115" t="s">
        <v>8506</v>
      </c>
      <c r="F7467" s="115">
        <v>1926</v>
      </c>
      <c r="G7467" s="115">
        <v>0</v>
      </c>
      <c r="H7467" s="115">
        <v>807</v>
      </c>
      <c r="I7467" s="115">
        <v>0</v>
      </c>
      <c r="J7467" s="115">
        <v>0</v>
      </c>
      <c r="K7467" s="115">
        <v>1706</v>
      </c>
    </row>
    <row r="7468" spans="1:11" x14ac:dyDescent="0.25">
      <c r="B7468" s="115" t="s">
        <v>4110</v>
      </c>
      <c r="D7468" s="115" t="s">
        <v>13463</v>
      </c>
      <c r="E7468" s="115" t="s">
        <v>8507</v>
      </c>
      <c r="F7468" s="115">
        <v>0</v>
      </c>
      <c r="G7468" s="115">
        <v>5985</v>
      </c>
      <c r="H7468" s="115">
        <v>0</v>
      </c>
      <c r="I7468" s="115">
        <v>3726</v>
      </c>
      <c r="J7468" s="115">
        <v>701</v>
      </c>
      <c r="K7468" s="115">
        <v>2871</v>
      </c>
    </row>
    <row r="7469" spans="1:11" x14ac:dyDescent="0.25">
      <c r="A7469" s="115">
        <v>3</v>
      </c>
      <c r="B7469" s="115" t="s">
        <v>8508</v>
      </c>
      <c r="D7469" s="115" t="s">
        <v>13464</v>
      </c>
      <c r="E7469" s="115" t="s">
        <v>8509</v>
      </c>
      <c r="F7469" s="115">
        <v>-172</v>
      </c>
      <c r="G7469" s="115">
        <v>68</v>
      </c>
      <c r="H7469" s="115">
        <v>-2886</v>
      </c>
      <c r="I7469" s="115">
        <v>0</v>
      </c>
      <c r="J7469" s="115">
        <v>0</v>
      </c>
      <c r="K7469" s="115">
        <v>0</v>
      </c>
    </row>
    <row r="7470" spans="1:11" x14ac:dyDescent="0.25">
      <c r="B7470" s="115" t="s">
        <v>1241</v>
      </c>
      <c r="D7470" s="115" t="s">
        <v>13465</v>
      </c>
      <c r="E7470" s="115">
        <f>-518   -929   -217   -793  -1848</f>
        <v>-4305</v>
      </c>
      <c r="F7470" s="115">
        <v>-110</v>
      </c>
      <c r="G7470" s="115">
        <v>-518</v>
      </c>
      <c r="H7470" s="115">
        <v>-929</v>
      </c>
      <c r="I7470" s="115">
        <v>-217</v>
      </c>
      <c r="J7470" s="115">
        <v>-793</v>
      </c>
      <c r="K7470" s="115">
        <v>-1848</v>
      </c>
    </row>
    <row r="7471" spans="1:11" x14ac:dyDescent="0.25">
      <c r="B7471" s="115" t="s">
        <v>1241</v>
      </c>
      <c r="D7471" s="115" t="s">
        <v>13466</v>
      </c>
      <c r="E7471" s="115" t="s">
        <v>8510</v>
      </c>
      <c r="F7471" s="115">
        <v>-3237</v>
      </c>
      <c r="G7471" s="115">
        <v>655</v>
      </c>
      <c r="H7471" s="115">
        <v>0</v>
      </c>
      <c r="I7471" s="115">
        <v>0</v>
      </c>
      <c r="J7471" s="115">
        <v>0</v>
      </c>
      <c r="K7471" s="115">
        <v>0</v>
      </c>
    </row>
    <row r="7472" spans="1:11" x14ac:dyDescent="0.25">
      <c r="B7472" s="115" t="s">
        <v>1283</v>
      </c>
      <c r="D7472" s="115" t="s">
        <v>13467</v>
      </c>
      <c r="E7472" s="115" t="s">
        <v>1242</v>
      </c>
      <c r="F7472" s="115">
        <v>0</v>
      </c>
      <c r="G7472" s="115">
        <v>0</v>
      </c>
      <c r="H7472" s="115">
        <v>0</v>
      </c>
      <c r="I7472" s="115">
        <v>0</v>
      </c>
      <c r="J7472" s="115">
        <v>0</v>
      </c>
      <c r="K7472" s="115">
        <v>0</v>
      </c>
    </row>
    <row r="7473" spans="1:11" x14ac:dyDescent="0.25">
      <c r="B7473" s="115" t="s">
        <v>1241</v>
      </c>
      <c r="D7473" s="115" t="s">
        <v>13468</v>
      </c>
      <c r="E7473" s="115" t="s">
        <v>8511</v>
      </c>
      <c r="F7473" s="115">
        <v>0</v>
      </c>
      <c r="G7473" s="115">
        <v>0</v>
      </c>
      <c r="H7473" s="115">
        <v>0</v>
      </c>
      <c r="I7473" s="115">
        <v>0</v>
      </c>
      <c r="J7473" s="115">
        <v>0</v>
      </c>
      <c r="K7473" s="115">
        <v>295</v>
      </c>
    </row>
    <row r="7474" spans="1:11" x14ac:dyDescent="0.25">
      <c r="B7474" s="115" t="s">
        <v>1241</v>
      </c>
      <c r="D7474" s="115" t="s">
        <v>13469</v>
      </c>
      <c r="E7474" s="115" t="s">
        <v>8512</v>
      </c>
      <c r="F7474" s="115">
        <v>0</v>
      </c>
      <c r="G7474" s="115">
        <v>1294</v>
      </c>
      <c r="H7474" s="115">
        <v>813</v>
      </c>
      <c r="I7474" s="115">
        <v>-131</v>
      </c>
      <c r="J7474" s="115">
        <v>3431</v>
      </c>
      <c r="K7474" s="115">
        <v>2221</v>
      </c>
    </row>
    <row r="7475" spans="1:11" x14ac:dyDescent="0.25">
      <c r="A7475" s="115">
        <v>2</v>
      </c>
      <c r="B7475" s="115" t="s">
        <v>8513</v>
      </c>
      <c r="C7475" s="115" t="s">
        <v>1239</v>
      </c>
      <c r="D7475" s="115" t="s">
        <v>13470</v>
      </c>
      <c r="E7475" s="115" t="s">
        <v>8514</v>
      </c>
      <c r="F7475" s="115">
        <v>-2189</v>
      </c>
      <c r="G7475" s="115">
        <v>-216</v>
      </c>
      <c r="H7475" s="115">
        <v>43</v>
      </c>
      <c r="I7475" s="115">
        <v>-3701</v>
      </c>
      <c r="J7475" s="115">
        <v>1638</v>
      </c>
      <c r="K7475" s="115">
        <v>967</v>
      </c>
    </row>
    <row r="7476" spans="1:11" x14ac:dyDescent="0.25">
      <c r="A7476" s="115">
        <v>1</v>
      </c>
      <c r="B7476" s="115" t="s">
        <v>8515</v>
      </c>
      <c r="D7476" s="115" t="s">
        <v>13471</v>
      </c>
      <c r="E7476" s="115" t="s">
        <v>8516</v>
      </c>
      <c r="F7476" s="115">
        <v>1605</v>
      </c>
      <c r="G7476" s="115">
        <v>1640</v>
      </c>
      <c r="H7476" s="115">
        <v>1450</v>
      </c>
      <c r="I7476" s="115">
        <v>1650</v>
      </c>
      <c r="J7476" s="115">
        <v>-17958</v>
      </c>
      <c r="K7476" s="115">
        <v>2130</v>
      </c>
    </row>
    <row r="7477" spans="1:11" x14ac:dyDescent="0.25">
      <c r="A7477" s="115">
        <v>1</v>
      </c>
      <c r="B7477" s="115" t="s">
        <v>8517</v>
      </c>
      <c r="D7477" s="115" t="s">
        <v>13472</v>
      </c>
      <c r="E7477" s="115" t="s">
        <v>8518</v>
      </c>
      <c r="F7477" s="115">
        <v>1624</v>
      </c>
      <c r="G7477" s="115">
        <v>1080</v>
      </c>
      <c r="H7477" s="115">
        <v>1535</v>
      </c>
      <c r="I7477" s="115">
        <v>1813</v>
      </c>
      <c r="J7477" s="115">
        <v>-11219</v>
      </c>
      <c r="K7477" s="115">
        <v>-15</v>
      </c>
    </row>
    <row r="7478" spans="1:11" x14ac:dyDescent="0.25">
      <c r="A7478" s="115">
        <v>1</v>
      </c>
      <c r="B7478" s="115" t="s">
        <v>8519</v>
      </c>
      <c r="D7478" s="115" t="s">
        <v>13473</v>
      </c>
      <c r="E7478" s="115" t="s">
        <v>8520</v>
      </c>
      <c r="F7478" s="115">
        <v>239</v>
      </c>
      <c r="G7478" s="115">
        <v>619</v>
      </c>
      <c r="H7478" s="115">
        <v>460</v>
      </c>
      <c r="I7478" s="115">
        <v>709</v>
      </c>
      <c r="J7478" s="115">
        <v>-225</v>
      </c>
      <c r="K7478" s="115">
        <v>-1124</v>
      </c>
    </row>
    <row r="7479" spans="1:11" x14ac:dyDescent="0.25">
      <c r="B7479" s="115" t="s">
        <v>8521</v>
      </c>
      <c r="D7479" s="115" t="s">
        <v>13474</v>
      </c>
      <c r="E7479" s="115">
        <f>-504   -384   -445    -95   -143</f>
        <v>-1571</v>
      </c>
      <c r="F7479" s="115">
        <v>-602</v>
      </c>
      <c r="G7479" s="115">
        <v>-504</v>
      </c>
      <c r="H7479" s="115">
        <v>-384</v>
      </c>
      <c r="I7479" s="115">
        <v>-445</v>
      </c>
      <c r="J7479" s="115">
        <v>-95</v>
      </c>
      <c r="K7479" s="115">
        <v>-143</v>
      </c>
    </row>
    <row r="7480" spans="1:11" x14ac:dyDescent="0.25">
      <c r="B7480" s="115" t="s">
        <v>8522</v>
      </c>
      <c r="D7480" s="115" t="s">
        <v>13475</v>
      </c>
      <c r="E7480" s="115">
        <f>-1081  -1170   -484   -136    -73</f>
        <v>-2944</v>
      </c>
      <c r="F7480" s="115">
        <v>-1171</v>
      </c>
      <c r="G7480" s="115">
        <v>-1081</v>
      </c>
      <c r="H7480" s="115">
        <v>-1170</v>
      </c>
      <c r="I7480" s="115">
        <v>-484</v>
      </c>
      <c r="J7480" s="115">
        <v>-136</v>
      </c>
      <c r="K7480" s="115">
        <v>-73</v>
      </c>
    </row>
    <row r="7481" spans="1:11" x14ac:dyDescent="0.25">
      <c r="B7481" s="115">
        <f>-90   -265</f>
        <v>-355</v>
      </c>
      <c r="D7481" s="115" t="s">
        <v>13476</v>
      </c>
      <c r="E7481" s="115" t="s">
        <v>8523</v>
      </c>
      <c r="F7481" s="115">
        <v>-270</v>
      </c>
      <c r="G7481" s="115">
        <v>-226</v>
      </c>
      <c r="H7481" s="115">
        <v>578</v>
      </c>
      <c r="I7481" s="115">
        <v>-102</v>
      </c>
      <c r="J7481" s="115">
        <v>3</v>
      </c>
      <c r="K7481" s="115">
        <v>276</v>
      </c>
    </row>
    <row r="7482" spans="1:11" x14ac:dyDescent="0.25">
      <c r="B7482" s="115" t="s">
        <v>8524</v>
      </c>
      <c r="D7482" s="115">
        <f>-417   -506   -480   -768  -1018  -1191  -1031  -1425</f>
        <v>-6836</v>
      </c>
      <c r="E7482" s="115">
        <f>-768  -1018  -1191  -1031  -1425</f>
        <v>-5433</v>
      </c>
      <c r="F7482" s="115">
        <v>-480</v>
      </c>
      <c r="G7482" s="115">
        <v>-768</v>
      </c>
      <c r="H7482" s="115">
        <v>-1018</v>
      </c>
      <c r="I7482" s="115">
        <v>-1191</v>
      </c>
      <c r="J7482" s="115">
        <v>-1031</v>
      </c>
      <c r="K7482" s="115">
        <v>-1425</v>
      </c>
    </row>
    <row r="7483" spans="1:11" x14ac:dyDescent="0.25">
      <c r="A7483" s="115">
        <v>19</v>
      </c>
      <c r="B7483" s="115" t="s">
        <v>8525</v>
      </c>
      <c r="D7483" s="115" t="s">
        <v>13477</v>
      </c>
      <c r="E7483" s="115" t="s">
        <v>8526</v>
      </c>
      <c r="F7483" s="115">
        <v>-8034</v>
      </c>
      <c r="G7483" s="115">
        <v>0</v>
      </c>
      <c r="H7483" s="115">
        <v>-719</v>
      </c>
      <c r="I7483" s="115">
        <v>299</v>
      </c>
      <c r="J7483" s="115">
        <v>-195</v>
      </c>
      <c r="K7483" s="115">
        <v>-336</v>
      </c>
    </row>
    <row r="7484" spans="1:11" x14ac:dyDescent="0.25">
      <c r="B7484" s="115" t="s">
        <v>6549</v>
      </c>
      <c r="D7484" s="115" t="s">
        <v>13478</v>
      </c>
      <c r="E7484" s="115" t="s">
        <v>8527</v>
      </c>
      <c r="F7484" s="115">
        <v>0</v>
      </c>
      <c r="G7484" s="115">
        <v>0</v>
      </c>
      <c r="H7484" s="115">
        <v>0</v>
      </c>
      <c r="I7484" s="115">
        <v>-35</v>
      </c>
      <c r="J7484" s="115">
        <v>102</v>
      </c>
      <c r="K7484" s="115">
        <v>0</v>
      </c>
    </row>
    <row r="7485" spans="1:11" x14ac:dyDescent="0.25">
      <c r="B7485" s="115" t="s">
        <v>1241</v>
      </c>
      <c r="D7485" s="115" t="s">
        <v>13479</v>
      </c>
      <c r="E7485" s="115" t="s">
        <v>8528</v>
      </c>
      <c r="F7485" s="115">
        <v>0</v>
      </c>
      <c r="G7485" s="115">
        <v>-7758</v>
      </c>
      <c r="H7485" s="115">
        <v>0</v>
      </c>
      <c r="I7485" s="115">
        <v>0</v>
      </c>
      <c r="J7485" s="115">
        <v>1197</v>
      </c>
      <c r="K7485" s="115">
        <v>0</v>
      </c>
    </row>
    <row r="7486" spans="1:11" x14ac:dyDescent="0.25">
      <c r="A7486" s="115">
        <v>-1</v>
      </c>
      <c r="B7486" s="115" t="s">
        <v>8529</v>
      </c>
      <c r="C7486" s="115" t="s">
        <v>1239</v>
      </c>
      <c r="D7486" s="115" t="s">
        <v>13480</v>
      </c>
      <c r="E7486" s="115" t="s">
        <v>8530</v>
      </c>
      <c r="F7486" s="115">
        <v>968</v>
      </c>
      <c r="G7486" s="115">
        <v>0</v>
      </c>
      <c r="H7486" s="115">
        <v>-1098</v>
      </c>
      <c r="I7486" s="115">
        <v>41</v>
      </c>
      <c r="J7486" s="115">
        <v>530</v>
      </c>
      <c r="K7486" s="115">
        <v>907</v>
      </c>
    </row>
    <row r="7487" spans="1:11" x14ac:dyDescent="0.25">
      <c r="B7487" s="115" t="s">
        <v>8531</v>
      </c>
      <c r="D7487" s="115" t="s">
        <v>13481</v>
      </c>
      <c r="E7487" s="115" t="s">
        <v>8532</v>
      </c>
      <c r="F7487" s="115">
        <v>0</v>
      </c>
      <c r="G7487" s="115">
        <v>0</v>
      </c>
      <c r="H7487" s="115">
        <v>0</v>
      </c>
      <c r="I7487" s="115">
        <v>0</v>
      </c>
      <c r="J7487" s="115">
        <v>0</v>
      </c>
      <c r="K7487" s="115">
        <v>-249</v>
      </c>
    </row>
    <row r="7488" spans="1:11" x14ac:dyDescent="0.25">
      <c r="B7488" s="115" t="s">
        <v>1241</v>
      </c>
      <c r="D7488" s="115" t="s">
        <v>13482</v>
      </c>
      <c r="E7488" s="115" t="s">
        <v>6125</v>
      </c>
      <c r="F7488" s="115">
        <v>0</v>
      </c>
      <c r="G7488" s="115">
        <v>-145</v>
      </c>
      <c r="H7488" s="115">
        <v>0</v>
      </c>
      <c r="I7488" s="115">
        <v>0</v>
      </c>
      <c r="J7488" s="115">
        <v>0</v>
      </c>
      <c r="K7488" s="115">
        <v>0</v>
      </c>
    </row>
    <row r="7489" spans="1:11" x14ac:dyDescent="0.25">
      <c r="B7489" s="115" t="s">
        <v>8533</v>
      </c>
      <c r="D7489" s="115" t="s">
        <v>13483</v>
      </c>
      <c r="E7489" s="115" t="s">
        <v>8534</v>
      </c>
      <c r="F7489" s="115">
        <v>337</v>
      </c>
      <c r="G7489" s="115">
        <v>0</v>
      </c>
      <c r="H7489" s="115">
        <v>0</v>
      </c>
      <c r="I7489" s="115">
        <v>287</v>
      </c>
      <c r="J7489" s="115">
        <v>-569</v>
      </c>
      <c r="K7489" s="115">
        <v>0</v>
      </c>
    </row>
    <row r="7490" spans="1:11" x14ac:dyDescent="0.25">
      <c r="A7490" s="115">
        <v>1</v>
      </c>
      <c r="B7490" s="115" t="s">
        <v>8535</v>
      </c>
      <c r="D7490" s="115" t="s">
        <v>13484</v>
      </c>
      <c r="E7490" s="115" t="s">
        <v>8536</v>
      </c>
      <c r="F7490" s="115">
        <v>0</v>
      </c>
      <c r="G7490" s="115">
        <v>808</v>
      </c>
      <c r="H7490" s="115">
        <v>12</v>
      </c>
      <c r="I7490" s="115">
        <v>-344</v>
      </c>
      <c r="J7490" s="115">
        <v>0</v>
      </c>
      <c r="K7490" s="115">
        <v>0</v>
      </c>
    </row>
    <row r="7491" spans="1:11" x14ac:dyDescent="0.25">
      <c r="B7491" s="115" t="s">
        <v>8537</v>
      </c>
      <c r="D7491" s="115" t="s">
        <v>13485</v>
      </c>
      <c r="E7491" s="115" t="s">
        <v>8538</v>
      </c>
      <c r="F7491" s="115">
        <v>-231</v>
      </c>
      <c r="G7491" s="115">
        <v>81</v>
      </c>
      <c r="H7491" s="115">
        <v>-622</v>
      </c>
      <c r="I7491" s="115">
        <v>429</v>
      </c>
      <c r="J7491" s="115">
        <v>271</v>
      </c>
      <c r="K7491" s="115">
        <v>-79</v>
      </c>
    </row>
    <row r="7492" spans="1:11" x14ac:dyDescent="0.25">
      <c r="B7492" s="115" t="s">
        <v>1241</v>
      </c>
      <c r="D7492" s="115" t="s">
        <v>13486</v>
      </c>
      <c r="E7492" s="115" t="s">
        <v>8539</v>
      </c>
      <c r="F7492" s="115">
        <v>0</v>
      </c>
      <c r="G7492" s="115">
        <v>5</v>
      </c>
      <c r="H7492" s="115">
        <v>0</v>
      </c>
      <c r="I7492" s="115">
        <v>559</v>
      </c>
      <c r="J7492" s="115">
        <v>-167</v>
      </c>
      <c r="K7492" s="115">
        <v>757</v>
      </c>
    </row>
    <row r="7493" spans="1:11" x14ac:dyDescent="0.25">
      <c r="B7493" s="115" t="s">
        <v>8540</v>
      </c>
      <c r="C7493" s="115" t="s">
        <v>1239</v>
      </c>
      <c r="D7493" s="115" t="s">
        <v>13487</v>
      </c>
      <c r="E7493" s="115" t="s">
        <v>8541</v>
      </c>
      <c r="F7493" s="115">
        <v>4334</v>
      </c>
      <c r="G7493" s="115">
        <v>4185</v>
      </c>
      <c r="H7493" s="115">
        <v>0</v>
      </c>
      <c r="I7493" s="115">
        <v>1671</v>
      </c>
      <c r="J7493" s="115">
        <v>1842</v>
      </c>
      <c r="K7493" s="115">
        <v>2469</v>
      </c>
    </row>
    <row r="7494" spans="1:11" x14ac:dyDescent="0.25">
      <c r="B7494" s="115" t="s">
        <v>8542</v>
      </c>
      <c r="D7494" s="115" t="s">
        <v>13488</v>
      </c>
      <c r="E7494" s="115" t="s">
        <v>8543</v>
      </c>
      <c r="F7494" s="115">
        <v>0</v>
      </c>
      <c r="G7494" s="115">
        <v>0</v>
      </c>
      <c r="H7494" s="115">
        <v>0</v>
      </c>
      <c r="I7494" s="115">
        <v>-192</v>
      </c>
      <c r="J7494" s="115">
        <v>200</v>
      </c>
      <c r="K7494" s="115">
        <v>0</v>
      </c>
    </row>
    <row r="7495" spans="1:11" x14ac:dyDescent="0.25">
      <c r="A7495" s="115" t="s">
        <v>1239</v>
      </c>
      <c r="B7495" s="115" t="s">
        <v>8544</v>
      </c>
      <c r="D7495" s="115" t="s">
        <v>13489</v>
      </c>
      <c r="E7495" s="115" t="s">
        <v>8545</v>
      </c>
      <c r="F7495" s="115">
        <v>0</v>
      </c>
      <c r="G7495" s="115">
        <v>0</v>
      </c>
      <c r="H7495" s="115">
        <v>0</v>
      </c>
      <c r="I7495" s="115">
        <v>0</v>
      </c>
      <c r="J7495" s="115">
        <v>0</v>
      </c>
      <c r="K7495" s="115">
        <v>-103</v>
      </c>
    </row>
    <row r="7496" spans="1:11" x14ac:dyDescent="0.25">
      <c r="B7496" s="115" t="s">
        <v>8546</v>
      </c>
      <c r="D7496" s="115" t="s">
        <v>13490</v>
      </c>
      <c r="E7496" s="115" t="s">
        <v>8547</v>
      </c>
      <c r="F7496" s="115">
        <v>0</v>
      </c>
      <c r="G7496" s="115">
        <v>146</v>
      </c>
      <c r="H7496" s="115">
        <v>205</v>
      </c>
      <c r="I7496" s="115">
        <v>-2197</v>
      </c>
      <c r="J7496" s="115">
        <v>4308</v>
      </c>
      <c r="K7496" s="115">
        <v>4328</v>
      </c>
    </row>
    <row r="7497" spans="1:11" x14ac:dyDescent="0.25">
      <c r="B7497" s="115" t="s">
        <v>8548</v>
      </c>
      <c r="D7497" s="115" t="s">
        <v>13491</v>
      </c>
      <c r="E7497" s="115" t="s">
        <v>8549</v>
      </c>
      <c r="F7497" s="115">
        <v>92</v>
      </c>
      <c r="G7497" s="115">
        <v>0</v>
      </c>
      <c r="H7497" s="115">
        <v>0</v>
      </c>
      <c r="I7497" s="115">
        <v>845</v>
      </c>
      <c r="J7497" s="115">
        <v>311</v>
      </c>
      <c r="K7497" s="115">
        <v>0</v>
      </c>
    </row>
    <row r="7498" spans="1:11" x14ac:dyDescent="0.25">
      <c r="B7498" s="115" t="s">
        <v>4783</v>
      </c>
      <c r="D7498" s="115" t="s">
        <v>13492</v>
      </c>
      <c r="E7498" s="115" t="s">
        <v>8550</v>
      </c>
      <c r="F7498" s="115">
        <v>0</v>
      </c>
      <c r="G7498" s="115">
        <v>515</v>
      </c>
      <c r="H7498" s="115">
        <v>450</v>
      </c>
      <c r="I7498" s="115">
        <v>-734</v>
      </c>
      <c r="J7498" s="115">
        <v>0</v>
      </c>
      <c r="K7498" s="115">
        <v>0</v>
      </c>
    </row>
    <row r="7499" spans="1:11" x14ac:dyDescent="0.25">
      <c r="B7499" s="115" t="s">
        <v>1241</v>
      </c>
      <c r="D7499" s="115" t="s">
        <v>13493</v>
      </c>
      <c r="E7499" s="115" t="s">
        <v>8551</v>
      </c>
      <c r="F7499" s="115">
        <v>0</v>
      </c>
      <c r="G7499" s="115">
        <v>-1057</v>
      </c>
      <c r="H7499" s="115">
        <v>-197</v>
      </c>
      <c r="I7499" s="115">
        <v>1209</v>
      </c>
      <c r="J7499" s="115">
        <v>0</v>
      </c>
      <c r="K7499" s="115">
        <v>463</v>
      </c>
    </row>
    <row r="7500" spans="1:11" x14ac:dyDescent="0.25">
      <c r="A7500" s="115" t="s">
        <v>1239</v>
      </c>
      <c r="B7500" s="115" t="s">
        <v>8552</v>
      </c>
      <c r="D7500" s="115" t="s">
        <v>13494</v>
      </c>
      <c r="E7500" s="115" t="s">
        <v>8553</v>
      </c>
      <c r="F7500" s="115">
        <v>0</v>
      </c>
      <c r="G7500" s="115">
        <v>541</v>
      </c>
      <c r="H7500" s="115">
        <v>374</v>
      </c>
      <c r="I7500" s="115">
        <v>334</v>
      </c>
      <c r="J7500" s="115">
        <v>231</v>
      </c>
      <c r="K7500" s="115">
        <v>192</v>
      </c>
    </row>
    <row r="7501" spans="1:11" x14ac:dyDescent="0.25">
      <c r="B7501" s="115" t="s">
        <v>8554</v>
      </c>
      <c r="D7501" s="115" t="s">
        <v>13495</v>
      </c>
      <c r="E7501" s="115" t="s">
        <v>8555</v>
      </c>
      <c r="F7501" s="115">
        <v>340</v>
      </c>
      <c r="G7501" s="115">
        <v>0</v>
      </c>
      <c r="H7501" s="115">
        <v>15</v>
      </c>
      <c r="I7501" s="115">
        <v>0</v>
      </c>
      <c r="J7501" s="115">
        <v>-286</v>
      </c>
      <c r="K7501" s="115">
        <v>0</v>
      </c>
    </row>
    <row r="7502" spans="1:11" x14ac:dyDescent="0.25">
      <c r="B7502" s="115" t="s">
        <v>1241</v>
      </c>
      <c r="D7502" s="115" t="s">
        <v>13496</v>
      </c>
      <c r="E7502" s="115" t="s">
        <v>8556</v>
      </c>
      <c r="F7502" s="115">
        <v>0</v>
      </c>
      <c r="G7502" s="115">
        <v>0</v>
      </c>
      <c r="H7502" s="115">
        <v>0</v>
      </c>
      <c r="I7502" s="115">
        <v>-77</v>
      </c>
      <c r="J7502" s="115">
        <v>0</v>
      </c>
      <c r="K7502" s="115">
        <v>391</v>
      </c>
    </row>
    <row r="7503" spans="1:11" x14ac:dyDescent="0.25">
      <c r="B7503" s="115" t="s">
        <v>8557</v>
      </c>
      <c r="D7503" s="115" t="s">
        <v>13497</v>
      </c>
      <c r="E7503" s="115" t="s">
        <v>1242</v>
      </c>
      <c r="F7503" s="115">
        <v>308</v>
      </c>
      <c r="G7503" s="115">
        <v>0</v>
      </c>
      <c r="H7503" s="115">
        <v>0</v>
      </c>
      <c r="I7503" s="115">
        <v>0</v>
      </c>
      <c r="J7503" s="115">
        <v>0</v>
      </c>
      <c r="K7503" s="115">
        <v>0</v>
      </c>
    </row>
    <row r="7504" spans="1:11" x14ac:dyDescent="0.25">
      <c r="A7504" s="115" t="s">
        <v>1239</v>
      </c>
      <c r="B7504" s="115" t="s">
        <v>8558</v>
      </c>
      <c r="D7504" s="115" t="s">
        <v>13498</v>
      </c>
      <c r="E7504" s="115" t="s">
        <v>8559</v>
      </c>
      <c r="F7504" s="115">
        <v>-196</v>
      </c>
      <c r="G7504" s="115">
        <v>173</v>
      </c>
      <c r="H7504" s="115">
        <v>0</v>
      </c>
      <c r="I7504" s="115">
        <v>0</v>
      </c>
      <c r="J7504" s="115">
        <v>0</v>
      </c>
      <c r="K7504" s="115">
        <v>0</v>
      </c>
    </row>
    <row r="7505" spans="1:11" x14ac:dyDescent="0.25">
      <c r="A7505" s="115" t="s">
        <v>1239</v>
      </c>
      <c r="B7505" s="115" t="s">
        <v>8560</v>
      </c>
      <c r="D7505" s="115" t="s">
        <v>13499</v>
      </c>
      <c r="E7505" s="115" t="s">
        <v>8561</v>
      </c>
      <c r="F7505" s="115">
        <v>0</v>
      </c>
      <c r="G7505" s="115">
        <v>-72</v>
      </c>
      <c r="H7505" s="115">
        <v>-3449</v>
      </c>
      <c r="I7505" s="115">
        <v>0</v>
      </c>
      <c r="J7505" s="115">
        <v>0</v>
      </c>
      <c r="K7505" s="115">
        <v>0</v>
      </c>
    </row>
    <row r="7506" spans="1:11" x14ac:dyDescent="0.25">
      <c r="B7506" s="115" t="s">
        <v>8562</v>
      </c>
      <c r="D7506" s="115" t="s">
        <v>13500</v>
      </c>
      <c r="E7506" s="115" t="s">
        <v>8563</v>
      </c>
      <c r="F7506" s="115">
        <v>159</v>
      </c>
      <c r="G7506" s="115">
        <v>-97</v>
      </c>
      <c r="H7506" s="115">
        <v>-696</v>
      </c>
      <c r="I7506" s="115">
        <v>663</v>
      </c>
      <c r="J7506" s="115">
        <v>520</v>
      </c>
      <c r="K7506" s="115">
        <v>878</v>
      </c>
    </row>
    <row r="7507" spans="1:11" x14ac:dyDescent="0.25">
      <c r="A7507" s="115">
        <v>1</v>
      </c>
      <c r="B7507" s="115" t="s">
        <v>8564</v>
      </c>
      <c r="D7507" s="115" t="s">
        <v>13501</v>
      </c>
      <c r="E7507" s="115" t="s">
        <v>1242</v>
      </c>
      <c r="F7507" s="115">
        <v>0</v>
      </c>
      <c r="G7507" s="115">
        <v>0</v>
      </c>
      <c r="H7507" s="115">
        <v>0</v>
      </c>
      <c r="I7507" s="115">
        <v>0</v>
      </c>
      <c r="J7507" s="115">
        <v>0</v>
      </c>
      <c r="K7507" s="115">
        <v>0</v>
      </c>
    </row>
    <row r="7508" spans="1:11" x14ac:dyDescent="0.25">
      <c r="A7508" s="115" t="s">
        <v>1239</v>
      </c>
      <c r="B7508" s="115" t="s">
        <v>8565</v>
      </c>
      <c r="D7508" s="115" t="s">
        <v>13502</v>
      </c>
      <c r="E7508" s="115" t="s">
        <v>8566</v>
      </c>
      <c r="F7508" s="115">
        <v>90</v>
      </c>
      <c r="G7508" s="115">
        <v>-906</v>
      </c>
      <c r="H7508" s="115">
        <v>0</v>
      </c>
      <c r="I7508" s="115">
        <v>0</v>
      </c>
      <c r="J7508" s="115">
        <v>713</v>
      </c>
      <c r="K7508" s="115">
        <v>0</v>
      </c>
    </row>
    <row r="7509" spans="1:11" x14ac:dyDescent="0.25">
      <c r="B7509" s="115" t="s">
        <v>8567</v>
      </c>
      <c r="D7509" s="115" t="s">
        <v>13503</v>
      </c>
      <c r="E7509" s="115" t="s">
        <v>8568</v>
      </c>
      <c r="F7509" s="115">
        <v>0</v>
      </c>
      <c r="G7509" s="115">
        <v>0</v>
      </c>
      <c r="H7509" s="115">
        <v>-1217</v>
      </c>
      <c r="I7509" s="115">
        <v>0</v>
      </c>
      <c r="J7509" s="115">
        <v>-692</v>
      </c>
      <c r="K7509" s="115">
        <v>-1693</v>
      </c>
    </row>
    <row r="7510" spans="1:11" x14ac:dyDescent="0.25">
      <c r="B7510" s="115" t="s">
        <v>1241</v>
      </c>
      <c r="D7510" s="115" t="s">
        <v>8710</v>
      </c>
      <c r="E7510" s="115" t="s">
        <v>1242</v>
      </c>
      <c r="F7510" s="115">
        <v>0</v>
      </c>
      <c r="G7510" s="115">
        <v>0</v>
      </c>
      <c r="H7510" s="115">
        <v>0</v>
      </c>
      <c r="I7510" s="115">
        <v>0</v>
      </c>
      <c r="J7510" s="115">
        <v>0</v>
      </c>
      <c r="K7510" s="115">
        <v>0</v>
      </c>
    </row>
    <row r="7511" spans="1:11" x14ac:dyDescent="0.25">
      <c r="B7511" s="115" t="s">
        <v>1241</v>
      </c>
      <c r="D7511" s="115" t="s">
        <v>13504</v>
      </c>
      <c r="E7511" s="115" t="s">
        <v>8569</v>
      </c>
      <c r="F7511" s="115">
        <v>0</v>
      </c>
      <c r="G7511" s="115">
        <v>-48648</v>
      </c>
      <c r="H7511" s="115">
        <v>0</v>
      </c>
      <c r="I7511" s="115">
        <v>0</v>
      </c>
      <c r="J7511" s="115">
        <v>0</v>
      </c>
      <c r="K7511" s="115">
        <v>0</v>
      </c>
    </row>
    <row r="7512" spans="1:11" x14ac:dyDescent="0.25">
      <c r="B7512" s="115" t="s">
        <v>8570</v>
      </c>
      <c r="D7512" s="115" t="s">
        <v>13505</v>
      </c>
      <c r="E7512" s="115" t="s">
        <v>8571</v>
      </c>
      <c r="F7512" s="115">
        <v>-1403</v>
      </c>
      <c r="G7512" s="115">
        <v>-193</v>
      </c>
      <c r="H7512" s="115">
        <v>-178</v>
      </c>
      <c r="I7512" s="115">
        <v>-1908</v>
      </c>
      <c r="J7512" s="115">
        <v>-9418</v>
      </c>
      <c r="K7512" s="115">
        <v>15534</v>
      </c>
    </row>
    <row r="7513" spans="1:11" x14ac:dyDescent="0.25">
      <c r="B7513" s="115" t="s">
        <v>8572</v>
      </c>
      <c r="D7513" s="115" t="s">
        <v>13506</v>
      </c>
      <c r="E7513" s="115" t="s">
        <v>8573</v>
      </c>
      <c r="F7513" s="115">
        <v>-1066</v>
      </c>
      <c r="G7513" s="115">
        <v>-998</v>
      </c>
      <c r="H7513" s="115">
        <v>-1282</v>
      </c>
      <c r="I7513" s="115">
        <v>4391</v>
      </c>
      <c r="J7513" s="115">
        <v>0</v>
      </c>
      <c r="K7513" s="115">
        <v>-226</v>
      </c>
    </row>
    <row r="7514" spans="1:11" x14ac:dyDescent="0.25">
      <c r="A7514" s="115" t="s">
        <v>1239</v>
      </c>
      <c r="B7514" s="115" t="s">
        <v>8574</v>
      </c>
      <c r="D7514" s="115" t="s">
        <v>13507</v>
      </c>
      <c r="E7514" s="115" t="s">
        <v>8575</v>
      </c>
      <c r="F7514" s="115">
        <v>1562</v>
      </c>
      <c r="G7514" s="115">
        <v>-270</v>
      </c>
      <c r="H7514" s="115">
        <v>-175</v>
      </c>
      <c r="I7514" s="115">
        <v>-202</v>
      </c>
      <c r="J7514" s="115">
        <v>-368</v>
      </c>
      <c r="K7514" s="115">
        <v>1515</v>
      </c>
    </row>
    <row r="7515" spans="1:11" x14ac:dyDescent="0.25">
      <c r="A7515" s="115" t="s">
        <v>1239</v>
      </c>
      <c r="B7515" s="115" t="s">
        <v>8576</v>
      </c>
      <c r="D7515" s="115" t="s">
        <v>13508</v>
      </c>
      <c r="E7515" s="115" t="s">
        <v>8577</v>
      </c>
      <c r="F7515" s="115">
        <v>-56</v>
      </c>
      <c r="G7515" s="115">
        <v>264</v>
      </c>
      <c r="H7515" s="115">
        <v>386</v>
      </c>
      <c r="I7515" s="115">
        <v>538</v>
      </c>
      <c r="J7515" s="115">
        <v>89</v>
      </c>
      <c r="K7515" s="115">
        <v>296</v>
      </c>
    </row>
    <row r="7516" spans="1:11" x14ac:dyDescent="0.25">
      <c r="B7516" s="115" t="s">
        <v>8578</v>
      </c>
      <c r="D7516" s="115" t="s">
        <v>13509</v>
      </c>
      <c r="E7516" s="115">
        <f>-77   -180   -126   -600   -351</f>
        <v>-1334</v>
      </c>
      <c r="F7516" s="115">
        <v>130</v>
      </c>
      <c r="G7516" s="115">
        <v>-77</v>
      </c>
      <c r="H7516" s="115">
        <v>-180</v>
      </c>
      <c r="I7516" s="115">
        <v>-126</v>
      </c>
      <c r="J7516" s="115">
        <v>-600</v>
      </c>
      <c r="K7516" s="115">
        <v>-351</v>
      </c>
    </row>
    <row r="7517" spans="1:11" x14ac:dyDescent="0.25">
      <c r="A7517" s="115" t="s">
        <v>1239</v>
      </c>
      <c r="B7517" s="115" t="s">
        <v>8579</v>
      </c>
      <c r="D7517" s="115" t="s">
        <v>13510</v>
      </c>
      <c r="E7517" s="115" t="s">
        <v>8580</v>
      </c>
      <c r="F7517" s="115">
        <v>-484</v>
      </c>
      <c r="G7517" s="115">
        <v>-298</v>
      </c>
      <c r="H7517" s="115">
        <v>-188</v>
      </c>
      <c r="I7517" s="115">
        <v>-248</v>
      </c>
      <c r="J7517" s="115">
        <v>-139</v>
      </c>
      <c r="K7517" s="115">
        <v>937</v>
      </c>
    </row>
    <row r="7518" spans="1:11" x14ac:dyDescent="0.25">
      <c r="B7518" s="115" t="s">
        <v>8581</v>
      </c>
      <c r="D7518" s="115" t="s">
        <v>13511</v>
      </c>
      <c r="E7518" s="115" t="s">
        <v>8582</v>
      </c>
      <c r="F7518" s="115">
        <v>324</v>
      </c>
      <c r="G7518" s="115">
        <v>197</v>
      </c>
      <c r="H7518" s="115">
        <v>127</v>
      </c>
      <c r="I7518" s="115">
        <v>403</v>
      </c>
      <c r="J7518" s="115">
        <v>40</v>
      </c>
      <c r="K7518" s="115">
        <v>1256</v>
      </c>
    </row>
    <row r="7519" spans="1:11" x14ac:dyDescent="0.25">
      <c r="A7519" s="115">
        <v>1</v>
      </c>
      <c r="B7519" s="115" t="s">
        <v>8583</v>
      </c>
      <c r="D7519" s="115" t="s">
        <v>13512</v>
      </c>
      <c r="E7519" s="115" t="s">
        <v>8584</v>
      </c>
      <c r="F7519" s="115">
        <v>637</v>
      </c>
      <c r="G7519" s="115">
        <v>282</v>
      </c>
      <c r="H7519" s="115">
        <v>554</v>
      </c>
      <c r="I7519" s="115">
        <v>252</v>
      </c>
      <c r="J7519" s="115">
        <v>-1212</v>
      </c>
      <c r="K7519" s="115">
        <v>-305</v>
      </c>
    </row>
    <row r="7520" spans="1:11" x14ac:dyDescent="0.25">
      <c r="B7520" s="115">
        <f>-91  -1727</f>
        <v>-1818</v>
      </c>
      <c r="D7520" s="115" t="s">
        <v>13513</v>
      </c>
      <c r="E7520" s="115" t="s">
        <v>8585</v>
      </c>
      <c r="F7520" s="115">
        <v>-1829</v>
      </c>
      <c r="G7520" s="115">
        <v>-435</v>
      </c>
      <c r="H7520" s="115">
        <v>199</v>
      </c>
      <c r="I7520" s="115">
        <v>-31125</v>
      </c>
      <c r="J7520" s="115">
        <v>-83</v>
      </c>
      <c r="K7520" s="115">
        <v>-501</v>
      </c>
    </row>
    <row r="7521" spans="2:11" x14ac:dyDescent="0.25">
      <c r="B7521" s="115" t="s">
        <v>8586</v>
      </c>
      <c r="C7521" s="115" t="s">
        <v>1239</v>
      </c>
      <c r="D7521" s="115" t="s">
        <v>13514</v>
      </c>
      <c r="E7521" s="115" t="s">
        <v>1242</v>
      </c>
      <c r="F7521" s="115">
        <v>0</v>
      </c>
      <c r="G7521" s="115">
        <v>0</v>
      </c>
      <c r="H7521" s="115">
        <v>0</v>
      </c>
      <c r="I7521" s="115">
        <v>0</v>
      </c>
      <c r="J7521" s="115">
        <v>0</v>
      </c>
      <c r="K7521" s="115">
        <v>0</v>
      </c>
    </row>
    <row r="7522" spans="2:11" x14ac:dyDescent="0.25">
      <c r="B7522" s="115" t="s">
        <v>1241</v>
      </c>
      <c r="D7522" s="115" t="s">
        <v>8710</v>
      </c>
      <c r="E7522" s="115" t="s">
        <v>1242</v>
      </c>
      <c r="F7522" s="115">
        <v>0</v>
      </c>
      <c r="G7522" s="115">
        <v>0</v>
      </c>
      <c r="H7522" s="115">
        <v>0</v>
      </c>
      <c r="I7522" s="115">
        <v>0</v>
      </c>
      <c r="J7522" s="115">
        <v>0</v>
      </c>
      <c r="K7522" s="115">
        <v>0</v>
      </c>
    </row>
    <row r="7523" spans="2:11" x14ac:dyDescent="0.25">
      <c r="B7523" s="115" t="s">
        <v>1241</v>
      </c>
      <c r="D7523" s="115" t="s">
        <v>8710</v>
      </c>
      <c r="E7523" s="115" t="s">
        <v>1242</v>
      </c>
      <c r="F7523" s="115">
        <v>0</v>
      </c>
      <c r="G7523" s="115">
        <v>0</v>
      </c>
      <c r="H7523" s="115">
        <v>0</v>
      </c>
      <c r="I7523" s="115">
        <v>0</v>
      </c>
      <c r="J7523" s="115">
        <v>0</v>
      </c>
      <c r="K7523" s="115">
        <v>0</v>
      </c>
    </row>
    <row r="7524" spans="2:11" x14ac:dyDescent="0.25">
      <c r="B7524" s="115" t="s">
        <v>1241</v>
      </c>
      <c r="D7524" s="115" t="s">
        <v>8710</v>
      </c>
      <c r="E7524" s="115" t="s">
        <v>1242</v>
      </c>
      <c r="F7524" s="115">
        <v>0</v>
      </c>
      <c r="G7524" s="115">
        <v>0</v>
      </c>
      <c r="H7524" s="115">
        <v>0</v>
      </c>
      <c r="I7524" s="115">
        <v>0</v>
      </c>
      <c r="J7524" s="115">
        <v>0</v>
      </c>
      <c r="K7524" s="115">
        <v>0</v>
      </c>
    </row>
    <row r="7525" spans="2:11" x14ac:dyDescent="0.25">
      <c r="B7525" s="115" t="s">
        <v>1241</v>
      </c>
      <c r="D7525" s="115" t="s">
        <v>8710</v>
      </c>
      <c r="E7525" s="115" t="s">
        <v>1242</v>
      </c>
      <c r="F7525" s="115">
        <v>0</v>
      </c>
      <c r="G7525" s="115">
        <v>0</v>
      </c>
      <c r="H7525" s="115">
        <v>0</v>
      </c>
      <c r="I7525" s="115">
        <v>0</v>
      </c>
      <c r="J7525" s="115">
        <v>0</v>
      </c>
      <c r="K7525" s="115">
        <v>0</v>
      </c>
    </row>
    <row r="7526" spans="2:11" x14ac:dyDescent="0.25">
      <c r="B7526" s="115" t="s">
        <v>1241</v>
      </c>
      <c r="D7526" s="115" t="s">
        <v>8710</v>
      </c>
      <c r="E7526" s="115" t="s">
        <v>1242</v>
      </c>
      <c r="F7526" s="115">
        <v>0</v>
      </c>
      <c r="G7526" s="115">
        <v>0</v>
      </c>
      <c r="H7526" s="115">
        <v>0</v>
      </c>
      <c r="I7526" s="115">
        <v>0</v>
      </c>
      <c r="J7526" s="115">
        <v>0</v>
      </c>
      <c r="K7526" s="115">
        <v>0</v>
      </c>
    </row>
    <row r="7527" spans="2:11" x14ac:dyDescent="0.25">
      <c r="B7527" s="115" t="s">
        <v>1241</v>
      </c>
      <c r="D7527" s="115" t="s">
        <v>8710</v>
      </c>
      <c r="E7527" s="115" t="s">
        <v>1242</v>
      </c>
      <c r="F7527" s="115">
        <v>0</v>
      </c>
      <c r="G7527" s="115">
        <v>0</v>
      </c>
      <c r="H7527" s="115">
        <v>0</v>
      </c>
      <c r="I7527" s="115">
        <v>0</v>
      </c>
      <c r="J7527" s="115">
        <v>0</v>
      </c>
      <c r="K7527" s="115">
        <v>0</v>
      </c>
    </row>
    <row r="7528" spans="2:11" x14ac:dyDescent="0.25">
      <c r="B7528" s="115" t="s">
        <v>1241</v>
      </c>
      <c r="D7528" s="115" t="s">
        <v>8710</v>
      </c>
      <c r="E7528" s="115" t="s">
        <v>1242</v>
      </c>
      <c r="F7528" s="115">
        <v>0</v>
      </c>
      <c r="G7528" s="115">
        <v>0</v>
      </c>
      <c r="H7528" s="115">
        <v>0</v>
      </c>
      <c r="I7528" s="115">
        <v>0</v>
      </c>
      <c r="J7528" s="115">
        <v>0</v>
      </c>
      <c r="K7528" s="115">
        <v>0</v>
      </c>
    </row>
    <row r="7529" spans="2:11" x14ac:dyDescent="0.25">
      <c r="B7529" s="115" t="s">
        <v>1241</v>
      </c>
      <c r="D7529" s="115" t="s">
        <v>8710</v>
      </c>
      <c r="E7529" s="115" t="s">
        <v>1242</v>
      </c>
      <c r="F7529" s="115">
        <v>0</v>
      </c>
      <c r="G7529" s="115">
        <v>0</v>
      </c>
      <c r="H7529" s="115">
        <v>0</v>
      </c>
      <c r="I7529" s="115">
        <v>0</v>
      </c>
      <c r="J7529" s="115">
        <v>0</v>
      </c>
      <c r="K7529" s="115">
        <v>0</v>
      </c>
    </row>
    <row r="7530" spans="2:11" x14ac:dyDescent="0.25">
      <c r="B7530" s="115" t="s">
        <v>1241</v>
      </c>
      <c r="D7530" s="115" t="s">
        <v>8710</v>
      </c>
      <c r="E7530" s="115" t="s">
        <v>1242</v>
      </c>
      <c r="F7530" s="115">
        <v>0</v>
      </c>
      <c r="G7530" s="115">
        <v>0</v>
      </c>
      <c r="H7530" s="115">
        <v>0</v>
      </c>
      <c r="I7530" s="115">
        <v>0</v>
      </c>
      <c r="J7530" s="115">
        <v>0</v>
      </c>
      <c r="K7530" s="115">
        <v>0</v>
      </c>
    </row>
    <row r="7531" spans="2:11" x14ac:dyDescent="0.25">
      <c r="B7531" s="115" t="s">
        <v>1241</v>
      </c>
      <c r="D7531" s="115" t="s">
        <v>8710</v>
      </c>
      <c r="E7531" s="115" t="s">
        <v>1242</v>
      </c>
      <c r="F7531" s="115">
        <v>0</v>
      </c>
      <c r="G7531" s="115">
        <v>0</v>
      </c>
      <c r="H7531" s="115">
        <v>0</v>
      </c>
      <c r="I7531" s="115">
        <v>0</v>
      </c>
      <c r="J7531" s="115">
        <v>0</v>
      </c>
      <c r="K7531" s="115">
        <v>0</v>
      </c>
    </row>
    <row r="7532" spans="2:11" x14ac:dyDescent="0.25">
      <c r="B7532" s="115" t="s">
        <v>1241</v>
      </c>
      <c r="D7532" s="115" t="s">
        <v>8710</v>
      </c>
      <c r="E7532" s="115" t="s">
        <v>1242</v>
      </c>
      <c r="F7532" s="115">
        <v>0</v>
      </c>
      <c r="G7532" s="115">
        <v>0</v>
      </c>
      <c r="H7532" s="115">
        <v>0</v>
      </c>
      <c r="I7532" s="115">
        <v>0</v>
      </c>
      <c r="J7532" s="115">
        <v>0</v>
      </c>
      <c r="K7532" s="115">
        <v>0</v>
      </c>
    </row>
    <row r="7533" spans="2:11" x14ac:dyDescent="0.25">
      <c r="B7533" s="115" t="s">
        <v>1241</v>
      </c>
      <c r="D7533" s="115" t="s">
        <v>8710</v>
      </c>
      <c r="E7533" s="115" t="s">
        <v>1242</v>
      </c>
      <c r="F7533" s="115">
        <v>0</v>
      </c>
      <c r="G7533" s="115">
        <v>0</v>
      </c>
      <c r="H7533" s="115">
        <v>0</v>
      </c>
      <c r="I7533" s="115">
        <v>0</v>
      </c>
      <c r="J7533" s="115">
        <v>0</v>
      </c>
      <c r="K7533" s="115">
        <v>0</v>
      </c>
    </row>
    <row r="7534" spans="2:11" x14ac:dyDescent="0.25">
      <c r="B7534" s="115" t="s">
        <v>1241</v>
      </c>
      <c r="D7534" s="115" t="s">
        <v>8710</v>
      </c>
      <c r="E7534" s="115" t="s">
        <v>1242</v>
      </c>
      <c r="F7534" s="115">
        <v>0</v>
      </c>
      <c r="G7534" s="115">
        <v>0</v>
      </c>
      <c r="H7534" s="115">
        <v>0</v>
      </c>
      <c r="I7534" s="115">
        <v>0</v>
      </c>
      <c r="J7534" s="115">
        <v>0</v>
      </c>
      <c r="K7534" s="115">
        <v>0</v>
      </c>
    </row>
    <row r="7535" spans="2:11" x14ac:dyDescent="0.25">
      <c r="B7535" s="115" t="s">
        <v>1241</v>
      </c>
      <c r="D7535" s="115" t="s">
        <v>8710</v>
      </c>
      <c r="E7535" s="115" t="s">
        <v>1242</v>
      </c>
      <c r="F7535" s="115">
        <v>0</v>
      </c>
      <c r="G7535" s="115">
        <v>0</v>
      </c>
      <c r="H7535" s="115">
        <v>0</v>
      </c>
      <c r="I7535" s="115">
        <v>0</v>
      </c>
      <c r="J7535" s="115">
        <v>0</v>
      </c>
      <c r="K7535" s="115">
        <v>0</v>
      </c>
    </row>
    <row r="7536" spans="2:11" x14ac:dyDescent="0.25">
      <c r="B7536" s="115" t="s">
        <v>1241</v>
      </c>
      <c r="D7536" s="115" t="s">
        <v>8710</v>
      </c>
      <c r="E7536" s="115" t="s">
        <v>1242</v>
      </c>
      <c r="F7536" s="115">
        <v>0</v>
      </c>
      <c r="G7536" s="115">
        <v>0</v>
      </c>
      <c r="H7536" s="115">
        <v>0</v>
      </c>
      <c r="I7536" s="115">
        <v>0</v>
      </c>
      <c r="J7536" s="115">
        <v>0</v>
      </c>
      <c r="K7536" s="115">
        <v>0</v>
      </c>
    </row>
    <row r="7537" spans="2:11" x14ac:dyDescent="0.25">
      <c r="B7537" s="115" t="s">
        <v>1241</v>
      </c>
      <c r="D7537" s="115" t="s">
        <v>8710</v>
      </c>
      <c r="E7537" s="115" t="s">
        <v>1242</v>
      </c>
      <c r="F7537" s="115">
        <v>0</v>
      </c>
      <c r="G7537" s="115">
        <v>0</v>
      </c>
      <c r="H7537" s="115">
        <v>0</v>
      </c>
      <c r="I7537" s="115">
        <v>0</v>
      </c>
      <c r="J7537" s="115">
        <v>0</v>
      </c>
      <c r="K7537" s="115">
        <v>0</v>
      </c>
    </row>
    <row r="7538" spans="2:11" x14ac:dyDescent="0.25">
      <c r="B7538" s="115" t="s">
        <v>1241</v>
      </c>
      <c r="D7538" s="115" t="s">
        <v>8710</v>
      </c>
      <c r="E7538" s="115" t="s">
        <v>1242</v>
      </c>
      <c r="F7538" s="115">
        <v>0</v>
      </c>
      <c r="G7538" s="115">
        <v>0</v>
      </c>
      <c r="H7538" s="115">
        <v>0</v>
      </c>
      <c r="I7538" s="115">
        <v>0</v>
      </c>
      <c r="J7538" s="115">
        <v>0</v>
      </c>
      <c r="K7538" s="115">
        <v>0</v>
      </c>
    </row>
    <row r="7539" spans="2:11" x14ac:dyDescent="0.25">
      <c r="B7539" s="115" t="s">
        <v>1241</v>
      </c>
      <c r="D7539" s="115" t="s">
        <v>8710</v>
      </c>
      <c r="E7539" s="115" t="s">
        <v>1242</v>
      </c>
      <c r="F7539" s="115">
        <v>0</v>
      </c>
      <c r="G7539" s="115">
        <v>0</v>
      </c>
      <c r="H7539" s="115">
        <v>0</v>
      </c>
      <c r="I7539" s="115">
        <v>0</v>
      </c>
      <c r="J7539" s="115">
        <v>0</v>
      </c>
      <c r="K7539" s="115">
        <v>0</v>
      </c>
    </row>
    <row r="7540" spans="2:11" x14ac:dyDescent="0.25">
      <c r="B7540" s="115" t="s">
        <v>1241</v>
      </c>
      <c r="D7540" s="115" t="s">
        <v>8710</v>
      </c>
      <c r="E7540" s="115" t="s">
        <v>1242</v>
      </c>
      <c r="F7540" s="115">
        <v>0</v>
      </c>
      <c r="G7540" s="115">
        <v>0</v>
      </c>
      <c r="H7540" s="115">
        <v>0</v>
      </c>
      <c r="I7540" s="115">
        <v>0</v>
      </c>
      <c r="J7540" s="115">
        <v>0</v>
      </c>
      <c r="K7540" s="115">
        <v>0</v>
      </c>
    </row>
    <row r="7541" spans="2:11" x14ac:dyDescent="0.25">
      <c r="B7541" s="115" t="s">
        <v>1241</v>
      </c>
      <c r="D7541" s="115" t="s">
        <v>8710</v>
      </c>
      <c r="E7541" s="115" t="s">
        <v>1242</v>
      </c>
      <c r="F7541" s="115">
        <v>0</v>
      </c>
      <c r="G7541" s="115">
        <v>0</v>
      </c>
      <c r="H7541" s="115">
        <v>0</v>
      </c>
      <c r="I7541" s="115">
        <v>0</v>
      </c>
      <c r="J7541" s="115">
        <v>0</v>
      </c>
      <c r="K7541" s="115">
        <v>0</v>
      </c>
    </row>
    <row r="7542" spans="2:11" x14ac:dyDescent="0.25">
      <c r="B7542" s="115" t="s">
        <v>1241</v>
      </c>
      <c r="D7542" s="115" t="s">
        <v>8710</v>
      </c>
      <c r="E7542" s="115" t="s">
        <v>1242</v>
      </c>
      <c r="F7542" s="115">
        <v>0</v>
      </c>
      <c r="G7542" s="115">
        <v>0</v>
      </c>
      <c r="H7542" s="115">
        <v>0</v>
      </c>
      <c r="I7542" s="115">
        <v>0</v>
      </c>
      <c r="J7542" s="115">
        <v>0</v>
      </c>
      <c r="K7542" s="115">
        <v>0</v>
      </c>
    </row>
    <row r="7543" spans="2:11" x14ac:dyDescent="0.25">
      <c r="B7543" s="115" t="s">
        <v>1241</v>
      </c>
      <c r="D7543" s="115" t="s">
        <v>8710</v>
      </c>
      <c r="E7543" s="115" t="s">
        <v>1242</v>
      </c>
      <c r="F7543" s="115">
        <v>0</v>
      </c>
      <c r="G7543" s="115">
        <v>0</v>
      </c>
      <c r="H7543" s="115">
        <v>0</v>
      </c>
      <c r="I7543" s="115">
        <v>0</v>
      </c>
      <c r="J7543" s="115">
        <v>0</v>
      </c>
      <c r="K7543" s="115">
        <v>0</v>
      </c>
    </row>
    <row r="7544" spans="2:11" x14ac:dyDescent="0.25">
      <c r="B7544" s="115" t="s">
        <v>1241</v>
      </c>
      <c r="D7544" s="115" t="s">
        <v>8710</v>
      </c>
      <c r="E7544" s="115" t="s">
        <v>1242</v>
      </c>
      <c r="F7544" s="115">
        <v>0</v>
      </c>
      <c r="G7544" s="115">
        <v>0</v>
      </c>
      <c r="H7544" s="115">
        <v>0</v>
      </c>
      <c r="I7544" s="115">
        <v>0</v>
      </c>
      <c r="J7544" s="115">
        <v>0</v>
      </c>
      <c r="K7544" s="115">
        <v>0</v>
      </c>
    </row>
    <row r="7545" spans="2:11" x14ac:dyDescent="0.25">
      <c r="B7545" s="115" t="s">
        <v>1241</v>
      </c>
      <c r="D7545" s="115" t="s">
        <v>8710</v>
      </c>
      <c r="E7545" s="115" t="s">
        <v>1242</v>
      </c>
      <c r="F7545" s="115">
        <v>0</v>
      </c>
      <c r="G7545" s="115">
        <v>0</v>
      </c>
      <c r="H7545" s="115">
        <v>0</v>
      </c>
      <c r="I7545" s="115">
        <v>0</v>
      </c>
      <c r="J7545" s="115">
        <v>0</v>
      </c>
      <c r="K7545" s="115">
        <v>0</v>
      </c>
    </row>
    <row r="7546" spans="2:11" x14ac:dyDescent="0.25">
      <c r="B7546" s="115" t="s">
        <v>1241</v>
      </c>
      <c r="D7546" s="115" t="s">
        <v>8710</v>
      </c>
      <c r="E7546" s="115" t="s">
        <v>1242</v>
      </c>
      <c r="F7546" s="115">
        <v>0</v>
      </c>
      <c r="G7546" s="115">
        <v>0</v>
      </c>
      <c r="H7546" s="115">
        <v>0</v>
      </c>
      <c r="I7546" s="115">
        <v>0</v>
      </c>
      <c r="J7546" s="115">
        <v>0</v>
      </c>
      <c r="K7546" s="115">
        <v>0</v>
      </c>
    </row>
    <row r="7547" spans="2:11" x14ac:dyDescent="0.25">
      <c r="B7547" s="115" t="s">
        <v>1241</v>
      </c>
      <c r="D7547" s="115" t="s">
        <v>8710</v>
      </c>
      <c r="E7547" s="115" t="s">
        <v>1242</v>
      </c>
      <c r="F7547" s="115">
        <v>0</v>
      </c>
      <c r="G7547" s="115">
        <v>0</v>
      </c>
      <c r="H7547" s="115">
        <v>0</v>
      </c>
      <c r="I7547" s="115">
        <v>0</v>
      </c>
      <c r="J7547" s="115">
        <v>0</v>
      </c>
      <c r="K7547" s="115">
        <v>0</v>
      </c>
    </row>
    <row r="7548" spans="2:11" x14ac:dyDescent="0.25">
      <c r="B7548" s="115" t="s">
        <v>1241</v>
      </c>
      <c r="D7548" s="115" t="s">
        <v>8710</v>
      </c>
      <c r="E7548" s="115" t="s">
        <v>1242</v>
      </c>
      <c r="F7548" s="115">
        <v>0</v>
      </c>
      <c r="G7548" s="115">
        <v>0</v>
      </c>
      <c r="H7548" s="115">
        <v>0</v>
      </c>
      <c r="I7548" s="115">
        <v>0</v>
      </c>
      <c r="J7548" s="115">
        <v>0</v>
      </c>
      <c r="K7548" s="115">
        <v>0</v>
      </c>
    </row>
    <row r="7549" spans="2:11" x14ac:dyDescent="0.25">
      <c r="B7549" s="115" t="s">
        <v>1241</v>
      </c>
      <c r="D7549" s="115" t="s">
        <v>8710</v>
      </c>
      <c r="E7549" s="115" t="s">
        <v>1242</v>
      </c>
      <c r="F7549" s="115">
        <v>0</v>
      </c>
      <c r="G7549" s="115">
        <v>0</v>
      </c>
      <c r="H7549" s="115">
        <v>0</v>
      </c>
      <c r="I7549" s="115">
        <v>0</v>
      </c>
      <c r="J7549" s="115">
        <v>0</v>
      </c>
      <c r="K7549" s="115">
        <v>0</v>
      </c>
    </row>
    <row r="7550" spans="2:11" x14ac:dyDescent="0.25">
      <c r="B7550" s="115" t="s">
        <v>1241</v>
      </c>
      <c r="D7550" s="115" t="s">
        <v>8710</v>
      </c>
      <c r="E7550" s="115" t="s">
        <v>1242</v>
      </c>
      <c r="F7550" s="115">
        <v>0</v>
      </c>
      <c r="G7550" s="115">
        <v>0</v>
      </c>
      <c r="H7550" s="115">
        <v>0</v>
      </c>
      <c r="I7550" s="115">
        <v>0</v>
      </c>
      <c r="J7550" s="115">
        <v>0</v>
      </c>
      <c r="K7550" s="115">
        <v>0</v>
      </c>
    </row>
    <row r="7551" spans="2:11" x14ac:dyDescent="0.25">
      <c r="B7551" s="115" t="s">
        <v>1241</v>
      </c>
      <c r="D7551" s="115" t="s">
        <v>8710</v>
      </c>
      <c r="E7551" s="115" t="s">
        <v>1242</v>
      </c>
      <c r="F7551" s="115">
        <v>0</v>
      </c>
      <c r="G7551" s="115">
        <v>0</v>
      </c>
      <c r="H7551" s="115">
        <v>0</v>
      </c>
      <c r="I7551" s="115">
        <v>0</v>
      </c>
      <c r="J7551" s="115">
        <v>0</v>
      </c>
      <c r="K7551" s="115">
        <v>0</v>
      </c>
    </row>
    <row r="7552" spans="2:11" x14ac:dyDescent="0.25">
      <c r="B7552" s="115" t="s">
        <v>1241</v>
      </c>
      <c r="D7552" s="115" t="s">
        <v>8710</v>
      </c>
      <c r="E7552" s="115" t="s">
        <v>1242</v>
      </c>
      <c r="F7552" s="115">
        <v>0</v>
      </c>
      <c r="G7552" s="115">
        <v>0</v>
      </c>
      <c r="H7552" s="115">
        <v>0</v>
      </c>
      <c r="I7552" s="115">
        <v>0</v>
      </c>
      <c r="J7552" s="115">
        <v>0</v>
      </c>
      <c r="K7552" s="115">
        <v>0</v>
      </c>
    </row>
    <row r="7553" spans="1:11" x14ac:dyDescent="0.25">
      <c r="B7553" s="115" t="s">
        <v>1241</v>
      </c>
      <c r="D7553" s="115" t="s">
        <v>8710</v>
      </c>
      <c r="E7553" s="115" t="s">
        <v>1242</v>
      </c>
      <c r="F7553" s="115">
        <v>0</v>
      </c>
      <c r="G7553" s="115">
        <v>0</v>
      </c>
      <c r="H7553" s="115">
        <v>0</v>
      </c>
      <c r="I7553" s="115">
        <v>0</v>
      </c>
      <c r="J7553" s="115">
        <v>0</v>
      </c>
      <c r="K7553" s="115">
        <v>0</v>
      </c>
    </row>
    <row r="7554" spans="1:11" x14ac:dyDescent="0.25">
      <c r="B7554" s="115" t="s">
        <v>1241</v>
      </c>
      <c r="D7554" s="115" t="s">
        <v>8710</v>
      </c>
      <c r="E7554" s="115" t="s">
        <v>1242</v>
      </c>
      <c r="F7554" s="115">
        <v>0</v>
      </c>
      <c r="G7554" s="115">
        <v>0</v>
      </c>
      <c r="H7554" s="115">
        <v>0</v>
      </c>
      <c r="I7554" s="115">
        <v>0</v>
      </c>
      <c r="J7554" s="115">
        <v>0</v>
      </c>
      <c r="K7554" s="115">
        <v>0</v>
      </c>
    </row>
    <row r="7555" spans="1:11" x14ac:dyDescent="0.25">
      <c r="B7555" s="115" t="s">
        <v>1241</v>
      </c>
      <c r="D7555" s="115" t="s">
        <v>8710</v>
      </c>
      <c r="E7555" s="115" t="s">
        <v>1242</v>
      </c>
      <c r="F7555" s="115">
        <v>0</v>
      </c>
      <c r="G7555" s="115">
        <v>0</v>
      </c>
      <c r="H7555" s="115">
        <v>0</v>
      </c>
      <c r="I7555" s="115">
        <v>0</v>
      </c>
      <c r="J7555" s="115">
        <v>0</v>
      </c>
      <c r="K7555" s="115">
        <v>0</v>
      </c>
    </row>
    <row r="7556" spans="1:11" x14ac:dyDescent="0.25">
      <c r="B7556" s="115" t="s">
        <v>1241</v>
      </c>
      <c r="D7556" s="115" t="s">
        <v>8710</v>
      </c>
      <c r="E7556" s="115" t="s">
        <v>1242</v>
      </c>
      <c r="F7556" s="115">
        <v>0</v>
      </c>
      <c r="G7556" s="115">
        <v>0</v>
      </c>
      <c r="H7556" s="115">
        <v>0</v>
      </c>
      <c r="I7556" s="115">
        <v>0</v>
      </c>
      <c r="J7556" s="115">
        <v>0</v>
      </c>
      <c r="K7556" s="115">
        <v>0</v>
      </c>
    </row>
    <row r="7557" spans="1:11" x14ac:dyDescent="0.25">
      <c r="B7557" s="115" t="s">
        <v>1241</v>
      </c>
      <c r="D7557" s="115" t="s">
        <v>8710</v>
      </c>
      <c r="E7557" s="115" t="s">
        <v>1242</v>
      </c>
      <c r="F7557" s="115">
        <v>0</v>
      </c>
      <c r="G7557" s="115">
        <v>0</v>
      </c>
      <c r="H7557" s="115">
        <v>0</v>
      </c>
      <c r="I7557" s="115">
        <v>0</v>
      </c>
      <c r="J7557" s="115">
        <v>0</v>
      </c>
      <c r="K7557" s="115">
        <v>0</v>
      </c>
    </row>
    <row r="7558" spans="1:11" x14ac:dyDescent="0.25">
      <c r="B7558" s="115" t="s">
        <v>1241</v>
      </c>
      <c r="D7558" s="115" t="s">
        <v>8710</v>
      </c>
      <c r="E7558" s="115" t="s">
        <v>1242</v>
      </c>
      <c r="F7558" s="115">
        <v>0</v>
      </c>
      <c r="G7558" s="115">
        <v>0</v>
      </c>
      <c r="H7558" s="115">
        <v>0</v>
      </c>
      <c r="I7558" s="115">
        <v>0</v>
      </c>
      <c r="J7558" s="115">
        <v>0</v>
      </c>
      <c r="K7558" s="115">
        <v>0</v>
      </c>
    </row>
    <row r="7559" spans="1:11" x14ac:dyDescent="0.25">
      <c r="B7559" s="115" t="s">
        <v>8587</v>
      </c>
      <c r="D7559" s="115" t="s">
        <v>13515</v>
      </c>
      <c r="E7559" s="115" t="s">
        <v>8588</v>
      </c>
      <c r="F7559" s="115">
        <v>402</v>
      </c>
      <c r="G7559" s="115">
        <v>-1055</v>
      </c>
      <c r="H7559" s="115">
        <v>0</v>
      </c>
      <c r="I7559" s="115">
        <v>0</v>
      </c>
      <c r="J7559" s="115">
        <v>-262</v>
      </c>
      <c r="K7559" s="115">
        <v>0</v>
      </c>
    </row>
    <row r="7560" spans="1:11" x14ac:dyDescent="0.25">
      <c r="B7560" s="115" t="s">
        <v>1241</v>
      </c>
      <c r="D7560" s="115" t="s">
        <v>13516</v>
      </c>
      <c r="E7560" s="115" t="s">
        <v>1242</v>
      </c>
      <c r="F7560" s="115">
        <v>0</v>
      </c>
      <c r="G7560" s="115">
        <v>0</v>
      </c>
      <c r="H7560" s="115">
        <v>0</v>
      </c>
      <c r="I7560" s="115">
        <v>0</v>
      </c>
      <c r="J7560" s="115">
        <v>0</v>
      </c>
      <c r="K7560" s="115">
        <v>0</v>
      </c>
    </row>
    <row r="7561" spans="1:11" x14ac:dyDescent="0.25">
      <c r="A7561" s="115" t="s">
        <v>1239</v>
      </c>
      <c r="B7561" s="115" t="s">
        <v>1584</v>
      </c>
      <c r="D7561" s="115" t="s">
        <v>13517</v>
      </c>
      <c r="E7561" s="115" t="s">
        <v>8589</v>
      </c>
      <c r="F7561" s="115">
        <v>0</v>
      </c>
      <c r="G7561" s="115">
        <v>819</v>
      </c>
      <c r="H7561" s="115">
        <v>0</v>
      </c>
      <c r="I7561" s="115">
        <v>-510</v>
      </c>
      <c r="J7561" s="115">
        <v>825</v>
      </c>
      <c r="K7561" s="115">
        <v>440</v>
      </c>
    </row>
    <row r="7562" spans="1:11" x14ac:dyDescent="0.25">
      <c r="B7562" s="115" t="s">
        <v>8590</v>
      </c>
      <c r="D7562" s="115" t="s">
        <v>13518</v>
      </c>
      <c r="E7562" s="115" t="s">
        <v>8591</v>
      </c>
      <c r="F7562" s="115">
        <v>-598</v>
      </c>
      <c r="G7562" s="115">
        <v>-8776</v>
      </c>
      <c r="H7562" s="115">
        <v>1075</v>
      </c>
      <c r="I7562" s="115">
        <v>0</v>
      </c>
      <c r="J7562" s="115">
        <v>-240</v>
      </c>
      <c r="K7562" s="115">
        <v>0</v>
      </c>
    </row>
    <row r="7563" spans="1:11" x14ac:dyDescent="0.25">
      <c r="B7563" s="115" t="s">
        <v>1241</v>
      </c>
      <c r="D7563" s="115" t="s">
        <v>13519</v>
      </c>
      <c r="E7563" s="115" t="s">
        <v>8592</v>
      </c>
      <c r="F7563" s="115">
        <v>1385</v>
      </c>
      <c r="G7563" s="115">
        <v>0</v>
      </c>
      <c r="H7563" s="115">
        <v>0</v>
      </c>
      <c r="I7563" s="115">
        <v>0</v>
      </c>
      <c r="J7563" s="115">
        <v>-1321</v>
      </c>
      <c r="K7563" s="115">
        <v>0</v>
      </c>
    </row>
    <row r="7564" spans="1:11" x14ac:dyDescent="0.25">
      <c r="A7564" s="115" t="s">
        <v>1239</v>
      </c>
      <c r="B7564" s="115" t="s">
        <v>2429</v>
      </c>
      <c r="D7564" s="115" t="s">
        <v>13520</v>
      </c>
      <c r="E7564" s="115" t="s">
        <v>8593</v>
      </c>
      <c r="F7564" s="115">
        <v>0</v>
      </c>
      <c r="G7564" s="115">
        <v>0</v>
      </c>
      <c r="H7564" s="115">
        <v>-691</v>
      </c>
      <c r="I7564" s="115">
        <v>0</v>
      </c>
      <c r="J7564" s="115">
        <v>-1125</v>
      </c>
      <c r="K7564" s="115">
        <v>-1925</v>
      </c>
    </row>
    <row r="7565" spans="1:11" x14ac:dyDescent="0.25">
      <c r="B7565" s="115" t="s">
        <v>1241</v>
      </c>
      <c r="D7565" s="115" t="s">
        <v>13521</v>
      </c>
      <c r="E7565" s="115" t="s">
        <v>8594</v>
      </c>
      <c r="F7565" s="115">
        <v>0</v>
      </c>
      <c r="G7565" s="115">
        <v>5672</v>
      </c>
      <c r="H7565" s="115">
        <v>0</v>
      </c>
      <c r="I7565" s="115">
        <v>0</v>
      </c>
      <c r="J7565" s="115">
        <v>0</v>
      </c>
      <c r="K7565" s="115">
        <v>0</v>
      </c>
    </row>
    <row r="7566" spans="1:11" x14ac:dyDescent="0.25">
      <c r="A7566" s="115">
        <v>18</v>
      </c>
      <c r="B7566" s="115" t="s">
        <v>8595</v>
      </c>
      <c r="D7566" s="115" t="s">
        <v>13522</v>
      </c>
      <c r="E7566" s="115" t="s">
        <v>8596</v>
      </c>
      <c r="F7566" s="115">
        <v>0</v>
      </c>
      <c r="G7566" s="115">
        <v>705</v>
      </c>
      <c r="H7566" s="115">
        <v>653</v>
      </c>
      <c r="I7566" s="115">
        <v>0</v>
      </c>
      <c r="J7566" s="115">
        <v>316</v>
      </c>
      <c r="K7566" s="115">
        <v>4626</v>
      </c>
    </row>
    <row r="7567" spans="1:11" x14ac:dyDescent="0.25">
      <c r="B7567" s="115" t="s">
        <v>8597</v>
      </c>
      <c r="C7567" s="115">
        <v>1</v>
      </c>
      <c r="D7567" s="115" t="s">
        <v>13523</v>
      </c>
      <c r="E7567" s="115" t="s">
        <v>1242</v>
      </c>
      <c r="F7567" s="115">
        <v>5364</v>
      </c>
      <c r="G7567" s="115">
        <v>0</v>
      </c>
      <c r="H7567" s="115">
        <v>0</v>
      </c>
      <c r="I7567" s="115">
        <v>0</v>
      </c>
      <c r="J7567" s="115">
        <v>0</v>
      </c>
      <c r="K7567" s="115">
        <v>0</v>
      </c>
    </row>
    <row r="7568" spans="1:11" x14ac:dyDescent="0.25">
      <c r="A7568" s="115">
        <v>-8</v>
      </c>
      <c r="B7568" s="115" t="s">
        <v>5542</v>
      </c>
      <c r="C7568" s="115">
        <v>-1</v>
      </c>
      <c r="D7568" s="115" t="s">
        <v>13524</v>
      </c>
      <c r="E7568" s="115" t="s">
        <v>8598</v>
      </c>
      <c r="F7568" s="115">
        <v>-4751</v>
      </c>
      <c r="G7568" s="115">
        <v>0</v>
      </c>
      <c r="H7568" s="115">
        <v>1181</v>
      </c>
      <c r="I7568" s="115">
        <v>2294</v>
      </c>
      <c r="J7568" s="115">
        <v>-507</v>
      </c>
      <c r="K7568" s="115">
        <v>-818</v>
      </c>
    </row>
    <row r="7569" spans="1:11" x14ac:dyDescent="0.25">
      <c r="A7569" s="115" t="s">
        <v>1239</v>
      </c>
      <c r="B7569" s="115" t="s">
        <v>8599</v>
      </c>
      <c r="D7569" s="115" t="s">
        <v>13525</v>
      </c>
      <c r="E7569" s="115" t="s">
        <v>8600</v>
      </c>
      <c r="F7569" s="115">
        <v>-500</v>
      </c>
      <c r="G7569" s="115">
        <v>-145</v>
      </c>
      <c r="H7569" s="115">
        <v>0</v>
      </c>
      <c r="I7569" s="115">
        <v>-344</v>
      </c>
      <c r="J7569" s="115">
        <v>6317</v>
      </c>
      <c r="K7569" s="115">
        <v>0</v>
      </c>
    </row>
    <row r="7570" spans="1:11" x14ac:dyDescent="0.25">
      <c r="B7570" s="115" t="s">
        <v>1241</v>
      </c>
      <c r="D7570" s="115" t="s">
        <v>13526</v>
      </c>
      <c r="E7570" s="115" t="s">
        <v>8601</v>
      </c>
      <c r="F7570" s="115">
        <v>0</v>
      </c>
      <c r="G7570" s="115">
        <v>-602</v>
      </c>
      <c r="H7570" s="115">
        <v>1379</v>
      </c>
      <c r="I7570" s="115">
        <v>-73</v>
      </c>
      <c r="J7570" s="115">
        <v>-567</v>
      </c>
      <c r="K7570" s="115">
        <v>0</v>
      </c>
    </row>
    <row r="7571" spans="1:11" x14ac:dyDescent="0.25">
      <c r="B7571" s="115" t="s">
        <v>1241</v>
      </c>
      <c r="D7571" s="115" t="s">
        <v>13527</v>
      </c>
      <c r="E7571" s="115" t="s">
        <v>8602</v>
      </c>
      <c r="F7571" s="115">
        <v>-1821</v>
      </c>
      <c r="G7571" s="115">
        <v>0</v>
      </c>
      <c r="H7571" s="115">
        <v>-2285</v>
      </c>
      <c r="I7571" s="115">
        <v>-445</v>
      </c>
      <c r="J7571" s="115">
        <v>-196</v>
      </c>
      <c r="K7571" s="115">
        <v>0</v>
      </c>
    </row>
    <row r="7572" spans="1:11" x14ac:dyDescent="0.25">
      <c r="A7572" s="115">
        <v>2</v>
      </c>
      <c r="B7572" s="115" t="s">
        <v>8603</v>
      </c>
      <c r="D7572" s="115" t="s">
        <v>13528</v>
      </c>
      <c r="E7572" s="115" t="s">
        <v>8604</v>
      </c>
      <c r="F7572" s="115">
        <v>281</v>
      </c>
      <c r="G7572" s="115">
        <v>2562</v>
      </c>
      <c r="H7572" s="115">
        <v>513</v>
      </c>
      <c r="I7572" s="115">
        <v>-26887</v>
      </c>
      <c r="J7572" s="115">
        <v>0</v>
      </c>
      <c r="K7572" s="115">
        <v>-151</v>
      </c>
    </row>
    <row r="7573" spans="1:11" x14ac:dyDescent="0.25">
      <c r="B7573" s="115" t="s">
        <v>1241</v>
      </c>
      <c r="D7573" s="115" t="s">
        <v>13529</v>
      </c>
      <c r="E7573" s="115" t="s">
        <v>8605</v>
      </c>
      <c r="F7573" s="115">
        <v>0</v>
      </c>
      <c r="G7573" s="115">
        <v>137</v>
      </c>
      <c r="H7573" s="115">
        <v>0</v>
      </c>
      <c r="I7573" s="115">
        <v>0</v>
      </c>
      <c r="J7573" s="115">
        <v>-52</v>
      </c>
      <c r="K7573" s="115">
        <v>0</v>
      </c>
    </row>
    <row r="7574" spans="1:11" x14ac:dyDescent="0.25">
      <c r="B7574" s="115" t="s">
        <v>8606</v>
      </c>
      <c r="D7574" s="115" t="s">
        <v>13530</v>
      </c>
      <c r="E7574" s="115" t="s">
        <v>8607</v>
      </c>
      <c r="F7574" s="115">
        <v>0</v>
      </c>
      <c r="G7574" s="115">
        <v>0</v>
      </c>
      <c r="H7574" s="115">
        <v>0</v>
      </c>
      <c r="I7574" s="115">
        <v>0</v>
      </c>
      <c r="J7574" s="115">
        <v>-3262</v>
      </c>
      <c r="K7574" s="115">
        <v>0</v>
      </c>
    </row>
    <row r="7575" spans="1:11" x14ac:dyDescent="0.25">
      <c r="A7575" s="115">
        <v>1</v>
      </c>
      <c r="B7575" s="115" t="s">
        <v>8608</v>
      </c>
      <c r="D7575" s="115" t="s">
        <v>13531</v>
      </c>
      <c r="E7575" s="115" t="s">
        <v>8609</v>
      </c>
      <c r="F7575" s="115">
        <v>219</v>
      </c>
      <c r="G7575" s="115">
        <v>1397</v>
      </c>
      <c r="H7575" s="115">
        <v>-302</v>
      </c>
      <c r="I7575" s="115">
        <v>0</v>
      </c>
      <c r="J7575" s="115">
        <v>0</v>
      </c>
      <c r="K7575" s="115">
        <v>0</v>
      </c>
    </row>
    <row r="7576" spans="1:11" x14ac:dyDescent="0.25">
      <c r="A7576" s="115" t="s">
        <v>1239</v>
      </c>
      <c r="B7576" s="115" t="s">
        <v>8610</v>
      </c>
      <c r="D7576" s="115" t="s">
        <v>13532</v>
      </c>
      <c r="E7576" s="115" t="s">
        <v>8611</v>
      </c>
      <c r="F7576" s="115">
        <v>19</v>
      </c>
      <c r="G7576" s="115">
        <v>0</v>
      </c>
      <c r="H7576" s="115">
        <v>4072</v>
      </c>
      <c r="I7576" s="115">
        <v>0</v>
      </c>
      <c r="J7576" s="115">
        <v>0</v>
      </c>
      <c r="K7576" s="115">
        <v>-46</v>
      </c>
    </row>
    <row r="7577" spans="1:11" x14ac:dyDescent="0.25">
      <c r="B7577" s="115" t="s">
        <v>8612</v>
      </c>
      <c r="D7577" s="115" t="s">
        <v>13533</v>
      </c>
      <c r="E7577" s="115" t="s">
        <v>1242</v>
      </c>
      <c r="F7577" s="115">
        <v>0</v>
      </c>
      <c r="G7577" s="115">
        <v>0</v>
      </c>
      <c r="H7577" s="115">
        <v>0</v>
      </c>
      <c r="I7577" s="115">
        <v>0</v>
      </c>
      <c r="J7577" s="115">
        <v>0</v>
      </c>
      <c r="K7577" s="115">
        <v>0</v>
      </c>
    </row>
    <row r="7578" spans="1:11" x14ac:dyDescent="0.25">
      <c r="B7578" s="115" t="s">
        <v>1241</v>
      </c>
      <c r="C7578" s="115" t="s">
        <v>1239</v>
      </c>
      <c r="D7578" s="115" t="s">
        <v>13534</v>
      </c>
      <c r="E7578" s="115" t="s">
        <v>8613</v>
      </c>
      <c r="F7578" s="115">
        <v>-1670</v>
      </c>
      <c r="G7578" s="115">
        <v>-148</v>
      </c>
      <c r="H7578" s="115">
        <v>86</v>
      </c>
      <c r="I7578" s="115">
        <v>0</v>
      </c>
      <c r="J7578" s="115">
        <v>2519</v>
      </c>
      <c r="K7578" s="115">
        <v>-553</v>
      </c>
    </row>
    <row r="7579" spans="1:11" x14ac:dyDescent="0.25">
      <c r="B7579" s="115" t="s">
        <v>1241</v>
      </c>
      <c r="D7579" s="115" t="s">
        <v>13535</v>
      </c>
      <c r="E7579" s="115" t="s">
        <v>8614</v>
      </c>
      <c r="F7579" s="115">
        <v>0</v>
      </c>
      <c r="G7579" s="115">
        <v>-26177</v>
      </c>
      <c r="H7579" s="115">
        <v>1124</v>
      </c>
      <c r="I7579" s="115">
        <v>234</v>
      </c>
      <c r="J7579" s="115">
        <v>105</v>
      </c>
      <c r="K7579" s="115">
        <v>376</v>
      </c>
    </row>
    <row r="7580" spans="1:11" x14ac:dyDescent="0.25">
      <c r="A7580" s="115">
        <v>6</v>
      </c>
      <c r="B7580" s="115" t="s">
        <v>8615</v>
      </c>
      <c r="D7580" s="115" t="s">
        <v>13536</v>
      </c>
      <c r="E7580" s="115" t="s">
        <v>8616</v>
      </c>
      <c r="F7580" s="115">
        <v>0</v>
      </c>
      <c r="G7580" s="115">
        <v>-658</v>
      </c>
      <c r="H7580" s="115">
        <v>0</v>
      </c>
      <c r="I7580" s="115">
        <v>-406</v>
      </c>
      <c r="J7580" s="115">
        <v>0</v>
      </c>
      <c r="K7580" s="115">
        <v>0</v>
      </c>
    </row>
    <row r="7581" spans="1:11" x14ac:dyDescent="0.25">
      <c r="A7581" s="115">
        <v>-1</v>
      </c>
      <c r="B7581" s="115" t="s">
        <v>8617</v>
      </c>
      <c r="D7581" s="115" t="s">
        <v>13537</v>
      </c>
      <c r="E7581" s="115" t="s">
        <v>8618</v>
      </c>
      <c r="F7581" s="115">
        <v>0</v>
      </c>
      <c r="G7581" s="115">
        <v>0</v>
      </c>
      <c r="H7581" s="115">
        <v>-3107</v>
      </c>
      <c r="I7581" s="115">
        <v>0</v>
      </c>
      <c r="J7581" s="115">
        <v>986</v>
      </c>
      <c r="K7581" s="115">
        <v>-897</v>
      </c>
    </row>
    <row r="7582" spans="1:11" x14ac:dyDescent="0.25">
      <c r="B7582" s="115" t="s">
        <v>8619</v>
      </c>
      <c r="D7582" s="115" t="s">
        <v>13538</v>
      </c>
      <c r="E7582" s="115" t="s">
        <v>8620</v>
      </c>
      <c r="F7582" s="115">
        <v>1127</v>
      </c>
      <c r="G7582" s="115">
        <v>-1657</v>
      </c>
      <c r="H7582" s="115">
        <v>-764</v>
      </c>
      <c r="I7582" s="115">
        <v>17712</v>
      </c>
      <c r="J7582" s="115">
        <v>0</v>
      </c>
      <c r="K7582" s="115">
        <v>0</v>
      </c>
    </row>
    <row r="7583" spans="1:11" x14ac:dyDescent="0.25">
      <c r="B7583" s="115" t="s">
        <v>1241</v>
      </c>
      <c r="D7583" s="115" t="s">
        <v>13539</v>
      </c>
      <c r="E7583" s="115" t="s">
        <v>8621</v>
      </c>
      <c r="F7583" s="115">
        <v>0</v>
      </c>
      <c r="G7583" s="115">
        <v>140</v>
      </c>
      <c r="H7583" s="115">
        <v>15</v>
      </c>
      <c r="I7583" s="115">
        <v>-65</v>
      </c>
      <c r="J7583" s="115">
        <v>-58</v>
      </c>
      <c r="K7583" s="115">
        <v>123</v>
      </c>
    </row>
    <row r="7584" spans="1:11" x14ac:dyDescent="0.25">
      <c r="A7584" s="115">
        <v>-2</v>
      </c>
      <c r="B7584" s="115" t="s">
        <v>1517</v>
      </c>
      <c r="D7584" s="115" t="s">
        <v>13540</v>
      </c>
      <c r="E7584" s="115" t="s">
        <v>8622</v>
      </c>
      <c r="F7584" s="115">
        <v>0</v>
      </c>
      <c r="G7584" s="115">
        <v>1476</v>
      </c>
      <c r="H7584" s="115">
        <v>-448</v>
      </c>
      <c r="I7584" s="115">
        <v>0</v>
      </c>
      <c r="J7584" s="115">
        <v>0</v>
      </c>
      <c r="K7584" s="115">
        <v>0</v>
      </c>
    </row>
    <row r="7585" spans="1:11" x14ac:dyDescent="0.25">
      <c r="B7585" s="115" t="s">
        <v>8623</v>
      </c>
      <c r="D7585" s="115" t="s">
        <v>13541</v>
      </c>
      <c r="E7585" s="115" t="s">
        <v>1242</v>
      </c>
      <c r="F7585" s="115">
        <v>4321</v>
      </c>
      <c r="G7585" s="115">
        <v>0</v>
      </c>
      <c r="H7585" s="115">
        <v>0</v>
      </c>
      <c r="I7585" s="115">
        <v>0</v>
      </c>
      <c r="J7585" s="115">
        <v>0</v>
      </c>
      <c r="K7585" s="115">
        <v>0</v>
      </c>
    </row>
    <row r="7586" spans="1:11" x14ac:dyDescent="0.25">
      <c r="B7586" s="115" t="s">
        <v>1241</v>
      </c>
      <c r="D7586" s="115" t="s">
        <v>8710</v>
      </c>
      <c r="E7586" s="115" t="s">
        <v>1242</v>
      </c>
      <c r="F7586" s="115">
        <v>0</v>
      </c>
      <c r="G7586" s="115">
        <v>0</v>
      </c>
      <c r="H7586" s="115">
        <v>0</v>
      </c>
      <c r="I7586" s="115">
        <v>0</v>
      </c>
      <c r="J7586" s="115">
        <v>0</v>
      </c>
      <c r="K7586" s="115">
        <v>0</v>
      </c>
    </row>
    <row r="7587" spans="1:11" x14ac:dyDescent="0.25">
      <c r="A7587" s="115">
        <v>-1</v>
      </c>
      <c r="B7587" s="115" t="s">
        <v>3185</v>
      </c>
      <c r="D7587" s="115" t="s">
        <v>13542</v>
      </c>
      <c r="E7587" s="115" t="s">
        <v>8624</v>
      </c>
      <c r="F7587" s="115">
        <v>0</v>
      </c>
      <c r="G7587" s="115">
        <v>0</v>
      </c>
      <c r="H7587" s="115">
        <v>144</v>
      </c>
      <c r="I7587" s="115">
        <v>-2042</v>
      </c>
      <c r="J7587" s="115">
        <v>394</v>
      </c>
      <c r="K7587" s="115">
        <v>2027</v>
      </c>
    </row>
    <row r="7588" spans="1:11" x14ac:dyDescent="0.25">
      <c r="A7588" s="115">
        <v>-2</v>
      </c>
      <c r="B7588" s="115" t="s">
        <v>8625</v>
      </c>
      <c r="C7588" s="115" t="s">
        <v>1239</v>
      </c>
      <c r="D7588" s="115" t="s">
        <v>13543</v>
      </c>
      <c r="E7588" s="115" t="s">
        <v>8626</v>
      </c>
      <c r="F7588" s="115">
        <v>838</v>
      </c>
      <c r="G7588" s="115">
        <v>12502</v>
      </c>
      <c r="H7588" s="115">
        <v>4576</v>
      </c>
      <c r="I7588" s="115">
        <v>2126</v>
      </c>
      <c r="J7588" s="115">
        <v>2867</v>
      </c>
      <c r="K7588" s="115">
        <v>5964</v>
      </c>
    </row>
    <row r="7589" spans="1:11" x14ac:dyDescent="0.25">
      <c r="A7589" s="115">
        <v>7</v>
      </c>
      <c r="B7589" s="115" t="s">
        <v>8627</v>
      </c>
      <c r="C7589" s="115">
        <v>-3</v>
      </c>
      <c r="D7589" s="115" t="s">
        <v>13544</v>
      </c>
      <c r="E7589" s="115" t="s">
        <v>8628</v>
      </c>
      <c r="F7589" s="115">
        <v>4939</v>
      </c>
      <c r="G7589" s="115">
        <v>88</v>
      </c>
      <c r="H7589" s="115">
        <v>132</v>
      </c>
      <c r="I7589" s="115">
        <v>572</v>
      </c>
      <c r="J7589" s="115">
        <v>1055</v>
      </c>
      <c r="K7589" s="115">
        <v>465</v>
      </c>
    </row>
    <row r="7590" spans="1:11" x14ac:dyDescent="0.25">
      <c r="B7590" s="115" t="s">
        <v>8629</v>
      </c>
      <c r="D7590" s="115" t="s">
        <v>13545</v>
      </c>
      <c r="E7590" s="115" t="s">
        <v>8630</v>
      </c>
      <c r="F7590" s="115">
        <v>1608</v>
      </c>
      <c r="G7590" s="115">
        <v>493</v>
      </c>
      <c r="H7590" s="115">
        <v>954</v>
      </c>
      <c r="I7590" s="115">
        <v>335</v>
      </c>
      <c r="J7590" s="115">
        <v>-1</v>
      </c>
      <c r="K7590" s="115">
        <v>591</v>
      </c>
    </row>
    <row r="7591" spans="1:11" x14ac:dyDescent="0.25">
      <c r="A7591" s="115" t="s">
        <v>1239</v>
      </c>
      <c r="B7591" s="115" t="s">
        <v>8631</v>
      </c>
      <c r="D7591" s="115" t="s">
        <v>13546</v>
      </c>
      <c r="E7591" s="115" t="s">
        <v>8632</v>
      </c>
      <c r="F7591" s="115">
        <v>3594</v>
      </c>
      <c r="G7591" s="115">
        <v>32</v>
      </c>
      <c r="H7591" s="115">
        <v>-1166</v>
      </c>
      <c r="I7591" s="115">
        <v>-530</v>
      </c>
      <c r="J7591" s="115">
        <v>-785</v>
      </c>
      <c r="K7591" s="115">
        <v>-294</v>
      </c>
    </row>
    <row r="7592" spans="1:11" x14ac:dyDescent="0.25">
      <c r="A7592" s="115">
        <v>-2</v>
      </c>
      <c r="B7592" s="115" t="s">
        <v>8633</v>
      </c>
      <c r="D7592" s="115" t="s">
        <v>13547</v>
      </c>
      <c r="E7592" s="115" t="s">
        <v>8634</v>
      </c>
      <c r="F7592" s="115">
        <v>2430</v>
      </c>
      <c r="G7592" s="115">
        <v>301</v>
      </c>
      <c r="H7592" s="115">
        <v>200</v>
      </c>
      <c r="I7592" s="115">
        <v>267</v>
      </c>
      <c r="J7592" s="115">
        <v>-247</v>
      </c>
      <c r="K7592" s="115">
        <v>95</v>
      </c>
    </row>
    <row r="7593" spans="1:11" x14ac:dyDescent="0.25">
      <c r="B7593" s="115" t="s">
        <v>8635</v>
      </c>
      <c r="D7593" s="115" t="s">
        <v>13548</v>
      </c>
      <c r="E7593" s="115">
        <f>-2786  -2856  -2511  -2015  -4332</f>
        <v>-14500</v>
      </c>
      <c r="F7593" s="115">
        <v>-1842</v>
      </c>
      <c r="G7593" s="115">
        <v>-2786</v>
      </c>
      <c r="H7593" s="115">
        <v>-2856</v>
      </c>
      <c r="I7593" s="115">
        <v>-2511</v>
      </c>
      <c r="J7593" s="115">
        <v>-2015</v>
      </c>
      <c r="K7593" s="115">
        <v>-4332</v>
      </c>
    </row>
    <row r="7594" spans="1:11" x14ac:dyDescent="0.25">
      <c r="A7594" s="115">
        <v>-5</v>
      </c>
      <c r="B7594" s="115" t="s">
        <v>8636</v>
      </c>
      <c r="C7594" s="115" t="s">
        <v>1239</v>
      </c>
      <c r="D7594" s="115" t="s">
        <v>13549</v>
      </c>
      <c r="E7594" s="115" t="s">
        <v>8637</v>
      </c>
      <c r="F7594" s="115">
        <v>431</v>
      </c>
      <c r="G7594" s="115">
        <v>-109</v>
      </c>
      <c r="H7594" s="115">
        <v>-104</v>
      </c>
      <c r="I7594" s="115">
        <v>1627</v>
      </c>
      <c r="J7594" s="115">
        <v>-1318</v>
      </c>
      <c r="K7594" s="115">
        <v>-1152</v>
      </c>
    </row>
    <row r="7595" spans="1:11" x14ac:dyDescent="0.25">
      <c r="B7595" s="115" t="s">
        <v>8638</v>
      </c>
      <c r="D7595" s="115">
        <f>-163  -4175  -3042  -2492  -4049  -3128  -2695  -3555</f>
        <v>-23299</v>
      </c>
      <c r="E7595" s="115">
        <f>-2492  -4049  -3128  -2695  -3555</f>
        <v>-15919</v>
      </c>
      <c r="F7595" s="115">
        <v>-3042</v>
      </c>
      <c r="G7595" s="115">
        <v>-2492</v>
      </c>
      <c r="H7595" s="115">
        <v>-4049</v>
      </c>
      <c r="I7595" s="115">
        <v>-3128</v>
      </c>
      <c r="J7595" s="115">
        <v>-2695</v>
      </c>
      <c r="K7595" s="115">
        <v>-3555</v>
      </c>
    </row>
    <row r="7596" spans="1:11" x14ac:dyDescent="0.25">
      <c r="A7596" s="115">
        <v>-2</v>
      </c>
      <c r="B7596" s="115" t="s">
        <v>8639</v>
      </c>
      <c r="C7596" s="115" t="s">
        <v>1239</v>
      </c>
      <c r="D7596" s="115" t="s">
        <v>13550</v>
      </c>
      <c r="E7596" s="115" t="s">
        <v>8640</v>
      </c>
      <c r="F7596" s="115">
        <v>-6478</v>
      </c>
      <c r="G7596" s="115">
        <v>4053</v>
      </c>
      <c r="H7596" s="115">
        <v>0</v>
      </c>
      <c r="I7596" s="115">
        <v>-13929</v>
      </c>
      <c r="J7596" s="115">
        <v>3533</v>
      </c>
      <c r="K7596" s="115">
        <v>0</v>
      </c>
    </row>
    <row r="7597" spans="1:11" x14ac:dyDescent="0.25">
      <c r="B7597" s="115" t="s">
        <v>8641</v>
      </c>
      <c r="D7597" s="115" t="s">
        <v>13551</v>
      </c>
      <c r="E7597" s="115" t="s">
        <v>8642</v>
      </c>
      <c r="F7597" s="115">
        <v>34</v>
      </c>
      <c r="G7597" s="115">
        <v>0</v>
      </c>
      <c r="H7597" s="115">
        <v>0</v>
      </c>
      <c r="I7597" s="115">
        <v>302</v>
      </c>
      <c r="J7597" s="115">
        <v>0</v>
      </c>
      <c r="K7597" s="115">
        <v>0</v>
      </c>
    </row>
    <row r="7598" spans="1:11" x14ac:dyDescent="0.25">
      <c r="B7598" s="115" t="s">
        <v>8643</v>
      </c>
      <c r="D7598" s="115" t="s">
        <v>13552</v>
      </c>
      <c r="E7598" s="115" t="s">
        <v>8644</v>
      </c>
      <c r="F7598" s="115">
        <v>0</v>
      </c>
      <c r="G7598" s="115">
        <v>0</v>
      </c>
      <c r="H7598" s="115">
        <v>0</v>
      </c>
      <c r="I7598" s="115">
        <v>0</v>
      </c>
      <c r="J7598" s="115">
        <v>0</v>
      </c>
      <c r="K7598" s="115">
        <v>271</v>
      </c>
    </row>
    <row r="7599" spans="1:11" x14ac:dyDescent="0.25">
      <c r="B7599" s="115" t="s">
        <v>1241</v>
      </c>
      <c r="D7599" s="115" t="s">
        <v>13553</v>
      </c>
      <c r="E7599" s="115" t="s">
        <v>8645</v>
      </c>
      <c r="F7599" s="115">
        <v>376</v>
      </c>
      <c r="G7599" s="115">
        <v>0</v>
      </c>
      <c r="H7599" s="115">
        <v>24</v>
      </c>
      <c r="I7599" s="115">
        <v>167</v>
      </c>
      <c r="J7599" s="115">
        <v>-38</v>
      </c>
      <c r="K7599" s="115">
        <v>0</v>
      </c>
    </row>
    <row r="7600" spans="1:11" x14ac:dyDescent="0.25">
      <c r="A7600" s="115" t="s">
        <v>1239</v>
      </c>
      <c r="B7600" s="115" t="s">
        <v>8646</v>
      </c>
      <c r="D7600" s="115" t="s">
        <v>13554</v>
      </c>
      <c r="E7600" s="115" t="s">
        <v>8647</v>
      </c>
      <c r="F7600" s="115">
        <v>540</v>
      </c>
      <c r="G7600" s="115">
        <v>1508</v>
      </c>
      <c r="H7600" s="115">
        <v>0</v>
      </c>
      <c r="I7600" s="115">
        <v>-247</v>
      </c>
      <c r="J7600" s="115">
        <v>0</v>
      </c>
      <c r="K7600" s="115">
        <v>0</v>
      </c>
    </row>
    <row r="7601" spans="1:11" x14ac:dyDescent="0.25">
      <c r="B7601" s="115" t="s">
        <v>1241</v>
      </c>
      <c r="D7601" s="115" t="s">
        <v>13555</v>
      </c>
      <c r="E7601" s="115" t="s">
        <v>8648</v>
      </c>
      <c r="F7601" s="115">
        <v>0</v>
      </c>
      <c r="G7601" s="115">
        <v>0</v>
      </c>
      <c r="H7601" s="115">
        <v>0</v>
      </c>
      <c r="I7601" s="115">
        <v>246</v>
      </c>
      <c r="J7601" s="115">
        <v>0</v>
      </c>
      <c r="K7601" s="115">
        <v>86</v>
      </c>
    </row>
    <row r="7602" spans="1:11" x14ac:dyDescent="0.25">
      <c r="B7602" s="115" t="s">
        <v>1241</v>
      </c>
      <c r="D7602" s="115" t="s">
        <v>13556</v>
      </c>
      <c r="E7602" s="115" t="s">
        <v>8649</v>
      </c>
      <c r="F7602" s="115">
        <v>0</v>
      </c>
      <c r="G7602" s="115">
        <v>134</v>
      </c>
      <c r="H7602" s="115">
        <v>0</v>
      </c>
      <c r="I7602" s="115">
        <v>494</v>
      </c>
      <c r="J7602" s="115">
        <v>96</v>
      </c>
      <c r="K7602" s="115">
        <v>0</v>
      </c>
    </row>
    <row r="7603" spans="1:11" x14ac:dyDescent="0.25">
      <c r="B7603" s="115" t="s">
        <v>8650</v>
      </c>
      <c r="C7603" s="115">
        <v>1</v>
      </c>
      <c r="D7603" s="115" t="s">
        <v>13557</v>
      </c>
      <c r="E7603" s="115" t="s">
        <v>8651</v>
      </c>
      <c r="F7603" s="115">
        <v>-1385</v>
      </c>
      <c r="G7603" s="115">
        <v>0</v>
      </c>
      <c r="H7603" s="115">
        <v>0</v>
      </c>
      <c r="I7603" s="115">
        <v>0</v>
      </c>
      <c r="J7603" s="115">
        <v>0</v>
      </c>
      <c r="K7603" s="115">
        <v>5918</v>
      </c>
    </row>
    <row r="7604" spans="1:11" x14ac:dyDescent="0.25">
      <c r="A7604" s="115">
        <v>-1</v>
      </c>
      <c r="B7604" s="115" t="s">
        <v>8652</v>
      </c>
      <c r="D7604" s="115" t="s">
        <v>13558</v>
      </c>
      <c r="E7604" s="115" t="s">
        <v>8653</v>
      </c>
      <c r="F7604" s="115">
        <v>-112</v>
      </c>
      <c r="G7604" s="115">
        <v>-349</v>
      </c>
      <c r="H7604" s="115">
        <v>0</v>
      </c>
      <c r="I7604" s="115">
        <v>-541</v>
      </c>
      <c r="J7604" s="115">
        <v>-1103</v>
      </c>
      <c r="K7604" s="115">
        <v>-575</v>
      </c>
    </row>
    <row r="7605" spans="1:11" x14ac:dyDescent="0.25">
      <c r="A7605" s="115" t="s">
        <v>1239</v>
      </c>
      <c r="B7605" s="115" t="s">
        <v>8654</v>
      </c>
      <c r="C7605" s="115" t="s">
        <v>1239</v>
      </c>
      <c r="D7605" s="115" t="s">
        <v>13559</v>
      </c>
      <c r="E7605" s="115" t="s">
        <v>8655</v>
      </c>
      <c r="F7605" s="115">
        <v>0</v>
      </c>
      <c r="G7605" s="115">
        <v>0</v>
      </c>
      <c r="H7605" s="115">
        <v>0</v>
      </c>
      <c r="I7605" s="115">
        <v>0</v>
      </c>
      <c r="J7605" s="115">
        <v>0</v>
      </c>
      <c r="K7605" s="115">
        <v>-4676</v>
      </c>
    </row>
    <row r="7606" spans="1:11" x14ac:dyDescent="0.25">
      <c r="B7606" s="115" t="s">
        <v>8656</v>
      </c>
      <c r="C7606" s="115" t="s">
        <v>1239</v>
      </c>
      <c r="D7606" s="115" t="s">
        <v>13560</v>
      </c>
      <c r="E7606" s="115" t="s">
        <v>8657</v>
      </c>
      <c r="F7606" s="115">
        <v>0</v>
      </c>
      <c r="G7606" s="115">
        <v>2893</v>
      </c>
      <c r="H7606" s="115">
        <v>17272</v>
      </c>
      <c r="I7606" s="115">
        <v>-181</v>
      </c>
      <c r="J7606" s="115">
        <v>246</v>
      </c>
      <c r="K7606" s="115">
        <v>-755</v>
      </c>
    </row>
    <row r="7607" spans="1:11" x14ac:dyDescent="0.25">
      <c r="B7607" s="115" t="s">
        <v>8658</v>
      </c>
      <c r="D7607" s="115" t="s">
        <v>13561</v>
      </c>
      <c r="E7607" s="115" t="s">
        <v>8659</v>
      </c>
      <c r="F7607" s="115">
        <v>-72</v>
      </c>
      <c r="G7607" s="115">
        <v>0</v>
      </c>
      <c r="H7607" s="115">
        <v>-108</v>
      </c>
      <c r="I7607" s="115">
        <v>15819</v>
      </c>
      <c r="J7607" s="115">
        <v>0</v>
      </c>
      <c r="K7607" s="115">
        <v>0</v>
      </c>
    </row>
    <row r="7608" spans="1:11" x14ac:dyDescent="0.25">
      <c r="B7608" s="115" t="s">
        <v>8660</v>
      </c>
      <c r="D7608" s="115" t="s">
        <v>13562</v>
      </c>
      <c r="E7608" s="115" t="s">
        <v>8661</v>
      </c>
      <c r="F7608" s="115">
        <v>356</v>
      </c>
      <c r="G7608" s="115">
        <v>-398</v>
      </c>
      <c r="H7608" s="115">
        <v>-163</v>
      </c>
      <c r="I7608" s="115">
        <v>352</v>
      </c>
      <c r="J7608" s="115">
        <v>0</v>
      </c>
      <c r="K7608" s="115">
        <v>0</v>
      </c>
    </row>
    <row r="7609" spans="1:11" x14ac:dyDescent="0.25">
      <c r="B7609" s="115" t="s">
        <v>1241</v>
      </c>
      <c r="D7609" s="115" t="s">
        <v>13563</v>
      </c>
      <c r="E7609" s="115" t="s">
        <v>8662</v>
      </c>
      <c r="F7609" s="115">
        <v>0</v>
      </c>
      <c r="G7609" s="115">
        <v>-22407</v>
      </c>
      <c r="H7609" s="115">
        <v>-27</v>
      </c>
      <c r="I7609" s="115">
        <v>-68</v>
      </c>
      <c r="J7609" s="115">
        <v>0</v>
      </c>
      <c r="K7609" s="115">
        <v>3006</v>
      </c>
    </row>
    <row r="7610" spans="1:11" x14ac:dyDescent="0.25">
      <c r="A7610" s="115">
        <v>16</v>
      </c>
      <c r="B7610" s="115" t="s">
        <v>8663</v>
      </c>
      <c r="D7610" s="115" t="s">
        <v>13564</v>
      </c>
      <c r="E7610" s="115" t="s">
        <v>8664</v>
      </c>
      <c r="F7610" s="115">
        <v>341</v>
      </c>
      <c r="G7610" s="115">
        <v>1971</v>
      </c>
      <c r="H7610" s="115">
        <v>-3396</v>
      </c>
      <c r="I7610" s="115">
        <v>0</v>
      </c>
      <c r="J7610" s="115">
        <v>-254</v>
      </c>
      <c r="K7610" s="115">
        <v>0</v>
      </c>
    </row>
    <row r="7611" spans="1:11" x14ac:dyDescent="0.25">
      <c r="B7611" s="115" t="s">
        <v>8665</v>
      </c>
      <c r="D7611" s="115" t="s">
        <v>13565</v>
      </c>
      <c r="E7611" s="115" t="s">
        <v>8666</v>
      </c>
      <c r="F7611" s="115">
        <v>-371</v>
      </c>
      <c r="G7611" s="115">
        <v>0</v>
      </c>
      <c r="H7611" s="115">
        <v>0</v>
      </c>
      <c r="I7611" s="115">
        <v>148</v>
      </c>
      <c r="J7611" s="115">
        <v>0</v>
      </c>
      <c r="K7611" s="115">
        <v>-232</v>
      </c>
    </row>
    <row r="7612" spans="1:11" x14ac:dyDescent="0.25">
      <c r="A7612" s="115" t="s">
        <v>1239</v>
      </c>
      <c r="B7612" s="115" t="s">
        <v>8667</v>
      </c>
      <c r="D7612" s="115" t="s">
        <v>13566</v>
      </c>
      <c r="E7612" s="115" t="s">
        <v>8668</v>
      </c>
      <c r="F7612" s="115">
        <v>0</v>
      </c>
      <c r="G7612" s="115">
        <v>0</v>
      </c>
      <c r="H7612" s="115">
        <v>0</v>
      </c>
      <c r="I7612" s="115">
        <v>-5000</v>
      </c>
      <c r="J7612" s="115">
        <v>0</v>
      </c>
      <c r="K7612" s="115">
        <v>-20419</v>
      </c>
    </row>
    <row r="7613" spans="1:11" x14ac:dyDescent="0.25">
      <c r="A7613" s="115" t="s">
        <v>1239</v>
      </c>
      <c r="B7613" s="115" t="s">
        <v>8669</v>
      </c>
      <c r="D7613" s="115" t="s">
        <v>13567</v>
      </c>
      <c r="E7613" s="115" t="s">
        <v>8670</v>
      </c>
      <c r="F7613" s="115">
        <v>8736</v>
      </c>
      <c r="G7613" s="115">
        <v>67</v>
      </c>
      <c r="H7613" s="115">
        <v>0</v>
      </c>
      <c r="I7613" s="115">
        <v>0</v>
      </c>
      <c r="J7613" s="115">
        <v>0</v>
      </c>
      <c r="K7613" s="115">
        <v>1550</v>
      </c>
    </row>
    <row r="7614" spans="1:11" x14ac:dyDescent="0.25">
      <c r="A7614" s="115">
        <v>1</v>
      </c>
      <c r="B7614" s="115" t="s">
        <v>8671</v>
      </c>
      <c r="D7614" s="115" t="s">
        <v>13568</v>
      </c>
      <c r="E7614" s="115" t="s">
        <v>8672</v>
      </c>
      <c r="F7614" s="115">
        <v>0</v>
      </c>
      <c r="G7614" s="115">
        <v>11188</v>
      </c>
      <c r="H7614" s="115">
        <v>0</v>
      </c>
      <c r="I7614" s="115">
        <v>0</v>
      </c>
      <c r="J7614" s="115">
        <v>57</v>
      </c>
      <c r="K7614" s="115">
        <v>0</v>
      </c>
    </row>
    <row r="7615" spans="1:11" x14ac:dyDescent="0.25">
      <c r="B7615" s="115" t="s">
        <v>3850</v>
      </c>
      <c r="D7615" s="115" t="s">
        <v>13569</v>
      </c>
      <c r="E7615" s="115" t="s">
        <v>1242</v>
      </c>
      <c r="F7615" s="115">
        <v>0</v>
      </c>
      <c r="G7615" s="115">
        <v>0</v>
      </c>
      <c r="H7615" s="115">
        <v>0</v>
      </c>
      <c r="I7615" s="115">
        <v>0</v>
      </c>
      <c r="J7615" s="115">
        <v>0</v>
      </c>
      <c r="K7615" s="115">
        <v>0</v>
      </c>
    </row>
    <row r="7616" spans="1:11" x14ac:dyDescent="0.25">
      <c r="B7616" s="115" t="s">
        <v>8673</v>
      </c>
      <c r="D7616" s="115" t="s">
        <v>13570</v>
      </c>
      <c r="E7616" s="115" t="s">
        <v>8674</v>
      </c>
      <c r="F7616" s="115">
        <v>-291</v>
      </c>
      <c r="G7616" s="115">
        <v>-296</v>
      </c>
      <c r="H7616" s="115">
        <v>0</v>
      </c>
      <c r="I7616" s="115">
        <v>3430</v>
      </c>
      <c r="J7616" s="115">
        <v>16955</v>
      </c>
      <c r="K7616" s="115">
        <v>0</v>
      </c>
    </row>
    <row r="7617" spans="1:11" x14ac:dyDescent="0.25">
      <c r="B7617" s="115" t="s">
        <v>1241</v>
      </c>
      <c r="D7617" s="115" t="s">
        <v>13571</v>
      </c>
      <c r="E7617" s="115" t="s">
        <v>8675</v>
      </c>
      <c r="F7617" s="115">
        <v>-3533</v>
      </c>
      <c r="G7617" s="115">
        <v>-411</v>
      </c>
      <c r="H7617" s="115">
        <v>-1319</v>
      </c>
      <c r="I7617" s="115">
        <v>-1420</v>
      </c>
      <c r="J7617" s="115">
        <v>-691</v>
      </c>
      <c r="K7617" s="115">
        <v>10472</v>
      </c>
    </row>
    <row r="7618" spans="1:11" x14ac:dyDescent="0.25">
      <c r="B7618" s="115" t="s">
        <v>1241</v>
      </c>
      <c r="D7618" s="115" t="s">
        <v>13572</v>
      </c>
      <c r="E7618" s="115" t="s">
        <v>8676</v>
      </c>
      <c r="F7618" s="115">
        <v>-467</v>
      </c>
      <c r="G7618" s="115">
        <v>0</v>
      </c>
      <c r="H7618" s="115">
        <v>-85</v>
      </c>
      <c r="I7618" s="115">
        <v>0</v>
      </c>
      <c r="J7618" s="115">
        <v>0</v>
      </c>
      <c r="K7618" s="115">
        <v>-775</v>
      </c>
    </row>
    <row r="7619" spans="1:11" x14ac:dyDescent="0.25">
      <c r="A7619" s="115" t="s">
        <v>1239</v>
      </c>
      <c r="B7619" s="115" t="s">
        <v>7091</v>
      </c>
      <c r="D7619" s="115" t="s">
        <v>13573</v>
      </c>
      <c r="E7619" s="115" t="s">
        <v>8677</v>
      </c>
      <c r="F7619" s="115">
        <v>0</v>
      </c>
      <c r="G7619" s="115">
        <v>-4265</v>
      </c>
      <c r="H7619" s="115">
        <v>0</v>
      </c>
      <c r="I7619" s="115">
        <v>-16284</v>
      </c>
      <c r="J7619" s="115">
        <v>-819</v>
      </c>
      <c r="K7619" s="115">
        <v>-1363</v>
      </c>
    </row>
    <row r="7620" spans="1:11" x14ac:dyDescent="0.25">
      <c r="B7620" s="115" t="s">
        <v>8678</v>
      </c>
      <c r="D7620" s="115" t="s">
        <v>13574</v>
      </c>
      <c r="E7620" s="115" t="s">
        <v>8679</v>
      </c>
      <c r="F7620" s="115">
        <v>284</v>
      </c>
      <c r="G7620" s="115">
        <v>-313</v>
      </c>
      <c r="H7620" s="115">
        <v>994</v>
      </c>
      <c r="I7620" s="115">
        <v>0</v>
      </c>
      <c r="J7620" s="115">
        <v>0</v>
      </c>
      <c r="K7620" s="115">
        <v>0</v>
      </c>
    </row>
    <row r="7621" spans="1:11" x14ac:dyDescent="0.25">
      <c r="B7621" s="115" t="s">
        <v>1241</v>
      </c>
      <c r="D7621" s="115" t="s">
        <v>13575</v>
      </c>
      <c r="E7621" s="115" t="s">
        <v>8680</v>
      </c>
      <c r="F7621" s="115">
        <v>286</v>
      </c>
      <c r="G7621" s="115">
        <v>398</v>
      </c>
      <c r="H7621" s="115">
        <v>267</v>
      </c>
      <c r="I7621" s="115">
        <v>268</v>
      </c>
      <c r="J7621" s="115">
        <v>137</v>
      </c>
      <c r="K7621" s="115">
        <v>1097</v>
      </c>
    </row>
    <row r="7622" spans="1:11" x14ac:dyDescent="0.25">
      <c r="B7622" s="115" t="s">
        <v>1241</v>
      </c>
      <c r="D7622" s="115" t="s">
        <v>13576</v>
      </c>
      <c r="E7622" s="115" t="s">
        <v>8681</v>
      </c>
      <c r="F7622" s="115">
        <v>354</v>
      </c>
      <c r="G7622" s="115">
        <v>-561</v>
      </c>
      <c r="H7622" s="115">
        <v>0</v>
      </c>
      <c r="I7622" s="115">
        <v>0</v>
      </c>
      <c r="J7622" s="115">
        <v>0</v>
      </c>
      <c r="K7622" s="115">
        <v>0</v>
      </c>
    </row>
    <row r="7623" spans="1:11" x14ac:dyDescent="0.25">
      <c r="A7623" s="115">
        <v>2</v>
      </c>
      <c r="B7623" s="115" t="s">
        <v>6206</v>
      </c>
      <c r="C7623" s="115" t="s">
        <v>1239</v>
      </c>
      <c r="D7623" s="115" t="s">
        <v>13577</v>
      </c>
      <c r="E7623" s="115" t="s">
        <v>1242</v>
      </c>
      <c r="F7623" s="115">
        <v>0</v>
      </c>
      <c r="G7623" s="115">
        <v>0</v>
      </c>
      <c r="H7623" s="115">
        <v>0</v>
      </c>
      <c r="I7623" s="115">
        <v>0</v>
      </c>
      <c r="J7623" s="115">
        <v>0</v>
      </c>
      <c r="K7623" s="115">
        <v>0</v>
      </c>
    </row>
    <row r="7624" spans="1:11" x14ac:dyDescent="0.25">
      <c r="B7624" s="115" t="s">
        <v>1241</v>
      </c>
      <c r="D7624" s="115" t="s">
        <v>13578</v>
      </c>
      <c r="E7624" s="115" t="s">
        <v>8682</v>
      </c>
      <c r="F7624" s="115">
        <v>0</v>
      </c>
      <c r="G7624" s="115">
        <v>0</v>
      </c>
      <c r="H7624" s="115">
        <v>0</v>
      </c>
      <c r="I7624" s="115">
        <v>0</v>
      </c>
      <c r="J7624" s="115">
        <v>0</v>
      </c>
      <c r="K7624" s="115">
        <v>2251</v>
      </c>
    </row>
    <row r="7625" spans="1:11" x14ac:dyDescent="0.25">
      <c r="B7625" s="115" t="s">
        <v>1241</v>
      </c>
      <c r="D7625" s="115" t="s">
        <v>13579</v>
      </c>
      <c r="E7625" s="115" t="s">
        <v>8683</v>
      </c>
      <c r="F7625" s="115">
        <v>0</v>
      </c>
      <c r="G7625" s="115">
        <v>-2790</v>
      </c>
      <c r="H7625" s="115">
        <v>295</v>
      </c>
      <c r="I7625" s="115">
        <v>392</v>
      </c>
      <c r="J7625" s="115">
        <v>3425</v>
      </c>
      <c r="K7625" s="115">
        <v>5605</v>
      </c>
    </row>
    <row r="7626" spans="1:11" x14ac:dyDescent="0.25">
      <c r="A7626" s="115">
        <v>6</v>
      </c>
      <c r="B7626" s="115" t="s">
        <v>8684</v>
      </c>
      <c r="C7626" s="115" t="s">
        <v>1239</v>
      </c>
      <c r="D7626" s="115" t="s">
        <v>13580</v>
      </c>
      <c r="E7626" s="115" t="s">
        <v>8685</v>
      </c>
      <c r="F7626" s="115">
        <v>-1340</v>
      </c>
      <c r="G7626" s="115">
        <v>117</v>
      </c>
      <c r="H7626" s="115">
        <v>-333</v>
      </c>
      <c r="I7626" s="115">
        <v>5970</v>
      </c>
      <c r="J7626" s="115">
        <v>2798</v>
      </c>
      <c r="K7626" s="115">
        <v>898</v>
      </c>
    </row>
    <row r="7627" spans="1:11" x14ac:dyDescent="0.25">
      <c r="A7627" s="115">
        <v>2</v>
      </c>
      <c r="B7627" s="115" t="s">
        <v>8686</v>
      </c>
      <c r="D7627" s="115" t="s">
        <v>13581</v>
      </c>
      <c r="E7627" s="115" t="s">
        <v>8687</v>
      </c>
      <c r="F7627" s="115">
        <v>1340</v>
      </c>
      <c r="G7627" s="115">
        <v>1252</v>
      </c>
      <c r="H7627" s="115">
        <v>1304</v>
      </c>
      <c r="I7627" s="115">
        <v>1652</v>
      </c>
      <c r="J7627" s="115">
        <v>8581</v>
      </c>
      <c r="K7627" s="115">
        <v>2102</v>
      </c>
    </row>
    <row r="7628" spans="1:11" x14ac:dyDescent="0.25">
      <c r="A7628" s="115">
        <v>2</v>
      </c>
      <c r="B7628" s="115" t="s">
        <v>8688</v>
      </c>
      <c r="D7628" s="115" t="s">
        <v>13582</v>
      </c>
      <c r="E7628" s="115" t="s">
        <v>8689</v>
      </c>
      <c r="F7628" s="115">
        <v>1743</v>
      </c>
      <c r="G7628" s="115">
        <v>1150</v>
      </c>
      <c r="H7628" s="115">
        <v>1654</v>
      </c>
      <c r="I7628" s="115">
        <v>1637</v>
      </c>
      <c r="J7628" s="115">
        <v>5562</v>
      </c>
      <c r="K7628" s="115">
        <v>2456</v>
      </c>
    </row>
    <row r="7629" spans="1:11" x14ac:dyDescent="0.25">
      <c r="A7629" s="115">
        <v>2</v>
      </c>
      <c r="B7629" s="115" t="s">
        <v>8690</v>
      </c>
      <c r="D7629" s="115" t="s">
        <v>13583</v>
      </c>
      <c r="E7629" s="115" t="s">
        <v>8691</v>
      </c>
      <c r="F7629" s="115">
        <v>558</v>
      </c>
      <c r="G7629" s="115">
        <v>344</v>
      </c>
      <c r="H7629" s="115">
        <v>360</v>
      </c>
      <c r="I7629" s="115">
        <v>478</v>
      </c>
      <c r="J7629" s="115">
        <v>112</v>
      </c>
      <c r="K7629" s="115">
        <v>847</v>
      </c>
    </row>
    <row r="7630" spans="1:11" x14ac:dyDescent="0.25">
      <c r="A7630" s="115">
        <v>-1</v>
      </c>
      <c r="B7630" s="115" t="s">
        <v>8692</v>
      </c>
      <c r="D7630" s="115" t="s">
        <v>13584</v>
      </c>
      <c r="E7630" s="115">
        <f>-18    -25   -101   -554   -354</f>
        <v>-1052</v>
      </c>
      <c r="F7630" s="115">
        <v>-46</v>
      </c>
      <c r="G7630" s="115">
        <v>-18</v>
      </c>
      <c r="H7630" s="115">
        <v>-25</v>
      </c>
      <c r="I7630" s="115">
        <v>-101</v>
      </c>
      <c r="J7630" s="115">
        <v>-554</v>
      </c>
      <c r="K7630" s="115">
        <v>-354</v>
      </c>
    </row>
    <row r="7631" spans="1:11" x14ac:dyDescent="0.25">
      <c r="A7631" s="115" t="s">
        <v>1239</v>
      </c>
      <c r="B7631" s="115" t="s">
        <v>8693</v>
      </c>
      <c r="D7631" s="115">
        <f>-683 -36325 -43857 -44648 -40699 -31765 -17465 -21775</f>
        <v>-237217</v>
      </c>
      <c r="E7631" s="115" t="s">
        <v>8694</v>
      </c>
      <c r="F7631" s="115">
        <v>-43857</v>
      </c>
      <c r="G7631" s="115">
        <v>-44648</v>
      </c>
      <c r="H7631" s="115">
        <v>-40699</v>
      </c>
      <c r="I7631" s="115">
        <v>-31765</v>
      </c>
      <c r="J7631" s="115">
        <v>-17465</v>
      </c>
      <c r="K7631" s="115">
        <v>-21775</v>
      </c>
    </row>
    <row r="7632" spans="1:11" x14ac:dyDescent="0.25">
      <c r="A7632" s="115">
        <v>-16</v>
      </c>
      <c r="B7632" s="115" t="s">
        <v>8695</v>
      </c>
      <c r="C7632" s="115">
        <v>-2</v>
      </c>
      <c r="D7632" s="115" t="s">
        <v>13585</v>
      </c>
      <c r="E7632" s="115" t="s">
        <v>8696</v>
      </c>
      <c r="F7632" s="115">
        <v>-878</v>
      </c>
      <c r="G7632" s="115">
        <v>-559</v>
      </c>
      <c r="H7632" s="115">
        <v>-333</v>
      </c>
      <c r="I7632" s="115">
        <v>6747</v>
      </c>
      <c r="J7632" s="115">
        <v>624</v>
      </c>
      <c r="K7632" s="115">
        <v>-2492</v>
      </c>
    </row>
    <row r="7633" spans="1:11" x14ac:dyDescent="0.25">
      <c r="B7633" s="115" t="s">
        <v>8697</v>
      </c>
      <c r="C7633" s="115">
        <v>-4</v>
      </c>
      <c r="D7633" s="115" t="s">
        <v>13586</v>
      </c>
      <c r="E7633" s="115" t="s">
        <v>8698</v>
      </c>
      <c r="F7633" s="115">
        <v>-30092</v>
      </c>
      <c r="G7633" s="115">
        <v>-47424</v>
      </c>
      <c r="H7633" s="115">
        <v>-35993</v>
      </c>
      <c r="I7633" s="115">
        <v>-30672</v>
      </c>
      <c r="J7633" s="115">
        <v>-44158</v>
      </c>
      <c r="K7633" s="115">
        <v>-33857</v>
      </c>
    </row>
    <row r="7634" spans="1:11" x14ac:dyDescent="0.25">
      <c r="A7634" s="115">
        <v>-7</v>
      </c>
      <c r="B7634" s="115" t="s">
        <v>8699</v>
      </c>
      <c r="C7634" s="115" t="s">
        <v>1239</v>
      </c>
      <c r="D7634" s="115" t="s">
        <v>13587</v>
      </c>
      <c r="E7634" s="115" t="s">
        <v>8700</v>
      </c>
      <c r="F7634" s="115">
        <v>2083</v>
      </c>
      <c r="G7634" s="115">
        <v>0</v>
      </c>
      <c r="H7634" s="115">
        <v>-33338</v>
      </c>
      <c r="I7634" s="115">
        <v>-2237</v>
      </c>
      <c r="J7634" s="115">
        <v>0</v>
      </c>
      <c r="K7634" s="115">
        <v>7462</v>
      </c>
    </row>
    <row r="7635" spans="1:11" x14ac:dyDescent="0.25">
      <c r="B7635" s="115" t="s">
        <v>1241</v>
      </c>
      <c r="D7635" s="115" t="s">
        <v>8710</v>
      </c>
      <c r="E7635" s="115" t="s">
        <v>1242</v>
      </c>
      <c r="F7635" s="115">
        <v>0</v>
      </c>
      <c r="G7635" s="115">
        <v>0</v>
      </c>
      <c r="H7635" s="115">
        <v>0</v>
      </c>
      <c r="I7635" s="115">
        <v>0</v>
      </c>
      <c r="J7635" s="115">
        <v>0</v>
      </c>
      <c r="K7635" s="115">
        <v>0</v>
      </c>
    </row>
    <row r="7636" spans="1:11" x14ac:dyDescent="0.25">
      <c r="B7636" s="115" t="s">
        <v>1241</v>
      </c>
      <c r="D7636" s="115" t="s">
        <v>8710</v>
      </c>
      <c r="E7636" s="115" t="s">
        <v>1242</v>
      </c>
      <c r="F7636" s="115">
        <v>0</v>
      </c>
      <c r="G7636" s="115">
        <v>0</v>
      </c>
      <c r="H7636" s="115">
        <v>0</v>
      </c>
      <c r="I7636" s="115">
        <v>0</v>
      </c>
      <c r="J7636" s="115">
        <v>0</v>
      </c>
      <c r="K7636" s="115">
        <v>0</v>
      </c>
    </row>
    <row r="7637" spans="1:11" x14ac:dyDescent="0.25">
      <c r="B7637" s="115" t="s">
        <v>1241</v>
      </c>
      <c r="D7637" s="115" t="s">
        <v>8710</v>
      </c>
      <c r="E7637" s="115" t="s">
        <v>1242</v>
      </c>
      <c r="F7637" s="115">
        <v>0</v>
      </c>
      <c r="G7637" s="115">
        <v>0</v>
      </c>
      <c r="H7637" s="115">
        <v>0</v>
      </c>
      <c r="I7637" s="115">
        <v>0</v>
      </c>
      <c r="J7637" s="115">
        <v>0</v>
      </c>
      <c r="K7637" s="115">
        <v>0</v>
      </c>
    </row>
    <row r="7638" spans="1:11" x14ac:dyDescent="0.25">
      <c r="B7638" s="115" t="s">
        <v>1241</v>
      </c>
      <c r="D7638" s="115" t="s">
        <v>8710</v>
      </c>
      <c r="E7638" s="115" t="s">
        <v>1242</v>
      </c>
      <c r="F7638" s="115">
        <v>0</v>
      </c>
      <c r="G7638" s="115">
        <v>0</v>
      </c>
      <c r="H7638" s="115">
        <v>0</v>
      </c>
      <c r="I7638" s="115">
        <v>0</v>
      </c>
      <c r="J7638" s="115">
        <v>0</v>
      </c>
      <c r="K7638" s="115">
        <v>0</v>
      </c>
    </row>
    <row r="7639" spans="1:11" x14ac:dyDescent="0.25">
      <c r="B7639" s="115" t="s">
        <v>1241</v>
      </c>
      <c r="D7639" s="115" t="s">
        <v>8710</v>
      </c>
      <c r="E7639" s="115" t="s">
        <v>1242</v>
      </c>
      <c r="F7639" s="115">
        <v>0</v>
      </c>
      <c r="G7639" s="115">
        <v>0</v>
      </c>
      <c r="H7639" s="115">
        <v>0</v>
      </c>
      <c r="I7639" s="115">
        <v>0</v>
      </c>
      <c r="J7639" s="115">
        <v>0</v>
      </c>
      <c r="K7639" s="115">
        <v>0</v>
      </c>
    </row>
    <row r="7640" spans="1:11" x14ac:dyDescent="0.25">
      <c r="B7640" s="115" t="s">
        <v>1241</v>
      </c>
      <c r="D7640" s="115" t="s">
        <v>8710</v>
      </c>
      <c r="E7640" s="115" t="s">
        <v>1242</v>
      </c>
      <c r="F7640" s="115">
        <v>0</v>
      </c>
      <c r="G7640" s="115">
        <v>0</v>
      </c>
      <c r="H7640" s="115">
        <v>0</v>
      </c>
      <c r="I7640" s="115">
        <v>0</v>
      </c>
      <c r="J7640" s="115">
        <v>0</v>
      </c>
      <c r="K7640" s="115">
        <v>0</v>
      </c>
    </row>
    <row r="7641" spans="1:11" x14ac:dyDescent="0.25">
      <c r="B7641" s="115" t="s">
        <v>1241</v>
      </c>
      <c r="D7641" s="115" t="s">
        <v>8710</v>
      </c>
      <c r="E7641" s="115" t="s">
        <v>1242</v>
      </c>
      <c r="F7641" s="115">
        <v>0</v>
      </c>
      <c r="G7641" s="115">
        <v>0</v>
      </c>
      <c r="H7641" s="115">
        <v>0</v>
      </c>
      <c r="I7641" s="115">
        <v>0</v>
      </c>
      <c r="J7641" s="115">
        <v>0</v>
      </c>
      <c r="K7641" s="115">
        <v>0</v>
      </c>
    </row>
    <row r="7642" spans="1:11" x14ac:dyDescent="0.25">
      <c r="B7642" s="115" t="s">
        <v>1241</v>
      </c>
      <c r="D7642" s="115" t="s">
        <v>8710</v>
      </c>
      <c r="E7642" s="115" t="s">
        <v>1242</v>
      </c>
      <c r="F7642" s="115">
        <v>0</v>
      </c>
      <c r="G7642" s="115">
        <v>0</v>
      </c>
      <c r="H7642" s="115">
        <v>0</v>
      </c>
      <c r="I7642" s="115">
        <v>0</v>
      </c>
      <c r="J7642" s="115">
        <v>0</v>
      </c>
      <c r="K7642" s="115">
        <v>0</v>
      </c>
    </row>
    <row r="7643" spans="1:11" x14ac:dyDescent="0.25">
      <c r="B7643" s="115" t="s">
        <v>1241</v>
      </c>
      <c r="D7643" s="115" t="s">
        <v>8710</v>
      </c>
      <c r="E7643" s="115" t="s">
        <v>1242</v>
      </c>
      <c r="F7643" s="115">
        <v>0</v>
      </c>
      <c r="G7643" s="115">
        <v>0</v>
      </c>
      <c r="H7643" s="115">
        <v>0</v>
      </c>
      <c r="I7643" s="115">
        <v>0</v>
      </c>
      <c r="J7643" s="115">
        <v>0</v>
      </c>
      <c r="K7643" s="115">
        <v>0</v>
      </c>
    </row>
    <row r="7644" spans="1:11" x14ac:dyDescent="0.25">
      <c r="B7644" s="115" t="s">
        <v>1241</v>
      </c>
      <c r="D7644" s="115" t="s">
        <v>8710</v>
      </c>
      <c r="E7644" s="115" t="s">
        <v>1242</v>
      </c>
      <c r="F7644" s="115">
        <v>0</v>
      </c>
      <c r="G7644" s="115">
        <v>0</v>
      </c>
      <c r="H7644" s="115">
        <v>0</v>
      </c>
      <c r="I7644" s="115">
        <v>0</v>
      </c>
      <c r="J7644" s="115">
        <v>0</v>
      </c>
      <c r="K7644" s="115">
        <v>0</v>
      </c>
    </row>
    <row r="7645" spans="1:11" x14ac:dyDescent="0.25">
      <c r="B7645" s="115" t="s">
        <v>1241</v>
      </c>
      <c r="D7645" s="115" t="s">
        <v>8710</v>
      </c>
      <c r="E7645" s="115" t="s">
        <v>1242</v>
      </c>
      <c r="F7645" s="115">
        <v>0</v>
      </c>
      <c r="G7645" s="115">
        <v>0</v>
      </c>
      <c r="H7645" s="115">
        <v>0</v>
      </c>
      <c r="I7645" s="115">
        <v>0</v>
      </c>
      <c r="J7645" s="115">
        <v>0</v>
      </c>
      <c r="K7645" s="115">
        <v>0</v>
      </c>
    </row>
    <row r="7646" spans="1:11" x14ac:dyDescent="0.25">
      <c r="B7646" s="115" t="s">
        <v>1241</v>
      </c>
      <c r="D7646" s="115" t="s">
        <v>8710</v>
      </c>
      <c r="E7646" s="115" t="s">
        <v>1242</v>
      </c>
      <c r="F7646" s="115">
        <v>0</v>
      </c>
      <c r="G7646" s="115">
        <v>0</v>
      </c>
      <c r="H7646" s="115">
        <v>0</v>
      </c>
      <c r="I7646" s="115">
        <v>0</v>
      </c>
      <c r="J7646" s="115">
        <v>0</v>
      </c>
      <c r="K7646" s="115">
        <v>0</v>
      </c>
    </row>
    <row r="7647" spans="1:11" x14ac:dyDescent="0.25">
      <c r="B7647" s="115" t="s">
        <v>1241</v>
      </c>
      <c r="D7647" s="115" t="s">
        <v>8710</v>
      </c>
      <c r="E7647" s="115" t="s">
        <v>1242</v>
      </c>
      <c r="F7647" s="115">
        <v>0</v>
      </c>
      <c r="G7647" s="115">
        <v>0</v>
      </c>
      <c r="H7647" s="115">
        <v>0</v>
      </c>
      <c r="I7647" s="115">
        <v>0</v>
      </c>
      <c r="J7647" s="115">
        <v>0</v>
      </c>
      <c r="K7647" s="115">
        <v>0</v>
      </c>
    </row>
    <row r="7648" spans="1:11" x14ac:dyDescent="0.25">
      <c r="B7648" s="115" t="s">
        <v>1241</v>
      </c>
      <c r="D7648" s="115" t="s">
        <v>8710</v>
      </c>
      <c r="E7648" s="115" t="s">
        <v>1242</v>
      </c>
      <c r="F7648" s="115">
        <v>0</v>
      </c>
      <c r="G7648" s="115">
        <v>0</v>
      </c>
      <c r="H7648" s="115">
        <v>0</v>
      </c>
      <c r="I7648" s="115">
        <v>0</v>
      </c>
      <c r="J7648" s="115">
        <v>0</v>
      </c>
      <c r="K7648" s="115">
        <v>0</v>
      </c>
    </row>
    <row r="7649" spans="2:11" x14ac:dyDescent="0.25">
      <c r="B7649" s="115" t="s">
        <v>1241</v>
      </c>
      <c r="D7649" s="115" t="s">
        <v>8710</v>
      </c>
      <c r="E7649" s="115" t="s">
        <v>1242</v>
      </c>
      <c r="F7649" s="115">
        <v>0</v>
      </c>
      <c r="G7649" s="115">
        <v>0</v>
      </c>
      <c r="H7649" s="115">
        <v>0</v>
      </c>
      <c r="I7649" s="115">
        <v>0</v>
      </c>
      <c r="J7649" s="115">
        <v>0</v>
      </c>
      <c r="K7649" s="115">
        <v>0</v>
      </c>
    </row>
    <row r="7650" spans="2:11" x14ac:dyDescent="0.25">
      <c r="B7650" s="115" t="s">
        <v>1241</v>
      </c>
      <c r="D7650" s="115" t="s">
        <v>8710</v>
      </c>
      <c r="E7650" s="115" t="s">
        <v>1242</v>
      </c>
      <c r="F7650" s="115">
        <v>0</v>
      </c>
      <c r="G7650" s="115">
        <v>0</v>
      </c>
      <c r="H7650" s="115">
        <v>0</v>
      </c>
      <c r="I7650" s="115">
        <v>0</v>
      </c>
      <c r="J7650" s="115">
        <v>0</v>
      </c>
      <c r="K7650" s="115">
        <v>0</v>
      </c>
    </row>
    <row r="7651" spans="2:11" x14ac:dyDescent="0.25">
      <c r="B7651" s="115" t="s">
        <v>1241</v>
      </c>
      <c r="D7651" s="115" t="s">
        <v>8710</v>
      </c>
      <c r="E7651" s="115" t="s">
        <v>1242</v>
      </c>
      <c r="F7651" s="115">
        <v>0</v>
      </c>
      <c r="G7651" s="115">
        <v>0</v>
      </c>
      <c r="H7651" s="115">
        <v>0</v>
      </c>
      <c r="I7651" s="115">
        <v>0</v>
      </c>
      <c r="J7651" s="115">
        <v>0</v>
      </c>
      <c r="K7651" s="115">
        <v>0</v>
      </c>
    </row>
    <row r="7652" spans="2:11" x14ac:dyDescent="0.25">
      <c r="B7652" s="115" t="s">
        <v>1241</v>
      </c>
      <c r="D7652" s="115" t="s">
        <v>8710</v>
      </c>
      <c r="E7652" s="115" t="s">
        <v>1242</v>
      </c>
      <c r="F7652" s="115">
        <v>0</v>
      </c>
      <c r="G7652" s="115">
        <v>0</v>
      </c>
      <c r="H7652" s="115">
        <v>0</v>
      </c>
      <c r="I7652" s="115">
        <v>0</v>
      </c>
      <c r="J7652" s="115">
        <v>0</v>
      </c>
      <c r="K7652" s="115">
        <v>0</v>
      </c>
    </row>
    <row r="7653" spans="2:11" x14ac:dyDescent="0.25">
      <c r="B7653" s="115" t="s">
        <v>1241</v>
      </c>
      <c r="D7653" s="115" t="s">
        <v>8710</v>
      </c>
      <c r="E7653" s="115" t="s">
        <v>1242</v>
      </c>
      <c r="F7653" s="115">
        <v>0</v>
      </c>
      <c r="G7653" s="115">
        <v>0</v>
      </c>
      <c r="H7653" s="115">
        <v>0</v>
      </c>
      <c r="I7653" s="115">
        <v>0</v>
      </c>
      <c r="J7653" s="115">
        <v>0</v>
      </c>
      <c r="K7653" s="115">
        <v>0</v>
      </c>
    </row>
    <row r="7654" spans="2:11" x14ac:dyDescent="0.25">
      <c r="B7654" s="115" t="s">
        <v>1241</v>
      </c>
      <c r="D7654" s="115" t="s">
        <v>8710</v>
      </c>
      <c r="E7654" s="115" t="s">
        <v>1242</v>
      </c>
      <c r="F7654" s="115">
        <v>0</v>
      </c>
      <c r="G7654" s="115">
        <v>0</v>
      </c>
      <c r="H7654" s="115">
        <v>0</v>
      </c>
      <c r="I7654" s="115">
        <v>0</v>
      </c>
      <c r="J7654" s="115">
        <v>0</v>
      </c>
      <c r="K7654" s="115">
        <v>0</v>
      </c>
    </row>
    <row r="7655" spans="2:11" x14ac:dyDescent="0.25">
      <c r="B7655" s="115" t="s">
        <v>1241</v>
      </c>
      <c r="D7655" s="115" t="s">
        <v>8710</v>
      </c>
      <c r="E7655" s="115" t="s">
        <v>1242</v>
      </c>
      <c r="F7655" s="115">
        <v>0</v>
      </c>
      <c r="G7655" s="115">
        <v>0</v>
      </c>
      <c r="H7655" s="115">
        <v>0</v>
      </c>
      <c r="I7655" s="115">
        <v>0</v>
      </c>
      <c r="J7655" s="115">
        <v>0</v>
      </c>
      <c r="K7655" s="115">
        <v>0</v>
      </c>
    </row>
    <row r="7656" spans="2:11" x14ac:dyDescent="0.25">
      <c r="B7656" s="115" t="s">
        <v>1241</v>
      </c>
      <c r="D7656" s="115" t="s">
        <v>8710</v>
      </c>
      <c r="E7656" s="115" t="s">
        <v>1242</v>
      </c>
      <c r="F7656" s="115">
        <v>0</v>
      </c>
      <c r="G7656" s="115">
        <v>0</v>
      </c>
      <c r="H7656" s="115">
        <v>0</v>
      </c>
      <c r="I7656" s="115">
        <v>0</v>
      </c>
      <c r="J7656" s="115">
        <v>0</v>
      </c>
      <c r="K7656" s="115">
        <v>0</v>
      </c>
    </row>
    <row r="7657" spans="2:11" x14ac:dyDescent="0.25">
      <c r="B7657" s="115" t="s">
        <v>1241</v>
      </c>
      <c r="D7657" s="115" t="s">
        <v>8710</v>
      </c>
      <c r="E7657" s="115" t="s">
        <v>1242</v>
      </c>
      <c r="F7657" s="115">
        <v>0</v>
      </c>
      <c r="G7657" s="115">
        <v>0</v>
      </c>
      <c r="H7657" s="115">
        <v>0</v>
      </c>
      <c r="I7657" s="115">
        <v>0</v>
      </c>
      <c r="J7657" s="115">
        <v>0</v>
      </c>
      <c r="K7657" s="115">
        <v>0</v>
      </c>
    </row>
    <row r="7658" spans="2:11" x14ac:dyDescent="0.25">
      <c r="B7658" s="115" t="s">
        <v>1241</v>
      </c>
      <c r="D7658" s="115" t="s">
        <v>8710</v>
      </c>
      <c r="E7658" s="115" t="s">
        <v>1242</v>
      </c>
      <c r="F7658" s="115">
        <v>0</v>
      </c>
      <c r="G7658" s="115">
        <v>0</v>
      </c>
      <c r="H7658" s="115">
        <v>0</v>
      </c>
      <c r="I7658" s="115">
        <v>0</v>
      </c>
      <c r="J7658" s="115">
        <v>0</v>
      </c>
      <c r="K7658" s="115">
        <v>0</v>
      </c>
    </row>
    <row r="7659" spans="2:11" x14ac:dyDescent="0.25">
      <c r="B7659" s="115" t="s">
        <v>1241</v>
      </c>
      <c r="D7659" s="115" t="s">
        <v>8710</v>
      </c>
      <c r="E7659" s="115" t="s">
        <v>1242</v>
      </c>
      <c r="F7659" s="115">
        <v>0</v>
      </c>
      <c r="G7659" s="115">
        <v>0</v>
      </c>
      <c r="H7659" s="115">
        <v>0</v>
      </c>
      <c r="I7659" s="115">
        <v>0</v>
      </c>
      <c r="J7659" s="115">
        <v>0</v>
      </c>
      <c r="K7659" s="115">
        <v>0</v>
      </c>
    </row>
    <row r="7660" spans="2:11" x14ac:dyDescent="0.25">
      <c r="B7660" s="115" t="s">
        <v>1241</v>
      </c>
      <c r="D7660" s="115" t="s">
        <v>8710</v>
      </c>
      <c r="E7660" s="115" t="s">
        <v>1242</v>
      </c>
      <c r="F7660" s="115">
        <v>0</v>
      </c>
      <c r="G7660" s="115">
        <v>0</v>
      </c>
      <c r="H7660" s="115">
        <v>0</v>
      </c>
      <c r="I7660" s="115">
        <v>0</v>
      </c>
      <c r="J7660" s="115">
        <v>0</v>
      </c>
      <c r="K7660" s="115">
        <v>0</v>
      </c>
    </row>
    <row r="7661" spans="2:11" x14ac:dyDescent="0.25">
      <c r="B7661" s="115" t="s">
        <v>1241</v>
      </c>
      <c r="D7661" s="115" t="s">
        <v>8710</v>
      </c>
      <c r="E7661" s="115" t="s">
        <v>1242</v>
      </c>
      <c r="F7661" s="115">
        <v>0</v>
      </c>
      <c r="G7661" s="115">
        <v>0</v>
      </c>
      <c r="H7661" s="115">
        <v>0</v>
      </c>
      <c r="I7661" s="115">
        <v>0</v>
      </c>
      <c r="J7661" s="115">
        <v>0</v>
      </c>
      <c r="K7661" s="115">
        <v>0</v>
      </c>
    </row>
    <row r="7662" spans="2:11" x14ac:dyDescent="0.25">
      <c r="B7662" s="115" t="s">
        <v>1241</v>
      </c>
      <c r="D7662" s="115" t="s">
        <v>8710</v>
      </c>
      <c r="E7662" s="115" t="s">
        <v>1242</v>
      </c>
      <c r="F7662" s="115">
        <v>0</v>
      </c>
      <c r="G7662" s="115">
        <v>0</v>
      </c>
      <c r="H7662" s="115">
        <v>0</v>
      </c>
      <c r="I7662" s="115">
        <v>0</v>
      </c>
      <c r="J7662" s="115">
        <v>0</v>
      </c>
      <c r="K7662" s="115">
        <v>0</v>
      </c>
    </row>
    <row r="7663" spans="2:11" x14ac:dyDescent="0.25">
      <c r="B7663" s="115" t="s">
        <v>1241</v>
      </c>
      <c r="D7663" s="115" t="s">
        <v>8710</v>
      </c>
      <c r="E7663" s="115" t="s">
        <v>1242</v>
      </c>
      <c r="F7663" s="115">
        <v>0</v>
      </c>
      <c r="G7663" s="115">
        <v>0</v>
      </c>
      <c r="H7663" s="115">
        <v>0</v>
      </c>
      <c r="I7663" s="115">
        <v>0</v>
      </c>
      <c r="J7663" s="115">
        <v>0</v>
      </c>
      <c r="K7663" s="115">
        <v>0</v>
      </c>
    </row>
    <row r="7664" spans="2:11" x14ac:dyDescent="0.25">
      <c r="B7664" s="115" t="s">
        <v>1241</v>
      </c>
      <c r="D7664" s="115" t="s">
        <v>8710</v>
      </c>
      <c r="E7664" s="115" t="s">
        <v>1242</v>
      </c>
      <c r="F7664" s="115">
        <v>0</v>
      </c>
      <c r="G7664" s="115">
        <v>0</v>
      </c>
      <c r="H7664" s="115">
        <v>0</v>
      </c>
      <c r="I7664" s="115">
        <v>0</v>
      </c>
      <c r="J7664" s="115">
        <v>0</v>
      </c>
      <c r="K7664" s="115">
        <v>0</v>
      </c>
    </row>
    <row r="7665" spans="2:11" x14ac:dyDescent="0.25">
      <c r="B7665" s="115" t="s">
        <v>1241</v>
      </c>
      <c r="D7665" s="115" t="s">
        <v>8710</v>
      </c>
      <c r="E7665" s="115" t="s">
        <v>1242</v>
      </c>
      <c r="F7665" s="115">
        <v>0</v>
      </c>
      <c r="G7665" s="115">
        <v>0</v>
      </c>
      <c r="H7665" s="115">
        <v>0</v>
      </c>
      <c r="I7665" s="115">
        <v>0</v>
      </c>
      <c r="J7665" s="115">
        <v>0</v>
      </c>
      <c r="K7665" s="115">
        <v>0</v>
      </c>
    </row>
    <row r="7666" spans="2:11" x14ac:dyDescent="0.25">
      <c r="B7666" s="115" t="s">
        <v>1241</v>
      </c>
      <c r="D7666" s="115" t="s">
        <v>8710</v>
      </c>
      <c r="E7666" s="115" t="s">
        <v>1242</v>
      </c>
      <c r="F7666" s="115">
        <v>0</v>
      </c>
      <c r="G7666" s="115">
        <v>0</v>
      </c>
      <c r="H7666" s="115">
        <v>0</v>
      </c>
      <c r="I7666" s="115">
        <v>0</v>
      </c>
      <c r="J7666" s="115">
        <v>0</v>
      </c>
      <c r="K7666" s="115">
        <v>0</v>
      </c>
    </row>
    <row r="7667" spans="2:11" x14ac:dyDescent="0.25">
      <c r="B7667" s="115" t="s">
        <v>1241</v>
      </c>
      <c r="D7667" s="115" t="s">
        <v>8710</v>
      </c>
      <c r="E7667" s="115" t="s">
        <v>1242</v>
      </c>
      <c r="F7667" s="115">
        <v>0</v>
      </c>
      <c r="G7667" s="115">
        <v>0</v>
      </c>
      <c r="H7667" s="115">
        <v>0</v>
      </c>
      <c r="I7667" s="115">
        <v>0</v>
      </c>
      <c r="J7667" s="115">
        <v>0</v>
      </c>
      <c r="K7667" s="115">
        <v>0</v>
      </c>
    </row>
    <row r="7668" spans="2:11" x14ac:dyDescent="0.25">
      <c r="B7668" s="115" t="s">
        <v>1241</v>
      </c>
      <c r="D7668" s="115" t="s">
        <v>8710</v>
      </c>
      <c r="E7668" s="115" t="s">
        <v>1242</v>
      </c>
      <c r="F7668" s="115">
        <v>0</v>
      </c>
      <c r="G7668" s="115">
        <v>0</v>
      </c>
      <c r="H7668" s="115">
        <v>0</v>
      </c>
      <c r="I7668" s="115">
        <v>0</v>
      </c>
      <c r="J7668" s="115">
        <v>0</v>
      </c>
      <c r="K7668" s="115">
        <v>0</v>
      </c>
    </row>
    <row r="7669" spans="2:11" x14ac:dyDescent="0.25">
      <c r="B7669" s="115" t="s">
        <v>1241</v>
      </c>
      <c r="D7669" s="115" t="s">
        <v>8710</v>
      </c>
      <c r="E7669" s="115" t="s">
        <v>1242</v>
      </c>
      <c r="F7669" s="115">
        <v>0</v>
      </c>
      <c r="G7669" s="115">
        <v>0</v>
      </c>
      <c r="H7669" s="115">
        <v>0</v>
      </c>
      <c r="I7669" s="115">
        <v>0</v>
      </c>
      <c r="J7669" s="115">
        <v>0</v>
      </c>
      <c r="K7669" s="115">
        <v>0</v>
      </c>
    </row>
    <row r="7670" spans="2:11" x14ac:dyDescent="0.25">
      <c r="B7670" s="115" t="s">
        <v>1241</v>
      </c>
      <c r="D7670" s="115" t="s">
        <v>8710</v>
      </c>
      <c r="E7670" s="115" t="s">
        <v>1242</v>
      </c>
      <c r="F7670" s="115">
        <v>0</v>
      </c>
      <c r="G7670" s="115">
        <v>0</v>
      </c>
      <c r="H7670" s="115">
        <v>0</v>
      </c>
      <c r="I7670" s="115">
        <v>0</v>
      </c>
      <c r="J7670" s="115">
        <v>0</v>
      </c>
      <c r="K7670" s="115">
        <v>0</v>
      </c>
    </row>
    <row r="7671" spans="2:11" x14ac:dyDescent="0.25">
      <c r="B7671" s="115" t="s">
        <v>1241</v>
      </c>
      <c r="D7671" s="115" t="s">
        <v>8710</v>
      </c>
      <c r="E7671" s="115" t="s">
        <v>1242</v>
      </c>
      <c r="F7671" s="115">
        <v>0</v>
      </c>
      <c r="G7671" s="115">
        <v>0</v>
      </c>
      <c r="H7671" s="115">
        <v>0</v>
      </c>
      <c r="I7671" s="115">
        <v>0</v>
      </c>
      <c r="J7671" s="115">
        <v>0</v>
      </c>
      <c r="K7671" s="115">
        <v>0</v>
      </c>
    </row>
    <row r="7672" spans="2:11" x14ac:dyDescent="0.25">
      <c r="B7672" s="115" t="s">
        <v>1241</v>
      </c>
      <c r="D7672" s="115" t="s">
        <v>8710</v>
      </c>
      <c r="E7672" s="115" t="s">
        <v>1242</v>
      </c>
      <c r="F7672" s="115">
        <v>0</v>
      </c>
      <c r="G7672" s="115">
        <v>0</v>
      </c>
      <c r="H7672" s="115">
        <v>0</v>
      </c>
      <c r="I7672" s="115">
        <v>0</v>
      </c>
      <c r="J7672" s="115">
        <v>0</v>
      </c>
      <c r="K7672" s="115">
        <v>0</v>
      </c>
    </row>
    <row r="7673" spans="2:11" x14ac:dyDescent="0.25">
      <c r="B7673" s="115"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N40"/>
  <sheetViews>
    <sheetView workbookViewId="0">
      <selection activeCell="A8" sqref="A8:K39"/>
    </sheetView>
  </sheetViews>
  <sheetFormatPr defaultRowHeight="12.75" x14ac:dyDescent="0.2"/>
  <sheetData>
    <row ht="15" r="1" spans="1:13" x14ac:dyDescent="0.25">
      <c r="A1" s="196" t="s">
        <v>1021</v>
      </c>
      <c r="B1" s="197"/>
      <c r="C1" s="197"/>
      <c r="D1" s="197"/>
      <c r="E1" s="197"/>
      <c r="F1" s="197"/>
      <c r="G1" s="197"/>
      <c r="H1" s="197" t="s">
        <v>1022</v>
      </c>
      <c r="I1" s="197"/>
      <c r="J1" s="197"/>
      <c r="K1" s="205"/>
    </row>
    <row ht="15" r="2" spans="1:13" x14ac:dyDescent="0.25">
      <c r="A2" s="199">
        <v>1</v>
      </c>
      <c r="B2" s="200" t="s">
        <v>1134</v>
      </c>
      <c r="C2" s="200"/>
      <c r="D2" s="200"/>
      <c r="E2" s="200"/>
      <c r="F2" s="200"/>
      <c r="G2" s="200"/>
      <c r="H2" s="200"/>
      <c r="I2" s="200"/>
      <c r="J2" s="200"/>
      <c r="K2" s="206"/>
    </row>
    <row ht="15" r="3" spans="1:13" x14ac:dyDescent="0.25">
      <c r="A3" s="199">
        <v>2</v>
      </c>
      <c r="B3" s="200" t="s">
        <v>1023</v>
      </c>
      <c r="C3" s="200"/>
      <c r="D3" s="200"/>
      <c r="E3" s="200"/>
      <c r="F3" s="200"/>
      <c r="G3" s="200"/>
      <c r="H3" s="200"/>
      <c r="I3" s="200"/>
      <c r="J3" s="200"/>
      <c r="K3" s="206"/>
    </row>
    <row ht="15" r="4" spans="1:13" x14ac:dyDescent="0.25">
      <c r="A4" s="199">
        <v>3</v>
      </c>
      <c r="B4" s="200" t="s">
        <v>1024</v>
      </c>
      <c r="C4" s="200"/>
      <c r="D4" s="200"/>
      <c r="E4" s="200"/>
      <c r="F4" s="200"/>
      <c r="G4" s="200"/>
      <c r="H4" s="200"/>
      <c r="I4" s="200"/>
      <c r="J4" s="200"/>
      <c r="K4" s="206"/>
    </row>
    <row ht="15" r="5" spans="1:13" x14ac:dyDescent="0.25">
      <c r="A5" s="199">
        <v>4</v>
      </c>
      <c r="B5" s="200" t="s">
        <v>1132</v>
      </c>
      <c r="C5" s="200"/>
      <c r="D5" s="200"/>
      <c r="E5" s="200"/>
      <c r="F5" s="200"/>
      <c r="G5" s="200"/>
      <c r="H5" s="200"/>
      <c r="I5" s="200"/>
      <c r="J5" s="200"/>
      <c r="K5" s="206"/>
    </row>
    <row ht="15" r="6" spans="1:13" x14ac:dyDescent="0.25">
      <c r="A6" s="207"/>
      <c r="B6" s="202"/>
      <c r="C6" s="202"/>
      <c r="D6" s="202"/>
      <c r="E6" s="202"/>
      <c r="F6" s="202"/>
      <c r="G6" s="202"/>
      <c r="H6" s="202"/>
      <c r="I6" s="202"/>
      <c r="J6" s="202"/>
      <c r="K6" s="203"/>
      <c r="L6" s="115"/>
      <c r="M6" s="115"/>
    </row>
    <row ht="15" r="7" spans="1:13" x14ac:dyDescent="0.2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ht="15" r="8" spans="1:13" x14ac:dyDescent="0.25">
      <c r="A8" s="115" t="s">
        <v>210</v>
      </c>
      <c r="B8" s="115" t="s">
        <v>1118</v>
      </c>
      <c r="C8" s="115" t="s">
        <v>1119</v>
      </c>
      <c r="D8" s="115" t="s">
        <v>1120</v>
      </c>
      <c r="E8" s="115" t="s">
        <v>1121</v>
      </c>
      <c r="F8" s="115" t="s">
        <v>44</v>
      </c>
      <c r="G8" s="115" t="s">
        <v>1122</v>
      </c>
      <c r="H8" s="115"/>
      <c r="I8" s="115"/>
      <c r="J8" s="115"/>
      <c r="K8" s="115"/>
      <c r="L8" s="115"/>
      <c r="M8" s="115"/>
    </row>
    <row ht="15" r="9" spans="1:13" x14ac:dyDescent="0.25">
      <c r="A9" s="115" t="s">
        <v>1123</v>
      </c>
      <c r="B9" s="115" t="s">
        <v>1124</v>
      </c>
      <c r="C9" s="115" t="s">
        <v>1125</v>
      </c>
      <c r="D9" s="115" t="s">
        <v>1126</v>
      </c>
      <c r="E9" s="115">
        <v>4</v>
      </c>
      <c r="F9" s="116">
        <v>0.52747685185185189</v>
      </c>
      <c r="G9" s="115" t="s">
        <v>1127</v>
      </c>
      <c r="H9" s="115">
        <v>6</v>
      </c>
      <c r="I9" s="115" t="s">
        <v>1128</v>
      </c>
      <c r="J9" s="115">
        <v>12</v>
      </c>
      <c r="K9" s="115"/>
      <c r="L9" s="115"/>
      <c r="M9" s="115"/>
    </row>
    <row ht="15" r="10" spans="1:13" x14ac:dyDescent="0.25">
      <c r="A10" s="115" t="s">
        <v>315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ht="15" r="11" spans="1:13" x14ac:dyDescent="0.25">
      <c r="A11" s="115"/>
      <c r="B11" s="115">
        <v>1</v>
      </c>
      <c r="C11" s="115" t="s">
        <v>1103</v>
      </c>
      <c r="D11" s="115" t="s">
        <v>321</v>
      </c>
      <c r="E11" s="115">
        <v>-1.427506529303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ht="15" r="12" spans="1:13" x14ac:dyDescent="0.25">
      <c r="A12" s="115"/>
      <c r="B12" s="115">
        <v>3</v>
      </c>
      <c r="C12" s="115" t="s">
        <v>1104</v>
      </c>
      <c r="D12" s="115" t="s">
        <v>321</v>
      </c>
      <c r="E12" s="115">
        <v>-2.1173031158029998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ht="15" r="13" spans="1:13" x14ac:dyDescent="0.25">
      <c r="A13" s="115"/>
      <c r="B13" s="115">
        <v>4</v>
      </c>
      <c r="C13" s="115" t="s">
        <v>1105</v>
      </c>
      <c r="D13" s="115" t="s">
        <v>321</v>
      </c>
      <c r="E13" s="115">
        <v>-2.9720527882979999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ht="15" r="14" spans="1:13" x14ac:dyDescent="0.25">
      <c r="A14" s="115"/>
      <c r="B14" s="115">
        <v>6</v>
      </c>
      <c r="C14" s="115" t="s">
        <v>1106</v>
      </c>
      <c r="D14" s="115" t="s">
        <v>321</v>
      </c>
      <c r="E14" s="115">
        <v>-2.0696298973410001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ht="15" r="15" spans="1:13" x14ac:dyDescent="0.25">
      <c r="A15" s="115"/>
      <c r="B15" s="115">
        <v>8</v>
      </c>
      <c r="C15" s="115" t="s">
        <v>1107</v>
      </c>
      <c r="D15" s="115" t="s">
        <v>321</v>
      </c>
      <c r="E15" s="115">
        <v>-2.299467632007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ht="15" r="16" spans="1:13" x14ac:dyDescent="0.25">
      <c r="A16" s="115"/>
      <c r="B16" s="115">
        <v>10</v>
      </c>
      <c r="C16" s="115" t="s">
        <v>1108</v>
      </c>
      <c r="D16" s="115" t="s">
        <v>321</v>
      </c>
      <c r="E16" s="115">
        <v>-1.0725277546400001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ht="15" r="17" spans="1:13" x14ac:dyDescent="0.25">
      <c r="A17" s="115"/>
      <c r="B17" s="115">
        <v>13</v>
      </c>
      <c r="C17" s="115" t="s">
        <v>1109</v>
      </c>
      <c r="D17" s="115" t="s">
        <v>321</v>
      </c>
      <c r="E17" s="115">
        <v>-2.2431847091349999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ht="15" r="18" spans="1:13" x14ac:dyDescent="0.25">
      <c r="A18" s="115"/>
      <c r="B18" s="115">
        <v>15</v>
      </c>
      <c r="C18" s="115" t="s">
        <v>1110</v>
      </c>
      <c r="D18" s="115" t="s">
        <v>321</v>
      </c>
      <c r="E18" s="115">
        <v>1.5746620251300001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ht="15" r="19" spans="1:13" x14ac:dyDescent="0.25">
      <c r="A19" s="115"/>
      <c r="B19" s="115">
        <v>16</v>
      </c>
      <c r="C19" s="115" t="s">
        <v>1111</v>
      </c>
      <c r="D19" s="115" t="s">
        <v>321</v>
      </c>
      <c r="E19" s="115">
        <v>0.37706326152399999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ht="15" r="20" spans="1:13" x14ac:dyDescent="0.25">
      <c r="A20" s="115"/>
      <c r="B20" s="115">
        <v>18</v>
      </c>
      <c r="C20" s="115" t="s">
        <v>1112</v>
      </c>
      <c r="D20" s="115" t="s">
        <v>321</v>
      </c>
      <c r="E20" s="115">
        <v>0.735525734682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ht="15" r="21" spans="1:13" x14ac:dyDescent="0.25">
      <c r="A21" s="115"/>
      <c r="B21" s="115">
        <v>22</v>
      </c>
      <c r="C21" s="115" t="s">
        <v>1113</v>
      </c>
      <c r="D21" s="115" t="s">
        <v>321</v>
      </c>
      <c r="E21" s="117">
        <v>2.8900644071999999E-2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ht="15" r="22" spans="1:13" x14ac:dyDescent="0.25">
      <c r="A22" s="115"/>
      <c r="B22" s="115">
        <v>23</v>
      </c>
      <c r="C22" s="115" t="s">
        <v>1114</v>
      </c>
      <c r="D22" s="115" t="s">
        <v>321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ht="15" r="23" spans="1:13" x14ac:dyDescent="0.25">
      <c r="A23" s="115"/>
      <c r="B23" s="115">
        <v>32</v>
      </c>
      <c r="C23" s="115" t="s">
        <v>1115</v>
      </c>
      <c r="D23" s="115" t="s">
        <v>321</v>
      </c>
      <c r="E23" s="117">
        <v>-5.5020049286000003E-2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ht="15" r="24" spans="1:13" x14ac:dyDescent="0.25">
      <c r="A24" s="115"/>
      <c r="B24" s="115">
        <v>39</v>
      </c>
      <c r="C24" s="115" t="s">
        <v>1116</v>
      </c>
      <c r="D24" s="115" t="s">
        <v>321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ht="15" r="25" spans="1:13" x14ac:dyDescent="0.25">
      <c r="A25" s="115"/>
      <c r="B25" s="115">
        <v>50</v>
      </c>
      <c r="C25" s="115" t="s">
        <v>1117</v>
      </c>
      <c r="D25" s="115" t="s">
        <v>321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ht="15" r="26" spans="1:13" x14ac:dyDescent="0.25">
      <c r="A26" s="115"/>
      <c r="B26" s="115">
        <v>-1</v>
      </c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ht="15" r="27" spans="1:13" x14ac:dyDescent="0.2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ht="15" r="28" spans="1:13" x14ac:dyDescent="0.25">
      <c r="A28" s="115"/>
      <c r="B28" s="115">
        <v>16</v>
      </c>
      <c r="C28" s="115" t="s">
        <v>1129</v>
      </c>
      <c r="D28" s="115" t="s">
        <v>1127</v>
      </c>
      <c r="E28" s="115">
        <v>6</v>
      </c>
      <c r="F28" s="115" t="s">
        <v>1128</v>
      </c>
      <c r="G28" s="115">
        <v>12</v>
      </c>
      <c r="H28" s="115"/>
      <c r="I28" s="115"/>
      <c r="J28" s="115"/>
      <c r="K28" s="115"/>
      <c r="L28" s="115"/>
      <c r="M28" s="115"/>
    </row>
    <row ht="15" r="29" spans="1:13" x14ac:dyDescent="0.2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ht="15" r="30" spans="1:13" x14ac:dyDescent="0.2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ht="15" r="31" spans="1:13" x14ac:dyDescent="0.2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ht="15" r="32" spans="1:13" x14ac:dyDescent="0.2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ht="15" r="33" spans="1:13" x14ac:dyDescent="0.2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ht="15" r="34" spans="1:13" x14ac:dyDescent="0.2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ht="15" r="35" spans="1:13" x14ac:dyDescent="0.2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ht="15" r="36" spans="1:13" x14ac:dyDescent="0.2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ht="15" r="37" spans="1:13" x14ac:dyDescent="0.2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ht="15" r="38" spans="1:13" x14ac:dyDescent="0.2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ht="15" r="39" spans="1:13" x14ac:dyDescent="0.2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ht="15" r="40" spans="1:13" x14ac:dyDescent="0.2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E27" sqref="E27"/>
    </sheetView>
  </sheetViews>
  <sheetFormatPr defaultRowHeight="12.75" x14ac:dyDescent="0.2"/>
  <sheetData>
    <row ht="15" r="1" spans="1:5" x14ac:dyDescent="0.25">
      <c r="A1" s="110" t="s">
        <v>1020</v>
      </c>
      <c r="B1" s="110" t="s">
        <v>316</v>
      </c>
      <c r="C1" s="110" t="s">
        <v>317</v>
      </c>
      <c r="D1" s="111" t="s">
        <v>318</v>
      </c>
      <c r="E1" s="112" t="s">
        <v>319</v>
      </c>
    </row>
    <row ht="15" r="2" spans="1:5" x14ac:dyDescent="0.25">
      <c r="A2" s="108">
        <v>100</v>
      </c>
      <c r="B2" s="108" t="s">
        <v>320</v>
      </c>
      <c r="C2" s="108" t="s">
        <v>321</v>
      </c>
      <c r="D2" s="113">
        <v>0.59360162660100002</v>
      </c>
      <c r="E2" s="107" t="s">
        <v>322</v>
      </c>
    </row>
    <row ht="15" r="3" spans="1:5" x14ac:dyDescent="0.25">
      <c r="A3" s="108">
        <v>101</v>
      </c>
      <c r="B3" s="108" t="s">
        <v>323</v>
      </c>
      <c r="C3" s="108" t="s">
        <v>321</v>
      </c>
      <c r="D3" s="113">
        <v>2.2607629985500002</v>
      </c>
      <c r="E3" s="107" t="s">
        <v>324</v>
      </c>
    </row>
    <row ht="15" r="4" spans="1:5" x14ac:dyDescent="0.25">
      <c r="A4" s="108">
        <v>102</v>
      </c>
      <c r="B4" s="108" t="s">
        <v>325</v>
      </c>
      <c r="C4" s="108" t="s">
        <v>321</v>
      </c>
      <c r="D4" s="109">
        <v>-0.67702180034500004</v>
      </c>
      <c r="E4" s="107" t="s">
        <v>326</v>
      </c>
    </row>
    <row ht="15" r="5" spans="1:5" x14ac:dyDescent="0.25">
      <c r="A5" s="108">
        <v>105</v>
      </c>
      <c r="B5" s="108" t="s">
        <v>327</v>
      </c>
      <c r="C5" s="108" t="s">
        <v>321</v>
      </c>
      <c r="D5" s="109">
        <v>-1.2291096581800001</v>
      </c>
      <c r="E5" s="107" t="s">
        <v>328</v>
      </c>
    </row>
    <row ht="15" r="6" spans="1:5" x14ac:dyDescent="0.25">
      <c r="A6" s="108">
        <v>106</v>
      </c>
      <c r="B6" s="108" t="s">
        <v>329</v>
      </c>
      <c r="C6" s="108" t="s">
        <v>321</v>
      </c>
      <c r="D6" s="109">
        <v>-1.88719601199</v>
      </c>
      <c r="E6" s="107" t="s">
        <v>330</v>
      </c>
    </row>
    <row ht="15" r="7" spans="1:5" x14ac:dyDescent="0.25">
      <c r="A7" s="108">
        <v>109</v>
      </c>
      <c r="B7" s="108" t="s">
        <v>331</v>
      </c>
      <c r="C7" s="108" t="s">
        <v>321</v>
      </c>
      <c r="D7" s="109">
        <v>-0.104539156562</v>
      </c>
      <c r="E7" s="107" t="s">
        <v>332</v>
      </c>
    </row>
    <row ht="15" r="8" spans="1:5" x14ac:dyDescent="0.25">
      <c r="A8" s="108">
        <v>110</v>
      </c>
      <c r="B8" s="108" t="s">
        <v>333</v>
      </c>
      <c r="C8" s="108" t="s">
        <v>321</v>
      </c>
      <c r="D8" s="109">
        <v>-5.3840960751700001E-2</v>
      </c>
      <c r="E8" s="107" t="s">
        <v>334</v>
      </c>
    </row>
    <row ht="15" r="9" spans="1:5" x14ac:dyDescent="0.25">
      <c r="A9" s="108">
        <v>111</v>
      </c>
      <c r="B9" s="108" t="s">
        <v>335</v>
      </c>
      <c r="C9" s="108" t="s">
        <v>321</v>
      </c>
      <c r="D9" s="109">
        <v>5.5398475571900002E-2</v>
      </c>
      <c r="E9" s="107" t="s">
        <v>336</v>
      </c>
    </row>
    <row ht="15" r="10" spans="1:5" x14ac:dyDescent="0.25">
      <c r="A10" s="108">
        <v>112</v>
      </c>
      <c r="B10" s="108" t="s">
        <v>337</v>
      </c>
      <c r="C10" s="108" t="s">
        <v>321</v>
      </c>
      <c r="D10" s="109">
        <v>0.104963199705</v>
      </c>
      <c r="E10" s="107" t="s">
        <v>338</v>
      </c>
    </row>
    <row ht="15" r="11" spans="1:5" x14ac:dyDescent="0.25">
      <c r="A11" s="108">
        <v>113</v>
      </c>
      <c r="B11" s="108" t="s">
        <v>339</v>
      </c>
      <c r="C11" s="108" t="s">
        <v>340</v>
      </c>
      <c r="D11" s="109">
        <v>0</v>
      </c>
      <c r="E11" s="107" t="s">
        <v>341</v>
      </c>
    </row>
    <row ht="15" r="12" spans="1:5" x14ac:dyDescent="0.25">
      <c r="A12" s="108">
        <v>114</v>
      </c>
      <c r="B12" s="108" t="s">
        <v>342</v>
      </c>
      <c r="C12" s="108" t="s">
        <v>340</v>
      </c>
      <c r="D12" s="109">
        <v>0</v>
      </c>
      <c r="E12" s="107" t="s">
        <v>343</v>
      </c>
    </row>
    <row ht="15" r="13" spans="1:5" x14ac:dyDescent="0.25">
      <c r="A13" s="108">
        <v>116</v>
      </c>
      <c r="B13" s="108" t="s">
        <v>344</v>
      </c>
      <c r="C13" s="108" t="s">
        <v>321</v>
      </c>
      <c r="D13" s="109">
        <v>0.119359946565</v>
      </c>
      <c r="E13" s="107" t="s">
        <v>345</v>
      </c>
    </row>
    <row ht="15" r="14" spans="1:5" x14ac:dyDescent="0.25">
      <c r="A14" s="108">
        <v>117</v>
      </c>
      <c r="B14" s="108" t="s">
        <v>346</v>
      </c>
      <c r="C14" s="108" t="s">
        <v>321</v>
      </c>
      <c r="D14" s="109">
        <v>-0.46873969835200002</v>
      </c>
      <c r="E14" s="107" t="s">
        <v>347</v>
      </c>
    </row>
    <row ht="15" r="15" spans="1:5" x14ac:dyDescent="0.25">
      <c r="A15" s="108">
        <v>118</v>
      </c>
      <c r="B15" s="108" t="s">
        <v>348</v>
      </c>
      <c r="C15" s="108" t="s">
        <v>340</v>
      </c>
      <c r="D15" s="109">
        <v>0</v>
      </c>
      <c r="E15" s="107" t="s">
        <v>349</v>
      </c>
    </row>
    <row ht="15" r="16" spans="1:5" x14ac:dyDescent="0.25">
      <c r="A16" s="108">
        <v>119</v>
      </c>
      <c r="B16" s="108" t="s">
        <v>350</v>
      </c>
      <c r="C16" s="108" t="s">
        <v>340</v>
      </c>
      <c r="D16" s="109">
        <v>0</v>
      </c>
      <c r="E16" s="107" t="s">
        <v>351</v>
      </c>
    </row>
    <row ht="15" r="17" spans="1:5" x14ac:dyDescent="0.25">
      <c r="A17" s="108">
        <v>120</v>
      </c>
      <c r="B17" s="108" t="s">
        <v>352</v>
      </c>
      <c r="C17" s="108" t="s">
        <v>340</v>
      </c>
      <c r="D17" s="109">
        <v>0</v>
      </c>
      <c r="E17" s="107" t="s">
        <v>353</v>
      </c>
    </row>
    <row ht="15" r="18" spans="1:5" x14ac:dyDescent="0.25">
      <c r="A18" s="108">
        <v>121</v>
      </c>
      <c r="B18" s="108" t="s">
        <v>354</v>
      </c>
      <c r="C18" s="108" t="s">
        <v>340</v>
      </c>
      <c r="D18" s="109">
        <v>0</v>
      </c>
      <c r="E18" s="107" t="s">
        <v>355</v>
      </c>
    </row>
    <row ht="15" r="19" spans="1:5" x14ac:dyDescent="0.25">
      <c r="A19" s="108">
        <v>122</v>
      </c>
      <c r="B19" s="108" t="s">
        <v>356</v>
      </c>
      <c r="C19" s="108" t="s">
        <v>340</v>
      </c>
      <c r="D19" s="109">
        <v>0</v>
      </c>
      <c r="E19" s="107" t="s">
        <v>357</v>
      </c>
    </row>
    <row ht="15" r="20" spans="1:5" x14ac:dyDescent="0.25">
      <c r="A20" s="108">
        <v>123</v>
      </c>
      <c r="B20" s="108" t="s">
        <v>358</v>
      </c>
      <c r="C20" s="108" t="s">
        <v>340</v>
      </c>
      <c r="D20" s="109">
        <v>0</v>
      </c>
      <c r="E20" s="107" t="s">
        <v>359</v>
      </c>
    </row>
    <row ht="15" r="21" spans="1:5" x14ac:dyDescent="0.25">
      <c r="A21" s="108">
        <v>124</v>
      </c>
      <c r="B21" s="108" t="s">
        <v>360</v>
      </c>
      <c r="C21" s="108" t="s">
        <v>321</v>
      </c>
      <c r="D21" s="109">
        <v>-1.93525950132</v>
      </c>
      <c r="E21" s="107" t="s">
        <v>361</v>
      </c>
    </row>
    <row ht="15" r="22" spans="1:5" x14ac:dyDescent="0.25">
      <c r="A22" s="108">
        <v>125</v>
      </c>
      <c r="B22" s="108" t="s">
        <v>362</v>
      </c>
      <c r="C22" s="108" t="s">
        <v>340</v>
      </c>
      <c r="D22" s="109">
        <v>0</v>
      </c>
      <c r="E22" s="107" t="s">
        <v>363</v>
      </c>
    </row>
    <row ht="15" r="23" spans="1:5" x14ac:dyDescent="0.25">
      <c r="A23" s="108">
        <v>126</v>
      </c>
      <c r="B23" s="108" t="s">
        <v>364</v>
      </c>
      <c r="C23" s="108" t="s">
        <v>340</v>
      </c>
      <c r="D23" s="109">
        <v>0</v>
      </c>
      <c r="E23" s="107" t="s">
        <v>365</v>
      </c>
    </row>
    <row ht="15" r="24" spans="1:5" x14ac:dyDescent="0.25">
      <c r="A24" s="108">
        <v>127</v>
      </c>
      <c r="B24" s="108" t="s">
        <v>366</v>
      </c>
      <c r="C24" s="108" t="s">
        <v>321</v>
      </c>
      <c r="D24" s="109">
        <v>0.70457506868099995</v>
      </c>
      <c r="E24" s="107" t="s">
        <v>367</v>
      </c>
    </row>
    <row ht="15" r="25" spans="1:5" x14ac:dyDescent="0.25">
      <c r="A25" s="108">
        <v>128</v>
      </c>
      <c r="B25" s="108" t="s">
        <v>368</v>
      </c>
      <c r="C25" s="108" t="s">
        <v>321</v>
      </c>
      <c r="D25" s="109">
        <v>-0.473736021364</v>
      </c>
      <c r="E25" s="107" t="s">
        <v>367</v>
      </c>
    </row>
    <row ht="15" r="26" spans="1:5" x14ac:dyDescent="0.25">
      <c r="A26" s="108">
        <v>129</v>
      </c>
      <c r="B26" s="108" t="s">
        <v>369</v>
      </c>
      <c r="C26" s="108" t="s">
        <v>321</v>
      </c>
      <c r="D26" s="109">
        <v>-0.39185504390800002</v>
      </c>
      <c r="E26" s="107" t="s">
        <v>367</v>
      </c>
    </row>
    <row ht="15" r="27" spans="1:5" x14ac:dyDescent="0.25">
      <c r="A27" s="108">
        <v>151</v>
      </c>
      <c r="B27" s="108" t="s">
        <v>370</v>
      </c>
      <c r="C27" s="108" t="s">
        <v>340</v>
      </c>
      <c r="D27" s="109">
        <v>0</v>
      </c>
      <c r="E27" s="107" t="s">
        <v>371</v>
      </c>
    </row>
    <row ht="15" r="28" spans="1:5" x14ac:dyDescent="0.25">
      <c r="A28" s="108">
        <v>200</v>
      </c>
      <c r="B28" s="108" t="s">
        <v>372</v>
      </c>
      <c r="C28" s="108" t="s">
        <v>321</v>
      </c>
      <c r="D28" s="113">
        <v>-0.86143817039500004</v>
      </c>
      <c r="E28" s="107" t="s">
        <v>373</v>
      </c>
    </row>
    <row ht="15" r="29" spans="1:5" x14ac:dyDescent="0.25">
      <c r="A29" s="108">
        <v>201</v>
      </c>
      <c r="B29" s="108" t="s">
        <v>374</v>
      </c>
      <c r="C29" s="108" t="s">
        <v>321</v>
      </c>
      <c r="D29" s="113">
        <v>-0.78594987134100003</v>
      </c>
      <c r="E29" s="107" t="s">
        <v>375</v>
      </c>
    </row>
    <row ht="15" r="30" spans="1:5" x14ac:dyDescent="0.25">
      <c r="A30" s="108"/>
      <c r="B30" s="108"/>
      <c r="C30" s="108"/>
      <c r="D30" s="109"/>
      <c r="E30" s="107" t="s">
        <v>376</v>
      </c>
    </row>
    <row ht="15" r="31" spans="1:5" x14ac:dyDescent="0.25">
      <c r="A31" s="108"/>
      <c r="B31" s="108"/>
      <c r="C31" s="108"/>
      <c r="D31" s="109"/>
      <c r="E31" s="107" t="s">
        <v>377</v>
      </c>
    </row>
    <row ht="15" r="32" spans="1:5" x14ac:dyDescent="0.25">
      <c r="A32" s="108"/>
      <c r="B32" s="108"/>
      <c r="C32" s="108"/>
      <c r="D32" s="109"/>
      <c r="E32" s="107" t="s">
        <v>378</v>
      </c>
    </row>
    <row ht="15" r="33" spans="1:5" x14ac:dyDescent="0.25">
      <c r="A33" s="108">
        <v>205</v>
      </c>
      <c r="B33" s="108" t="s">
        <v>379</v>
      </c>
      <c r="C33" s="108" t="s">
        <v>321</v>
      </c>
      <c r="D33" s="109">
        <v>1.0083216006</v>
      </c>
      <c r="E33" s="107" t="s">
        <v>380</v>
      </c>
    </row>
    <row ht="15" r="34" spans="1:5" x14ac:dyDescent="0.25">
      <c r="A34" s="108">
        <v>206</v>
      </c>
      <c r="B34" s="108" t="s">
        <v>381</v>
      </c>
      <c r="C34" s="108" t="s">
        <v>321</v>
      </c>
      <c r="D34" s="109">
        <v>2.08888367603</v>
      </c>
      <c r="E34" s="107" t="s">
        <v>382</v>
      </c>
    </row>
    <row ht="15" r="35" spans="1:5" x14ac:dyDescent="0.25">
      <c r="A35" s="108">
        <v>207</v>
      </c>
      <c r="B35" s="108" t="s">
        <v>383</v>
      </c>
      <c r="C35" s="108" t="s">
        <v>321</v>
      </c>
      <c r="D35" s="109">
        <v>2.1761416178699999</v>
      </c>
      <c r="E35" s="107" t="s">
        <v>384</v>
      </c>
    </row>
    <row ht="15" r="36" spans="1:5" x14ac:dyDescent="0.25">
      <c r="A36" s="108">
        <v>208</v>
      </c>
      <c r="B36" s="108" t="s">
        <v>385</v>
      </c>
      <c r="C36" s="108" t="s">
        <v>321</v>
      </c>
      <c r="D36" s="109">
        <v>1.14749890025</v>
      </c>
      <c r="E36" s="107" t="s">
        <v>386</v>
      </c>
    </row>
    <row ht="15" r="37" spans="1:5" x14ac:dyDescent="0.25">
      <c r="A37" s="108">
        <v>209</v>
      </c>
      <c r="B37" s="108" t="s">
        <v>387</v>
      </c>
      <c r="C37" s="108" t="s">
        <v>340</v>
      </c>
      <c r="D37" s="109">
        <v>0</v>
      </c>
      <c r="E37" s="107" t="s">
        <v>388</v>
      </c>
    </row>
    <row ht="15" r="38" spans="1:5" x14ac:dyDescent="0.25">
      <c r="A38" s="108">
        <v>210</v>
      </c>
      <c r="B38" s="108" t="s">
        <v>389</v>
      </c>
      <c r="C38" s="108" t="s">
        <v>321</v>
      </c>
      <c r="D38" s="109">
        <v>0.175618791701</v>
      </c>
      <c r="E38" s="107" t="s">
        <v>390</v>
      </c>
    </row>
    <row ht="15" r="39" spans="1:5" x14ac:dyDescent="0.25">
      <c r="A39" s="108">
        <v>211</v>
      </c>
      <c r="B39" s="108" t="s">
        <v>391</v>
      </c>
      <c r="C39" s="108" t="s">
        <v>340</v>
      </c>
      <c r="D39" s="109">
        <v>0</v>
      </c>
      <c r="E39" s="107" t="s">
        <v>392</v>
      </c>
    </row>
    <row ht="15" r="40" spans="1:5" x14ac:dyDescent="0.25">
      <c r="A40" s="108">
        <v>212</v>
      </c>
      <c r="B40" s="108" t="s">
        <v>393</v>
      </c>
      <c r="C40" s="108" t="s">
        <v>340</v>
      </c>
      <c r="D40" s="109">
        <v>0</v>
      </c>
      <c r="E40" s="107" t="s">
        <v>394</v>
      </c>
    </row>
    <row ht="15" r="41" spans="1:5" x14ac:dyDescent="0.25">
      <c r="A41" s="108">
        <v>213</v>
      </c>
      <c r="B41" s="108" t="s">
        <v>395</v>
      </c>
      <c r="C41" s="108" t="s">
        <v>340</v>
      </c>
      <c r="D41" s="109">
        <v>0</v>
      </c>
      <c r="E41" s="107" t="s">
        <v>396</v>
      </c>
    </row>
    <row ht="15" r="42" spans="1:5" x14ac:dyDescent="0.25">
      <c r="A42" s="108">
        <v>214</v>
      </c>
      <c r="B42" s="108" t="s">
        <v>397</v>
      </c>
      <c r="C42" s="108" t="s">
        <v>340</v>
      </c>
      <c r="D42" s="109">
        <v>0</v>
      </c>
      <c r="E42" s="107" t="s">
        <v>398</v>
      </c>
    </row>
    <row ht="15" r="43" spans="1:5" x14ac:dyDescent="0.25">
      <c r="A43" s="108"/>
      <c r="B43" s="108"/>
      <c r="C43" s="108"/>
      <c r="D43" s="109"/>
      <c r="E43" s="107" t="s">
        <v>399</v>
      </c>
    </row>
    <row ht="15" r="44" spans="1:5" x14ac:dyDescent="0.25">
      <c r="A44" s="108">
        <v>216</v>
      </c>
      <c r="B44" s="108" t="s">
        <v>400</v>
      </c>
      <c r="C44" s="108" t="s">
        <v>340</v>
      </c>
      <c r="D44" s="109">
        <v>0</v>
      </c>
      <c r="E44" s="107" t="s">
        <v>401</v>
      </c>
    </row>
    <row ht="15" r="45" spans="1:5" x14ac:dyDescent="0.25">
      <c r="A45" s="108">
        <v>217</v>
      </c>
      <c r="B45" s="108" t="s">
        <v>402</v>
      </c>
      <c r="C45" s="108" t="s">
        <v>321</v>
      </c>
      <c r="D45" s="109">
        <v>-1.04665789108</v>
      </c>
      <c r="E45" s="107" t="s">
        <v>403</v>
      </c>
    </row>
    <row ht="15" r="46" spans="1:5" x14ac:dyDescent="0.25">
      <c r="A46" s="108">
        <v>218</v>
      </c>
      <c r="B46" s="108" t="s">
        <v>404</v>
      </c>
      <c r="C46" s="108" t="s">
        <v>340</v>
      </c>
      <c r="D46" s="109">
        <v>0</v>
      </c>
      <c r="E46" s="107" t="s">
        <v>405</v>
      </c>
    </row>
    <row ht="15" r="47" spans="1:5" x14ac:dyDescent="0.25">
      <c r="A47" s="108">
        <v>219</v>
      </c>
      <c r="B47" s="108" t="s">
        <v>406</v>
      </c>
      <c r="C47" s="108" t="s">
        <v>340</v>
      </c>
      <c r="D47" s="109">
        <v>0</v>
      </c>
      <c r="E47" s="107" t="s">
        <v>407</v>
      </c>
    </row>
    <row ht="15" r="48" spans="1:5" x14ac:dyDescent="0.25">
      <c r="A48" s="108">
        <v>220</v>
      </c>
      <c r="B48" s="108" t="s">
        <v>408</v>
      </c>
      <c r="C48" s="108" t="s">
        <v>340</v>
      </c>
      <c r="D48" s="109">
        <v>0</v>
      </c>
      <c r="E48" s="107" t="s">
        <v>409</v>
      </c>
    </row>
    <row ht="15" r="49" spans="1:5" x14ac:dyDescent="0.25">
      <c r="A49" s="108">
        <v>221</v>
      </c>
      <c r="B49" s="108" t="s">
        <v>410</v>
      </c>
      <c r="C49" s="108" t="s">
        <v>321</v>
      </c>
      <c r="D49" s="109">
        <v>0.28116382464200002</v>
      </c>
      <c r="E49" s="107" t="s">
        <v>411</v>
      </c>
    </row>
    <row ht="15" r="50" spans="1:5" x14ac:dyDescent="0.25">
      <c r="A50" s="108">
        <v>222</v>
      </c>
      <c r="B50" s="108" t="s">
        <v>412</v>
      </c>
      <c r="C50" s="108" t="s">
        <v>340</v>
      </c>
      <c r="D50" s="109">
        <v>0</v>
      </c>
      <c r="E50" s="107" t="s">
        <v>413</v>
      </c>
    </row>
    <row ht="15" r="51" spans="1:5" x14ac:dyDescent="0.25">
      <c r="A51" s="108">
        <v>223</v>
      </c>
      <c r="B51" s="108" t="s">
        <v>414</v>
      </c>
      <c r="C51" s="108" t="s">
        <v>321</v>
      </c>
      <c r="D51" s="109">
        <v>-0.85726200968300004</v>
      </c>
      <c r="E51" s="107" t="s">
        <v>415</v>
      </c>
    </row>
    <row ht="15" r="52" spans="1:5" x14ac:dyDescent="0.25">
      <c r="A52" s="108">
        <v>224</v>
      </c>
      <c r="B52" s="108" t="s">
        <v>416</v>
      </c>
      <c r="C52" s="108" t="s">
        <v>340</v>
      </c>
      <c r="D52" s="109">
        <v>0</v>
      </c>
      <c r="E52" s="107" t="s">
        <v>417</v>
      </c>
    </row>
    <row ht="15" r="53" spans="1:5" x14ac:dyDescent="0.25">
      <c r="A53" s="108">
        <v>225</v>
      </c>
      <c r="B53" s="108" t="s">
        <v>418</v>
      </c>
      <c r="C53" s="108" t="s">
        <v>340</v>
      </c>
      <c r="D53" s="109">
        <v>0</v>
      </c>
      <c r="E53" s="107" t="s">
        <v>419</v>
      </c>
    </row>
    <row ht="15" r="54" spans="1:5" x14ac:dyDescent="0.25">
      <c r="A54" s="108">
        <v>226</v>
      </c>
      <c r="B54" s="108" t="s">
        <v>420</v>
      </c>
      <c r="C54" s="108" t="s">
        <v>340</v>
      </c>
      <c r="D54" s="109">
        <v>0</v>
      </c>
      <c r="E54" s="107" t="s">
        <v>421</v>
      </c>
    </row>
    <row ht="15" r="55" spans="1:5" x14ac:dyDescent="0.25">
      <c r="A55" s="108">
        <v>227</v>
      </c>
      <c r="B55" s="108" t="s">
        <v>422</v>
      </c>
      <c r="C55" s="108" t="s">
        <v>340</v>
      </c>
      <c r="D55" s="109">
        <v>0</v>
      </c>
      <c r="E55" s="107" t="s">
        <v>423</v>
      </c>
    </row>
    <row ht="15" r="56" spans="1:5" x14ac:dyDescent="0.25">
      <c r="A56" s="108">
        <v>228</v>
      </c>
      <c r="B56" s="108" t="s">
        <v>424</v>
      </c>
      <c r="C56" s="108" t="s">
        <v>321</v>
      </c>
      <c r="D56" s="109">
        <v>0.21589729844200001</v>
      </c>
      <c r="E56" s="107" t="s">
        <v>423</v>
      </c>
    </row>
    <row ht="15" r="57" spans="1:5" x14ac:dyDescent="0.25">
      <c r="A57" s="108">
        <v>229</v>
      </c>
      <c r="B57" s="108" t="s">
        <v>425</v>
      </c>
      <c r="C57" s="108" t="s">
        <v>321</v>
      </c>
      <c r="D57" s="109">
        <v>0.39645838010899997</v>
      </c>
      <c r="E57" s="107" t="s">
        <v>423</v>
      </c>
    </row>
    <row ht="15" r="58" spans="1:5" x14ac:dyDescent="0.25">
      <c r="A58" s="108">
        <v>251</v>
      </c>
      <c r="B58" s="108" t="s">
        <v>426</v>
      </c>
      <c r="C58" s="108" t="s">
        <v>340</v>
      </c>
      <c r="D58" s="109">
        <v>0</v>
      </c>
      <c r="E58" s="107" t="s">
        <v>427</v>
      </c>
    </row>
    <row ht="15" r="59" spans="1:5" x14ac:dyDescent="0.25">
      <c r="A59" s="108">
        <v>300</v>
      </c>
      <c r="B59" s="108" t="s">
        <v>428</v>
      </c>
      <c r="C59" s="108" t="s">
        <v>321</v>
      </c>
      <c r="D59" s="113">
        <v>-3.4074389037100001</v>
      </c>
      <c r="E59" s="107" t="s">
        <v>429</v>
      </c>
    </row>
    <row ht="15" r="60" spans="1:5" x14ac:dyDescent="0.25">
      <c r="A60" s="108">
        <v>301</v>
      </c>
      <c r="B60" s="108" t="s">
        <v>430</v>
      </c>
      <c r="C60" s="108" t="s">
        <v>321</v>
      </c>
      <c r="D60" s="113">
        <v>-1.46802054944</v>
      </c>
      <c r="E60" s="107" t="s">
        <v>431</v>
      </c>
    </row>
    <row ht="15" r="61" spans="1:5" x14ac:dyDescent="0.25">
      <c r="A61" s="108">
        <v>302</v>
      </c>
      <c r="B61" s="108" t="s">
        <v>432</v>
      </c>
      <c r="C61" s="108" t="s">
        <v>340</v>
      </c>
      <c r="D61" s="109">
        <v>0</v>
      </c>
      <c r="E61" s="107" t="s">
        <v>433</v>
      </c>
    </row>
    <row ht="15" r="62" spans="1:5" x14ac:dyDescent="0.25">
      <c r="A62" s="108">
        <v>303</v>
      </c>
      <c r="B62" s="108" t="s">
        <v>434</v>
      </c>
      <c r="C62" s="108" t="s">
        <v>321</v>
      </c>
      <c r="D62" s="109">
        <v>-0.74665963725100004</v>
      </c>
      <c r="E62" s="107" t="s">
        <v>435</v>
      </c>
    </row>
    <row ht="15" r="63" spans="1:5" x14ac:dyDescent="0.25">
      <c r="A63" s="108">
        <v>304</v>
      </c>
      <c r="B63" s="108" t="s">
        <v>436</v>
      </c>
      <c r="C63" s="108" t="s">
        <v>340</v>
      </c>
      <c r="D63" s="109">
        <v>0</v>
      </c>
      <c r="E63" s="107" t="s">
        <v>437</v>
      </c>
    </row>
    <row ht="15" r="64" spans="1:5" x14ac:dyDescent="0.25">
      <c r="A64" s="108">
        <v>305</v>
      </c>
      <c r="B64" s="108" t="s">
        <v>438</v>
      </c>
      <c r="C64" s="108" t="s">
        <v>340</v>
      </c>
      <c r="D64" s="109">
        <v>0</v>
      </c>
      <c r="E64" s="107" t="s">
        <v>439</v>
      </c>
    </row>
    <row ht="15" r="65" spans="1:5" x14ac:dyDescent="0.25">
      <c r="A65" s="108">
        <v>306</v>
      </c>
      <c r="B65" s="108" t="s">
        <v>440</v>
      </c>
      <c r="C65" s="108" t="s">
        <v>340</v>
      </c>
      <c r="D65" s="109">
        <v>0</v>
      </c>
      <c r="E65" s="107" t="s">
        <v>441</v>
      </c>
    </row>
    <row ht="15" r="66" spans="1:5" x14ac:dyDescent="0.25">
      <c r="A66" s="108">
        <v>307</v>
      </c>
      <c r="B66" s="108" t="s">
        <v>442</v>
      </c>
      <c r="C66" s="108" t="s">
        <v>340</v>
      </c>
      <c r="D66" s="109">
        <v>0</v>
      </c>
      <c r="E66" s="107" t="s">
        <v>443</v>
      </c>
    </row>
    <row ht="15" r="67" spans="1:5" x14ac:dyDescent="0.25">
      <c r="A67" s="108">
        <v>308</v>
      </c>
      <c r="B67" s="108" t="s">
        <v>444</v>
      </c>
      <c r="C67" s="108" t="s">
        <v>321</v>
      </c>
      <c r="D67" s="109">
        <v>0.55350968411900003</v>
      </c>
      <c r="E67" s="107" t="s">
        <v>445</v>
      </c>
    </row>
    <row ht="15" r="68" spans="1:5" x14ac:dyDescent="0.25">
      <c r="A68" s="108">
        <v>309</v>
      </c>
      <c r="B68" s="108" t="s">
        <v>446</v>
      </c>
      <c r="C68" s="108" t="s">
        <v>321</v>
      </c>
      <c r="D68" s="109">
        <v>-0.23172742344700001</v>
      </c>
      <c r="E68" s="107" t="s">
        <v>447</v>
      </c>
    </row>
    <row ht="15" r="69" spans="1:5" x14ac:dyDescent="0.25">
      <c r="A69" s="108">
        <v>310</v>
      </c>
      <c r="B69" s="108" t="s">
        <v>448</v>
      </c>
      <c r="C69" s="108" t="s">
        <v>321</v>
      </c>
      <c r="D69" s="109">
        <v>-0.13772236960600001</v>
      </c>
      <c r="E69" s="107" t="s">
        <v>449</v>
      </c>
    </row>
    <row ht="15" r="70" spans="1:5" x14ac:dyDescent="0.25">
      <c r="A70" s="108">
        <v>311</v>
      </c>
      <c r="B70" s="108" t="s">
        <v>450</v>
      </c>
      <c r="C70" s="108" t="s">
        <v>340</v>
      </c>
      <c r="D70" s="109">
        <v>0</v>
      </c>
      <c r="E70" s="107" t="s">
        <v>451</v>
      </c>
    </row>
    <row ht="15" r="71" spans="1:5" x14ac:dyDescent="0.25">
      <c r="A71" s="108">
        <v>312</v>
      </c>
      <c r="B71" s="108" t="s">
        <v>452</v>
      </c>
      <c r="C71" s="108" t="s">
        <v>340</v>
      </c>
      <c r="D71" s="109">
        <v>0</v>
      </c>
      <c r="E71" s="107" t="s">
        <v>453</v>
      </c>
    </row>
    <row ht="15" r="72" spans="1:5" x14ac:dyDescent="0.25">
      <c r="A72" s="108">
        <v>313</v>
      </c>
      <c r="B72" s="108" t="s">
        <v>454</v>
      </c>
      <c r="C72" s="108" t="s">
        <v>321</v>
      </c>
      <c r="D72" s="109">
        <v>0.15830555373499999</v>
      </c>
      <c r="E72" s="107" t="s">
        <v>455</v>
      </c>
    </row>
    <row ht="15" r="73" spans="1:5" x14ac:dyDescent="0.25">
      <c r="A73" s="108">
        <v>314</v>
      </c>
      <c r="B73" s="108" t="s">
        <v>456</v>
      </c>
      <c r="C73" s="108" t="s">
        <v>321</v>
      </c>
      <c r="D73" s="109">
        <v>-0.47638575072</v>
      </c>
      <c r="E73" s="107" t="s">
        <v>457</v>
      </c>
    </row>
    <row ht="15" r="74" spans="1:5" x14ac:dyDescent="0.25">
      <c r="A74" s="108"/>
      <c r="B74" s="108"/>
      <c r="C74" s="108"/>
      <c r="D74" s="109"/>
      <c r="E74" s="107" t="s">
        <v>458</v>
      </c>
    </row>
    <row ht="15" r="75" spans="1:5" x14ac:dyDescent="0.25">
      <c r="A75" s="108">
        <v>316</v>
      </c>
      <c r="B75" s="108" t="s">
        <v>459</v>
      </c>
      <c r="C75" s="108" t="s">
        <v>340</v>
      </c>
      <c r="D75" s="109">
        <v>0</v>
      </c>
      <c r="E75" s="107" t="s">
        <v>460</v>
      </c>
    </row>
    <row ht="15" r="76" spans="1:5" x14ac:dyDescent="0.25">
      <c r="A76" s="108">
        <v>317</v>
      </c>
      <c r="B76" s="108" t="s">
        <v>461</v>
      </c>
      <c r="C76" s="108" t="s">
        <v>321</v>
      </c>
      <c r="D76" s="109">
        <v>1.2331767950900001</v>
      </c>
      <c r="E76" s="107" t="s">
        <v>462</v>
      </c>
    </row>
    <row ht="15" r="77" spans="1:5" x14ac:dyDescent="0.25">
      <c r="A77" s="108">
        <v>318</v>
      </c>
      <c r="B77" s="108" t="s">
        <v>463</v>
      </c>
      <c r="C77" s="108" t="s">
        <v>321</v>
      </c>
      <c r="D77" s="109">
        <v>1.79373653729</v>
      </c>
      <c r="E77" s="107" t="s">
        <v>464</v>
      </c>
    </row>
    <row ht="15" r="78" spans="1:5" x14ac:dyDescent="0.25">
      <c r="A78" s="108">
        <v>319</v>
      </c>
      <c r="B78" s="108" t="s">
        <v>465</v>
      </c>
      <c r="C78" s="108" t="s">
        <v>321</v>
      </c>
      <c r="D78" s="109">
        <v>0.54032130864700001</v>
      </c>
      <c r="E78" s="107" t="s">
        <v>466</v>
      </c>
    </row>
    <row ht="15" r="79" spans="1:5" x14ac:dyDescent="0.25">
      <c r="A79" s="108">
        <v>320</v>
      </c>
      <c r="B79" s="108" t="s">
        <v>467</v>
      </c>
      <c r="C79" s="108" t="s">
        <v>321</v>
      </c>
      <c r="D79" s="109">
        <v>1.2225471973399999</v>
      </c>
      <c r="E79" s="107" t="s">
        <v>468</v>
      </c>
    </row>
    <row ht="15" r="80" spans="1:5" x14ac:dyDescent="0.25">
      <c r="A80" s="108">
        <v>321</v>
      </c>
      <c r="B80" s="108" t="s">
        <v>469</v>
      </c>
      <c r="C80" s="108" t="s">
        <v>321</v>
      </c>
      <c r="D80" s="109">
        <v>-0.66641066384699998</v>
      </c>
      <c r="E80" s="107" t="s">
        <v>470</v>
      </c>
    </row>
    <row ht="15" r="81" spans="1:5" x14ac:dyDescent="0.25">
      <c r="A81" s="108">
        <v>322</v>
      </c>
      <c r="B81" s="108" t="s">
        <v>471</v>
      </c>
      <c r="C81" s="108" t="s">
        <v>321</v>
      </c>
      <c r="D81" s="109">
        <v>-0.26227433626199997</v>
      </c>
      <c r="E81" s="107" t="s">
        <v>472</v>
      </c>
    </row>
    <row ht="15" r="82" spans="1:5" x14ac:dyDescent="0.25">
      <c r="A82" s="108">
        <v>323</v>
      </c>
      <c r="B82" s="108" t="s">
        <v>473</v>
      </c>
      <c r="C82" s="108" t="s">
        <v>321</v>
      </c>
      <c r="D82" s="109">
        <v>-0.32522027447700003</v>
      </c>
      <c r="E82" s="107" t="s">
        <v>474</v>
      </c>
    </row>
    <row ht="15" r="83" spans="1:5" x14ac:dyDescent="0.25">
      <c r="A83" s="108">
        <v>324</v>
      </c>
      <c r="B83" s="108" t="s">
        <v>475</v>
      </c>
      <c r="C83" s="108" t="s">
        <v>340</v>
      </c>
      <c r="D83" s="109">
        <v>0</v>
      </c>
      <c r="E83" s="107" t="s">
        <v>476</v>
      </c>
    </row>
    <row ht="15" r="84" spans="1:5" x14ac:dyDescent="0.25">
      <c r="A84" s="108">
        <v>325</v>
      </c>
      <c r="B84" s="108" t="s">
        <v>477</v>
      </c>
      <c r="C84" s="108" t="s">
        <v>340</v>
      </c>
      <c r="D84" s="109">
        <v>0</v>
      </c>
      <c r="E84" s="107" t="s">
        <v>478</v>
      </c>
    </row>
    <row ht="15" r="85" spans="1:5" x14ac:dyDescent="0.25">
      <c r="A85" s="108">
        <v>326</v>
      </c>
      <c r="B85" s="108" t="s">
        <v>479</v>
      </c>
      <c r="C85" s="108" t="s">
        <v>340</v>
      </c>
      <c r="D85" s="109">
        <v>0</v>
      </c>
      <c r="E85" s="107" t="s">
        <v>480</v>
      </c>
    </row>
    <row ht="15" r="86" spans="1:5" x14ac:dyDescent="0.25">
      <c r="A86" s="108">
        <v>327</v>
      </c>
      <c r="B86" s="108" t="s">
        <v>481</v>
      </c>
      <c r="C86" s="108" t="s">
        <v>340</v>
      </c>
      <c r="D86" s="109">
        <v>0</v>
      </c>
      <c r="E86" s="107" t="s">
        <v>482</v>
      </c>
    </row>
    <row ht="15" r="87" spans="1:5" x14ac:dyDescent="0.25">
      <c r="A87" s="108">
        <v>328</v>
      </c>
      <c r="B87" s="108" t="s">
        <v>483</v>
      </c>
      <c r="C87" s="108" t="s">
        <v>321</v>
      </c>
      <c r="D87" s="109">
        <v>3.4768357092199997E-2</v>
      </c>
      <c r="E87" s="107" t="s">
        <v>482</v>
      </c>
    </row>
    <row ht="15" r="88" spans="1:5" x14ac:dyDescent="0.25">
      <c r="A88" s="108">
        <v>329</v>
      </c>
      <c r="B88" s="108" t="s">
        <v>484</v>
      </c>
      <c r="C88" s="108" t="s">
        <v>321</v>
      </c>
      <c r="D88" s="109">
        <v>7.6268365288400003E-2</v>
      </c>
      <c r="E88" s="107" t="s">
        <v>482</v>
      </c>
    </row>
    <row ht="15" r="89" spans="1:5" x14ac:dyDescent="0.25">
      <c r="A89" s="108">
        <v>351</v>
      </c>
      <c r="B89" s="108" t="s">
        <v>485</v>
      </c>
      <c r="C89" s="108" t="s">
        <v>340</v>
      </c>
      <c r="D89" s="109">
        <v>0</v>
      </c>
      <c r="E89" s="107" t="s">
        <v>486</v>
      </c>
    </row>
    <row ht="15" r="90" spans="1:5" x14ac:dyDescent="0.25">
      <c r="A90" s="108">
        <v>400</v>
      </c>
      <c r="B90" s="108" t="s">
        <v>487</v>
      </c>
      <c r="C90" s="108" t="s">
        <v>321</v>
      </c>
      <c r="D90" s="113">
        <v>-2.3982761737499998</v>
      </c>
      <c r="E90" s="107" t="s">
        <v>488</v>
      </c>
    </row>
    <row ht="15" r="91" spans="1:5" x14ac:dyDescent="0.25">
      <c r="A91" s="108">
        <v>401</v>
      </c>
      <c r="B91" s="108" t="s">
        <v>489</v>
      </c>
      <c r="C91" s="108" t="s">
        <v>321</v>
      </c>
      <c r="D91" s="113">
        <v>1.76216764608</v>
      </c>
      <c r="E91" s="107" t="s">
        <v>490</v>
      </c>
    </row>
    <row ht="15" r="92" spans="1:5" x14ac:dyDescent="0.25">
      <c r="A92" s="108">
        <v>402</v>
      </c>
      <c r="B92" s="108" t="s">
        <v>491</v>
      </c>
      <c r="C92" s="108" t="s">
        <v>321</v>
      </c>
      <c r="D92" s="109">
        <v>0.19320373610399999</v>
      </c>
      <c r="E92" s="107" t="s">
        <v>492</v>
      </c>
    </row>
    <row ht="15" r="93" spans="1:5" x14ac:dyDescent="0.25">
      <c r="A93" s="108">
        <v>403</v>
      </c>
      <c r="B93" s="108" t="s">
        <v>493</v>
      </c>
      <c r="C93" s="108" t="s">
        <v>321</v>
      </c>
      <c r="D93" s="109">
        <v>0.52545543591999999</v>
      </c>
      <c r="E93" s="107" t="s">
        <v>494</v>
      </c>
    </row>
    <row ht="15" r="94" spans="1:5" x14ac:dyDescent="0.25">
      <c r="A94" s="108">
        <v>404</v>
      </c>
      <c r="B94" s="108" t="s">
        <v>495</v>
      </c>
      <c r="C94" s="108" t="s">
        <v>321</v>
      </c>
      <c r="D94" s="109">
        <v>0.41321074580299999</v>
      </c>
      <c r="E94" s="107" t="s">
        <v>496</v>
      </c>
    </row>
    <row ht="15" r="95" spans="1:5" x14ac:dyDescent="0.25">
      <c r="A95" s="108">
        <v>405</v>
      </c>
      <c r="B95" s="108" t="s">
        <v>497</v>
      </c>
      <c r="C95" s="108" t="s">
        <v>340</v>
      </c>
      <c r="D95" s="109">
        <v>0</v>
      </c>
      <c r="E95" s="107" t="s">
        <v>498</v>
      </c>
    </row>
    <row ht="15" r="96" spans="1:5" x14ac:dyDescent="0.25">
      <c r="A96" s="108">
        <v>406</v>
      </c>
      <c r="B96" s="108" t="s">
        <v>499</v>
      </c>
      <c r="C96" s="108" t="s">
        <v>321</v>
      </c>
      <c r="D96" s="109">
        <v>-0.28000928906599998</v>
      </c>
      <c r="E96" s="107" t="s">
        <v>500</v>
      </c>
    </row>
    <row ht="15" r="97" spans="1:5" x14ac:dyDescent="0.25">
      <c r="A97" s="108">
        <v>407</v>
      </c>
      <c r="B97" s="108" t="s">
        <v>501</v>
      </c>
      <c r="C97" s="108" t="s">
        <v>321</v>
      </c>
      <c r="D97" s="109">
        <v>-0.44484435744700002</v>
      </c>
      <c r="E97" s="107" t="s">
        <v>502</v>
      </c>
    </row>
    <row ht="15" r="98" spans="1:5" x14ac:dyDescent="0.25">
      <c r="A98" s="108">
        <v>408</v>
      </c>
      <c r="B98" s="108" t="s">
        <v>503</v>
      </c>
      <c r="C98" s="108" t="s">
        <v>321</v>
      </c>
      <c r="D98" s="109">
        <v>-0.56977797245299999</v>
      </c>
      <c r="E98" s="107" t="s">
        <v>504</v>
      </c>
    </row>
    <row ht="15" r="99" spans="1:5" x14ac:dyDescent="0.25">
      <c r="A99" s="108">
        <v>409</v>
      </c>
      <c r="B99" s="108" t="s">
        <v>505</v>
      </c>
      <c r="C99" s="108" t="s">
        <v>321</v>
      </c>
      <c r="D99" s="109">
        <v>-0.14054445235400001</v>
      </c>
      <c r="E99" s="107" t="s">
        <v>506</v>
      </c>
    </row>
    <row ht="15" r="100" spans="1:5" x14ac:dyDescent="0.25">
      <c r="A100" s="108">
        <v>410</v>
      </c>
      <c r="B100" s="108" t="s">
        <v>507</v>
      </c>
      <c r="C100" s="108" t="s">
        <v>340</v>
      </c>
      <c r="D100" s="109">
        <v>0</v>
      </c>
      <c r="E100" s="107" t="s">
        <v>508</v>
      </c>
    </row>
    <row ht="15" r="101" spans="1:5" x14ac:dyDescent="0.25">
      <c r="A101" s="108">
        <v>411</v>
      </c>
      <c r="B101" s="108" t="s">
        <v>509</v>
      </c>
      <c r="C101" s="108" t="s">
        <v>321</v>
      </c>
      <c r="D101" s="109">
        <v>0.115311648879</v>
      </c>
      <c r="E101" s="107" t="s">
        <v>510</v>
      </c>
    </row>
    <row ht="15" r="102" spans="1:5" x14ac:dyDescent="0.25">
      <c r="A102" s="108">
        <v>412</v>
      </c>
      <c r="B102" s="108" t="s">
        <v>511</v>
      </c>
      <c r="C102" s="108" t="s">
        <v>321</v>
      </c>
      <c r="D102" s="109">
        <v>9.47178749948E-2</v>
      </c>
      <c r="E102" s="107" t="s">
        <v>512</v>
      </c>
    </row>
    <row ht="15" r="103" spans="1:5" x14ac:dyDescent="0.25">
      <c r="A103" s="108">
        <v>413</v>
      </c>
      <c r="B103" s="108" t="s">
        <v>513</v>
      </c>
      <c r="C103" s="108" t="s">
        <v>321</v>
      </c>
      <c r="D103" s="109">
        <v>6.1244785304499998E-2</v>
      </c>
      <c r="E103" s="107" t="s">
        <v>514</v>
      </c>
    </row>
    <row ht="15" r="104" spans="1:5" x14ac:dyDescent="0.25">
      <c r="A104" s="108">
        <v>414</v>
      </c>
      <c r="B104" s="108" t="s">
        <v>515</v>
      </c>
      <c r="C104" s="108" t="s">
        <v>340</v>
      </c>
      <c r="D104" s="109">
        <v>0</v>
      </c>
      <c r="E104" s="107" t="s">
        <v>516</v>
      </c>
    </row>
    <row ht="15" r="105" spans="1:5" x14ac:dyDescent="0.25">
      <c r="A105" s="108"/>
      <c r="B105" s="108"/>
      <c r="C105" s="108"/>
      <c r="D105" s="109"/>
      <c r="E105" s="107" t="s">
        <v>517</v>
      </c>
    </row>
    <row ht="15" r="106" spans="1:5" x14ac:dyDescent="0.25">
      <c r="A106" s="108">
        <v>416</v>
      </c>
      <c r="B106" s="108" t="s">
        <v>518</v>
      </c>
      <c r="C106" s="108" t="s">
        <v>340</v>
      </c>
      <c r="D106" s="109">
        <v>0</v>
      </c>
      <c r="E106" s="107" t="s">
        <v>519</v>
      </c>
    </row>
    <row ht="15" r="107" spans="1:5" x14ac:dyDescent="0.25">
      <c r="A107" s="108">
        <v>417</v>
      </c>
      <c r="B107" s="108" t="s">
        <v>520</v>
      </c>
      <c r="C107" s="108" t="s">
        <v>321</v>
      </c>
      <c r="D107" s="109">
        <v>-0.40965813037100002</v>
      </c>
      <c r="E107" s="107" t="s">
        <v>521</v>
      </c>
    </row>
    <row ht="15" r="108" spans="1:5" x14ac:dyDescent="0.25">
      <c r="A108" s="108">
        <v>418</v>
      </c>
      <c r="B108" s="108" t="s">
        <v>522</v>
      </c>
      <c r="C108" s="108" t="s">
        <v>321</v>
      </c>
      <c r="D108" s="109">
        <v>-0.27272828309399999</v>
      </c>
      <c r="E108" s="107" t="s">
        <v>523</v>
      </c>
    </row>
    <row ht="15" r="109" spans="1:5" x14ac:dyDescent="0.25">
      <c r="A109" s="108">
        <v>419</v>
      </c>
      <c r="B109" s="108" t="s">
        <v>524</v>
      </c>
      <c r="C109" s="108" t="s">
        <v>340</v>
      </c>
      <c r="D109" s="109">
        <v>0</v>
      </c>
      <c r="E109" s="107" t="s">
        <v>525</v>
      </c>
    </row>
    <row ht="15" r="110" spans="1:5" x14ac:dyDescent="0.25">
      <c r="A110" s="108">
        <v>420</v>
      </c>
      <c r="B110" s="108" t="s">
        <v>526</v>
      </c>
      <c r="C110" s="108" t="s">
        <v>321</v>
      </c>
      <c r="D110" s="109">
        <v>-0.47043638995300002</v>
      </c>
      <c r="E110" s="107" t="s">
        <v>527</v>
      </c>
    </row>
    <row ht="15" r="111" spans="1:5" x14ac:dyDescent="0.25">
      <c r="A111" s="108">
        <v>421</v>
      </c>
      <c r="B111" s="108" t="s">
        <v>528</v>
      </c>
      <c r="C111" s="108" t="s">
        <v>321</v>
      </c>
      <c r="D111" s="109">
        <v>-0.37600681948100001</v>
      </c>
      <c r="E111" s="107" t="s">
        <v>529</v>
      </c>
    </row>
    <row ht="15" r="112" spans="1:5" x14ac:dyDescent="0.25">
      <c r="A112" s="108">
        <v>422</v>
      </c>
      <c r="B112" s="108" t="s">
        <v>530</v>
      </c>
      <c r="C112" s="108" t="s">
        <v>321</v>
      </c>
      <c r="D112" s="109">
        <v>-0.209864278569</v>
      </c>
      <c r="E112" s="107" t="s">
        <v>531</v>
      </c>
    </row>
    <row ht="15" r="113" spans="1:5" x14ac:dyDescent="0.25">
      <c r="A113" s="108">
        <v>423</v>
      </c>
      <c r="B113" s="108" t="s">
        <v>532</v>
      </c>
      <c r="C113" s="108" t="s">
        <v>321</v>
      </c>
      <c r="D113" s="109">
        <v>9.4396255009400007E-2</v>
      </c>
      <c r="E113" s="107" t="s">
        <v>533</v>
      </c>
    </row>
    <row ht="15" r="114" spans="1:5" x14ac:dyDescent="0.25">
      <c r="A114" s="108">
        <v>424</v>
      </c>
      <c r="B114" s="108" t="s">
        <v>534</v>
      </c>
      <c r="C114" s="108" t="s">
        <v>340</v>
      </c>
      <c r="D114" s="109">
        <v>0</v>
      </c>
      <c r="E114" s="107" t="s">
        <v>535</v>
      </c>
    </row>
    <row ht="15" r="115" spans="1:5" x14ac:dyDescent="0.25">
      <c r="A115" s="108">
        <v>425</v>
      </c>
      <c r="B115" s="108" t="s">
        <v>536</v>
      </c>
      <c r="C115" s="108" t="s">
        <v>340</v>
      </c>
      <c r="D115" s="109">
        <v>0</v>
      </c>
      <c r="E115" s="107" t="s">
        <v>537</v>
      </c>
    </row>
    <row ht="15" r="116" spans="1:5" x14ac:dyDescent="0.25">
      <c r="A116" s="108">
        <v>426</v>
      </c>
      <c r="B116" s="108" t="s">
        <v>538</v>
      </c>
      <c r="C116" s="108" t="s">
        <v>340</v>
      </c>
      <c r="D116" s="109">
        <v>0</v>
      </c>
      <c r="E116" s="107" t="s">
        <v>539</v>
      </c>
    </row>
    <row ht="15" r="117" spans="1:5" x14ac:dyDescent="0.25">
      <c r="A117" s="108">
        <v>427</v>
      </c>
      <c r="B117" s="108" t="s">
        <v>540</v>
      </c>
      <c r="C117" s="108" t="s">
        <v>340</v>
      </c>
      <c r="D117" s="109">
        <v>0</v>
      </c>
      <c r="E117" s="107" t="s">
        <v>541</v>
      </c>
    </row>
    <row ht="15" r="118" spans="1:5" x14ac:dyDescent="0.25">
      <c r="A118" s="108">
        <v>428</v>
      </c>
      <c r="B118" s="108" t="s">
        <v>542</v>
      </c>
      <c r="C118" s="108" t="s">
        <v>321</v>
      </c>
      <c r="D118" s="109">
        <v>1.73847560434E-2</v>
      </c>
      <c r="E118" s="107" t="s">
        <v>541</v>
      </c>
    </row>
    <row ht="15" r="119" spans="1:5" x14ac:dyDescent="0.25">
      <c r="A119" s="108">
        <v>429</v>
      </c>
      <c r="B119" s="108" t="s">
        <v>543</v>
      </c>
      <c r="C119" s="108" t="s">
        <v>321</v>
      </c>
      <c r="D119" s="109">
        <v>-5.59466962609E-2</v>
      </c>
      <c r="E119" s="107" t="s">
        <v>541</v>
      </c>
    </row>
    <row ht="15" r="120" spans="1:5" x14ac:dyDescent="0.25">
      <c r="A120" s="108">
        <v>451</v>
      </c>
      <c r="B120" s="108" t="s">
        <v>544</v>
      </c>
      <c r="C120" s="108" t="s">
        <v>340</v>
      </c>
      <c r="D120" s="109">
        <v>0</v>
      </c>
      <c r="E120" s="107" t="s">
        <v>545</v>
      </c>
    </row>
    <row ht="15" r="121" spans="1:5" x14ac:dyDescent="0.25">
      <c r="A121" s="108">
        <v>500</v>
      </c>
      <c r="B121" s="108" t="s">
        <v>546</v>
      </c>
      <c r="C121" s="108" t="s">
        <v>321</v>
      </c>
      <c r="D121" s="113">
        <v>-2.8894802391700001</v>
      </c>
      <c r="E121" s="107" t="s">
        <v>547</v>
      </c>
    </row>
    <row ht="15" r="122" spans="1:5" x14ac:dyDescent="0.25">
      <c r="A122" s="108">
        <v>501</v>
      </c>
      <c r="B122" s="108" t="s">
        <v>548</v>
      </c>
      <c r="C122" s="108" t="s">
        <v>321</v>
      </c>
      <c r="D122" s="113">
        <v>1.20019223739</v>
      </c>
      <c r="E122" s="107" t="s">
        <v>549</v>
      </c>
    </row>
    <row ht="15" r="123" spans="1:5" x14ac:dyDescent="0.25">
      <c r="A123" s="108">
        <v>502</v>
      </c>
      <c r="B123" s="108" t="s">
        <v>550</v>
      </c>
      <c r="C123" s="108" t="s">
        <v>321</v>
      </c>
      <c r="D123" s="109">
        <v>5.8380087117899999E-2</v>
      </c>
      <c r="E123" s="107" t="s">
        <v>551</v>
      </c>
    </row>
    <row ht="15" r="124" spans="1:5" x14ac:dyDescent="0.25">
      <c r="A124" s="108">
        <v>503</v>
      </c>
      <c r="B124" s="108" t="s">
        <v>552</v>
      </c>
      <c r="C124" s="108" t="s">
        <v>321</v>
      </c>
      <c r="D124" s="109">
        <v>0.203681069582</v>
      </c>
      <c r="E124" s="107" t="s">
        <v>553</v>
      </c>
    </row>
    <row ht="15" r="125" spans="1:5" x14ac:dyDescent="0.25">
      <c r="A125" s="108">
        <v>504</v>
      </c>
      <c r="B125" s="108" t="s">
        <v>554</v>
      </c>
      <c r="C125" s="108" t="s">
        <v>321</v>
      </c>
      <c r="D125" s="109">
        <v>0.46146093992800002</v>
      </c>
      <c r="E125" s="107" t="s">
        <v>555</v>
      </c>
    </row>
    <row ht="15" r="126" spans="1:5" x14ac:dyDescent="0.25">
      <c r="A126" s="108">
        <v>505</v>
      </c>
      <c r="B126" s="108" t="s">
        <v>556</v>
      </c>
      <c r="C126" s="108" t="s">
        <v>321</v>
      </c>
      <c r="D126" s="109">
        <v>0.221710710605</v>
      </c>
      <c r="E126" s="107" t="s">
        <v>557</v>
      </c>
    </row>
    <row ht="15" r="127" spans="1:5" x14ac:dyDescent="0.25">
      <c r="A127" s="108">
        <v>506</v>
      </c>
      <c r="B127" s="108" t="s">
        <v>558</v>
      </c>
      <c r="C127" s="108" t="s">
        <v>321</v>
      </c>
      <c r="D127" s="109">
        <v>-0.47361611325699998</v>
      </c>
      <c r="E127" s="107" t="s">
        <v>559</v>
      </c>
    </row>
    <row ht="15" r="128" spans="1:5" x14ac:dyDescent="0.25">
      <c r="A128" s="108">
        <v>507</v>
      </c>
      <c r="B128" s="108" t="s">
        <v>560</v>
      </c>
      <c r="C128" s="108" t="s">
        <v>321</v>
      </c>
      <c r="D128" s="109">
        <v>-0.55915518403499997</v>
      </c>
      <c r="E128" s="107" t="s">
        <v>561</v>
      </c>
    </row>
    <row ht="15" r="129" spans="1:5" x14ac:dyDescent="0.25">
      <c r="A129" s="108">
        <v>508</v>
      </c>
      <c r="B129" s="108" t="s">
        <v>562</v>
      </c>
      <c r="C129" s="108" t="s">
        <v>340</v>
      </c>
      <c r="D129" s="109">
        <v>0</v>
      </c>
      <c r="E129" s="107" t="s">
        <v>563</v>
      </c>
    </row>
    <row ht="15" r="130" spans="1:5" x14ac:dyDescent="0.25">
      <c r="A130" s="108">
        <v>509</v>
      </c>
      <c r="B130" s="108" t="s">
        <v>564</v>
      </c>
      <c r="C130" s="108" t="s">
        <v>321</v>
      </c>
      <c r="D130" s="109">
        <v>-0.17146619609700001</v>
      </c>
      <c r="E130" s="107" t="s">
        <v>565</v>
      </c>
    </row>
    <row ht="15" r="131" spans="1:5" x14ac:dyDescent="0.25">
      <c r="A131" s="108">
        <v>510</v>
      </c>
      <c r="B131" s="108" t="s">
        <v>566</v>
      </c>
      <c r="C131" s="108" t="s">
        <v>340</v>
      </c>
      <c r="D131" s="109">
        <v>0</v>
      </c>
      <c r="E131" s="107" t="s">
        <v>567</v>
      </c>
    </row>
    <row ht="15" r="132" spans="1:5" x14ac:dyDescent="0.25">
      <c r="A132" s="108">
        <v>511</v>
      </c>
      <c r="B132" s="108" t="s">
        <v>568</v>
      </c>
      <c r="C132" s="108" t="s">
        <v>340</v>
      </c>
      <c r="D132" s="109">
        <v>0</v>
      </c>
      <c r="E132" s="107" t="s">
        <v>569</v>
      </c>
    </row>
    <row ht="15" r="133" spans="1:5" x14ac:dyDescent="0.25">
      <c r="A133" s="108">
        <v>512</v>
      </c>
      <c r="B133" s="108" t="s">
        <v>570</v>
      </c>
      <c r="C133" s="108" t="s">
        <v>321</v>
      </c>
      <c r="D133" s="109">
        <v>0.107493865359</v>
      </c>
      <c r="E133" s="107" t="s">
        <v>571</v>
      </c>
    </row>
    <row ht="15" r="134" spans="1:5" x14ac:dyDescent="0.25">
      <c r="A134" s="108">
        <v>513</v>
      </c>
      <c r="B134" s="108" t="s">
        <v>572</v>
      </c>
      <c r="C134" s="108" t="s">
        <v>321</v>
      </c>
      <c r="D134" s="109">
        <v>0.26453943645099998</v>
      </c>
      <c r="E134" s="107" t="s">
        <v>573</v>
      </c>
    </row>
    <row ht="15" r="135" spans="1:5" x14ac:dyDescent="0.25">
      <c r="A135" s="108">
        <v>514</v>
      </c>
      <c r="B135" s="108" t="s">
        <v>574</v>
      </c>
      <c r="C135" s="108" t="s">
        <v>340</v>
      </c>
      <c r="D135" s="109">
        <v>0</v>
      </c>
      <c r="E135" s="107" t="s">
        <v>575</v>
      </c>
    </row>
    <row ht="15" r="136" spans="1:5" x14ac:dyDescent="0.25">
      <c r="A136" s="108"/>
      <c r="B136" s="108"/>
      <c r="C136" s="108"/>
      <c r="D136" s="109"/>
      <c r="E136" s="107" t="s">
        <v>576</v>
      </c>
    </row>
    <row ht="15" r="137" spans="1:5" x14ac:dyDescent="0.25">
      <c r="A137" s="108">
        <v>516</v>
      </c>
      <c r="B137" s="108" t="s">
        <v>577</v>
      </c>
      <c r="C137" s="108" t="s">
        <v>321</v>
      </c>
      <c r="D137" s="109">
        <v>0.17106021717600001</v>
      </c>
      <c r="E137" s="107" t="s">
        <v>578</v>
      </c>
    </row>
    <row ht="15" r="138" spans="1:5" x14ac:dyDescent="0.25">
      <c r="A138" s="108">
        <v>517</v>
      </c>
      <c r="B138" s="108" t="s">
        <v>579</v>
      </c>
      <c r="C138" s="108" t="s">
        <v>340</v>
      </c>
      <c r="D138" s="109">
        <v>0</v>
      </c>
      <c r="E138" s="107" t="s">
        <v>580</v>
      </c>
    </row>
    <row ht="15" r="139" spans="1:5" x14ac:dyDescent="0.25">
      <c r="A139" s="108">
        <v>518</v>
      </c>
      <c r="B139" s="108" t="s">
        <v>581</v>
      </c>
      <c r="C139" s="108" t="s">
        <v>340</v>
      </c>
      <c r="D139" s="109">
        <v>0</v>
      </c>
      <c r="E139" s="107" t="s">
        <v>582</v>
      </c>
    </row>
    <row ht="15" r="140" spans="1:5" x14ac:dyDescent="0.25">
      <c r="A140" s="108">
        <v>519</v>
      </c>
      <c r="B140" s="108" t="s">
        <v>583</v>
      </c>
      <c r="C140" s="108" t="s">
        <v>321</v>
      </c>
      <c r="D140" s="109">
        <v>-0.35204692353900002</v>
      </c>
      <c r="E140" s="107" t="s">
        <v>584</v>
      </c>
    </row>
    <row ht="15" r="141" spans="1:5" x14ac:dyDescent="0.25">
      <c r="A141" s="108">
        <v>520</v>
      </c>
      <c r="B141" s="108" t="s">
        <v>585</v>
      </c>
      <c r="C141" s="108" t="s">
        <v>340</v>
      </c>
      <c r="D141" s="109">
        <v>0</v>
      </c>
      <c r="E141" s="107" t="s">
        <v>586</v>
      </c>
    </row>
    <row ht="15" r="142" spans="1:5" x14ac:dyDescent="0.25">
      <c r="A142" s="108">
        <v>521</v>
      </c>
      <c r="B142" s="108" t="s">
        <v>587</v>
      </c>
      <c r="C142" s="108" t="s">
        <v>321</v>
      </c>
      <c r="D142" s="109">
        <v>-0.30791030020900001</v>
      </c>
      <c r="E142" s="107" t="s">
        <v>588</v>
      </c>
    </row>
    <row ht="15" r="143" spans="1:5" x14ac:dyDescent="0.25">
      <c r="A143" s="108">
        <v>522</v>
      </c>
      <c r="B143" s="108" t="s">
        <v>589</v>
      </c>
      <c r="C143" s="108" t="s">
        <v>321</v>
      </c>
      <c r="D143" s="109">
        <v>-0.29888855118699997</v>
      </c>
      <c r="E143" s="107" t="s">
        <v>590</v>
      </c>
    </row>
    <row ht="15" r="144" spans="1:5" x14ac:dyDescent="0.25">
      <c r="A144" s="108">
        <v>523</v>
      </c>
      <c r="B144" s="108" t="s">
        <v>591</v>
      </c>
      <c r="C144" s="108" t="s">
        <v>321</v>
      </c>
      <c r="D144" s="109">
        <v>8.0266289956400005E-2</v>
      </c>
      <c r="E144" s="107" t="s">
        <v>592</v>
      </c>
    </row>
    <row ht="15" r="145" spans="1:5" x14ac:dyDescent="0.25">
      <c r="A145" s="108">
        <v>524</v>
      </c>
      <c r="B145" s="108" t="s">
        <v>593</v>
      </c>
      <c r="C145" s="108" t="s">
        <v>340</v>
      </c>
      <c r="D145" s="109">
        <v>0</v>
      </c>
      <c r="E145" s="107" t="s">
        <v>594</v>
      </c>
    </row>
    <row ht="15" r="146" spans="1:5" x14ac:dyDescent="0.25">
      <c r="A146" s="108">
        <v>525</v>
      </c>
      <c r="B146" s="108" t="s">
        <v>595</v>
      </c>
      <c r="C146" s="108" t="s">
        <v>340</v>
      </c>
      <c r="D146" s="109">
        <v>0</v>
      </c>
      <c r="E146" s="107" t="s">
        <v>596</v>
      </c>
    </row>
    <row ht="15" r="147" spans="1:5" x14ac:dyDescent="0.25">
      <c r="A147" s="108">
        <v>526</v>
      </c>
      <c r="B147" s="108" t="s">
        <v>597</v>
      </c>
      <c r="C147" s="108" t="s">
        <v>340</v>
      </c>
      <c r="D147" s="109">
        <v>0</v>
      </c>
      <c r="E147" s="107" t="s">
        <v>598</v>
      </c>
    </row>
    <row ht="15" r="148" spans="1:5" x14ac:dyDescent="0.25">
      <c r="A148" s="108">
        <v>527</v>
      </c>
      <c r="B148" s="108" t="s">
        <v>599</v>
      </c>
      <c r="C148" s="108" t="s">
        <v>340</v>
      </c>
      <c r="D148" s="109">
        <v>0</v>
      </c>
      <c r="E148" s="107" t="s">
        <v>600</v>
      </c>
    </row>
    <row ht="15" r="149" spans="1:5" x14ac:dyDescent="0.25">
      <c r="A149" s="108">
        <v>528</v>
      </c>
      <c r="B149" s="108" t="s">
        <v>601</v>
      </c>
      <c r="C149" s="108" t="s">
        <v>321</v>
      </c>
      <c r="D149" s="109">
        <v>5.4115472884499999E-2</v>
      </c>
      <c r="E149" s="107" t="s">
        <v>600</v>
      </c>
    </row>
    <row ht="15" r="150" spans="1:5" x14ac:dyDescent="0.25">
      <c r="A150" s="108">
        <v>529</v>
      </c>
      <c r="B150" s="108" t="s">
        <v>602</v>
      </c>
      <c r="C150" s="108" t="s">
        <v>321</v>
      </c>
      <c r="D150" s="109">
        <v>-2.8648428481899999E-2</v>
      </c>
      <c r="E150" s="107" t="s">
        <v>600</v>
      </c>
    </row>
    <row ht="15" r="151" spans="1:5" x14ac:dyDescent="0.25">
      <c r="A151" s="108">
        <v>551</v>
      </c>
      <c r="B151" s="108" t="s">
        <v>603</v>
      </c>
      <c r="C151" s="108" t="s">
        <v>340</v>
      </c>
      <c r="D151" s="109">
        <v>0</v>
      </c>
      <c r="E151" s="107" t="s">
        <v>604</v>
      </c>
    </row>
    <row ht="15" r="152" spans="1:5" x14ac:dyDescent="0.25">
      <c r="A152" s="108">
        <v>600</v>
      </c>
      <c r="B152" s="108" t="s">
        <v>605</v>
      </c>
      <c r="C152" s="108" t="s">
        <v>321</v>
      </c>
      <c r="D152" s="113">
        <v>-3.1425534854400001</v>
      </c>
      <c r="E152" s="107" t="s">
        <v>606</v>
      </c>
    </row>
    <row ht="15" r="153" spans="1:5" x14ac:dyDescent="0.25">
      <c r="A153" s="108">
        <v>601</v>
      </c>
      <c r="B153" s="108" t="s">
        <v>607</v>
      </c>
      <c r="C153" s="108" t="s">
        <v>321</v>
      </c>
      <c r="D153" s="113">
        <v>0.46830660861500001</v>
      </c>
      <c r="E153" s="107" t="s">
        <v>608</v>
      </c>
    </row>
    <row ht="15" r="154" spans="1:5" x14ac:dyDescent="0.25">
      <c r="A154" s="108">
        <v>602</v>
      </c>
      <c r="B154" s="108" t="s">
        <v>609</v>
      </c>
      <c r="C154" s="108" t="s">
        <v>321</v>
      </c>
      <c r="D154" s="109">
        <v>-0.25863723025500002</v>
      </c>
      <c r="E154" s="107" t="s">
        <v>610</v>
      </c>
    </row>
    <row ht="15" r="155" spans="1:5" x14ac:dyDescent="0.25">
      <c r="A155" s="108">
        <v>603</v>
      </c>
      <c r="B155" s="108" t="s">
        <v>611</v>
      </c>
      <c r="C155" s="108" t="s">
        <v>340</v>
      </c>
      <c r="D155" s="109">
        <v>0</v>
      </c>
      <c r="E155" s="107" t="s">
        <v>612</v>
      </c>
    </row>
    <row ht="15" r="156" spans="1:5" x14ac:dyDescent="0.25">
      <c r="A156" s="108">
        <v>604</v>
      </c>
      <c r="B156" s="108" t="s">
        <v>613</v>
      </c>
      <c r="C156" s="108" t="s">
        <v>340</v>
      </c>
      <c r="D156" s="109">
        <v>0</v>
      </c>
      <c r="E156" s="107" t="s">
        <v>614</v>
      </c>
    </row>
    <row ht="15" r="157" spans="1:5" x14ac:dyDescent="0.25">
      <c r="A157" s="108">
        <v>605</v>
      </c>
      <c r="B157" s="108" t="s">
        <v>615</v>
      </c>
      <c r="C157" s="108" t="s">
        <v>340</v>
      </c>
      <c r="D157" s="109">
        <v>0</v>
      </c>
      <c r="E157" s="107" t="s">
        <v>616</v>
      </c>
    </row>
    <row ht="15" r="158" spans="1:5" x14ac:dyDescent="0.25">
      <c r="A158" s="108">
        <v>606</v>
      </c>
      <c r="B158" s="108" t="s">
        <v>617</v>
      </c>
      <c r="C158" s="108" t="s">
        <v>321</v>
      </c>
      <c r="D158" s="109">
        <v>-0.43185728271200002</v>
      </c>
      <c r="E158" s="107" t="s">
        <v>618</v>
      </c>
    </row>
    <row ht="15" r="159" spans="1:5" x14ac:dyDescent="0.25">
      <c r="A159" s="108">
        <v>607</v>
      </c>
      <c r="B159" s="108" t="s">
        <v>619</v>
      </c>
      <c r="C159" s="108" t="s">
        <v>321</v>
      </c>
      <c r="D159" s="109">
        <v>-0.761624854909</v>
      </c>
      <c r="E159" s="107" t="s">
        <v>620</v>
      </c>
    </row>
    <row ht="15" r="160" spans="1:5" x14ac:dyDescent="0.25">
      <c r="A160" s="108">
        <v>608</v>
      </c>
      <c r="B160" s="108" t="s">
        <v>621</v>
      </c>
      <c r="C160" s="108" t="s">
        <v>321</v>
      </c>
      <c r="D160" s="109">
        <v>-0.333105150643</v>
      </c>
      <c r="E160" s="107" t="s">
        <v>622</v>
      </c>
    </row>
    <row ht="15" r="161" spans="1:5" x14ac:dyDescent="0.25">
      <c r="A161" s="108">
        <v>609</v>
      </c>
      <c r="B161" s="108" t="s">
        <v>623</v>
      </c>
      <c r="C161" s="108" t="s">
        <v>321</v>
      </c>
      <c r="D161" s="109">
        <v>-0.13926104036799999</v>
      </c>
      <c r="E161" s="107" t="s">
        <v>624</v>
      </c>
    </row>
    <row ht="15" r="162" spans="1:5" x14ac:dyDescent="0.25">
      <c r="A162" s="108">
        <v>610</v>
      </c>
      <c r="B162" s="108" t="s">
        <v>625</v>
      </c>
      <c r="C162" s="108" t="s">
        <v>321</v>
      </c>
      <c r="D162" s="109">
        <v>-0.138284140981</v>
      </c>
      <c r="E162" s="107" t="s">
        <v>626</v>
      </c>
    </row>
    <row ht="15" r="163" spans="1:5" x14ac:dyDescent="0.25">
      <c r="A163" s="108">
        <v>611</v>
      </c>
      <c r="B163" s="108" t="s">
        <v>627</v>
      </c>
      <c r="C163" s="108" t="s">
        <v>340</v>
      </c>
      <c r="D163" s="109">
        <v>0</v>
      </c>
      <c r="E163" s="107" t="s">
        <v>628</v>
      </c>
    </row>
    <row ht="15" r="164" spans="1:5" x14ac:dyDescent="0.25">
      <c r="A164" s="108">
        <v>612</v>
      </c>
      <c r="B164" s="108" t="s">
        <v>629</v>
      </c>
      <c r="C164" s="108" t="s">
        <v>321</v>
      </c>
      <c r="D164" s="109">
        <v>0.113283156875</v>
      </c>
      <c r="E164" s="107" t="s">
        <v>630</v>
      </c>
    </row>
    <row ht="15" r="165" spans="1:5" x14ac:dyDescent="0.25">
      <c r="A165" s="108">
        <v>613</v>
      </c>
      <c r="B165" s="108" t="s">
        <v>631</v>
      </c>
      <c r="C165" s="108" t="s">
        <v>340</v>
      </c>
      <c r="D165" s="109">
        <v>0</v>
      </c>
      <c r="E165" s="107" t="s">
        <v>632</v>
      </c>
    </row>
    <row ht="15" r="166" spans="1:5" x14ac:dyDescent="0.25">
      <c r="A166" s="108">
        <v>614</v>
      </c>
      <c r="B166" s="108" t="s">
        <v>633</v>
      </c>
      <c r="C166" s="108" t="s">
        <v>340</v>
      </c>
      <c r="D166" s="109">
        <v>0</v>
      </c>
      <c r="E166" s="107" t="s">
        <v>634</v>
      </c>
    </row>
    <row ht="15" r="167" spans="1:5" x14ac:dyDescent="0.25">
      <c r="A167" s="108"/>
      <c r="B167" s="108"/>
      <c r="C167" s="108"/>
      <c r="D167" s="109"/>
      <c r="E167" s="107" t="s">
        <v>635</v>
      </c>
    </row>
    <row ht="15" r="168" spans="1:5" x14ac:dyDescent="0.25">
      <c r="A168" s="108">
        <v>616</v>
      </c>
      <c r="B168" s="108" t="s">
        <v>636</v>
      </c>
      <c r="C168" s="108" t="s">
        <v>321</v>
      </c>
      <c r="D168" s="109">
        <v>-0.14819313325899999</v>
      </c>
      <c r="E168" s="107" t="s">
        <v>637</v>
      </c>
    </row>
    <row ht="15" r="169" spans="1:5" x14ac:dyDescent="0.25">
      <c r="A169" s="108">
        <v>617</v>
      </c>
      <c r="B169" s="108" t="s">
        <v>638</v>
      </c>
      <c r="C169" s="108" t="s">
        <v>340</v>
      </c>
      <c r="D169" s="109">
        <v>0</v>
      </c>
      <c r="E169" s="107" t="s">
        <v>639</v>
      </c>
    </row>
    <row ht="15" r="170" spans="1:5" x14ac:dyDescent="0.25">
      <c r="A170" s="108">
        <v>618</v>
      </c>
      <c r="B170" s="108" t="s">
        <v>640</v>
      </c>
      <c r="C170" s="108" t="s">
        <v>321</v>
      </c>
      <c r="D170" s="109">
        <v>-0.77235565857900002</v>
      </c>
      <c r="E170" s="107" t="s">
        <v>641</v>
      </c>
    </row>
    <row ht="15" r="171" spans="1:5" x14ac:dyDescent="0.25">
      <c r="A171" s="108">
        <v>619</v>
      </c>
      <c r="B171" s="108" t="s">
        <v>642</v>
      </c>
      <c r="C171" s="108" t="s">
        <v>340</v>
      </c>
      <c r="D171" s="109">
        <v>0</v>
      </c>
      <c r="E171" s="107" t="s">
        <v>643</v>
      </c>
    </row>
    <row ht="15" r="172" spans="1:5" x14ac:dyDescent="0.25">
      <c r="A172" s="108">
        <v>620</v>
      </c>
      <c r="B172" s="108" t="s">
        <v>644</v>
      </c>
      <c r="C172" s="108" t="s">
        <v>321</v>
      </c>
      <c r="D172" s="109">
        <v>-0.52846389883400002</v>
      </c>
      <c r="E172" s="107" t="s">
        <v>645</v>
      </c>
    </row>
    <row ht="15" r="173" spans="1:5" x14ac:dyDescent="0.25">
      <c r="A173" s="108">
        <v>621</v>
      </c>
      <c r="B173" s="108" t="s">
        <v>646</v>
      </c>
      <c r="C173" s="108" t="s">
        <v>340</v>
      </c>
      <c r="D173" s="109">
        <v>0</v>
      </c>
      <c r="E173" s="107" t="s">
        <v>647</v>
      </c>
    </row>
    <row ht="15" r="174" spans="1:5" x14ac:dyDescent="0.25">
      <c r="A174" s="108">
        <v>622</v>
      </c>
      <c r="B174" s="108" t="s">
        <v>648</v>
      </c>
      <c r="C174" s="108" t="s">
        <v>340</v>
      </c>
      <c r="D174" s="109">
        <v>0</v>
      </c>
      <c r="E174" s="107" t="s">
        <v>649</v>
      </c>
    </row>
    <row ht="15" r="175" spans="1:5" x14ac:dyDescent="0.25">
      <c r="A175" s="108">
        <v>623</v>
      </c>
      <c r="B175" s="108" t="s">
        <v>650</v>
      </c>
      <c r="C175" s="108" t="s">
        <v>340</v>
      </c>
      <c r="D175" s="109">
        <v>0</v>
      </c>
      <c r="E175" s="107" t="s">
        <v>651</v>
      </c>
    </row>
    <row ht="15" r="176" spans="1:5" x14ac:dyDescent="0.25">
      <c r="A176" s="108">
        <v>624</v>
      </c>
      <c r="B176" s="108" t="s">
        <v>652</v>
      </c>
      <c r="C176" s="108" t="s">
        <v>340</v>
      </c>
      <c r="D176" s="109">
        <v>0</v>
      </c>
      <c r="E176" s="107" t="s">
        <v>653</v>
      </c>
    </row>
    <row ht="15" r="177" spans="1:5" x14ac:dyDescent="0.25">
      <c r="A177" s="108">
        <v>625</v>
      </c>
      <c r="B177" s="108" t="s">
        <v>654</v>
      </c>
      <c r="C177" s="108" t="s">
        <v>340</v>
      </c>
      <c r="D177" s="109">
        <v>0</v>
      </c>
      <c r="E177" s="107" t="s">
        <v>655</v>
      </c>
    </row>
    <row ht="15" r="178" spans="1:5" x14ac:dyDescent="0.25">
      <c r="A178" s="108">
        <v>626</v>
      </c>
      <c r="B178" s="108" t="s">
        <v>656</v>
      </c>
      <c r="C178" s="108" t="s">
        <v>340</v>
      </c>
      <c r="D178" s="109">
        <v>0</v>
      </c>
      <c r="E178" s="107" t="s">
        <v>657</v>
      </c>
    </row>
    <row ht="15" r="179" spans="1:5" x14ac:dyDescent="0.25">
      <c r="A179" s="108">
        <v>627</v>
      </c>
      <c r="B179" s="108" t="s">
        <v>658</v>
      </c>
      <c r="C179" s="108" t="s">
        <v>340</v>
      </c>
      <c r="D179" s="109">
        <v>0</v>
      </c>
      <c r="E179" s="107" t="s">
        <v>659</v>
      </c>
    </row>
    <row ht="15" r="180" spans="1:5" x14ac:dyDescent="0.25">
      <c r="A180" s="108">
        <v>628</v>
      </c>
      <c r="B180" s="108" t="s">
        <v>660</v>
      </c>
      <c r="C180" s="108" t="s">
        <v>321</v>
      </c>
      <c r="D180" s="109">
        <v>1.67714133211E-2</v>
      </c>
      <c r="E180" s="107" t="s">
        <v>659</v>
      </c>
    </row>
    <row ht="15" r="181" spans="1:5" x14ac:dyDescent="0.25">
      <c r="A181" s="108">
        <v>629</v>
      </c>
      <c r="B181" s="108" t="s">
        <v>661</v>
      </c>
      <c r="C181" s="108" t="s">
        <v>321</v>
      </c>
      <c r="D181" s="109">
        <v>-5.7462042074900001E-2</v>
      </c>
      <c r="E181" s="107" t="s">
        <v>659</v>
      </c>
    </row>
    <row ht="15" r="182" spans="1:5" x14ac:dyDescent="0.25">
      <c r="A182" s="108">
        <v>651</v>
      </c>
      <c r="B182" s="108" t="s">
        <v>662</v>
      </c>
      <c r="C182" s="108" t="s">
        <v>340</v>
      </c>
      <c r="D182" s="109">
        <v>0</v>
      </c>
      <c r="E182" s="107" t="s">
        <v>663</v>
      </c>
    </row>
    <row ht="15" r="183" spans="1:5" x14ac:dyDescent="0.25">
      <c r="A183" s="108">
        <v>700</v>
      </c>
      <c r="B183" s="108" t="s">
        <v>664</v>
      </c>
      <c r="C183" s="108" t="s">
        <v>321</v>
      </c>
      <c r="D183" s="113">
        <v>-2.2957108102200001</v>
      </c>
      <c r="E183" s="107" t="s">
        <v>665</v>
      </c>
    </row>
    <row ht="15" r="184" spans="1:5" x14ac:dyDescent="0.25">
      <c r="A184" s="108">
        <v>701</v>
      </c>
      <c r="B184" s="108" t="s">
        <v>666</v>
      </c>
      <c r="C184" s="108" t="s">
        <v>321</v>
      </c>
      <c r="D184" s="113">
        <v>1.0435208703700001</v>
      </c>
      <c r="E184" s="107" t="s">
        <v>667</v>
      </c>
    </row>
    <row ht="15" r="185" spans="1:5" x14ac:dyDescent="0.25">
      <c r="A185" s="108">
        <v>702</v>
      </c>
      <c r="B185" s="108" t="s">
        <v>668</v>
      </c>
      <c r="C185" s="108" t="s">
        <v>340</v>
      </c>
      <c r="D185" s="109">
        <v>0</v>
      </c>
      <c r="E185" s="107" t="s">
        <v>669</v>
      </c>
    </row>
    <row ht="15" r="186" spans="1:5" x14ac:dyDescent="0.25">
      <c r="A186" s="108">
        <v>703</v>
      </c>
      <c r="B186" s="108" t="s">
        <v>670</v>
      </c>
      <c r="C186" s="108" t="s">
        <v>340</v>
      </c>
      <c r="D186" s="109">
        <v>0</v>
      </c>
      <c r="E186" s="107" t="s">
        <v>671</v>
      </c>
    </row>
    <row ht="15" r="187" spans="1:5" x14ac:dyDescent="0.25">
      <c r="A187" s="108">
        <v>704</v>
      </c>
      <c r="B187" s="108" t="s">
        <v>672</v>
      </c>
      <c r="C187" s="108" t="s">
        <v>340</v>
      </c>
      <c r="D187" s="109">
        <v>0</v>
      </c>
      <c r="E187" s="107" t="s">
        <v>673</v>
      </c>
    </row>
    <row ht="15" r="188" spans="1:5" x14ac:dyDescent="0.25">
      <c r="A188" s="108">
        <v>705</v>
      </c>
      <c r="B188" s="108" t="s">
        <v>674</v>
      </c>
      <c r="C188" s="108" t="s">
        <v>340</v>
      </c>
      <c r="D188" s="109">
        <v>0</v>
      </c>
      <c r="E188" s="107" t="s">
        <v>675</v>
      </c>
    </row>
    <row ht="15" r="189" spans="1:5" x14ac:dyDescent="0.25">
      <c r="A189" s="108">
        <v>706</v>
      </c>
      <c r="B189" s="108" t="s">
        <v>676</v>
      </c>
      <c r="C189" s="108" t="s">
        <v>340</v>
      </c>
      <c r="D189" s="109">
        <v>0</v>
      </c>
      <c r="E189" s="107" t="s">
        <v>677</v>
      </c>
    </row>
    <row ht="15" r="190" spans="1:5" x14ac:dyDescent="0.25">
      <c r="A190" s="108">
        <v>707</v>
      </c>
      <c r="B190" s="108" t="s">
        <v>678</v>
      </c>
      <c r="C190" s="108" t="s">
        <v>321</v>
      </c>
      <c r="D190" s="109">
        <v>0.32823377068999998</v>
      </c>
      <c r="E190" s="107" t="s">
        <v>679</v>
      </c>
    </row>
    <row ht="15" r="191" spans="1:5" x14ac:dyDescent="0.25">
      <c r="A191" s="108">
        <v>708</v>
      </c>
      <c r="B191" s="108" t="s">
        <v>680</v>
      </c>
      <c r="C191" s="108" t="s">
        <v>321</v>
      </c>
      <c r="D191" s="109">
        <v>0.35139233343499998</v>
      </c>
      <c r="E191" s="107" t="s">
        <v>681</v>
      </c>
    </row>
    <row ht="15" r="192" spans="1:5" x14ac:dyDescent="0.25">
      <c r="A192" s="108">
        <v>709</v>
      </c>
      <c r="B192" s="108" t="s">
        <v>682</v>
      </c>
      <c r="C192" s="108" t="s">
        <v>321</v>
      </c>
      <c r="D192" s="109">
        <v>-0.32863919348999998</v>
      </c>
      <c r="E192" s="107" t="s">
        <v>683</v>
      </c>
    </row>
    <row ht="15" r="193" spans="1:5" x14ac:dyDescent="0.25">
      <c r="A193" s="108">
        <v>710</v>
      </c>
      <c r="B193" s="108" t="s">
        <v>684</v>
      </c>
      <c r="C193" s="108" t="s">
        <v>321</v>
      </c>
      <c r="D193" s="109">
        <v>-0.20972042282600001</v>
      </c>
      <c r="E193" s="107" t="s">
        <v>685</v>
      </c>
    </row>
    <row ht="15" r="194" spans="1:5" x14ac:dyDescent="0.25">
      <c r="A194" s="108">
        <v>711</v>
      </c>
      <c r="B194" s="108" t="s">
        <v>686</v>
      </c>
      <c r="C194" s="108" t="s">
        <v>321</v>
      </c>
      <c r="D194" s="109">
        <v>0.228834456336</v>
      </c>
      <c r="E194" s="107" t="s">
        <v>687</v>
      </c>
    </row>
    <row ht="15" r="195" spans="1:5" x14ac:dyDescent="0.25">
      <c r="A195" s="108">
        <v>712</v>
      </c>
      <c r="B195" s="108" t="s">
        <v>688</v>
      </c>
      <c r="C195" s="108" t="s">
        <v>321</v>
      </c>
      <c r="D195" s="109">
        <v>8.8648559868700003E-2</v>
      </c>
      <c r="E195" s="107" t="s">
        <v>689</v>
      </c>
    </row>
    <row ht="15" r="196" spans="1:5" x14ac:dyDescent="0.25">
      <c r="A196" s="108">
        <v>713</v>
      </c>
      <c r="B196" s="108" t="s">
        <v>690</v>
      </c>
      <c r="C196" s="108" t="s">
        <v>321</v>
      </c>
      <c r="D196" s="109">
        <v>6.1717359063299997E-2</v>
      </c>
      <c r="E196" s="107" t="s">
        <v>691</v>
      </c>
    </row>
    <row ht="15" r="197" spans="1:5" x14ac:dyDescent="0.25">
      <c r="A197" s="108">
        <v>714</v>
      </c>
      <c r="B197" s="108" t="s">
        <v>692</v>
      </c>
      <c r="C197" s="108" t="s">
        <v>340</v>
      </c>
      <c r="D197" s="109">
        <v>0</v>
      </c>
      <c r="E197" s="107" t="s">
        <v>693</v>
      </c>
    </row>
    <row ht="15" r="198" spans="1:5" x14ac:dyDescent="0.25">
      <c r="A198" s="108"/>
      <c r="B198" s="108"/>
      <c r="C198" s="108"/>
      <c r="D198" s="109"/>
      <c r="E198" s="107" t="s">
        <v>694</v>
      </c>
    </row>
    <row ht="15" r="199" spans="1:5" x14ac:dyDescent="0.25">
      <c r="A199" s="108">
        <v>716</v>
      </c>
      <c r="B199" s="108" t="s">
        <v>695</v>
      </c>
      <c r="C199" s="108" t="s">
        <v>340</v>
      </c>
      <c r="D199" s="109">
        <v>0</v>
      </c>
      <c r="E199" s="107" t="s">
        <v>696</v>
      </c>
    </row>
    <row ht="15" r="200" spans="1:5" x14ac:dyDescent="0.25">
      <c r="A200" s="108">
        <v>717</v>
      </c>
      <c r="B200" s="108" t="s">
        <v>697</v>
      </c>
      <c r="C200" s="108" t="s">
        <v>340</v>
      </c>
      <c r="D200" s="109">
        <v>0</v>
      </c>
      <c r="E200" s="107" t="s">
        <v>698</v>
      </c>
    </row>
    <row ht="15" r="201" spans="1:5" x14ac:dyDescent="0.25">
      <c r="A201" s="108">
        <v>718</v>
      </c>
      <c r="B201" s="108" t="s">
        <v>699</v>
      </c>
      <c r="C201" s="108" t="s">
        <v>321</v>
      </c>
      <c r="D201" s="109">
        <v>-0.34857981358700002</v>
      </c>
      <c r="E201" s="107" t="s">
        <v>700</v>
      </c>
    </row>
    <row ht="15" r="202" spans="1:5" x14ac:dyDescent="0.25">
      <c r="A202" s="108">
        <v>719</v>
      </c>
      <c r="B202" s="108" t="s">
        <v>701</v>
      </c>
      <c r="C202" s="108" t="s">
        <v>340</v>
      </c>
      <c r="D202" s="109">
        <v>0</v>
      </c>
      <c r="E202" s="107" t="s">
        <v>702</v>
      </c>
    </row>
    <row ht="15" r="203" spans="1:5" x14ac:dyDescent="0.25">
      <c r="A203" s="108">
        <v>720</v>
      </c>
      <c r="B203" s="108" t="s">
        <v>703</v>
      </c>
      <c r="C203" s="108" t="s">
        <v>321</v>
      </c>
      <c r="D203" s="109">
        <v>-0.37096408844599998</v>
      </c>
      <c r="E203" s="107" t="s">
        <v>704</v>
      </c>
    </row>
    <row ht="15" r="204" spans="1:5" x14ac:dyDescent="0.25">
      <c r="A204" s="108">
        <v>721</v>
      </c>
      <c r="B204" s="108" t="s">
        <v>705</v>
      </c>
      <c r="C204" s="108" t="s">
        <v>340</v>
      </c>
      <c r="D204" s="109">
        <v>0</v>
      </c>
      <c r="E204" s="107" t="s">
        <v>706</v>
      </c>
    </row>
    <row ht="15" r="205" spans="1:5" x14ac:dyDescent="0.25">
      <c r="A205" s="108">
        <v>722</v>
      </c>
      <c r="B205" s="108" t="s">
        <v>707</v>
      </c>
      <c r="C205" s="108" t="s">
        <v>340</v>
      </c>
      <c r="D205" s="109">
        <v>0</v>
      </c>
      <c r="E205" s="107" t="s">
        <v>708</v>
      </c>
    </row>
    <row ht="15" r="206" spans="1:5" x14ac:dyDescent="0.25">
      <c r="A206" s="108">
        <v>723</v>
      </c>
      <c r="B206" s="108" t="s">
        <v>709</v>
      </c>
      <c r="C206" s="108" t="s">
        <v>321</v>
      </c>
      <c r="D206" s="109">
        <v>-0.27446758810600003</v>
      </c>
      <c r="E206" s="107" t="s">
        <v>710</v>
      </c>
    </row>
    <row ht="15" r="207" spans="1:5" x14ac:dyDescent="0.25">
      <c r="A207" s="108">
        <v>724</v>
      </c>
      <c r="B207" s="108" t="s">
        <v>711</v>
      </c>
      <c r="C207" s="108" t="s">
        <v>321</v>
      </c>
      <c r="D207" s="109">
        <v>-0.54557098181399999</v>
      </c>
      <c r="E207" s="107" t="s">
        <v>712</v>
      </c>
    </row>
    <row ht="15" r="208" spans="1:5" x14ac:dyDescent="0.25">
      <c r="A208" s="108">
        <v>725</v>
      </c>
      <c r="B208" s="108" t="s">
        <v>713</v>
      </c>
      <c r="C208" s="108" t="s">
        <v>340</v>
      </c>
      <c r="D208" s="109">
        <v>0</v>
      </c>
      <c r="E208" s="107" t="s">
        <v>714</v>
      </c>
    </row>
    <row ht="15" r="209" spans="1:5" x14ac:dyDescent="0.25">
      <c r="A209" s="108">
        <v>726</v>
      </c>
      <c r="B209" s="108" t="s">
        <v>715</v>
      </c>
      <c r="C209" s="108" t="s">
        <v>340</v>
      </c>
      <c r="D209" s="109">
        <v>0</v>
      </c>
      <c r="E209" s="107" t="s">
        <v>716</v>
      </c>
    </row>
    <row ht="15" r="210" spans="1:5" x14ac:dyDescent="0.25">
      <c r="A210" s="108">
        <v>727</v>
      </c>
      <c r="B210" s="108" t="s">
        <v>717</v>
      </c>
      <c r="C210" s="108" t="s">
        <v>340</v>
      </c>
      <c r="D210" s="109">
        <v>0</v>
      </c>
      <c r="E210" s="107" t="s">
        <v>718</v>
      </c>
    </row>
    <row ht="15" r="211" spans="1:5" x14ac:dyDescent="0.25">
      <c r="A211" s="108">
        <v>728</v>
      </c>
      <c r="B211" s="108" t="s">
        <v>719</v>
      </c>
      <c r="C211" s="108" t="s">
        <v>321</v>
      </c>
      <c r="D211" s="109">
        <v>1.8259670169799999E-2</v>
      </c>
      <c r="E211" s="107" t="s">
        <v>718</v>
      </c>
    </row>
    <row ht="15" r="212" spans="1:5" x14ac:dyDescent="0.25">
      <c r="A212" s="108">
        <v>729</v>
      </c>
      <c r="B212" s="108" t="s">
        <v>720</v>
      </c>
      <c r="C212" s="108" t="s">
        <v>321</v>
      </c>
      <c r="D212" s="109">
        <v>-8.7588819390500006E-2</v>
      </c>
      <c r="E212" s="107" t="s">
        <v>718</v>
      </c>
    </row>
    <row ht="15" r="213" spans="1:5" x14ac:dyDescent="0.25">
      <c r="A213" s="108">
        <v>751</v>
      </c>
      <c r="B213" s="108" t="s">
        <v>721</v>
      </c>
      <c r="C213" s="108" t="s">
        <v>321</v>
      </c>
      <c r="D213" s="109">
        <v>-0.22130910929299999</v>
      </c>
      <c r="E213" s="107" t="s">
        <v>722</v>
      </c>
    </row>
    <row ht="15" r="214" spans="1:5" x14ac:dyDescent="0.25">
      <c r="A214" s="108">
        <v>802</v>
      </c>
      <c r="B214" s="108" t="s">
        <v>723</v>
      </c>
      <c r="C214" s="108" t="s">
        <v>321</v>
      </c>
      <c r="D214" s="109">
        <v>0.60088845647900002</v>
      </c>
      <c r="E214" s="107" t="s">
        <v>724</v>
      </c>
    </row>
    <row ht="15" r="215" spans="1:5" x14ac:dyDescent="0.25">
      <c r="A215" s="108">
        <v>803</v>
      </c>
      <c r="B215" s="108" t="s">
        <v>725</v>
      </c>
      <c r="C215" s="108" t="s">
        <v>321</v>
      </c>
      <c r="D215" s="109">
        <v>0.35497920864400001</v>
      </c>
      <c r="E215" s="107" t="s">
        <v>726</v>
      </c>
    </row>
    <row ht="15" r="216" spans="1:5" x14ac:dyDescent="0.25">
      <c r="A216" s="108">
        <v>804</v>
      </c>
      <c r="B216" s="108" t="s">
        <v>727</v>
      </c>
      <c r="C216" s="108" t="s">
        <v>321</v>
      </c>
      <c r="D216" s="109">
        <v>0.20313273922399999</v>
      </c>
      <c r="E216" s="107" t="s">
        <v>728</v>
      </c>
    </row>
    <row ht="15" r="217" spans="1:5" x14ac:dyDescent="0.25">
      <c r="A217" s="108">
        <v>805</v>
      </c>
      <c r="B217" s="108" t="s">
        <v>729</v>
      </c>
      <c r="C217" s="108" t="s">
        <v>321</v>
      </c>
      <c r="D217" s="109">
        <v>0.36229771955599999</v>
      </c>
      <c r="E217" s="107" t="s">
        <v>730</v>
      </c>
    </row>
    <row ht="15" r="218" spans="1:5" x14ac:dyDescent="0.25">
      <c r="A218" s="108">
        <v>806</v>
      </c>
      <c r="B218" s="108" t="s">
        <v>731</v>
      </c>
      <c r="C218" s="108" t="s">
        <v>321</v>
      </c>
      <c r="D218" s="109">
        <v>0.94922191818599999</v>
      </c>
      <c r="E218" s="107" t="s">
        <v>732</v>
      </c>
    </row>
    <row ht="15" r="219" spans="1:5" x14ac:dyDescent="0.25">
      <c r="A219" s="108">
        <v>807</v>
      </c>
      <c r="B219" s="108" t="s">
        <v>733</v>
      </c>
      <c r="C219" s="108" t="s">
        <v>321</v>
      </c>
      <c r="D219" s="109">
        <v>0.74295703060700002</v>
      </c>
      <c r="E219" s="107" t="s">
        <v>734</v>
      </c>
    </row>
    <row ht="15" r="220" spans="1:5" x14ac:dyDescent="0.25">
      <c r="A220" s="108">
        <v>808</v>
      </c>
      <c r="B220" s="108" t="s">
        <v>735</v>
      </c>
      <c r="C220" s="108" t="s">
        <v>340</v>
      </c>
      <c r="D220" s="109">
        <v>0</v>
      </c>
      <c r="E220" s="107" t="s">
        <v>736</v>
      </c>
    </row>
    <row ht="15" r="221" spans="1:5" x14ac:dyDescent="0.25">
      <c r="A221" s="108">
        <v>809</v>
      </c>
      <c r="B221" s="108" t="s">
        <v>737</v>
      </c>
      <c r="C221" s="108" t="s">
        <v>340</v>
      </c>
      <c r="D221" s="109">
        <v>0</v>
      </c>
      <c r="E221" s="107" t="s">
        <v>738</v>
      </c>
    </row>
    <row ht="15" r="222" spans="1:5" x14ac:dyDescent="0.25">
      <c r="A222" s="108">
        <v>810</v>
      </c>
      <c r="B222" s="108" t="s">
        <v>739</v>
      </c>
      <c r="C222" s="108" t="s">
        <v>340</v>
      </c>
      <c r="D222" s="109">
        <v>0</v>
      </c>
      <c r="E222" s="107" t="s">
        <v>740</v>
      </c>
    </row>
    <row ht="15" r="223" spans="1:5" x14ac:dyDescent="0.25">
      <c r="A223" s="108">
        <v>811</v>
      </c>
      <c r="B223" s="108" t="s">
        <v>741</v>
      </c>
      <c r="C223" s="108" t="s">
        <v>340</v>
      </c>
      <c r="D223" s="109">
        <v>0</v>
      </c>
      <c r="E223" s="107" t="s">
        <v>742</v>
      </c>
    </row>
    <row ht="15" r="224" spans="1:5" x14ac:dyDescent="0.25">
      <c r="A224" s="108">
        <v>812</v>
      </c>
      <c r="B224" s="108" t="s">
        <v>743</v>
      </c>
      <c r="C224" s="108" t="s">
        <v>340</v>
      </c>
      <c r="D224" s="109">
        <v>0</v>
      </c>
      <c r="E224" s="107" t="s">
        <v>744</v>
      </c>
    </row>
    <row ht="15" r="225" spans="1:5" x14ac:dyDescent="0.25">
      <c r="A225" s="108">
        <v>813</v>
      </c>
      <c r="B225" s="108" t="s">
        <v>745</v>
      </c>
      <c r="C225" s="108" t="s">
        <v>340</v>
      </c>
      <c r="D225" s="109">
        <v>0</v>
      </c>
      <c r="E225" s="107" t="s">
        <v>746</v>
      </c>
    </row>
    <row ht="15" r="226" spans="1:5" x14ac:dyDescent="0.25">
      <c r="A226" s="108">
        <v>814</v>
      </c>
      <c r="B226" s="108" t="s">
        <v>747</v>
      </c>
      <c r="C226" s="108" t="s">
        <v>340</v>
      </c>
      <c r="D226" s="109">
        <v>0</v>
      </c>
      <c r="E226" s="107" t="s">
        <v>748</v>
      </c>
    </row>
    <row ht="15" r="227" spans="1:5" x14ac:dyDescent="0.25">
      <c r="A227" s="108"/>
      <c r="B227" s="108"/>
      <c r="C227" s="108"/>
      <c r="D227" s="109"/>
      <c r="E227" s="107" t="s">
        <v>749</v>
      </c>
    </row>
    <row ht="15" r="228" spans="1:5" x14ac:dyDescent="0.25">
      <c r="A228" s="108">
        <v>816</v>
      </c>
      <c r="B228" s="108" t="s">
        <v>750</v>
      </c>
      <c r="C228" s="108" t="s">
        <v>321</v>
      </c>
      <c r="D228" s="109">
        <v>-0.173824856152</v>
      </c>
      <c r="E228" s="107" t="s">
        <v>751</v>
      </c>
    </row>
    <row ht="15" r="229" spans="1:5" x14ac:dyDescent="0.25">
      <c r="A229" s="108">
        <v>817</v>
      </c>
      <c r="B229" s="108" t="s">
        <v>752</v>
      </c>
      <c r="C229" s="108" t="s">
        <v>321</v>
      </c>
      <c r="D229" s="109">
        <v>-0.84168486773899998</v>
      </c>
      <c r="E229" s="107" t="s">
        <v>753</v>
      </c>
    </row>
    <row ht="15" r="230" spans="1:5" x14ac:dyDescent="0.25">
      <c r="A230" s="108">
        <v>818</v>
      </c>
      <c r="B230" s="108" t="s">
        <v>754</v>
      </c>
      <c r="C230" s="108" t="s">
        <v>321</v>
      </c>
      <c r="D230" s="109">
        <v>0.69190233831699999</v>
      </c>
      <c r="E230" s="107" t="s">
        <v>755</v>
      </c>
    </row>
    <row ht="15" r="231" spans="1:5" x14ac:dyDescent="0.25">
      <c r="A231" s="108">
        <v>819</v>
      </c>
      <c r="B231" s="108" t="s">
        <v>756</v>
      </c>
      <c r="C231" s="108" t="s">
        <v>321</v>
      </c>
      <c r="D231" s="109">
        <v>-0.35930557927899998</v>
      </c>
      <c r="E231" s="107" t="s">
        <v>757</v>
      </c>
    </row>
    <row ht="15" r="232" spans="1:5" x14ac:dyDescent="0.25">
      <c r="A232" s="108">
        <v>820</v>
      </c>
      <c r="B232" s="108" t="s">
        <v>758</v>
      </c>
      <c r="C232" s="108" t="s">
        <v>321</v>
      </c>
      <c r="D232" s="109">
        <v>0.61080273357399995</v>
      </c>
      <c r="E232" s="107" t="s">
        <v>759</v>
      </c>
    </row>
    <row ht="15" r="233" spans="1:5" x14ac:dyDescent="0.25">
      <c r="A233" s="108">
        <v>821</v>
      </c>
      <c r="B233" s="108" t="s">
        <v>760</v>
      </c>
      <c r="C233" s="108" t="s">
        <v>321</v>
      </c>
      <c r="D233" s="109">
        <v>0.41956504765899999</v>
      </c>
      <c r="E233" s="107" t="s">
        <v>761</v>
      </c>
    </row>
    <row ht="15" r="234" spans="1:5" x14ac:dyDescent="0.25">
      <c r="A234" s="108">
        <v>822</v>
      </c>
      <c r="B234" s="108" t="s">
        <v>762</v>
      </c>
      <c r="C234" s="108" t="s">
        <v>340</v>
      </c>
      <c r="D234" s="109">
        <v>0</v>
      </c>
      <c r="E234" s="107" t="s">
        <v>763</v>
      </c>
    </row>
    <row ht="15" r="235" spans="1:5" x14ac:dyDescent="0.25">
      <c r="A235" s="108">
        <v>823</v>
      </c>
      <c r="B235" s="108" t="s">
        <v>764</v>
      </c>
      <c r="C235" s="108" t="s">
        <v>340</v>
      </c>
      <c r="D235" s="109">
        <v>0</v>
      </c>
      <c r="E235" s="107" t="s">
        <v>765</v>
      </c>
    </row>
    <row ht="15" r="236" spans="1:5" x14ac:dyDescent="0.25">
      <c r="A236" s="108">
        <v>824</v>
      </c>
      <c r="B236" s="108" t="s">
        <v>766</v>
      </c>
      <c r="C236" s="108" t="s">
        <v>321</v>
      </c>
      <c r="D236" s="109">
        <v>0.58100166113100005</v>
      </c>
      <c r="E236" s="107" t="s">
        <v>767</v>
      </c>
    </row>
    <row ht="15" r="237" spans="1:5" x14ac:dyDescent="0.25">
      <c r="A237" s="108">
        <v>825</v>
      </c>
      <c r="B237" s="108" t="s">
        <v>768</v>
      </c>
      <c r="C237" s="108" t="s">
        <v>340</v>
      </c>
      <c r="D237" s="109">
        <v>0</v>
      </c>
      <c r="E237" s="107" t="s">
        <v>769</v>
      </c>
    </row>
    <row ht="15" r="238" spans="1:5" x14ac:dyDescent="0.25">
      <c r="A238" s="108">
        <v>826</v>
      </c>
      <c r="B238" s="108" t="s">
        <v>770</v>
      </c>
      <c r="C238" s="108" t="s">
        <v>321</v>
      </c>
      <c r="D238" s="109">
        <v>1.2369334111600001E-3</v>
      </c>
      <c r="E238" s="107" t="s">
        <v>771</v>
      </c>
    </row>
    <row ht="15" r="239" spans="1:5" x14ac:dyDescent="0.25">
      <c r="A239" s="108">
        <v>827</v>
      </c>
      <c r="B239" s="108" t="s">
        <v>772</v>
      </c>
      <c r="C239" s="108" t="s">
        <v>321</v>
      </c>
      <c r="D239" s="109">
        <v>3.29179941507E-2</v>
      </c>
      <c r="E239" s="107" t="s">
        <v>773</v>
      </c>
    </row>
    <row ht="15" r="240" spans="1:5" x14ac:dyDescent="0.25">
      <c r="A240" s="108">
        <v>851</v>
      </c>
      <c r="B240" s="108" t="s">
        <v>774</v>
      </c>
      <c r="C240" s="108" t="s">
        <v>340</v>
      </c>
      <c r="D240" s="109">
        <v>0</v>
      </c>
      <c r="E240" s="107" t="s">
        <v>775</v>
      </c>
    </row>
    <row ht="15" r="241" spans="1:5" x14ac:dyDescent="0.25">
      <c r="A241" s="108">
        <v>902</v>
      </c>
      <c r="B241" s="108" t="s">
        <v>776</v>
      </c>
      <c r="C241" s="108" t="s">
        <v>340</v>
      </c>
      <c r="D241" s="109">
        <v>0</v>
      </c>
      <c r="E241" s="107" t="s">
        <v>777</v>
      </c>
    </row>
    <row ht="15" r="242" spans="1:5" x14ac:dyDescent="0.25">
      <c r="A242" s="108">
        <v>903</v>
      </c>
      <c r="B242" s="108" t="s">
        <v>778</v>
      </c>
      <c r="C242" s="108" t="s">
        <v>340</v>
      </c>
      <c r="D242" s="109">
        <v>0</v>
      </c>
      <c r="E242" s="107" t="s">
        <v>779</v>
      </c>
    </row>
    <row ht="15" r="243" spans="1:5" x14ac:dyDescent="0.25">
      <c r="A243" s="108">
        <v>904</v>
      </c>
      <c r="B243" s="108" t="s">
        <v>780</v>
      </c>
      <c r="C243" s="108" t="s">
        <v>340</v>
      </c>
      <c r="D243" s="109">
        <v>0</v>
      </c>
      <c r="E243" s="107" t="s">
        <v>781</v>
      </c>
    </row>
    <row ht="15" r="244" spans="1:5" x14ac:dyDescent="0.25">
      <c r="A244" s="108">
        <v>905</v>
      </c>
      <c r="B244" s="108" t="s">
        <v>782</v>
      </c>
      <c r="C244" s="108" t="s">
        <v>340</v>
      </c>
      <c r="D244" s="109">
        <v>0</v>
      </c>
      <c r="E244" s="107" t="s">
        <v>783</v>
      </c>
    </row>
    <row ht="15" r="245" spans="1:5" x14ac:dyDescent="0.25">
      <c r="A245" s="108">
        <v>906</v>
      </c>
      <c r="B245" s="108" t="s">
        <v>784</v>
      </c>
      <c r="C245" s="108" t="s">
        <v>321</v>
      </c>
      <c r="D245" s="109">
        <v>0.91744825006800002</v>
      </c>
      <c r="E245" s="107" t="s">
        <v>785</v>
      </c>
    </row>
    <row ht="15" r="246" spans="1:5" x14ac:dyDescent="0.25">
      <c r="A246" s="108">
        <v>907</v>
      </c>
      <c r="B246" s="108" t="s">
        <v>786</v>
      </c>
      <c r="C246" s="108" t="s">
        <v>321</v>
      </c>
      <c r="D246" s="109">
        <v>0.210035136712</v>
      </c>
      <c r="E246" s="107" t="s">
        <v>787</v>
      </c>
    </row>
    <row ht="15" r="247" spans="1:5" x14ac:dyDescent="0.25">
      <c r="A247" s="108">
        <v>908</v>
      </c>
      <c r="B247" s="108" t="s">
        <v>788</v>
      </c>
      <c r="C247" s="108" t="s">
        <v>340</v>
      </c>
      <c r="D247" s="109">
        <v>0</v>
      </c>
      <c r="E247" s="107" t="s">
        <v>789</v>
      </c>
    </row>
    <row ht="15" r="248" spans="1:5" x14ac:dyDescent="0.25">
      <c r="A248" s="108">
        <v>909</v>
      </c>
      <c r="B248" s="108" t="s">
        <v>790</v>
      </c>
      <c r="C248" s="108" t="s">
        <v>340</v>
      </c>
      <c r="D248" s="109">
        <v>0</v>
      </c>
      <c r="E248" s="107" t="s">
        <v>791</v>
      </c>
    </row>
    <row ht="15" r="249" spans="1:5" x14ac:dyDescent="0.25">
      <c r="A249" s="108">
        <v>910</v>
      </c>
      <c r="B249" s="108" t="s">
        <v>792</v>
      </c>
      <c r="C249" s="108" t="s">
        <v>340</v>
      </c>
      <c r="D249" s="109">
        <v>0</v>
      </c>
      <c r="E249" s="107" t="s">
        <v>793</v>
      </c>
    </row>
    <row ht="15" r="250" spans="1:5" x14ac:dyDescent="0.25">
      <c r="A250" s="108">
        <v>911</v>
      </c>
      <c r="B250" s="108" t="s">
        <v>794</v>
      </c>
      <c r="C250" s="108" t="s">
        <v>340</v>
      </c>
      <c r="D250" s="109">
        <v>0</v>
      </c>
      <c r="E250" s="107" t="s">
        <v>795</v>
      </c>
    </row>
    <row ht="15" r="251" spans="1:5" x14ac:dyDescent="0.25">
      <c r="A251" s="108">
        <v>912</v>
      </c>
      <c r="B251" s="108" t="s">
        <v>796</v>
      </c>
      <c r="C251" s="108" t="s">
        <v>340</v>
      </c>
      <c r="D251" s="109">
        <v>0</v>
      </c>
      <c r="E251" s="107" t="s">
        <v>797</v>
      </c>
    </row>
    <row ht="15" r="252" spans="1:5" x14ac:dyDescent="0.25">
      <c r="A252" s="108">
        <v>913</v>
      </c>
      <c r="B252" s="108" t="s">
        <v>798</v>
      </c>
      <c r="C252" s="108" t="s">
        <v>340</v>
      </c>
      <c r="D252" s="109">
        <v>0</v>
      </c>
      <c r="E252" s="107" t="s">
        <v>799</v>
      </c>
    </row>
    <row ht="15" r="253" spans="1:5" x14ac:dyDescent="0.25">
      <c r="A253" s="108">
        <v>914</v>
      </c>
      <c r="B253" s="108" t="s">
        <v>800</v>
      </c>
      <c r="C253" s="108" t="s">
        <v>340</v>
      </c>
      <c r="D253" s="109">
        <v>0</v>
      </c>
      <c r="E253" s="107" t="s">
        <v>801</v>
      </c>
    </row>
    <row ht="15" r="254" spans="1:5" x14ac:dyDescent="0.25">
      <c r="A254" s="108"/>
      <c r="B254" s="108"/>
      <c r="C254" s="108"/>
      <c r="D254" s="109"/>
      <c r="E254" s="107" t="s">
        <v>802</v>
      </c>
    </row>
    <row ht="15" r="255" spans="1:5" x14ac:dyDescent="0.25">
      <c r="A255" s="108">
        <v>916</v>
      </c>
      <c r="B255" s="108" t="s">
        <v>803</v>
      </c>
      <c r="C255" s="108" t="s">
        <v>340</v>
      </c>
      <c r="D255" s="109">
        <v>0</v>
      </c>
      <c r="E255" s="107" t="s">
        <v>804</v>
      </c>
    </row>
    <row ht="15" r="256" spans="1:5" x14ac:dyDescent="0.25">
      <c r="A256" s="108">
        <v>917</v>
      </c>
      <c r="B256" s="108" t="s">
        <v>805</v>
      </c>
      <c r="C256" s="108" t="s">
        <v>340</v>
      </c>
      <c r="D256" s="109">
        <v>0</v>
      </c>
      <c r="E256" s="107" t="s">
        <v>806</v>
      </c>
    </row>
    <row ht="15" r="257" spans="1:5" x14ac:dyDescent="0.25">
      <c r="A257" s="108">
        <v>918</v>
      </c>
      <c r="B257" s="108" t="s">
        <v>807</v>
      </c>
      <c r="C257" s="108" t="s">
        <v>340</v>
      </c>
      <c r="D257" s="109">
        <v>0</v>
      </c>
      <c r="E257" s="107" t="s">
        <v>808</v>
      </c>
    </row>
    <row ht="15" r="258" spans="1:5" x14ac:dyDescent="0.25">
      <c r="A258" s="108">
        <v>919</v>
      </c>
      <c r="B258" s="108" t="s">
        <v>809</v>
      </c>
      <c r="C258" s="108" t="s">
        <v>340</v>
      </c>
      <c r="D258" s="109">
        <v>0</v>
      </c>
      <c r="E258" s="107" t="s">
        <v>810</v>
      </c>
    </row>
    <row ht="15" r="259" spans="1:5" x14ac:dyDescent="0.25">
      <c r="A259" s="108">
        <v>920</v>
      </c>
      <c r="B259" s="108" t="s">
        <v>811</v>
      </c>
      <c r="C259" s="108" t="s">
        <v>340</v>
      </c>
      <c r="D259" s="109">
        <v>0</v>
      </c>
      <c r="E259" s="107" t="s">
        <v>812</v>
      </c>
    </row>
    <row ht="15" r="260" spans="1:5" x14ac:dyDescent="0.25">
      <c r="A260" s="108">
        <v>921</v>
      </c>
      <c r="B260" s="108" t="s">
        <v>813</v>
      </c>
      <c r="C260" s="108" t="s">
        <v>340</v>
      </c>
      <c r="D260" s="109">
        <v>0</v>
      </c>
      <c r="E260" s="107" t="s">
        <v>814</v>
      </c>
    </row>
    <row ht="15" r="261" spans="1:5" x14ac:dyDescent="0.25">
      <c r="A261" s="108">
        <v>922</v>
      </c>
      <c r="B261" s="108" t="s">
        <v>815</v>
      </c>
      <c r="C261" s="108" t="s">
        <v>340</v>
      </c>
      <c r="D261" s="109">
        <v>0</v>
      </c>
      <c r="E261" s="107" t="s">
        <v>816</v>
      </c>
    </row>
    <row ht="15" r="262" spans="1:5" x14ac:dyDescent="0.25">
      <c r="A262" s="108">
        <v>923</v>
      </c>
      <c r="B262" s="108" t="s">
        <v>817</v>
      </c>
      <c r="C262" s="108" t="s">
        <v>340</v>
      </c>
      <c r="D262" s="109">
        <v>0</v>
      </c>
      <c r="E262" s="107" t="s">
        <v>818</v>
      </c>
    </row>
    <row ht="15" r="263" spans="1:5" x14ac:dyDescent="0.25">
      <c r="A263" s="108">
        <v>924</v>
      </c>
      <c r="B263" s="108" t="s">
        <v>819</v>
      </c>
      <c r="C263" s="108" t="s">
        <v>321</v>
      </c>
      <c r="D263" s="109">
        <v>0.25647966370500003</v>
      </c>
      <c r="E263" s="107" t="s">
        <v>820</v>
      </c>
    </row>
    <row ht="15" r="264" spans="1:5" x14ac:dyDescent="0.25">
      <c r="A264" s="108">
        <v>925</v>
      </c>
      <c r="B264" s="108" t="s">
        <v>821</v>
      </c>
      <c r="C264" s="108" t="s">
        <v>340</v>
      </c>
      <c r="D264" s="109">
        <v>0</v>
      </c>
      <c r="E264" s="107" t="s">
        <v>822</v>
      </c>
    </row>
    <row ht="15" r="265" spans="1:5" x14ac:dyDescent="0.25">
      <c r="A265" s="108">
        <v>926</v>
      </c>
      <c r="B265" s="108" t="s">
        <v>823</v>
      </c>
      <c r="C265" s="108" t="s">
        <v>340</v>
      </c>
      <c r="D265" s="109">
        <v>0</v>
      </c>
      <c r="E265" s="107" t="s">
        <v>824</v>
      </c>
    </row>
    <row ht="15" r="266" spans="1:5" x14ac:dyDescent="0.25">
      <c r="A266" s="108">
        <v>927</v>
      </c>
      <c r="B266" s="108" t="s">
        <v>825</v>
      </c>
      <c r="C266" s="108" t="s">
        <v>340</v>
      </c>
      <c r="D266" s="109">
        <v>0</v>
      </c>
      <c r="E266" s="107" t="s">
        <v>826</v>
      </c>
    </row>
    <row ht="15" r="267" spans="1:5" x14ac:dyDescent="0.25">
      <c r="A267" s="108">
        <v>951</v>
      </c>
      <c r="B267" s="108" t="s">
        <v>827</v>
      </c>
      <c r="C267" s="108" t="s">
        <v>340</v>
      </c>
      <c r="D267" s="109">
        <v>0</v>
      </c>
      <c r="E267" s="107" t="s">
        <v>828</v>
      </c>
    </row>
    <row ht="15" r="268" spans="1:5" x14ac:dyDescent="0.25">
      <c r="A268" s="108">
        <v>1010</v>
      </c>
      <c r="B268" s="108" t="s">
        <v>829</v>
      </c>
      <c r="C268" s="108" t="s">
        <v>321</v>
      </c>
      <c r="D268" s="109">
        <v>0.62022844943300004</v>
      </c>
      <c r="E268" s="107" t="s">
        <v>830</v>
      </c>
    </row>
    <row ht="15" r="269" spans="1:5" x14ac:dyDescent="0.25">
      <c r="A269" s="108">
        <v>1011</v>
      </c>
      <c r="B269" s="108" t="s">
        <v>831</v>
      </c>
      <c r="C269" s="108" t="s">
        <v>321</v>
      </c>
      <c r="D269" s="109">
        <v>-0.92628874550499996</v>
      </c>
      <c r="E269" s="107" t="s">
        <v>832</v>
      </c>
    </row>
    <row ht="15" r="270" spans="1:5" x14ac:dyDescent="0.25">
      <c r="A270" s="108">
        <v>1012</v>
      </c>
      <c r="B270" s="108" t="s">
        <v>833</v>
      </c>
      <c r="C270" s="108" t="s">
        <v>321</v>
      </c>
      <c r="D270" s="109">
        <v>0.122962438174</v>
      </c>
      <c r="E270" s="107" t="s">
        <v>834</v>
      </c>
    </row>
    <row ht="15" r="271" spans="1:5" x14ac:dyDescent="0.25">
      <c r="A271" s="108">
        <v>1013</v>
      </c>
      <c r="B271" s="108" t="s">
        <v>835</v>
      </c>
      <c r="C271" s="108" t="s">
        <v>321</v>
      </c>
      <c r="D271" s="109">
        <v>0.99129580194</v>
      </c>
      <c r="E271" s="107" t="s">
        <v>836</v>
      </c>
    </row>
    <row ht="15" r="272" spans="1:5" x14ac:dyDescent="0.25">
      <c r="A272" s="108">
        <v>1014</v>
      </c>
      <c r="B272" s="108" t="s">
        <v>837</v>
      </c>
      <c r="C272" s="108" t="s">
        <v>321</v>
      </c>
      <c r="D272" s="109">
        <v>-0.25742972486600002</v>
      </c>
      <c r="E272" s="107" t="s">
        <v>838</v>
      </c>
    </row>
    <row ht="15" r="273" spans="1:5" x14ac:dyDescent="0.25">
      <c r="A273" s="108">
        <v>1015</v>
      </c>
      <c r="B273" s="108" t="s">
        <v>839</v>
      </c>
      <c r="C273" s="108" t="s">
        <v>321</v>
      </c>
      <c r="D273" s="109">
        <v>-0.15509922944400001</v>
      </c>
      <c r="E273" s="107" t="s">
        <v>840</v>
      </c>
    </row>
    <row ht="15" r="274" spans="1:5" x14ac:dyDescent="0.25">
      <c r="A274" s="108">
        <v>1016</v>
      </c>
      <c r="B274" s="108" t="s">
        <v>841</v>
      </c>
      <c r="C274" s="108" t="s">
        <v>321</v>
      </c>
      <c r="D274" s="109">
        <v>0.47377553160399999</v>
      </c>
      <c r="E274" s="107" t="s">
        <v>842</v>
      </c>
    </row>
    <row ht="15" r="275" spans="1:5" x14ac:dyDescent="0.25">
      <c r="A275" s="108"/>
      <c r="B275" s="108"/>
      <c r="C275" s="108"/>
      <c r="D275" s="109"/>
      <c r="E275" s="107" t="s">
        <v>843</v>
      </c>
    </row>
    <row ht="15" r="276" spans="1:5" x14ac:dyDescent="0.25">
      <c r="A276" s="108">
        <v>1018</v>
      </c>
      <c r="B276" s="108" t="s">
        <v>844</v>
      </c>
      <c r="C276" s="108" t="s">
        <v>321</v>
      </c>
      <c r="D276" s="109">
        <v>-2.9680946238400001E-2</v>
      </c>
      <c r="E276" s="107" t="s">
        <v>845</v>
      </c>
    </row>
    <row ht="15" r="277" spans="1:5" x14ac:dyDescent="0.25">
      <c r="A277" s="108">
        <v>1019</v>
      </c>
      <c r="B277" s="108" t="s">
        <v>846</v>
      </c>
      <c r="C277" s="108" t="s">
        <v>321</v>
      </c>
      <c r="D277" s="109">
        <v>-5.7505183079299999E-2</v>
      </c>
      <c r="E277" s="107" t="s">
        <v>847</v>
      </c>
    </row>
    <row ht="15" r="278" spans="1:5" x14ac:dyDescent="0.25">
      <c r="A278" s="108">
        <v>1020</v>
      </c>
      <c r="B278" s="108" t="s">
        <v>848</v>
      </c>
      <c r="C278" s="108" t="s">
        <v>321</v>
      </c>
      <c r="D278" s="109">
        <v>0.83467013855500005</v>
      </c>
      <c r="E278" s="107" t="s">
        <v>849</v>
      </c>
    </row>
    <row ht="15" r="279" spans="1:5" x14ac:dyDescent="0.25">
      <c r="A279" s="108">
        <v>1021</v>
      </c>
      <c r="B279" s="108" t="s">
        <v>850</v>
      </c>
      <c r="C279" s="108" t="s">
        <v>321</v>
      </c>
      <c r="D279" s="109">
        <v>2.49151431122E-2</v>
      </c>
      <c r="E279" s="107" t="s">
        <v>851</v>
      </c>
    </row>
    <row ht="15" r="280" spans="1:5" x14ac:dyDescent="0.25">
      <c r="A280" s="108">
        <v>1022</v>
      </c>
      <c r="B280" s="108" t="s">
        <v>852</v>
      </c>
      <c r="C280" s="108" t="s">
        <v>321</v>
      </c>
      <c r="D280" s="109">
        <v>-0.44455279214999999</v>
      </c>
      <c r="E280" s="107" t="s">
        <v>853</v>
      </c>
    </row>
    <row ht="15" r="281" spans="1:5" x14ac:dyDescent="0.25">
      <c r="A281" s="108">
        <v>1023</v>
      </c>
      <c r="B281" s="108" t="s">
        <v>854</v>
      </c>
      <c r="C281" s="108" t="s">
        <v>321</v>
      </c>
      <c r="D281" s="109">
        <v>1.0220867657699999</v>
      </c>
      <c r="E281" s="107" t="s">
        <v>855</v>
      </c>
    </row>
    <row ht="15" r="282" spans="1:5" x14ac:dyDescent="0.25">
      <c r="A282" s="108">
        <v>1024</v>
      </c>
      <c r="B282" s="108" t="s">
        <v>856</v>
      </c>
      <c r="C282" s="108" t="s">
        <v>321</v>
      </c>
      <c r="D282" s="109">
        <v>-0.51603342620100001</v>
      </c>
      <c r="E282" s="107" t="s">
        <v>857</v>
      </c>
    </row>
    <row ht="15" r="283" spans="1:5" x14ac:dyDescent="0.25">
      <c r="A283" s="108">
        <v>1025</v>
      </c>
      <c r="B283" s="108" t="s">
        <v>858</v>
      </c>
      <c r="C283" s="108" t="s">
        <v>321</v>
      </c>
      <c r="D283" s="109">
        <v>-0.557817023548</v>
      </c>
      <c r="E283" s="107" t="s">
        <v>859</v>
      </c>
    </row>
    <row ht="15" r="284" spans="1:5" x14ac:dyDescent="0.25">
      <c r="A284" s="108">
        <v>1026</v>
      </c>
      <c r="B284" s="108" t="s">
        <v>860</v>
      </c>
      <c r="C284" s="108" t="s">
        <v>321</v>
      </c>
      <c r="D284" s="109">
        <v>-0.33987264769100001</v>
      </c>
      <c r="E284" s="107" t="s">
        <v>861</v>
      </c>
    </row>
    <row ht="15" r="285" spans="1:5" x14ac:dyDescent="0.25">
      <c r="A285" s="108">
        <v>1028</v>
      </c>
      <c r="B285" s="108" t="s">
        <v>862</v>
      </c>
      <c r="C285" s="108" t="s">
        <v>321</v>
      </c>
      <c r="D285" s="109">
        <v>-5.8386949563200001E-2</v>
      </c>
      <c r="E285" s="107" t="s">
        <v>863</v>
      </c>
    </row>
    <row ht="15" r="286" spans="1:5" x14ac:dyDescent="0.25">
      <c r="A286" s="108">
        <v>1029</v>
      </c>
      <c r="B286" s="108" t="s">
        <v>864</v>
      </c>
      <c r="C286" s="108" t="s">
        <v>340</v>
      </c>
      <c r="D286" s="109">
        <v>0</v>
      </c>
      <c r="E286" s="107" t="s">
        <v>865</v>
      </c>
    </row>
    <row ht="15" r="287" spans="1:5" x14ac:dyDescent="0.25">
      <c r="A287" s="108">
        <v>1033</v>
      </c>
      <c r="B287" s="108" t="s">
        <v>866</v>
      </c>
      <c r="C287" s="108" t="s">
        <v>321</v>
      </c>
      <c r="D287" s="109">
        <v>2.4065371787399998</v>
      </c>
      <c r="E287" s="107" t="s">
        <v>867</v>
      </c>
    </row>
    <row ht="15" r="288" spans="1:5" x14ac:dyDescent="0.25">
      <c r="A288" s="108">
        <v>1034</v>
      </c>
      <c r="B288" s="108" t="s">
        <v>868</v>
      </c>
      <c r="C288" s="108" t="s">
        <v>321</v>
      </c>
      <c r="D288" s="109">
        <v>0.41307512360999998</v>
      </c>
      <c r="E288" s="107" t="s">
        <v>869</v>
      </c>
    </row>
    <row ht="15" r="289" spans="1:5" x14ac:dyDescent="0.25">
      <c r="A289" s="108">
        <v>1035</v>
      </c>
      <c r="B289" s="108" t="s">
        <v>870</v>
      </c>
      <c r="C289" s="108" t="s">
        <v>321</v>
      </c>
      <c r="D289" s="109">
        <v>0.36473610060099998</v>
      </c>
      <c r="E289" s="107" t="s">
        <v>871</v>
      </c>
    </row>
    <row ht="15" r="290" spans="1:5" x14ac:dyDescent="0.25">
      <c r="A290" s="108">
        <v>1036</v>
      </c>
      <c r="B290" s="108" t="s">
        <v>872</v>
      </c>
      <c r="C290" s="108" t="s">
        <v>321</v>
      </c>
      <c r="D290" s="109">
        <v>0.58814808101500005</v>
      </c>
      <c r="E290" s="107" t="s">
        <v>873</v>
      </c>
    </row>
    <row ht="15" r="291" spans="1:5" x14ac:dyDescent="0.25">
      <c r="A291" s="108">
        <v>1043</v>
      </c>
      <c r="B291" s="108" t="s">
        <v>874</v>
      </c>
      <c r="C291" s="108" t="s">
        <v>321</v>
      </c>
      <c r="D291" s="109">
        <v>-0.55052394285899997</v>
      </c>
      <c r="E291" s="107" t="s">
        <v>875</v>
      </c>
    </row>
    <row ht="15" r="292" spans="1:5" x14ac:dyDescent="0.25">
      <c r="A292" s="108">
        <v>1044</v>
      </c>
      <c r="B292" s="108" t="s">
        <v>876</v>
      </c>
      <c r="C292" s="108" t="s">
        <v>321</v>
      </c>
      <c r="D292" s="109">
        <v>0.41985546286199998</v>
      </c>
      <c r="E292" s="107" t="s">
        <v>877</v>
      </c>
    </row>
    <row ht="15" r="293" spans="1:5" x14ac:dyDescent="0.25">
      <c r="A293" s="108">
        <v>1045</v>
      </c>
      <c r="B293" s="108" t="s">
        <v>878</v>
      </c>
      <c r="C293" s="108" t="s">
        <v>321</v>
      </c>
      <c r="D293" s="109">
        <v>0.14835781039000001</v>
      </c>
      <c r="E293" s="107" t="s">
        <v>879</v>
      </c>
    </row>
    <row ht="15" r="294" spans="1:5" x14ac:dyDescent="0.25">
      <c r="A294" s="108">
        <v>1046</v>
      </c>
      <c r="B294" s="108" t="s">
        <v>880</v>
      </c>
      <c r="C294" s="108" t="s">
        <v>321</v>
      </c>
      <c r="D294" s="109">
        <v>0.249023546515</v>
      </c>
      <c r="E294" s="107" t="s">
        <v>881</v>
      </c>
    </row>
    <row ht="15" r="295" spans="1:5" x14ac:dyDescent="0.25">
      <c r="A295" s="108">
        <v>1053</v>
      </c>
      <c r="B295" s="108" t="s">
        <v>882</v>
      </c>
      <c r="C295" s="108" t="s">
        <v>321</v>
      </c>
      <c r="D295" s="109">
        <v>-0.39976593946</v>
      </c>
      <c r="E295" s="107" t="s">
        <v>883</v>
      </c>
    </row>
    <row ht="15" r="296" spans="1:5" x14ac:dyDescent="0.25">
      <c r="A296" s="108">
        <v>1054</v>
      </c>
      <c r="B296" s="108" t="s">
        <v>884</v>
      </c>
      <c r="C296" s="108" t="s">
        <v>321</v>
      </c>
      <c r="D296" s="109">
        <v>0.190721848</v>
      </c>
      <c r="E296" s="107" t="s">
        <v>885</v>
      </c>
    </row>
    <row ht="15" r="297" spans="1:5" x14ac:dyDescent="0.25">
      <c r="A297" s="108">
        <v>1055</v>
      </c>
      <c r="B297" s="108" t="s">
        <v>886</v>
      </c>
      <c r="C297" s="108" t="s">
        <v>321</v>
      </c>
      <c r="D297" s="109">
        <v>0.77322220290999999</v>
      </c>
      <c r="E297" s="107" t="s">
        <v>887</v>
      </c>
    </row>
    <row ht="15" r="298" spans="1:5" x14ac:dyDescent="0.25">
      <c r="A298" s="108">
        <v>1056</v>
      </c>
      <c r="B298" s="108" t="s">
        <v>888</v>
      </c>
      <c r="C298" s="108" t="s">
        <v>321</v>
      </c>
      <c r="D298" s="109">
        <v>-0.30132160266000002</v>
      </c>
      <c r="E298" s="107" t="s">
        <v>889</v>
      </c>
    </row>
    <row ht="15" r="299" spans="1:5" x14ac:dyDescent="0.25">
      <c r="A299" s="108">
        <v>1063</v>
      </c>
      <c r="B299" s="108" t="s">
        <v>890</v>
      </c>
      <c r="C299" s="108" t="s">
        <v>321</v>
      </c>
      <c r="D299" s="109">
        <v>-8.1217959165099995E-2</v>
      </c>
      <c r="E299" s="107" t="s">
        <v>891</v>
      </c>
    </row>
    <row ht="15" r="300" spans="1:5" x14ac:dyDescent="0.25">
      <c r="A300" s="108">
        <v>1064</v>
      </c>
      <c r="B300" s="108" t="s">
        <v>892</v>
      </c>
      <c r="C300" s="108" t="s">
        <v>321</v>
      </c>
      <c r="D300" s="109">
        <v>0.22551013394899999</v>
      </c>
      <c r="E300" s="107" t="s">
        <v>893</v>
      </c>
    </row>
    <row ht="15" r="301" spans="1:5" x14ac:dyDescent="0.25">
      <c r="A301" s="108">
        <v>1065</v>
      </c>
      <c r="B301" s="108" t="s">
        <v>894</v>
      </c>
      <c r="C301" s="108" t="s">
        <v>321</v>
      </c>
      <c r="D301" s="109">
        <v>0.30120956241699998</v>
      </c>
      <c r="E301" s="107" t="s">
        <v>895</v>
      </c>
    </row>
    <row ht="15" r="302" spans="1:5" x14ac:dyDescent="0.25">
      <c r="A302" s="108">
        <v>1066</v>
      </c>
      <c r="B302" s="108" t="s">
        <v>896</v>
      </c>
      <c r="C302" s="108" t="s">
        <v>321</v>
      </c>
      <c r="D302" s="109">
        <v>-0.14627640169</v>
      </c>
      <c r="E302" s="107" t="s">
        <v>897</v>
      </c>
    </row>
    <row ht="15" r="303" spans="1:5" x14ac:dyDescent="0.25">
      <c r="A303" s="108">
        <v>1073</v>
      </c>
      <c r="B303" s="108" t="s">
        <v>898</v>
      </c>
      <c r="C303" s="108" t="s">
        <v>321</v>
      </c>
      <c r="D303" s="109">
        <v>-0.55358196334700005</v>
      </c>
      <c r="E303" s="107" t="s">
        <v>899</v>
      </c>
    </row>
    <row ht="15" r="304" spans="1:5" x14ac:dyDescent="0.25">
      <c r="A304" s="108">
        <v>1074</v>
      </c>
      <c r="B304" s="108" t="s">
        <v>900</v>
      </c>
      <c r="C304" s="108" t="s">
        <v>321</v>
      </c>
      <c r="D304" s="109">
        <v>-6.9330556773299995E-2</v>
      </c>
      <c r="E304" s="107" t="s">
        <v>901</v>
      </c>
    </row>
    <row ht="15" r="305" spans="1:5" x14ac:dyDescent="0.25">
      <c r="A305" s="108">
        <v>1075</v>
      </c>
      <c r="B305" s="108" t="s">
        <v>902</v>
      </c>
      <c r="C305" s="108" t="s">
        <v>321</v>
      </c>
      <c r="D305" s="109">
        <v>0.112518585229</v>
      </c>
      <c r="E305" s="107" t="s">
        <v>903</v>
      </c>
    </row>
    <row ht="15" r="306" spans="1:5" x14ac:dyDescent="0.25">
      <c r="A306" s="108">
        <v>1076</v>
      </c>
      <c r="B306" s="108" t="s">
        <v>904</v>
      </c>
      <c r="C306" s="108" t="s">
        <v>321</v>
      </c>
      <c r="D306" s="109">
        <v>0.42259980050599999</v>
      </c>
      <c r="E306" s="107" t="s">
        <v>905</v>
      </c>
    </row>
    <row ht="15" r="307" spans="1:5" x14ac:dyDescent="0.25">
      <c r="A307" s="108">
        <v>1112</v>
      </c>
      <c r="B307" s="108" t="s">
        <v>906</v>
      </c>
      <c r="C307" s="108" t="s">
        <v>321</v>
      </c>
      <c r="D307" s="109">
        <v>-1.5159667569199999</v>
      </c>
      <c r="E307" s="107" t="s">
        <v>907</v>
      </c>
    </row>
    <row ht="15" r="308" spans="1:5" x14ac:dyDescent="0.25">
      <c r="A308" s="108">
        <v>1113</v>
      </c>
      <c r="B308" s="108" t="s">
        <v>908</v>
      </c>
      <c r="C308" s="108" t="s">
        <v>321</v>
      </c>
      <c r="D308" s="109">
        <v>-1.25860017038</v>
      </c>
      <c r="E308" s="107" t="s">
        <v>909</v>
      </c>
    </row>
    <row ht="15" r="309" spans="1:5" x14ac:dyDescent="0.25">
      <c r="A309" s="108">
        <v>1114</v>
      </c>
      <c r="B309" s="108" t="s">
        <v>910</v>
      </c>
      <c r="C309" s="108" t="s">
        <v>321</v>
      </c>
      <c r="D309" s="109">
        <v>-0.98798477919399996</v>
      </c>
      <c r="E309" s="107" t="s">
        <v>911</v>
      </c>
    </row>
    <row ht="15" r="310" spans="1:5" x14ac:dyDescent="0.25">
      <c r="A310" s="108">
        <v>1115</v>
      </c>
      <c r="B310" s="108" t="s">
        <v>912</v>
      </c>
      <c r="C310" s="108" t="s">
        <v>321</v>
      </c>
      <c r="D310" s="109">
        <v>-0.85516042207999998</v>
      </c>
      <c r="E310" s="107" t="s">
        <v>913</v>
      </c>
    </row>
    <row ht="15" r="311" spans="1:5" x14ac:dyDescent="0.25">
      <c r="A311" s="108">
        <v>1116</v>
      </c>
      <c r="B311" s="108" t="s">
        <v>914</v>
      </c>
      <c r="C311" s="108" t="s">
        <v>321</v>
      </c>
      <c r="D311" s="109">
        <v>-0.43795874111499999</v>
      </c>
      <c r="E311" s="107" t="s">
        <v>915</v>
      </c>
    </row>
    <row ht="15" r="312" spans="1:5" x14ac:dyDescent="0.25">
      <c r="A312" s="108">
        <v>1117</v>
      </c>
      <c r="B312" s="108" t="s">
        <v>916</v>
      </c>
      <c r="C312" s="108" t="s">
        <v>321</v>
      </c>
      <c r="D312" s="109">
        <v>-0.46612496709000001</v>
      </c>
      <c r="E312" s="107" t="s">
        <v>917</v>
      </c>
    </row>
    <row ht="15" r="313" spans="1:5" x14ac:dyDescent="0.25">
      <c r="A313" s="108">
        <v>1123</v>
      </c>
      <c r="B313" s="108" t="s">
        <v>918</v>
      </c>
      <c r="C313" s="108" t="s">
        <v>321</v>
      </c>
      <c r="D313" s="109">
        <v>-1.3137469667199999</v>
      </c>
      <c r="E313" s="107" t="s">
        <v>919</v>
      </c>
    </row>
    <row ht="15" r="314" spans="1:5" x14ac:dyDescent="0.25">
      <c r="A314" s="108">
        <v>1124</v>
      </c>
      <c r="B314" s="108" t="s">
        <v>920</v>
      </c>
      <c r="C314" s="108" t="s">
        <v>321</v>
      </c>
      <c r="D314" s="109">
        <v>-0.74461563958900001</v>
      </c>
      <c r="E314" s="107" t="s">
        <v>921</v>
      </c>
    </row>
    <row ht="15" r="315" spans="1:5" x14ac:dyDescent="0.25">
      <c r="A315" s="108">
        <v>1125</v>
      </c>
      <c r="B315" s="108" t="s">
        <v>922</v>
      </c>
      <c r="C315" s="108" t="s">
        <v>321</v>
      </c>
      <c r="D315" s="109">
        <v>-0.72233741176900002</v>
      </c>
      <c r="E315" s="107" t="s">
        <v>923</v>
      </c>
    </row>
    <row ht="15" r="316" spans="1:5" x14ac:dyDescent="0.25">
      <c r="A316" s="108">
        <v>1126</v>
      </c>
      <c r="B316" s="108" t="s">
        <v>924</v>
      </c>
      <c r="C316" s="108" t="s">
        <v>321</v>
      </c>
      <c r="D316" s="109">
        <v>-0.508145526987</v>
      </c>
      <c r="E316" s="107" t="s">
        <v>925</v>
      </c>
    </row>
    <row ht="15" r="317" spans="1:5" x14ac:dyDescent="0.25">
      <c r="A317" s="108">
        <v>1127</v>
      </c>
      <c r="B317" s="108" t="s">
        <v>926</v>
      </c>
      <c r="C317" s="108" t="s">
        <v>321</v>
      </c>
      <c r="D317" s="109">
        <v>-0.48686652386000001</v>
      </c>
      <c r="E317" s="107" t="s">
        <v>927</v>
      </c>
    </row>
    <row ht="15" r="318" spans="1:5" x14ac:dyDescent="0.25">
      <c r="A318" s="108">
        <v>1134</v>
      </c>
      <c r="B318" s="108" t="s">
        <v>928</v>
      </c>
      <c r="C318" s="108" t="s">
        <v>321</v>
      </c>
      <c r="D318" s="109">
        <v>0.398720034916</v>
      </c>
      <c r="E318" s="107" t="s">
        <v>929</v>
      </c>
    </row>
    <row ht="15" r="319" spans="1:5" x14ac:dyDescent="0.25">
      <c r="A319" s="108">
        <v>1135</v>
      </c>
      <c r="B319" s="108" t="s">
        <v>930</v>
      </c>
      <c r="C319" s="108" t="s">
        <v>321</v>
      </c>
      <c r="D319" s="109">
        <v>-6.6189123184200005E-2</v>
      </c>
      <c r="E319" s="107" t="s">
        <v>931</v>
      </c>
    </row>
    <row ht="15" r="320" spans="1:5" x14ac:dyDescent="0.25">
      <c r="A320" s="108">
        <v>1136</v>
      </c>
      <c r="B320" s="108" t="s">
        <v>932</v>
      </c>
      <c r="C320" s="108" t="s">
        <v>321</v>
      </c>
      <c r="D320" s="109">
        <v>-7.8918781693600004E-2</v>
      </c>
      <c r="E320" s="107" t="s">
        <v>933</v>
      </c>
    </row>
    <row ht="15" r="321" spans="1:5" x14ac:dyDescent="0.25">
      <c r="A321" s="108">
        <v>1137</v>
      </c>
      <c r="B321" s="108" t="s">
        <v>934</v>
      </c>
      <c r="C321" s="108" t="s">
        <v>321</v>
      </c>
      <c r="D321" s="109">
        <v>0.243957855541</v>
      </c>
      <c r="E321" s="107" t="s">
        <v>935</v>
      </c>
    </row>
    <row ht="15" r="322" spans="1:5" x14ac:dyDescent="0.25">
      <c r="A322" s="108">
        <v>1145</v>
      </c>
      <c r="B322" s="108" t="s">
        <v>936</v>
      </c>
      <c r="C322" s="108" t="s">
        <v>321</v>
      </c>
      <c r="D322" s="109">
        <v>1.14376676225E-2</v>
      </c>
      <c r="E322" s="107" t="s">
        <v>937</v>
      </c>
    </row>
    <row ht="15" r="323" spans="1:5" x14ac:dyDescent="0.25">
      <c r="A323" s="108">
        <v>1146</v>
      </c>
      <c r="B323" s="108" t="s">
        <v>938</v>
      </c>
      <c r="C323" s="108" t="s">
        <v>321</v>
      </c>
      <c r="D323" s="109">
        <v>0.307184455794</v>
      </c>
      <c r="E323" s="107" t="s">
        <v>939</v>
      </c>
    </row>
    <row ht="15" r="324" spans="1:5" x14ac:dyDescent="0.25">
      <c r="A324" s="108">
        <v>1147</v>
      </c>
      <c r="B324" s="108" t="s">
        <v>940</v>
      </c>
      <c r="C324" s="108" t="s">
        <v>321</v>
      </c>
      <c r="D324" s="109">
        <v>-0.12329005178999999</v>
      </c>
      <c r="E324" s="107" t="s">
        <v>941</v>
      </c>
    </row>
    <row ht="15" r="325" spans="1:5" x14ac:dyDescent="0.25">
      <c r="A325" s="108">
        <v>1156</v>
      </c>
      <c r="B325" s="108" t="s">
        <v>942</v>
      </c>
      <c r="C325" s="108" t="s">
        <v>321</v>
      </c>
      <c r="D325" s="109">
        <v>-0.38573730080200003</v>
      </c>
      <c r="E325" s="107" t="s">
        <v>943</v>
      </c>
    </row>
    <row ht="15" r="326" spans="1:5" x14ac:dyDescent="0.25">
      <c r="A326" s="108">
        <v>1157</v>
      </c>
      <c r="B326" s="108" t="s">
        <v>944</v>
      </c>
      <c r="C326" s="108" t="s">
        <v>321</v>
      </c>
      <c r="D326" s="109">
        <v>6.2103537354600002E-2</v>
      </c>
      <c r="E326" s="107" t="s">
        <v>945</v>
      </c>
    </row>
    <row ht="15" r="327" spans="1:5" x14ac:dyDescent="0.25">
      <c r="A327" s="108">
        <v>1213</v>
      </c>
      <c r="B327" s="108" t="s">
        <v>946</v>
      </c>
      <c r="C327" s="108" t="s">
        <v>321</v>
      </c>
      <c r="D327" s="109">
        <v>-1.4107824825799999</v>
      </c>
      <c r="E327" s="107" t="s">
        <v>947</v>
      </c>
    </row>
    <row ht="15" r="328" spans="1:5" x14ac:dyDescent="0.25">
      <c r="A328" s="108">
        <v>1214</v>
      </c>
      <c r="B328" s="108" t="s">
        <v>948</v>
      </c>
      <c r="C328" s="108" t="s">
        <v>321</v>
      </c>
      <c r="D328" s="109">
        <v>-0.67028757194199995</v>
      </c>
      <c r="E328" s="107" t="s">
        <v>949</v>
      </c>
    </row>
    <row ht="15" r="329" spans="1:5" x14ac:dyDescent="0.25">
      <c r="A329" s="108">
        <v>1215</v>
      </c>
      <c r="B329" s="108" t="s">
        <v>950</v>
      </c>
      <c r="C329" s="108" t="s">
        <v>321</v>
      </c>
      <c r="D329" s="109">
        <v>-0.69688193970800005</v>
      </c>
      <c r="E329" s="107" t="s">
        <v>951</v>
      </c>
    </row>
    <row ht="15" r="330" spans="1:5" x14ac:dyDescent="0.25">
      <c r="A330" s="108">
        <v>1216</v>
      </c>
      <c r="B330" s="108" t="s">
        <v>952</v>
      </c>
      <c r="C330" s="108" t="s">
        <v>321</v>
      </c>
      <c r="D330" s="109">
        <v>-0.50289966674099995</v>
      </c>
      <c r="E330" s="107" t="s">
        <v>953</v>
      </c>
    </row>
    <row ht="15" r="331" spans="1:5" x14ac:dyDescent="0.25">
      <c r="A331" s="108">
        <v>1217</v>
      </c>
      <c r="B331" s="108" t="s">
        <v>954</v>
      </c>
      <c r="C331" s="108" t="s">
        <v>321</v>
      </c>
      <c r="D331" s="109">
        <v>-0.99588152693599996</v>
      </c>
      <c r="E331" s="107" t="s">
        <v>955</v>
      </c>
    </row>
    <row ht="15" r="332" spans="1:5" x14ac:dyDescent="0.25">
      <c r="A332" s="108">
        <v>1223</v>
      </c>
      <c r="B332" s="108" t="s">
        <v>956</v>
      </c>
      <c r="C332" s="108" t="s">
        <v>321</v>
      </c>
      <c r="D332" s="109">
        <v>-1.15884229352</v>
      </c>
      <c r="E332" s="107" t="s">
        <v>957</v>
      </c>
    </row>
    <row ht="15" r="333" spans="1:5" x14ac:dyDescent="0.25">
      <c r="A333" s="108">
        <v>1224</v>
      </c>
      <c r="B333" s="108" t="s">
        <v>958</v>
      </c>
      <c r="C333" s="108" t="s">
        <v>321</v>
      </c>
      <c r="D333" s="109">
        <v>-0.41315925356400002</v>
      </c>
      <c r="E333" s="107" t="s">
        <v>959</v>
      </c>
    </row>
    <row ht="15" r="334" spans="1:5" x14ac:dyDescent="0.25">
      <c r="A334" s="108">
        <v>1225</v>
      </c>
      <c r="B334" s="108" t="s">
        <v>960</v>
      </c>
      <c r="C334" s="108" t="s">
        <v>321</v>
      </c>
      <c r="D334" s="109">
        <v>-1.1781073092900001</v>
      </c>
      <c r="E334" s="107" t="s">
        <v>961</v>
      </c>
    </row>
    <row ht="15" r="335" spans="1:5" x14ac:dyDescent="0.25">
      <c r="A335" s="108">
        <v>1226</v>
      </c>
      <c r="B335" s="108" t="s">
        <v>962</v>
      </c>
      <c r="C335" s="108" t="s">
        <v>321</v>
      </c>
      <c r="D335" s="109">
        <v>0.41808528217399998</v>
      </c>
      <c r="E335" s="107" t="s">
        <v>963</v>
      </c>
    </row>
    <row ht="15" r="336" spans="1:5" x14ac:dyDescent="0.25">
      <c r="A336" s="108">
        <v>1227</v>
      </c>
      <c r="B336" s="108" t="s">
        <v>964</v>
      </c>
      <c r="C336" s="108" t="s">
        <v>321</v>
      </c>
      <c r="D336" s="109">
        <v>-0.23909838973600001</v>
      </c>
      <c r="E336" s="107" t="s">
        <v>965</v>
      </c>
    </row>
    <row ht="15" r="337" spans="1:5" x14ac:dyDescent="0.25">
      <c r="A337" s="108">
        <v>1234</v>
      </c>
      <c r="B337" s="108" t="s">
        <v>966</v>
      </c>
      <c r="C337" s="108" t="s">
        <v>321</v>
      </c>
      <c r="D337" s="109">
        <v>-0.53250623547800002</v>
      </c>
      <c r="E337" s="107" t="s">
        <v>967</v>
      </c>
    </row>
    <row ht="15" r="338" spans="1:5" x14ac:dyDescent="0.25">
      <c r="A338" s="108">
        <v>1235</v>
      </c>
      <c r="B338" s="108" t="s">
        <v>968</v>
      </c>
      <c r="C338" s="108" t="s">
        <v>321</v>
      </c>
      <c r="D338" s="109">
        <v>-0.73781638945000005</v>
      </c>
      <c r="E338" s="107" t="s">
        <v>969</v>
      </c>
    </row>
    <row ht="15" r="339" spans="1:5" x14ac:dyDescent="0.25">
      <c r="A339" s="108">
        <v>1236</v>
      </c>
      <c r="B339" s="108" t="s">
        <v>970</v>
      </c>
      <c r="C339" s="108" t="s">
        <v>321</v>
      </c>
      <c r="D339" s="109">
        <v>-0.39225286756099997</v>
      </c>
      <c r="E339" s="107" t="s">
        <v>971</v>
      </c>
    </row>
    <row ht="15" r="340" spans="1:5" x14ac:dyDescent="0.25">
      <c r="A340" s="108">
        <v>1237</v>
      </c>
      <c r="B340" s="108" t="s">
        <v>972</v>
      </c>
      <c r="C340" s="108" t="s">
        <v>321</v>
      </c>
      <c r="D340" s="109">
        <v>-0.20531482124200001</v>
      </c>
      <c r="E340" s="107" t="s">
        <v>973</v>
      </c>
    </row>
    <row ht="15" r="341" spans="1:5" x14ac:dyDescent="0.25">
      <c r="A341" s="108">
        <v>1245</v>
      </c>
      <c r="B341" s="108" t="s">
        <v>974</v>
      </c>
      <c r="C341" s="108" t="s">
        <v>321</v>
      </c>
      <c r="D341" s="109">
        <v>-0.17779072526699999</v>
      </c>
      <c r="E341" s="107" t="s">
        <v>975</v>
      </c>
    </row>
    <row ht="15" r="342" spans="1:5" x14ac:dyDescent="0.25">
      <c r="A342" s="108">
        <v>1246</v>
      </c>
      <c r="B342" s="108" t="s">
        <v>976</v>
      </c>
      <c r="C342" s="108" t="s">
        <v>321</v>
      </c>
      <c r="D342" s="109">
        <v>-0.47229190428099999</v>
      </c>
      <c r="E342" s="107" t="s">
        <v>977</v>
      </c>
    </row>
    <row ht="15" r="343" spans="1:5" x14ac:dyDescent="0.25">
      <c r="A343" s="108">
        <v>1247</v>
      </c>
      <c r="B343" s="108" t="s">
        <v>978</v>
      </c>
      <c r="C343" s="108" t="s">
        <v>321</v>
      </c>
      <c r="D343" s="109">
        <v>-0.702095060341</v>
      </c>
      <c r="E343" s="107" t="s">
        <v>979</v>
      </c>
    </row>
    <row ht="15" r="344" spans="1:5" x14ac:dyDescent="0.25">
      <c r="A344" s="108">
        <v>1256</v>
      </c>
      <c r="B344" s="108" t="s">
        <v>980</v>
      </c>
      <c r="C344" s="108" t="s">
        <v>321</v>
      </c>
      <c r="D344" s="109">
        <v>-0.46940031431700002</v>
      </c>
      <c r="E344" s="107" t="s">
        <v>981</v>
      </c>
    </row>
    <row ht="15" r="345" spans="1:5" x14ac:dyDescent="0.25">
      <c r="A345" s="108">
        <v>1257</v>
      </c>
      <c r="B345" s="108" t="s">
        <v>982</v>
      </c>
      <c r="C345" s="108" t="s">
        <v>321</v>
      </c>
      <c r="D345" s="109">
        <v>-0.63882592744199995</v>
      </c>
      <c r="E345" s="107" t="s">
        <v>983</v>
      </c>
    </row>
    <row ht="15" r="346" spans="1:5" x14ac:dyDescent="0.25">
      <c r="A346" s="108">
        <v>1311</v>
      </c>
      <c r="B346" s="108" t="s">
        <v>984</v>
      </c>
      <c r="C346" s="108" t="s">
        <v>321</v>
      </c>
      <c r="D346" s="113">
        <v>-3.23294475912</v>
      </c>
      <c r="E346" s="107" t="s">
        <v>985</v>
      </c>
    </row>
    <row ht="15" r="347" spans="1:5" x14ac:dyDescent="0.25">
      <c r="A347" s="108">
        <v>1312</v>
      </c>
      <c r="B347" s="108" t="s">
        <v>986</v>
      </c>
      <c r="C347" s="108" t="s">
        <v>321</v>
      </c>
      <c r="D347" s="113">
        <v>-4.9079128005400001</v>
      </c>
      <c r="E347" s="107" t="s">
        <v>987</v>
      </c>
    </row>
    <row ht="15" r="348" spans="1:5" x14ac:dyDescent="0.25">
      <c r="A348" s="108">
        <v>1313</v>
      </c>
      <c r="B348" s="108" t="s">
        <v>988</v>
      </c>
      <c r="C348" s="108" t="s">
        <v>321</v>
      </c>
      <c r="D348" s="113">
        <v>-5.5245256889299998</v>
      </c>
      <c r="E348" s="107" t="s">
        <v>989</v>
      </c>
    </row>
    <row ht="15" r="349" spans="1:5" x14ac:dyDescent="0.25">
      <c r="A349" s="108">
        <v>1321</v>
      </c>
      <c r="B349" s="108" t="s">
        <v>990</v>
      </c>
      <c r="C349" s="108" t="s">
        <v>321</v>
      </c>
      <c r="D349" s="113">
        <v>-3.0694184685499999</v>
      </c>
      <c r="E349" s="107" t="s">
        <v>991</v>
      </c>
    </row>
    <row ht="15" r="350" spans="1:5" x14ac:dyDescent="0.25">
      <c r="A350" s="108">
        <v>1322</v>
      </c>
      <c r="B350" s="108" t="s">
        <v>992</v>
      </c>
      <c r="C350" s="108" t="s">
        <v>321</v>
      </c>
      <c r="D350" s="113">
        <v>-4.6893655781000003</v>
      </c>
      <c r="E350" s="107" t="s">
        <v>993</v>
      </c>
    </row>
    <row ht="15" r="351" spans="1:5" x14ac:dyDescent="0.25">
      <c r="A351" s="108">
        <v>1323</v>
      </c>
      <c r="B351" s="108" t="s">
        <v>994</v>
      </c>
      <c r="C351" s="108" t="s">
        <v>321</v>
      </c>
      <c r="D351" s="113">
        <v>-5.2945530060500001</v>
      </c>
      <c r="E351" s="107" t="s">
        <v>995</v>
      </c>
    </row>
    <row ht="15" r="352" spans="1:5" x14ac:dyDescent="0.25">
      <c r="A352" s="108">
        <v>1331</v>
      </c>
      <c r="B352" s="108" t="s">
        <v>996</v>
      </c>
      <c r="C352" s="108" t="s">
        <v>321</v>
      </c>
      <c r="D352" s="113">
        <v>-2.8060943842600001</v>
      </c>
      <c r="E352" s="107" t="s">
        <v>997</v>
      </c>
    </row>
    <row ht="15" r="353" spans="1:5" x14ac:dyDescent="0.25">
      <c r="A353" s="108">
        <v>1332</v>
      </c>
      <c r="B353" s="108" t="s">
        <v>998</v>
      </c>
      <c r="C353" s="108" t="s">
        <v>321</v>
      </c>
      <c r="D353" s="113">
        <v>-4.5280142445599996</v>
      </c>
      <c r="E353" s="107" t="s">
        <v>999</v>
      </c>
    </row>
    <row ht="15" r="354" spans="1:5" x14ac:dyDescent="0.25">
      <c r="A354" s="108">
        <v>1401</v>
      </c>
      <c r="B354" s="108" t="s">
        <v>1000</v>
      </c>
      <c r="C354" s="108" t="s">
        <v>321</v>
      </c>
      <c r="D354" s="109">
        <v>9.2723414770299994E-2</v>
      </c>
      <c r="E354" s="107" t="s">
        <v>1001</v>
      </c>
    </row>
    <row ht="15" r="355" spans="1:5" x14ac:dyDescent="0.25">
      <c r="A355" s="108">
        <v>1402</v>
      </c>
      <c r="B355" s="108" t="s">
        <v>1002</v>
      </c>
      <c r="C355" s="108" t="s">
        <v>321</v>
      </c>
      <c r="D355" s="109">
        <v>0.25636973171499999</v>
      </c>
      <c r="E355" s="107" t="s">
        <v>1003</v>
      </c>
    </row>
    <row ht="15" r="356" spans="1:5" x14ac:dyDescent="0.25">
      <c r="A356" s="108">
        <v>1403</v>
      </c>
      <c r="B356" s="108" t="s">
        <v>1004</v>
      </c>
      <c r="C356" s="108" t="s">
        <v>321</v>
      </c>
      <c r="D356" s="109">
        <v>0.46539161270599999</v>
      </c>
      <c r="E356" s="107" t="s">
        <v>1005</v>
      </c>
    </row>
    <row ht="15" r="357" spans="1:5" x14ac:dyDescent="0.25">
      <c r="A357" s="108">
        <v>1404</v>
      </c>
      <c r="B357" s="108" t="s">
        <v>1006</v>
      </c>
      <c r="C357" s="108" t="s">
        <v>321</v>
      </c>
      <c r="D357" s="109">
        <v>-0.81558723264099997</v>
      </c>
      <c r="E357" s="107" t="s">
        <v>1007</v>
      </c>
    </row>
    <row ht="15" r="358" spans="1:5" x14ac:dyDescent="0.25">
      <c r="A358" s="108">
        <v>1405</v>
      </c>
      <c r="B358" s="108" t="s">
        <v>1008</v>
      </c>
      <c r="C358" s="108" t="s">
        <v>321</v>
      </c>
      <c r="D358" s="109">
        <v>-3.5031756741299998E-2</v>
      </c>
      <c r="E358" s="107" t="s">
        <v>1009</v>
      </c>
    </row>
    <row ht="15" r="359" spans="1:5" x14ac:dyDescent="0.25">
      <c r="A359" s="108">
        <v>1411</v>
      </c>
      <c r="B359" s="108" t="s">
        <v>1010</v>
      </c>
      <c r="C359" s="108" t="s">
        <v>321</v>
      </c>
      <c r="D359" s="109">
        <v>0.27709867578399999</v>
      </c>
      <c r="E359" s="107" t="s">
        <v>1011</v>
      </c>
    </row>
    <row ht="15" r="360" spans="1:5" x14ac:dyDescent="0.25">
      <c r="A360" s="108">
        <v>1412</v>
      </c>
      <c r="B360" s="108" t="s">
        <v>1012</v>
      </c>
      <c r="C360" s="108" t="s">
        <v>321</v>
      </c>
      <c r="D360" s="109">
        <v>0.230643528391</v>
      </c>
      <c r="E360" s="107" t="s">
        <v>1013</v>
      </c>
    </row>
    <row ht="15" r="361" spans="1:5" x14ac:dyDescent="0.25">
      <c r="A361" s="108">
        <v>1413</v>
      </c>
      <c r="B361" s="108" t="s">
        <v>1014</v>
      </c>
      <c r="C361" s="108" t="s">
        <v>321</v>
      </c>
      <c r="D361" s="109">
        <v>-0.13102011246199999</v>
      </c>
      <c r="E361" s="107" t="s">
        <v>1015</v>
      </c>
    </row>
    <row ht="15" r="362" spans="1:5" x14ac:dyDescent="0.25">
      <c r="A362" s="108">
        <v>1414</v>
      </c>
      <c r="B362" s="108" t="s">
        <v>1016</v>
      </c>
      <c r="C362" s="108" t="s">
        <v>321</v>
      </c>
      <c r="D362" s="109">
        <v>0.55615704919099995</v>
      </c>
      <c r="E362" s="107" t="s">
        <v>1017</v>
      </c>
    </row>
    <row ht="15" r="363" spans="1:5" x14ac:dyDescent="0.25">
      <c r="A363" s="108">
        <v>1415</v>
      </c>
      <c r="B363" s="108" t="s">
        <v>1018</v>
      </c>
      <c r="C363" s="108" t="s">
        <v>321</v>
      </c>
      <c r="D363" s="109">
        <v>1.26703424977E-2</v>
      </c>
      <c r="E363" s="107" t="s">
        <v>1019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271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221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221</v>
      </c>
      <c r="M5" s="12">
        <f>output!B4/SUM(output!B$4:B$7)</f>
        <v>0.15159293526434153</v>
      </c>
      <c r="N5" s="12">
        <f>output!C4/SUM(output!C$4:C$7)</f>
        <v>0.11514553644650986</v>
      </c>
      <c r="O5" s="12">
        <f>output!D4/SUM(output!D$4:D$7)</f>
        <v>0.25041984200602635</v>
      </c>
      <c r="P5" s="12">
        <f>output!E4/SUM(output!E$4:E$7)</f>
        <v>0.40866040246133378</v>
      </c>
      <c r="Q5" s="12">
        <f>output!F4/SUM(output!F$4:F$7)</f>
        <v>0.44921887847393521</v>
      </c>
      <c r="R5" s="12">
        <f>output!G4/SUM(output!G$4:G$7)</f>
        <v>0.45459547729773864</v>
      </c>
      <c r="S5" s="12">
        <f>output!H4/SUM(output!H$4:H$7)</f>
        <v>0.13099179569544042</v>
      </c>
      <c r="T5" s="12" t="e">
        <f>output!I4/SUM(output!I$4:I$7)</f>
        <v>#DIV/0!</v>
      </c>
      <c r="U5" s="12">
        <f>output!J4/SUM(output!J$4:J$7)</f>
        <v>0.22205254854449719</v>
      </c>
      <c r="W5" s="3" t="s">
        <v>221</v>
      </c>
      <c r="X5" s="12">
        <f ref="X5:AF9" si="0" t="shared">M5-B5</f>
        <v>5.7466729203741226E-2</v>
      </c>
      <c r="Y5" s="12">
        <f si="0" t="shared"/>
        <v>-5.458224363584134E-2</v>
      </c>
      <c r="Z5" s="12">
        <f si="0" t="shared"/>
        <v>-0.10962493927466299</v>
      </c>
      <c r="AA5" s="12">
        <f si="0" t="shared"/>
        <v>6.9934102657401076E-2</v>
      </c>
      <c r="AB5" s="12">
        <f si="0" t="shared"/>
        <v>9.3683014760315597E-2</v>
      </c>
      <c r="AC5" s="12">
        <f si="0" t="shared"/>
        <v>0.36850072296955599</v>
      </c>
      <c r="AD5" s="12">
        <f si="0" t="shared"/>
        <v>1.9075455824543147E-2</v>
      </c>
      <c r="AE5" s="12" t="e">
        <f si="0" t="shared"/>
        <v>#DIV/0!</v>
      </c>
      <c r="AF5" s="12">
        <f si="0" t="shared"/>
        <v>4.1183910494235115E-2</v>
      </c>
    </row>
    <row r="6" spans="1:32" x14ac:dyDescent="0.2">
      <c r="A6" s="3" t="s">
        <v>222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222</v>
      </c>
      <c r="M6" s="12">
        <f>output!B5/SUM(output!B$4:B$7)</f>
        <v>0.56460746177907684</v>
      </c>
      <c r="N6" s="12">
        <f>output!C5/SUM(output!C$4:C$7)</f>
        <v>0.36035275800183036</v>
      </c>
      <c r="O6" s="12">
        <f>output!D5/SUM(output!D$4:D$7)</f>
        <v>0.44248619219972962</v>
      </c>
      <c r="P6" s="12">
        <f>output!E5/SUM(output!E$4:E$7)</f>
        <v>0.33318642940296023</v>
      </c>
      <c r="Q6" s="12">
        <f>output!F5/SUM(output!F$4:F$7)</f>
        <v>0.36817957572767634</v>
      </c>
      <c r="R6" s="12">
        <f>output!G5/SUM(output!G$4:G$7)</f>
        <v>0.39722744861372433</v>
      </c>
      <c r="S6" s="12">
        <f>output!H5/SUM(output!H$4:H$7)</f>
        <v>0.59619511874404163</v>
      </c>
      <c r="T6" s="12" t="e">
        <f>output!I5/SUM(output!I$4:I$7)</f>
        <v>#DIV/0!</v>
      </c>
      <c r="U6" s="12">
        <f>output!J5/SUM(output!J$4:J$7)</f>
        <v>0.49295514002516261</v>
      </c>
      <c r="W6" s="3" t="s">
        <v>222</v>
      </c>
      <c r="X6" s="12">
        <f si="0" t="shared"/>
        <v>-6.0166854795393188E-2</v>
      </c>
      <c r="Y6" s="12">
        <f si="0" t="shared"/>
        <v>-8.2996804321081419E-2</v>
      </c>
      <c r="Z6" s="12">
        <f si="0" t="shared"/>
        <v>3.8182403421358035E-2</v>
      </c>
      <c r="AA6" s="12">
        <f si="0" t="shared"/>
        <v>-1.9873795601171085E-2</v>
      </c>
      <c r="AB6" s="12">
        <f si="0" t="shared"/>
        <v>-4.3455429059093331E-2</v>
      </c>
      <c r="AC6" s="12">
        <f si="0" t="shared"/>
        <v>-0.24796381443534826</v>
      </c>
      <c r="AD6" s="12">
        <f si="0" t="shared"/>
        <v>-5.8939716285029919E-2</v>
      </c>
      <c r="AE6" s="12" t="e">
        <f si="0" t="shared"/>
        <v>#DIV/0!</v>
      </c>
      <c r="AF6" s="12">
        <f si="0" t="shared"/>
        <v>-4.9237759298623063E-2</v>
      </c>
    </row>
    <row r="7" spans="1:32" x14ac:dyDescent="0.2">
      <c r="A7" s="3" t="s">
        <v>223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223</v>
      </c>
      <c r="M7" s="12">
        <f>output!B6/SUM(output!B$4:B$7)</f>
        <v>0.23056648279600611</v>
      </c>
      <c r="N7" s="12">
        <f>output!C6/SUM(output!C$4:C$7)</f>
        <v>0.36092325611799803</v>
      </c>
      <c r="O7" s="12">
        <f>output!D6/SUM(output!D$4:D$7)</f>
        <v>0.22381671244005505</v>
      </c>
      <c r="P7" s="12">
        <f>output!E6/SUM(output!E$4:E$7)</f>
        <v>0.17099201729585897</v>
      </c>
      <c r="Q7" s="12">
        <f>output!F6/SUM(output!F$4:F$7)</f>
        <v>0.14375925012333499</v>
      </c>
      <c r="R7" s="12">
        <f>output!G6/SUM(output!G$4:G$7)</f>
        <v>0.12409031204515603</v>
      </c>
      <c r="S7" s="12">
        <f>output!H6/SUM(output!H$4:H$7)</f>
        <v>0.22839619230100922</v>
      </c>
      <c r="T7" s="12" t="e">
        <f>output!I6/SUM(output!I$4:I$7)</f>
        <v>#DIV/0!</v>
      </c>
      <c r="U7" s="12">
        <f>output!J6/SUM(output!J$4:J$7)</f>
        <v>0.21977327040466507</v>
      </c>
      <c r="W7" s="3" t="s">
        <v>223</v>
      </c>
      <c r="X7" s="12">
        <f si="0" t="shared"/>
        <v>4.2285357519763478E-3</v>
      </c>
      <c r="Y7" s="12">
        <f si="0" t="shared"/>
        <v>0.10385171133085014</v>
      </c>
      <c r="Z7" s="12">
        <f si="0" t="shared"/>
        <v>4.7843263096632949E-2</v>
      </c>
      <c r="AA7" s="12">
        <f si="0" t="shared"/>
        <v>-2.7676738187522837E-2</v>
      </c>
      <c r="AB7" s="12">
        <f si="0" t="shared"/>
        <v>-3.5352382742630029E-2</v>
      </c>
      <c r="AC7" s="12">
        <f si="0" t="shared"/>
        <v>-0.11846830813501658</v>
      </c>
      <c r="AD7" s="12">
        <f si="0" t="shared"/>
        <v>1.5128812037606021E-2</v>
      </c>
      <c r="AE7" s="12" t="e">
        <f si="0" t="shared"/>
        <v>#DIV/0!</v>
      </c>
      <c r="AF7" s="12">
        <f si="0" t="shared"/>
        <v>4.9673005670275439E-3</v>
      </c>
    </row>
    <row r="8" spans="1:32" x14ac:dyDescent="0.2">
      <c r="A8" s="8" t="s">
        <v>224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224</v>
      </c>
      <c r="M8" s="13">
        <f>output!B7/SUM(output!B$4:B$7)</f>
        <v>5.3233120160575492E-2</v>
      </c>
      <c r="N8" s="13">
        <f>output!C7/SUM(output!C$4:C$7)</f>
        <v>0.16357844943366176</v>
      </c>
      <c r="O8" s="13">
        <f>output!D7/SUM(output!D$4:D$7)</f>
        <v>8.3277253354189021E-2</v>
      </c>
      <c r="P8" s="13">
        <f>output!E7/SUM(output!E$4:E$7)</f>
        <v>8.7161150839847004E-2</v>
      </c>
      <c r="Q8" s="13">
        <f>output!F7/SUM(output!F$4:F$7)</f>
        <v>3.8842295675053443E-2</v>
      </c>
      <c r="R8" s="13">
        <f>output!G7/SUM(output!G$4:G$7)</f>
        <v>2.4086762043381022E-2</v>
      </c>
      <c r="S8" s="13">
        <f>output!H7/SUM(output!H$4:H$7)</f>
        <v>4.4416893259508684E-2</v>
      </c>
      <c r="T8" s="13" t="e">
        <f>output!I7/SUM(output!I$4:I$7)</f>
        <v>#DIV/0!</v>
      </c>
      <c r="U8" s="13">
        <f>output!J7/SUM(output!J$4:J$7)</f>
        <v>6.5219041025675162E-2</v>
      </c>
      <c r="W8" s="8" t="s">
        <v>224</v>
      </c>
      <c r="X8" s="13">
        <f si="0" t="shared"/>
        <v>-1.5284101603243797E-3</v>
      </c>
      <c r="Y8" s="13">
        <f si="0" t="shared"/>
        <v>3.3727336626072718E-2</v>
      </c>
      <c r="Z8" s="13">
        <f si="0" t="shared"/>
        <v>2.359927275667207E-2</v>
      </c>
      <c r="AA8" s="13">
        <f si="0" t="shared"/>
        <v>-2.2383568868707085E-2</v>
      </c>
      <c r="AB8" s="13">
        <f si="0" t="shared"/>
        <v>-1.4875202958592237E-2</v>
      </c>
      <c r="AC8" s="13">
        <f si="0" t="shared"/>
        <v>-2.0686003991911769E-3</v>
      </c>
      <c r="AD8" s="13">
        <f si="0" t="shared"/>
        <v>2.4735448422880602E-2</v>
      </c>
      <c r="AE8" s="13" t="e">
        <f si="0" t="shared"/>
        <v>#DIV/0!</v>
      </c>
      <c r="AF8" s="13">
        <f si="0" t="shared"/>
        <v>3.0865482373605146E-3</v>
      </c>
    </row>
    <row ht="13.5" r="9" spans="1:32" thickBot="1" x14ac:dyDescent="0.25">
      <c r="A9" s="15" t="s">
        <v>220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220</v>
      </c>
      <c r="M9" s="17">
        <f>SUM(M5:M8)</f>
        <v>0.99999999999999989</v>
      </c>
      <c r="N9" s="17">
        <f ref="N9:U9" si="2" t="shared">SUM(N5:N8)</f>
        <v>1</v>
      </c>
      <c r="O9" s="17">
        <f si="2" t="shared"/>
        <v>1.0000000000000002</v>
      </c>
      <c r="P9" s="17">
        <f si="2" t="shared"/>
        <v>1</v>
      </c>
      <c r="Q9" s="17">
        <f si="2" t="shared"/>
        <v>1</v>
      </c>
      <c r="R9" s="17">
        <f si="2" t="shared"/>
        <v>0.99999999999999989</v>
      </c>
      <c r="S9" s="17">
        <f si="2" t="shared"/>
        <v>0.99999999999999989</v>
      </c>
      <c r="T9" s="17" t="e">
        <f si="2" t="shared"/>
        <v>#DIV/0!</v>
      </c>
      <c r="U9" s="17">
        <f si="2" t="shared"/>
        <v>1</v>
      </c>
      <c r="W9" s="15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topLeftCell="L1" workbookViewId="0">
      <selection activeCell="J6" sqref="J6"/>
    </sheetView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27" t="s">
        <v>225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225</v>
      </c>
      <c r="M5" s="28">
        <f>output!B11/SUM(output!B$11:B$23)</f>
        <v>0.15161425982014773</v>
      </c>
      <c r="N5" s="28">
        <f>output!C11/SUM(output!C$11:C$23)</f>
        <v>0.11516606832933121</v>
      </c>
      <c r="O5" s="28">
        <f>output!D11/SUM(output!D$11:D$23)</f>
        <v>0.2504228784838215</v>
      </c>
      <c r="P5" s="28">
        <f>output!E11/SUM(output!E$11:E$23)</f>
        <v>0.408675694666772</v>
      </c>
      <c r="Q5" s="28">
        <f>output!F11/SUM(output!F$11:F$23)</f>
        <v>0.44921887847393521</v>
      </c>
      <c r="R5" s="28">
        <f>output!G11/SUM(output!G$11:G$23)</f>
        <v>0.45461968580811218</v>
      </c>
      <c r="S5" s="28">
        <f>output!H11/SUM(output!H$11:H$23)</f>
        <v>0.13118154155830108</v>
      </c>
      <c r="T5" s="28" t="e">
        <f>output!I11/SUM(output!I$11:I$23)</f>
        <v>#DIV/0!</v>
      </c>
      <c r="U5" s="28">
        <f>output!J11/SUM(output!J$11:J$23)</f>
        <v>0.22211657101459117</v>
      </c>
      <c r="W5" s="27" t="s">
        <v>225</v>
      </c>
      <c r="X5" s="12">
        <f ref="X5:X18" si="0" t="shared">M5-B5</f>
        <v>5.7488053759547422E-2</v>
      </c>
      <c r="Y5" s="12">
        <f ref="Y5:Y18" si="1" t="shared">N5-C5</f>
        <v>-5.456171175302002E-2</v>
      </c>
      <c r="Z5" s="12">
        <f ref="Z5:Z18" si="2" t="shared">O5-D5</f>
        <v>-0.10962190279686784</v>
      </c>
      <c r="AA5" s="12">
        <f ref="AA5:AA18" si="3" t="shared">P5-E5</f>
        <v>6.9949394862839243E-2</v>
      </c>
      <c r="AB5" s="12">
        <f ref="AB5:AB18" si="4" t="shared">Q5-F5</f>
        <v>9.3683014760315597E-2</v>
      </c>
      <c r="AC5" s="12">
        <f ref="AC5:AC18" si="5" t="shared">R5-G5</f>
        <v>0.36852493147992954</v>
      </c>
      <c r="AD5" s="12">
        <f ref="AD5:AD18" si="6" t="shared">S5-H5</f>
        <v>1.9265201687403838E-2</v>
      </c>
      <c r="AE5" s="12" t="e">
        <f ref="AE5:AE18" si="7" t="shared">T5-I5</f>
        <v>#DIV/0!</v>
      </c>
      <c r="AF5" s="12">
        <f ref="AF5:AF18" si="8" t="shared">U5-J5</f>
        <v>4.1247932964329131E-2</v>
      </c>
    </row>
    <row r="6" spans="1:32" x14ac:dyDescent="0.2">
      <c r="A6" s="27" t="s">
        <v>230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230</v>
      </c>
      <c r="M6" s="28">
        <f>output!B12/SUM(output!B$11:B$23)</f>
        <v>0.27422708510086469</v>
      </c>
      <c r="N6" s="28">
        <f>output!C12/SUM(output!C$11:C$23)</f>
        <v>2.6913292598844535E-2</v>
      </c>
      <c r="O6" s="28">
        <f>output!D12/SUM(output!D$11:D$23)</f>
        <v>0.1758325704342765</v>
      </c>
      <c r="P6" s="28">
        <f>output!E12/SUM(output!E$11:E$23)</f>
        <v>0.16253726440786492</v>
      </c>
      <c r="Q6" s="28">
        <f>output!F12/SUM(output!F$11:F$23)</f>
        <v>0.24759085676697912</v>
      </c>
      <c r="R6" s="28">
        <f>output!G12/SUM(output!G$11:G$23)</f>
        <v>0.31671252329812727</v>
      </c>
      <c r="S6" s="28">
        <f>output!H12/SUM(output!H$11:H$23)</f>
        <v>0.38382346716581461</v>
      </c>
      <c r="T6" s="28" t="e">
        <f>output!I12/SUM(output!I$11:I$23)</f>
        <v>#DIV/0!</v>
      </c>
      <c r="U6" s="28">
        <f>output!J12/SUM(output!J$11:J$23)</f>
        <v>0.24771257367007657</v>
      </c>
      <c r="W6" s="27" t="s">
        <v>230</v>
      </c>
      <c r="X6" s="12">
        <f si="0" t="shared"/>
        <v>-1.1894453317870202E-2</v>
      </c>
      <c r="Y6" s="12">
        <f si="1" t="shared"/>
        <v>-0.17624247871346579</v>
      </c>
      <c r="Z6" s="12">
        <f si="2" t="shared"/>
        <v>-2.1638246701138841E-2</v>
      </c>
      <c r="AA6" s="12">
        <f si="3" t="shared"/>
        <v>-1.3146335926198988E-2</v>
      </c>
      <c r="AB6" s="12">
        <f si="4" t="shared"/>
        <v>5.7880182350267262E-4</v>
      </c>
      <c r="AC6" s="12">
        <f si="5" t="shared"/>
        <v>-6.6534572305110118E-2</v>
      </c>
      <c r="AD6" s="12">
        <f si="6" t="shared"/>
        <v>-8.5458171212371092E-2</v>
      </c>
      <c r="AE6" s="12" t="e">
        <f si="7" t="shared"/>
        <v>#DIV/0!</v>
      </c>
      <c r="AF6" s="12">
        <f si="8" t="shared"/>
        <v>-3.7512179812320662E-2</v>
      </c>
    </row>
    <row r="7" spans="1:32" x14ac:dyDescent="0.2">
      <c r="A7" s="27" t="s">
        <v>231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231</v>
      </c>
      <c r="M7" s="28">
        <f>output!B13/SUM(output!B$11:B$23)</f>
        <v>0.14093800415855251</v>
      </c>
      <c r="N7" s="28">
        <f>output!C13/SUM(output!C$11:C$23)</f>
        <v>6.9375430921756492E-2</v>
      </c>
      <c r="O7" s="28">
        <f>output!D13/SUM(output!D$11:D$23)</f>
        <v>0.12960391897708878</v>
      </c>
      <c r="P7" s="28">
        <f>output!E13/SUM(output!E$11:E$23)</f>
        <v>8.8137340911642298E-2</v>
      </c>
      <c r="Q7" s="28">
        <f>output!F13/SUM(output!F$11:F$23)</f>
        <v>7.2471632955106072E-2</v>
      </c>
      <c r="R7" s="28">
        <f>output!G13/SUM(output!G$11:G$23)</f>
        <v>5.215230318629626E-2</v>
      </c>
      <c r="S7" s="28">
        <f>output!H13/SUM(output!H$11:H$23)</f>
        <v>0.12976593032935299</v>
      </c>
      <c r="T7" s="28" t="e">
        <f>output!I13/SUM(output!I$11:I$23)</f>
        <v>#DIV/0!</v>
      </c>
      <c r="U7" s="28">
        <f>output!J13/SUM(output!J$11:J$23)</f>
        <v>0.11954411947819846</v>
      </c>
      <c r="W7" s="27" t="s">
        <v>231</v>
      </c>
      <c r="X7" s="12">
        <f si="0" t="shared"/>
        <v>-5.809497099608929E-3</v>
      </c>
      <c r="Y7" s="12">
        <f si="1" t="shared"/>
        <v>-3.446242896385153E-2</v>
      </c>
      <c r="Z7" s="12">
        <f si="2" t="shared"/>
        <v>4.1517853865502954E-2</v>
      </c>
      <c r="AA7" s="12">
        <f si="3" t="shared"/>
        <v>1.0143770968917651E-2</v>
      </c>
      <c r="AB7" s="12">
        <f si="4" t="shared"/>
        <v>-8.0140260234719957E-3</v>
      </c>
      <c r="AC7" s="12">
        <f si="5" t="shared"/>
        <v>-0.11512258073710338</v>
      </c>
      <c r="AD7" s="12">
        <f si="6" t="shared"/>
        <v>3.2488734625962537E-2</v>
      </c>
      <c r="AE7" s="12" t="e">
        <f si="7" t="shared"/>
        <v>#DIV/0!</v>
      </c>
      <c r="AF7" s="12">
        <f si="8" t="shared"/>
        <v>3.0513750955252356E-3</v>
      </c>
    </row>
    <row r="8" spans="1:32" x14ac:dyDescent="0.2">
      <c r="A8" s="27" t="s">
        <v>207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207</v>
      </c>
      <c r="M8" s="28">
        <f>output!B14/SUM(output!B$11:B$23)</f>
        <v>8.3248711625337576E-2</v>
      </c>
      <c r="N8" s="28">
        <f>output!C14/SUM(output!C$11:C$23)</f>
        <v>9.1937899717077581E-2</v>
      </c>
      <c r="O8" s="28">
        <f>output!D14/SUM(output!D$11:D$23)</f>
        <v>8.523047635215017E-2</v>
      </c>
      <c r="P8" s="28">
        <f>output!E14/SUM(output!E$11:E$23)</f>
        <v>5.2201354615797196E-2</v>
      </c>
      <c r="Q8" s="28">
        <f>output!F14/SUM(output!F$11:F$23)</f>
        <v>3.2461766156882094E-2</v>
      </c>
      <c r="R8" s="28">
        <f>output!G14/SUM(output!G$11:G$23)</f>
        <v>2.0466850093192508E-2</v>
      </c>
      <c r="S8" s="28">
        <f>output!H14/SUM(output!H$11:H$23)</f>
        <v>5.6694994568003421E-2</v>
      </c>
      <c r="T8" s="28" t="e">
        <f>output!I14/SUM(output!I$11:I$23)</f>
        <v>#DIV/0!</v>
      </c>
      <c r="U8" s="28">
        <f>output!J14/SUM(output!J$11:J$23)</f>
        <v>7.0809836482560562E-2</v>
      </c>
      <c r="W8" s="27" t="s">
        <v>207</v>
      </c>
      <c r="X8" s="12">
        <f si="0" t="shared"/>
        <v>-8.3064644851404967E-3</v>
      </c>
      <c r="Y8" s="12">
        <f si="1" t="shared"/>
        <v>2.9566455364161623E-2</v>
      </c>
      <c r="Z8" s="12">
        <f si="2" t="shared"/>
        <v>2.7983884987424414E-2</v>
      </c>
      <c r="AA8" s="12">
        <f si="3" t="shared"/>
        <v>1.2179071740353854E-2</v>
      </c>
      <c r="AB8" s="12">
        <f si="4" t="shared"/>
        <v>-1.6303346673269499E-2</v>
      </c>
      <c r="AC8" s="12">
        <f si="5" t="shared"/>
        <v>-9.6631714964033298E-3</v>
      </c>
      <c r="AD8" s="12">
        <f si="6" t="shared"/>
        <v>2.3284725526051681E-3</v>
      </c>
      <c r="AE8" s="12" t="e">
        <f si="7" t="shared"/>
        <v>#DIV/0!</v>
      </c>
      <c r="AF8" s="12">
        <f si="8" t="shared"/>
        <v>3.2723731759406322E-3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6.6182234862971451E-2</v>
      </c>
      <c r="N9" s="28">
        <f>output!C15/SUM(output!C$11:C$23)</f>
        <v>0.17213095266398801</v>
      </c>
      <c r="O9" s="28">
        <f>output!D15/SUM(output!D$11:D$23)</f>
        <v>5.1818529049781438E-2</v>
      </c>
      <c r="P9" s="28">
        <f>output!E15/SUM(output!E$11:E$23)</f>
        <v>3.0322937412426042E-2</v>
      </c>
      <c r="Q9" s="28">
        <f>output!F15/SUM(output!F$11:F$23)</f>
        <v>1.5655319848709093E-2</v>
      </c>
      <c r="R9" s="28">
        <f>output!G15/SUM(output!G$11:G$23)</f>
        <v>7.8814236265199247E-3</v>
      </c>
      <c r="S9" s="28">
        <f>output!H15/SUM(output!H$11:H$23)</f>
        <v>2.5857244308161165E-2</v>
      </c>
      <c r="T9" s="28" t="e">
        <f>output!I15/SUM(output!I$11:I$23)</f>
        <v>#DIV/0!</v>
      </c>
      <c r="U9" s="28">
        <f>output!J15/SUM(output!J$11:J$23)</f>
        <v>5.4854284567088629E-2</v>
      </c>
      <c r="W9" s="27" t="s">
        <v>9</v>
      </c>
      <c r="X9" s="12">
        <f si="0" t="shared"/>
        <v>-3.4167865924124102E-2</v>
      </c>
      <c r="Y9" s="12">
        <f si="1" t="shared"/>
        <v>9.8146465891910506E-2</v>
      </c>
      <c r="Z9" s="12">
        <f si="2" t="shared"/>
        <v>-9.6817861168631836E-3</v>
      </c>
      <c r="AA9" s="12">
        <f si="3" t="shared"/>
        <v>-2.9037834439473439E-2</v>
      </c>
      <c r="AB9" s="12">
        <f si="4" t="shared"/>
        <v>-1.9716858185854478E-2</v>
      </c>
      <c r="AC9" s="12">
        <f si="5" t="shared"/>
        <v>-5.6657838306319867E-2</v>
      </c>
      <c r="AD9" s="12">
        <f si="6" t="shared"/>
        <v>-8.3522346239358475E-3</v>
      </c>
      <c r="AE9" s="12" t="e">
        <f si="7" t="shared"/>
        <v>#DIV/0!</v>
      </c>
      <c r="AF9" s="12">
        <f si="8" t="shared"/>
        <v>-1.8083653585006632E-2</v>
      </c>
    </row>
    <row r="10" spans="1:32" x14ac:dyDescent="0.2">
      <c r="A10" s="27" t="s">
        <v>232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232</v>
      </c>
      <c r="M10" s="28">
        <f>output!B16/SUM(output!B$11:B$23)</f>
        <v>8.212921405115986E-2</v>
      </c>
      <c r="N10" s="28">
        <f>output!C16/SUM(output!C$11:C$23)</f>
        <v>2.5272818049975037E-2</v>
      </c>
      <c r="O10" s="28">
        <f>output!D16/SUM(output!D$11:D$23)</f>
        <v>5.8942288454659542E-2</v>
      </c>
      <c r="P10" s="28">
        <f>output!E16/SUM(output!E$11:E$23)</f>
        <v>5.263792508450757E-2</v>
      </c>
      <c r="Q10" s="28">
        <f>output!F16/SUM(output!F$11:F$23)</f>
        <v>6.9478704160499921E-2</v>
      </c>
      <c r="R10" s="28">
        <f>output!G16/SUM(output!G$11:G$23)</f>
        <v>7.2565900417147416E-2</v>
      </c>
      <c r="S10" s="28">
        <f>output!H16/SUM(output!H$11:H$23)</f>
        <v>0.11375682526842529</v>
      </c>
      <c r="T10" s="28" t="e">
        <f>output!I16/SUM(output!I$11:I$23)</f>
        <v>#DIV/0!</v>
      </c>
      <c r="U10" s="28">
        <f>output!J16/SUM(output!J$11:J$23)</f>
        <v>7.5281812388758265E-2</v>
      </c>
      <c r="W10" s="27" t="s">
        <v>232</v>
      </c>
      <c r="X10" s="12">
        <f si="0" t="shared"/>
        <v>9.8484656250899943E-3</v>
      </c>
      <c r="Y10" s="12">
        <f si="1" t="shared"/>
        <v>-5.8632951033338071E-2</v>
      </c>
      <c r="Z10" s="12">
        <f si="2" t="shared"/>
        <v>2.4144229263945091E-3</v>
      </c>
      <c r="AA10" s="12">
        <f si="3" t="shared"/>
        <v>-1.8132443787529665E-2</v>
      </c>
      <c r="AB10" s="12">
        <f si="4" t="shared"/>
        <v>-1.7218487249606299E-2</v>
      </c>
      <c r="AC10" s="12">
        <f si="5" t="shared"/>
        <v>-5.2261218412254853E-2</v>
      </c>
      <c r="AD10" s="12">
        <f si="6" t="shared"/>
        <v>-7.0636626979450751E-3</v>
      </c>
      <c r="AE10" s="12" t="e">
        <f si="7" t="shared"/>
        <v>#DIV/0!</v>
      </c>
      <c r="AF10" s="12">
        <f si="8" t="shared"/>
        <v>-6.4090076795605411E-3</v>
      </c>
    </row>
    <row r="11" spans="1:32" x14ac:dyDescent="0.2">
      <c r="A11" s="27" t="s">
        <v>233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233</v>
      </c>
      <c r="M11" s="28">
        <f>output!B17/SUM(output!B$11:B$23)</f>
        <v>6.4728646389693584E-2</v>
      </c>
      <c r="N11" s="28">
        <f>output!C17/SUM(output!C$11:C$23)</f>
        <v>7.9146953234587855E-2</v>
      </c>
      <c r="O11" s="28">
        <f>output!D17/SUM(output!D$11:D$23)</f>
        <v>6.3331736802856781E-2</v>
      </c>
      <c r="P11" s="28">
        <f>output!E17/SUM(output!E$11:E$23)</f>
        <v>4.4463662784654343E-2</v>
      </c>
      <c r="Q11" s="28">
        <f>output!F17/SUM(output!F$11:F$23)</f>
        <v>3.8743627692813684E-2</v>
      </c>
      <c r="R11" s="28">
        <f>output!G17/SUM(output!G$11:G$23)</f>
        <v>2.6945948344723528E-2</v>
      </c>
      <c r="S11" s="28">
        <f>output!H17/SUM(output!H$11:H$23)</f>
        <v>6.0965343391541138E-2</v>
      </c>
      <c r="T11" s="28" t="e">
        <f>output!I17/SUM(output!I$11:I$23)</f>
        <v>#DIV/0!</v>
      </c>
      <c r="U11" s="28">
        <f>output!J17/SUM(output!J$11:J$23)</f>
        <v>5.9135156083012549E-2</v>
      </c>
      <c r="W11" s="27" t="s">
        <v>233</v>
      </c>
      <c r="X11" s="12">
        <f si="0" t="shared"/>
        <v>6.576381595302716E-3</v>
      </c>
      <c r="Y11" s="12">
        <f si="1" t="shared"/>
        <v>2.1610680595341845E-2</v>
      </c>
      <c r="Z11" s="12">
        <f si="2" t="shared"/>
        <v>2.3022830593605548E-2</v>
      </c>
      <c r="AA11" s="12">
        <f si="3" t="shared"/>
        <v>-1.019653432413288E-2</v>
      </c>
      <c r="AB11" s="12">
        <f si="4" t="shared"/>
        <v>6.699071400505574E-3</v>
      </c>
      <c r="AC11" s="12">
        <f si="5" t="shared"/>
        <v>-2.9146178324342426E-2</v>
      </c>
      <c r="AD11" s="12">
        <f si="6" t="shared"/>
        <v>4.8210660606713765E-3</v>
      </c>
      <c r="AE11" s="12" t="e">
        <f si="7" t="shared"/>
        <v>#DIV/0!</v>
      </c>
      <c r="AF11" s="12">
        <f si="8" t="shared"/>
        <v>5.0590151269542943E-3</v>
      </c>
    </row>
    <row r="12" spans="1:32" x14ac:dyDescent="0.2">
      <c r="A12" s="27" t="s">
        <v>208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208</v>
      </c>
      <c r="M12" s="28">
        <f>output!B18/SUM(output!B$11:B$23)</f>
        <v>4.6314083543239126E-2</v>
      </c>
      <c r="N12" s="28">
        <f>output!C18/SUM(output!C$11:C$23)</f>
        <v>0.10834264520577257</v>
      </c>
      <c r="O12" s="28">
        <f>output!D18/SUM(output!D$11:D$23)</f>
        <v>5.586239928216756E-2</v>
      </c>
      <c r="P12" s="28">
        <f>output!E18/SUM(output!E$11:E$23)</f>
        <v>3.8630249759886243E-2</v>
      </c>
      <c r="Q12" s="28">
        <f>output!F18/SUM(output!F$11:F$23)</f>
        <v>2.1180726854135832E-2</v>
      </c>
      <c r="R12" s="28">
        <f>output!G18/SUM(output!G$11:G$23)</f>
        <v>1.6330877784680925E-2</v>
      </c>
      <c r="S12" s="28">
        <f>output!H18/SUM(output!H$11:H$23)</f>
        <v>3.4341505627172211E-2</v>
      </c>
      <c r="T12" s="28" t="e">
        <f>output!I18/SUM(output!I$11:I$23)</f>
        <v>#DIV/0!</v>
      </c>
      <c r="U12" s="28">
        <f>output!J18/SUM(output!J$11:J$23)</f>
        <v>4.5769168536093759E-2</v>
      </c>
      <c r="W12" s="27" t="s">
        <v>208</v>
      </c>
      <c r="X12" s="12">
        <f si="0" t="shared"/>
        <v>3.8025841395632198E-4</v>
      </c>
      <c r="Y12" s="12">
        <f si="1" t="shared"/>
        <v>6.2828104228467213E-2</v>
      </c>
      <c r="Z12" s="12">
        <f si="2" t="shared"/>
        <v>1.5116491842375533E-2</v>
      </c>
      <c r="AA12" s="12">
        <f si="3" t="shared"/>
        <v>8.562712745627709E-3</v>
      </c>
      <c r="AB12" s="12">
        <f si="4" t="shared"/>
        <v>-9.1027129080452698E-4</v>
      </c>
      <c r="AC12" s="12">
        <f si="5" t="shared"/>
        <v>-1.3625170990029474E-2</v>
      </c>
      <c r="AD12" s="12">
        <f si="6" t="shared"/>
        <v>8.6074886936527151E-3</v>
      </c>
      <c r="AE12" s="12" t="e">
        <f si="7" t="shared"/>
        <v>#DIV/0!</v>
      </c>
      <c r="AF12" s="12">
        <f si="8" t="shared"/>
        <v>8.0787914427111265E-3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3.7397666345763567E-2</v>
      </c>
      <c r="N13" s="28">
        <f>output!C19/SUM(output!C$11:C$23)</f>
        <v>0.14814198426095432</v>
      </c>
      <c r="O13" s="28">
        <f>output!D19/SUM(output!D$11:D$23)</f>
        <v>4.5676939026682267E-2</v>
      </c>
      <c r="P13" s="28">
        <f>output!E19/SUM(output!E$11:E$23)</f>
        <v>3.5258262615847094E-2</v>
      </c>
      <c r="Q13" s="28">
        <f>output!F19/SUM(output!F$11:F$23)</f>
        <v>1.4356191415885546E-2</v>
      </c>
      <c r="R13" s="28">
        <f>output!G19/SUM(output!G$11:G$23)</f>
        <v>8.2364427087955969E-3</v>
      </c>
      <c r="S13" s="28">
        <f>output!H19/SUM(output!H$11:H$23)</f>
        <v>1.9221272733258399E-2</v>
      </c>
      <c r="T13" s="28" t="e">
        <f>output!I19/SUM(output!I$11:I$23)</f>
        <v>#DIV/0!</v>
      </c>
      <c r="U13" s="28">
        <f>output!J19/SUM(output!J$11:J$23)</f>
        <v>3.9567265083097117E-2</v>
      </c>
      <c r="W13" s="27" t="s">
        <v>10</v>
      </c>
      <c r="X13" s="12">
        <f si="0" t="shared"/>
        <v>-1.2573442348522652E-2</v>
      </c>
      <c r="Y13" s="12">
        <f si="1" t="shared"/>
        <v>7.8027022173670912E-2</v>
      </c>
      <c r="Z13" s="12">
        <f si="2" t="shared"/>
        <v>7.2861688605684455E-3</v>
      </c>
      <c r="AA13" s="12">
        <f si="3" t="shared"/>
        <v>-7.9123898724517486E-3</v>
      </c>
      <c r="AB13" s="12">
        <f si="4" t="shared"/>
        <v>-2.3922695602724767E-2</v>
      </c>
      <c r="AC13" s="12">
        <f si="5" t="shared"/>
        <v>-2.3446883198198376E-2</v>
      </c>
      <c r="AD13" s="12">
        <f si="6" t="shared"/>
        <v>8.652674700614876E-3</v>
      </c>
      <c r="AE13" s="12" t="e">
        <f si="7" t="shared"/>
        <v>#DIV/0!</v>
      </c>
      <c r="AF13" s="12">
        <f si="8" t="shared"/>
        <v>-1.7813666367806624E-3</v>
      </c>
    </row>
    <row r="14" spans="1:32" x14ac:dyDescent="0.2">
      <c r="A14" s="27" t="s">
        <v>226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226</v>
      </c>
      <c r="M14" s="28">
        <f>output!B20/SUM(output!B$11:B$23)</f>
        <v>1.5396022266865364E-2</v>
      </c>
      <c r="N14" s="28">
        <f>output!C20/SUM(output!C$11:C$23)</f>
        <v>1.684458286773971E-2</v>
      </c>
      <c r="O14" s="28">
        <f>output!D20/SUM(output!D$11:D$23)</f>
        <v>1.8885540890378985E-2</v>
      </c>
      <c r="P14" s="28">
        <f>output!E20/SUM(output!E$11:E$23)</f>
        <v>2.1375321710857299E-2</v>
      </c>
      <c r="Q14" s="28">
        <f>output!F20/SUM(output!F$11:F$23)</f>
        <v>1.5063311955270515E-2</v>
      </c>
      <c r="R14" s="28">
        <f>output!G20/SUM(output!G$11:G$23)</f>
        <v>1.109434632111476E-2</v>
      </c>
      <c r="S14" s="28">
        <f>output!H20/SUM(output!H$11:H$23)</f>
        <v>1.8139576445357877E-2</v>
      </c>
      <c r="T14" s="28" t="e">
        <f>output!I20/SUM(output!I$11:I$23)</f>
        <v>#DIV/0!</v>
      </c>
      <c r="U14" s="28">
        <f>output!J20/SUM(output!J$11:J$23)</f>
        <v>1.7031596147814916E-2</v>
      </c>
      <c r="W14" s="27" t="s">
        <v>226</v>
      </c>
      <c r="X14" s="12">
        <f si="0" t="shared"/>
        <v>-6.5516696865670389E-4</v>
      </c>
      <c r="Y14" s="12">
        <f si="1" t="shared"/>
        <v>-1.9527255279004056E-2</v>
      </c>
      <c r="Z14" s="12">
        <f si="2" t="shared"/>
        <v>3.4100696356201277E-3</v>
      </c>
      <c r="AA14" s="12">
        <f si="3" t="shared"/>
        <v>-1.1531314704856868E-3</v>
      </c>
      <c r="AB14" s="12">
        <f si="4" t="shared"/>
        <v>-1.644317314570062E-2</v>
      </c>
      <c r="AC14" s="12">
        <f si="5" t="shared"/>
        <v>7.5905129858141497E-4</v>
      </c>
      <c r="AD14" s="12">
        <f si="6" t="shared"/>
        <v>1.2751796706646144E-2</v>
      </c>
      <c r="AE14" s="12" t="e">
        <f si="7" t="shared"/>
        <v>#DIV/0!</v>
      </c>
      <c r="AF14" s="12">
        <f si="8" t="shared"/>
        <v>-1.6187340335473838E-4</v>
      </c>
    </row>
    <row r="15" spans="1:32" x14ac:dyDescent="0.2">
      <c r="A15" s="27" t="s">
        <v>229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229</v>
      </c>
      <c r="M15" s="28">
        <f>output!B21/SUM(output!B$11:B$23)</f>
        <v>1.5626076087736959E-2</v>
      </c>
      <c r="N15" s="28">
        <f>output!C21/SUM(output!C$11:C$23)</f>
        <v>4.4566225244288056E-2</v>
      </c>
      <c r="O15" s="28">
        <f>output!D21/SUM(output!D$11:D$23)</f>
        <v>2.474218053728303E-2</v>
      </c>
      <c r="P15" s="28">
        <f>output!E21/SUM(output!E$11:E$23)</f>
        <v>2.2734926884841026E-2</v>
      </c>
      <c r="Q15" s="28">
        <f>output!F21/SUM(output!F$11:F$23)</f>
        <v>1.1050814010853479E-2</v>
      </c>
      <c r="R15" s="28">
        <f>output!G21/SUM(output!G$11:G$23)</f>
        <v>6.9406230584893938E-3</v>
      </c>
      <c r="S15" s="28">
        <f>output!H21/SUM(output!H$11:H$23)</f>
        <v>1.4174924398835531E-2</v>
      </c>
      <c r="T15" s="28" t="e">
        <f>output!I21/SUM(output!I$11:I$23)</f>
        <v>#DIV/0!</v>
      </c>
      <c r="U15" s="28">
        <f>output!J21/SUM(output!J$11:J$23)</f>
        <v>1.8670299647688737E-2</v>
      </c>
      <c r="W15" s="27" t="s">
        <v>229</v>
      </c>
      <c r="X15" s="12">
        <f si="0" t="shared"/>
        <v>4.1131453664526064E-3</v>
      </c>
      <c r="Y15" s="12">
        <f si="1" t="shared"/>
        <v>1.2877105777272066E-2</v>
      </c>
      <c r="Z15" s="12">
        <f si="2" t="shared"/>
        <v>6.021755144494937E-3</v>
      </c>
      <c r="AA15" s="12">
        <f si="3" t="shared"/>
        <v>-7.2200234013220337E-3</v>
      </c>
      <c r="AB15" s="12">
        <f si="4" t="shared"/>
        <v>4.4494699405975766E-3</v>
      </c>
      <c r="AC15" s="12">
        <f si="5" t="shared"/>
        <v>-4.7227166935279556E-3</v>
      </c>
      <c r="AD15" s="12">
        <f si="6" t="shared"/>
        <v>8.9597361247651733E-3</v>
      </c>
      <c r="AE15" s="12" t="e">
        <f si="7" t="shared"/>
        <v>#DIV/0!</v>
      </c>
      <c r="AF15" s="12">
        <f si="8" t="shared"/>
        <v>3.4640088133050164E-3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1.2036064233371285E-2</v>
      </c>
      <c r="N16" s="28">
        <f>output!C22/SUM(output!C$11:C$23)</f>
        <v>5.0165236204560044E-2</v>
      </c>
      <c r="O16" s="28">
        <f>output!D22/SUM(output!D$11:D$23)</f>
        <v>2.2244317665104492E-2</v>
      </c>
      <c r="P16" s="28">
        <f>output!E22/SUM(output!E$11:E$23)</f>
        <v>2.1562423340304601E-2</v>
      </c>
      <c r="Q16" s="28">
        <f>output!F22/SUM(output!F$11:F$23)</f>
        <v>8.0907745436605821E-3</v>
      </c>
      <c r="R16" s="28">
        <f>output!G22/SUM(output!G$11:G$23)</f>
        <v>4.0649684920564481E-3</v>
      </c>
      <c r="S16" s="28">
        <f>output!H22/SUM(output!H$11:H$23)</f>
        <v>7.9198980383672971E-3</v>
      </c>
      <c r="T16" s="28" t="e">
        <f>output!I22/SUM(output!I$11:I$23)</f>
        <v>#DIV/0!</v>
      </c>
      <c r="U16" s="28">
        <f>output!J22/SUM(output!J$11:J$23)</f>
        <v>1.5777099035355645E-2</v>
      </c>
      <c r="W16" s="27" t="s">
        <v>11</v>
      </c>
      <c r="X16" s="12">
        <f si="0" t="shared"/>
        <v>1.6135385743168938E-4</v>
      </c>
      <c r="Y16" s="12">
        <f si="1" t="shared"/>
        <v>2.9437785778135894E-2</v>
      </c>
      <c r="Z16" s="12">
        <f si="2" t="shared"/>
        <v>1.0579279414170443E-2</v>
      </c>
      <c r="AA16" s="12">
        <f si="3" t="shared"/>
        <v>6.6645999552647078E-3</v>
      </c>
      <c r="AB16" s="12">
        <f si="4" t="shared"/>
        <v>5.0661583566082979E-3</v>
      </c>
      <c r="AC16" s="12">
        <f si="5" t="shared"/>
        <v>-9.1759175965056179E-5</v>
      </c>
      <c r="AD16" s="12">
        <f si="6" t="shared"/>
        <v>5.6350000947329205E-3</v>
      </c>
      <c r="AE16" s="12" t="e">
        <f si="7" t="shared"/>
        <v>#DIV/0!</v>
      </c>
      <c r="AF16" s="12">
        <f si="8" t="shared"/>
        <v>5.1759591530567816E-3</v>
      </c>
    </row>
    <row r="17" spans="1:32" x14ac:dyDescent="0.2">
      <c r="A17" s="29" t="s">
        <v>206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206</v>
      </c>
      <c r="M17" s="30">
        <f>output!B23/SUM(output!B$11:B$23)</f>
        <v>1.0161931514296306E-2</v>
      </c>
      <c r="N17" s="30">
        <f>output!C23/SUM(output!C$11:C$23)</f>
        <v>5.1995910701124561E-2</v>
      </c>
      <c r="O17" s="30">
        <f>output!D23/SUM(output!D$11:D$23)</f>
        <v>1.7406224043748978E-2</v>
      </c>
      <c r="P17" s="30">
        <f>output!E23/SUM(output!E$11:E$23)</f>
        <v>2.1462635804599374E-2</v>
      </c>
      <c r="Q17" s="30">
        <f>output!F23/SUM(output!F$11:F$23)</f>
        <v>4.6373951652688705E-3</v>
      </c>
      <c r="R17" s="30">
        <f>output!G23/SUM(output!G$11:G$23)</f>
        <v>1.9881068607437648E-3</v>
      </c>
      <c r="S17" s="30">
        <f>output!H23/SUM(output!H$11:H$23)</f>
        <v>4.1574761674089611E-3</v>
      </c>
      <c r="T17" s="30" t="e">
        <f>output!I23/SUM(output!I$11:I$23)</f>
        <v>#DIV/0!</v>
      </c>
      <c r="U17" s="30">
        <f>output!J23/SUM(output!J$11:J$23)</f>
        <v>1.3730217865663601E-2</v>
      </c>
      <c r="W17" s="29" t="s">
        <v>206</v>
      </c>
      <c r="X17" s="12">
        <f si="0" t="shared"/>
        <v>-5.1607684738575518E-3</v>
      </c>
      <c r="Y17" s="12">
        <f si="1" t="shared"/>
        <v>1.0933205933719409E-2</v>
      </c>
      <c r="Z17" s="12">
        <f si="2" t="shared"/>
        <v>3.5891783447130291E-3</v>
      </c>
      <c r="AA17" s="12">
        <f si="3" t="shared"/>
        <v>-2.0700857051408797E-2</v>
      </c>
      <c r="AB17" s="12">
        <f si="4" t="shared"/>
        <v>-7.9476581100974848E-3</v>
      </c>
      <c r="AC17" s="12">
        <f si="5" t="shared"/>
        <v>1.9881068607437648E-3</v>
      </c>
      <c r="AD17" s="12">
        <f si="6" t="shared"/>
        <v>-2.6361027128026498E-3</v>
      </c>
      <c r="AE17" s="12" t="e">
        <f si="7" t="shared"/>
        <v>#DIV/0!</v>
      </c>
      <c r="AF17" s="12">
        <f si="8" t="shared"/>
        <v>-5.4013746547988007E-3</v>
      </c>
    </row>
    <row ht="13.5" r="18" spans="1:32" thickBot="1" x14ac:dyDescent="0.25">
      <c r="A18" s="15" t="s">
        <v>220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220</v>
      </c>
      <c r="M18" s="31">
        <f>SUM(M5:M17)</f>
        <v>0.99999999999999989</v>
      </c>
      <c r="N18" s="31">
        <f ref="N18:U18" si="10" t="shared">SUM(N5:N17)</f>
        <v>1</v>
      </c>
      <c r="O18" s="31">
        <f si="10" t="shared"/>
        <v>1</v>
      </c>
      <c r="P18" s="31">
        <f si="10" t="shared"/>
        <v>1</v>
      </c>
      <c r="Q18" s="31">
        <f si="10" t="shared"/>
        <v>1.0000000000000002</v>
      </c>
      <c r="R18" s="31">
        <f si="10" t="shared"/>
        <v>0.99999999999999989</v>
      </c>
      <c r="S18" s="31">
        <f si="10" t="shared"/>
        <v>0.99999999999999989</v>
      </c>
      <c r="T18" s="31" t="e">
        <f si="10" t="shared"/>
        <v>#DIV/0!</v>
      </c>
      <c r="U18" s="31">
        <f si="10" t="shared"/>
        <v>1</v>
      </c>
      <c r="W18" s="15" t="s">
        <v>220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46" workbookViewId="0">
      <selection activeCell="Y69" sqref="Y69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3" t="s">
        <v>225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225</v>
      </c>
      <c r="M5" s="42">
        <f>output!B29/SUM(output!B$29:B$32)</f>
        <v>0.23517361736921</v>
      </c>
      <c r="N5" s="42">
        <f>output!C29/SUM(output!C$29:C$32)</f>
        <v>0.32579701875757794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0.83024173655648748</v>
      </c>
      <c r="R5" s="42">
        <f>output!G29/SUM(output!G$29:G$32)</f>
        <v>0.96872448436224223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0.60671795851604693</v>
      </c>
      <c r="W5" s="3" t="s">
        <v>225</v>
      </c>
      <c r="X5" s="12">
        <f ref="X5:AF6" si="0" t="shared">M5-B5</f>
        <v>3.6761035277786597E-2</v>
      </c>
      <c r="Y5" s="12">
        <f si="0" t="shared"/>
        <v>-0.15750547314757529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6.9760856391525849E-2</v>
      </c>
      <c r="AC5" s="12">
        <f si="0" t="shared"/>
        <v>2.3632362733452705E-2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9.1726909651493882E-3</v>
      </c>
    </row>
    <row r="6" spans="1:32" x14ac:dyDescent="0.2">
      <c r="A6" s="3" t="s">
        <v>234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234</v>
      </c>
      <c r="M6" s="42">
        <f>output!B30/SUM(output!B$29:B$32)</f>
        <v>1.9473982671232575E-3</v>
      </c>
      <c r="N6" s="42">
        <f>output!C30/SUM(output!C$29:C$32)</f>
        <v>3.3283408221001831E-4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5.8378556158526556E-3</v>
      </c>
      <c r="R6" s="42">
        <f>output!G30/SUM(output!G$29:G$32)</f>
        <v>1.8460009230004614E-3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1.2089555915194695E-3</v>
      </c>
      <c r="W6" s="3" t="s">
        <v>234</v>
      </c>
      <c r="X6" s="12">
        <f si="0" t="shared"/>
        <v>1.9473982671232575E-3</v>
      </c>
      <c r="Y6" s="12">
        <f ref="Y6" si="1" t="shared">N6-C6</f>
        <v>3.3283408221001831E-4</v>
      </c>
      <c r="Z6" s="12">
        <f ref="Z6" si="2" t="shared">O6-D6</f>
        <v>0</v>
      </c>
      <c r="AA6" s="12">
        <f ref="AA6" si="3" t="shared">P6-E6</f>
        <v>0</v>
      </c>
      <c r="AB6" s="12">
        <f ref="AB6" si="4" t="shared">Q6-F6</f>
        <v>-2.3109759877212473E-2</v>
      </c>
      <c r="AC6" s="12">
        <f ref="AC6" si="5" t="shared">R6-G6</f>
        <v>-1.0514675588203227E-2</v>
      </c>
      <c r="AD6" s="12">
        <f ref="AD6" si="6" t="shared">S6-H6</f>
        <v>-2.2351786697661423E-3</v>
      </c>
      <c r="AE6" s="12" t="e">
        <f ref="AE6" si="7" t="shared">T6-I6</f>
        <v>#DIV/0!</v>
      </c>
      <c r="AF6" s="12">
        <f ref="AF6" si="8" t="shared">U6-J6</f>
        <v>-1.1317668321085021E-3</v>
      </c>
    </row>
    <row r="7" spans="1:32" x14ac:dyDescent="0.2">
      <c r="A7" s="3" t="s">
        <v>235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235</v>
      </c>
      <c r="M7" s="42">
        <f>output!B31/SUM(output!B$29:B$32)</f>
        <v>0.65456759406197385</v>
      </c>
      <c r="N7" s="42">
        <f>output!C31/SUM(output!C$29:C$32)</f>
        <v>0.61567173049948887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0.14639039631639533</v>
      </c>
      <c r="R7" s="42">
        <f>output!G31/SUM(output!G$29:G$32)</f>
        <v>2.5471262735631366E-2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0.3387472264255324</v>
      </c>
      <c r="W7" s="3" t="s">
        <v>235</v>
      </c>
      <c r="X7" s="12">
        <f ref="X7:AA9" si="9" t="shared">M7-B7</f>
        <v>-5.4823525213475E-2</v>
      </c>
      <c r="Y7" s="12">
        <f si="9" t="shared"/>
        <v>0.17129248388905199</v>
      </c>
      <c r="Z7" s="12">
        <f si="9" t="shared"/>
        <v>-1.5700598149517877E-2</v>
      </c>
      <c r="AA7" s="12">
        <f si="9" t="shared"/>
        <v>-4.8018116936398021E-2</v>
      </c>
      <c r="AB7" s="12">
        <f ref="AB7:AD8" si="10" t="shared">Q7-F7</f>
        <v>-4.2506645421429901E-2</v>
      </c>
      <c r="AC7" s="12">
        <f>R7-G7</f>
        <v>-1.7075939124375435E-2</v>
      </c>
      <c r="AD7" s="12">
        <f si="10" t="shared"/>
        <v>-1.999979562797561E-3</v>
      </c>
      <c r="AE7" s="12" t="e">
        <f ref="AE7:AF9" si="11" t="shared">T7-I7</f>
        <v>#DIV/0!</v>
      </c>
      <c r="AF7" s="12">
        <f si="11" t="shared"/>
        <v>-1.4147628442171434E-2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0.10831139030169287</v>
      </c>
      <c r="N8" s="43">
        <f>output!C32/SUM(output!C$29:C$32)</f>
        <v>5.8198416660723201E-2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1.7530011511264595E-2</v>
      </c>
      <c r="R8" s="43">
        <f>output!G32/SUM(output!G$29:G$32)</f>
        <v>3.9582519791259898E-3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5.3325859466901181E-2</v>
      </c>
      <c r="W8" s="8" t="s">
        <v>173</v>
      </c>
      <c r="X8" s="12">
        <f si="9" t="shared"/>
        <v>1.6115091668565229E-2</v>
      </c>
      <c r="Y8" s="12">
        <f si="9" t="shared"/>
        <v>-1.411984482368675E-2</v>
      </c>
      <c r="Z8" s="12">
        <f si="9" t="shared"/>
        <v>-2.1182630390462315E-3</v>
      </c>
      <c r="AA8" s="12">
        <f si="9" t="shared"/>
        <v>-1.1470968621788371E-2</v>
      </c>
      <c r="AB8" s="12">
        <f>Q8-F8</f>
        <v>-4.144451092883604E-3</v>
      </c>
      <c r="AC8" s="12">
        <f si="10" t="shared"/>
        <v>3.9582519791259898E-3</v>
      </c>
      <c r="AD8" s="12">
        <f si="10" t="shared"/>
        <v>0</v>
      </c>
      <c r="AE8" s="12" t="e">
        <f si="11" t="shared"/>
        <v>#DIV/0!</v>
      </c>
      <c r="AF8" s="12">
        <f si="11" t="shared"/>
        <v>6.1067043091304687E-3</v>
      </c>
    </row>
    <row ht="13.5" r="9" spans="1:32" thickBot="1" x14ac:dyDescent="0.25">
      <c r="A9" s="15" t="s">
        <v>220</v>
      </c>
      <c r="B9" s="44">
        <f>SUM(B5:B8)</f>
        <v>0.99999999999999989</v>
      </c>
      <c r="C9" s="44">
        <f ref="C9:J9" si="12" t="shared">SUM(C5:C8)</f>
        <v>1</v>
      </c>
      <c r="D9" s="44">
        <f si="12" t="shared"/>
        <v>1</v>
      </c>
      <c r="E9" s="44">
        <f si="12" t="shared"/>
        <v>1</v>
      </c>
      <c r="F9" s="44">
        <f si="12" t="shared"/>
        <v>1.0000000000000002</v>
      </c>
      <c r="G9" s="44">
        <f si="12" t="shared"/>
        <v>1</v>
      </c>
      <c r="H9" s="44">
        <f si="12" t="shared"/>
        <v>1</v>
      </c>
      <c r="I9" s="44" t="e">
        <f si="12" t="shared"/>
        <v>#DIV/0!</v>
      </c>
      <c r="J9" s="44">
        <f si="12" t="shared"/>
        <v>1</v>
      </c>
      <c r="L9" s="15" t="s">
        <v>220</v>
      </c>
      <c r="M9" s="44">
        <f>SUM(M5:M8)</f>
        <v>1</v>
      </c>
      <c r="N9" s="44">
        <f ref="N9:U9" si="13" t="shared">SUM(N5:N8)</f>
        <v>1</v>
      </c>
      <c r="O9" s="44">
        <f si="13" t="shared"/>
        <v>1</v>
      </c>
      <c r="P9" s="44">
        <f si="13" t="shared"/>
        <v>1</v>
      </c>
      <c r="Q9" s="44">
        <f si="13" t="shared"/>
        <v>1.0000000000000002</v>
      </c>
      <c r="R9" s="44">
        <f si="13" t="shared"/>
        <v>1</v>
      </c>
      <c r="S9" s="44">
        <f si="13" t="shared"/>
        <v>1</v>
      </c>
      <c r="T9" s="44" t="e">
        <f si="13" t="shared"/>
        <v>#DIV/0!</v>
      </c>
      <c r="U9" s="44">
        <f si="13" t="shared"/>
        <v>0.99999999999999989</v>
      </c>
      <c r="W9" s="15" t="s">
        <v>220</v>
      </c>
      <c r="X9" s="14">
        <f si="9" t="shared"/>
        <v>0</v>
      </c>
      <c r="Y9" s="14">
        <f si="9" t="shared"/>
        <v>0</v>
      </c>
      <c r="Z9" s="14">
        <f si="9" t="shared"/>
        <v>0</v>
      </c>
      <c r="AA9" s="14">
        <f si="9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11" t="shared"/>
        <v>#DIV/0!</v>
      </c>
      <c r="AF9" s="14">
        <f si="11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242</v>
      </c>
      <c r="Q16" s="41" t="s">
        <v>243</v>
      </c>
      <c r="R16" s="41" t="s">
        <v>244</v>
      </c>
      <c r="S16" s="41" t="s">
        <v>245</v>
      </c>
      <c r="T16" s="41" t="s">
        <v>170</v>
      </c>
      <c r="U16" s="41" t="s">
        <v>220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3" t="s">
        <v>225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225</v>
      </c>
      <c r="M17" s="42">
        <f>output!B36/SUM(output!B$36:B$39)</f>
        <v>0.98823226048430579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0.78528202598256869</v>
      </c>
      <c r="R17" s="42">
        <f>output!G36/SUM(output!G$36:G$39)</f>
        <v>0.58429040560930146</v>
      </c>
      <c r="S17" s="42">
        <f>output!H36/SUM(output!H$36:H$39)</f>
        <v>0.24526882124985891</v>
      </c>
      <c r="T17" s="42" t="e">
        <f>output!I36/SUM(output!I$36:I$39)</f>
        <v>#DIV/0!</v>
      </c>
      <c r="U17" s="42">
        <f>output!J36/SUM(output!J$36:J$39)</f>
        <v>0.86351612368426833</v>
      </c>
      <c r="W17" s="3" t="s">
        <v>225</v>
      </c>
      <c r="X17" s="12">
        <f ref="X17:AF18" si="14" t="shared">M17-B17</f>
        <v>3.7808002522283779E-3</v>
      </c>
      <c r="Y17" s="12">
        <f si="14" t="shared"/>
        <v>1.7985599448451017E-2</v>
      </c>
      <c r="Z17" s="12">
        <f si="14" t="shared"/>
        <v>2.0511627451993419E-3</v>
      </c>
      <c r="AA17" s="12">
        <f si="14" t="shared"/>
        <v>1.2504178977012392E-2</v>
      </c>
      <c r="AB17" s="12">
        <f si="14" t="shared"/>
        <v>3.8314561969598593E-2</v>
      </c>
      <c r="AC17" s="12">
        <f si="14" t="shared"/>
        <v>0.29130045543675936</v>
      </c>
      <c r="AD17" s="12">
        <f si="14" t="shared"/>
        <v>-1.538146356539058E-2</v>
      </c>
      <c r="AE17" s="12" t="e">
        <f si="14" t="shared"/>
        <v>#DIV/0!</v>
      </c>
      <c r="AF17" s="12">
        <f si="14" t="shared"/>
        <v>3.109550306329012E-2</v>
      </c>
    </row>
    <row r="18" spans="1:32" x14ac:dyDescent="0.2">
      <c r="A18" s="3" t="s">
        <v>234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234</v>
      </c>
      <c r="M18" s="42">
        <f>output!B37/SUM(output!B$36:B$39)</f>
        <v>3.2056541409784573E-3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9.4885709587238937E-3</v>
      </c>
      <c r="R18" s="42">
        <f>output!G37/SUM(output!G$36:G$39)</f>
        <v>3.319428419277536E-3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1.9654828716024345E-3</v>
      </c>
      <c r="W18" s="3" t="s">
        <v>234</v>
      </c>
      <c r="X18" s="12">
        <f ref="X18:Y21" si="15" t="shared">M18-B18</f>
        <v>-3.0488764107730192E-3</v>
      </c>
      <c r="Y18" s="12">
        <f si="15" t="shared"/>
        <v>-6.955046454581732E-3</v>
      </c>
      <c r="Z18" s="12"/>
      <c r="AA18" s="12">
        <f>P18-E18</f>
        <v>-3.2079678175941549E-4</v>
      </c>
      <c r="AB18" s="12">
        <f si="14" t="shared"/>
        <v>9.4885709587238937E-3</v>
      </c>
      <c r="AC18" s="12">
        <f si="14" t="shared"/>
        <v>3.319428419277536E-3</v>
      </c>
      <c r="AD18" s="12">
        <f si="14" t="shared"/>
        <v>0</v>
      </c>
      <c r="AE18" s="12" t="e">
        <f si="14" t="shared"/>
        <v>#DIV/0!</v>
      </c>
      <c r="AF18" s="12">
        <f>U18-J18</f>
        <v>-1.192083345797948E-3</v>
      </c>
    </row>
    <row r="19" spans="1:32" x14ac:dyDescent="0.2">
      <c r="A19" s="3" t="s">
        <v>235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235</v>
      </c>
      <c r="M19" s="42">
        <f>output!B38/SUM(output!B$36:B$39)</f>
        <v>8.2089945849644855E-3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0.19429370169380036</v>
      </c>
      <c r="R19" s="42">
        <f>output!G38/SUM(output!G$36:G$39)</f>
        <v>0.39076950386083253</v>
      </c>
      <c r="S19" s="42">
        <f>output!H38/SUM(output!H$36:H$39)</f>
        <v>0.71152037322698369</v>
      </c>
      <c r="T19" s="42" t="e">
        <f>output!I38/SUM(output!I$36:I$39)</f>
        <v>#DIV/0!</v>
      </c>
      <c r="U19" s="42">
        <f>output!J38/SUM(output!J$36:J$39)</f>
        <v>0.12698670569224346</v>
      </c>
      <c r="W19" s="3" t="s">
        <v>235</v>
      </c>
      <c r="X19" s="12">
        <f si="15" t="shared"/>
        <v>-1.0094080423156335E-3</v>
      </c>
      <c r="Y19" s="12">
        <f si="15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16" t="shared">Q19-F19</f>
        <v>-5.7795070255559772E-2</v>
      </c>
      <c r="AC19" s="12">
        <f si="16" t="shared"/>
        <v>-0.27232821129191553</v>
      </c>
      <c r="AD19" s="12">
        <f si="16" t="shared"/>
        <v>1.0724136498824199E-3</v>
      </c>
      <c r="AE19" s="12" t="e">
        <f si="16" t="shared"/>
        <v>#DIV/0!</v>
      </c>
      <c r="AF19" s="12">
        <f>U19-J19</f>
        <v>-3.0474203258646387E-2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3.5309078975128344E-4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1.0935701364907088E-2</v>
      </c>
      <c r="R20" s="43">
        <f>output!G39/SUM(output!G$36:G$39)</f>
        <v>2.1620662110588443E-2</v>
      </c>
      <c r="S20" s="43">
        <f>output!H39/SUM(output!H$36:H$39)</f>
        <v>4.3210805523157376E-2</v>
      </c>
      <c r="T20" s="43" t="e">
        <f>output!I39/SUM(output!I$36:I$39)</f>
        <v>#DIV/0!</v>
      </c>
      <c r="U20" s="43">
        <f>output!J39/SUM(output!J$36:J$39)</f>
        <v>7.531687751885752E-3</v>
      </c>
      <c r="W20" s="8" t="s">
        <v>173</v>
      </c>
      <c r="X20" s="12">
        <f si="15" t="shared"/>
        <v>2.7748420086020812E-4</v>
      </c>
      <c r="Y20" s="12">
        <f si="15" t="shared"/>
        <v>-2.8183272600945625E-3</v>
      </c>
      <c r="Z20" s="12"/>
      <c r="AA20" s="12">
        <f>P20-E20</f>
        <v>-2.9306391414455775E-3</v>
      </c>
      <c r="AB20" s="12">
        <f si="16" t="shared"/>
        <v>9.9919373272373754E-3</v>
      </c>
      <c r="AC20" s="12">
        <f si="16" t="shared"/>
        <v>-2.229167256412137E-2</v>
      </c>
      <c r="AD20" s="12">
        <f si="16" t="shared"/>
        <v>1.4309049915508201E-2</v>
      </c>
      <c r="AE20" s="12" t="e">
        <f si="16" t="shared"/>
        <v>#DIV/0!</v>
      </c>
      <c r="AF20" s="12">
        <f>U20-J20</f>
        <v>5.7078354115409381E-4</v>
      </c>
    </row>
    <row ht="13.5" r="21" spans="1:32" thickBot="1" x14ac:dyDescent="0.25">
      <c r="A21" s="15" t="s">
        <v>220</v>
      </c>
      <c r="B21" s="44">
        <f>SUM(B17:B20)</f>
        <v>1.0000000000000002</v>
      </c>
      <c r="C21" s="44">
        <f ref="C21:J21" si="17" t="shared">SUM(C17:C20)</f>
        <v>1.0000000000000002</v>
      </c>
      <c r="D21" s="44">
        <f si="17" t="shared"/>
        <v>1</v>
      </c>
      <c r="E21" s="44">
        <f si="17" t="shared"/>
        <v>0.99999999999999978</v>
      </c>
      <c r="F21" s="44">
        <f si="17" t="shared"/>
        <v>1</v>
      </c>
      <c r="G21" s="44">
        <f si="17" t="shared"/>
        <v>0.99999999999999989</v>
      </c>
      <c r="H21" s="44">
        <f si="17" t="shared"/>
        <v>1</v>
      </c>
      <c r="I21" s="44" t="e">
        <f si="17" t="shared"/>
        <v>#DIV/0!</v>
      </c>
      <c r="J21" s="44">
        <f si="17" t="shared"/>
        <v>1</v>
      </c>
      <c r="L21" s="15" t="s">
        <v>220</v>
      </c>
      <c r="M21" s="44">
        <f>SUM(M17:M20)</f>
        <v>1</v>
      </c>
      <c r="N21" s="44">
        <f ref="N21:U21" si="18" t="shared">SUM(N17:N20)</f>
        <v>1</v>
      </c>
      <c r="O21" s="44">
        <f si="18" t="shared"/>
        <v>1</v>
      </c>
      <c r="P21" s="44">
        <f si="18" t="shared"/>
        <v>1</v>
      </c>
      <c r="Q21" s="44">
        <f si="18" t="shared"/>
        <v>1</v>
      </c>
      <c r="R21" s="44">
        <f si="18" t="shared"/>
        <v>1</v>
      </c>
      <c r="S21" s="44">
        <f si="18" t="shared"/>
        <v>1</v>
      </c>
      <c r="T21" s="44" t="e">
        <f si="18" t="shared"/>
        <v>#DIV/0!</v>
      </c>
      <c r="U21" s="44">
        <f si="18" t="shared"/>
        <v>1</v>
      </c>
      <c r="W21" s="15" t="s">
        <v>220</v>
      </c>
      <c r="X21" s="14">
        <f si="15" t="shared"/>
        <v>0</v>
      </c>
      <c r="Y21" s="14">
        <f si="15" t="shared"/>
        <v>0</v>
      </c>
      <c r="Z21" s="14">
        <f>O21-D21</f>
        <v>0</v>
      </c>
      <c r="AA21" s="14">
        <f>P21-E21</f>
        <v>0</v>
      </c>
      <c r="AB21" s="14">
        <f si="16" t="shared"/>
        <v>0</v>
      </c>
      <c r="AC21" s="14">
        <f si="16" t="shared"/>
        <v>0</v>
      </c>
      <c r="AD21" s="14">
        <f si="16" t="shared"/>
        <v>0</v>
      </c>
      <c r="AE21" s="14" t="e">
        <f si="16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242</v>
      </c>
      <c r="F28" s="6" t="s">
        <v>243</v>
      </c>
      <c r="G28" s="6" t="s">
        <v>244</v>
      </c>
      <c r="H28" s="6" t="s">
        <v>245</v>
      </c>
      <c r="I28" s="6" t="s">
        <v>170</v>
      </c>
      <c r="J28" s="6" t="s">
        <v>220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242</v>
      </c>
      <c r="Q28" s="41" t="s">
        <v>243</v>
      </c>
      <c r="R28" s="41" t="s">
        <v>244</v>
      </c>
      <c r="S28" s="41" t="s">
        <v>245</v>
      </c>
      <c r="T28" s="41" t="s">
        <v>170</v>
      </c>
      <c r="U28" s="41" t="s">
        <v>220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242</v>
      </c>
      <c r="AB28" s="6" t="s">
        <v>243</v>
      </c>
      <c r="AC28" s="6" t="s">
        <v>244</v>
      </c>
      <c r="AD28" s="6" t="s">
        <v>245</v>
      </c>
      <c r="AE28" s="6" t="s">
        <v>170</v>
      </c>
      <c r="AF28" s="6" t="s">
        <v>220</v>
      </c>
    </row>
    <row r="29" spans="1:32" x14ac:dyDescent="0.2">
      <c r="A29" s="3" t="s">
        <v>225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225</v>
      </c>
      <c r="M29" s="42">
        <f>output!B43/SUM(output!B$43:B$46)</f>
        <v>0.86249683167359426</v>
      </c>
      <c r="N29" s="42">
        <f>output!C43/SUM(output!C$43:C$46)</f>
        <v>0.60931371383744981</v>
      </c>
      <c r="O29" s="42">
        <f>output!D43/SUM(output!D$43:D$46)</f>
        <v>0.92515596296902569</v>
      </c>
      <c r="P29" s="42">
        <f>output!E43/SUM(output!E$43:E$46)</f>
        <v>0.80966458356721427</v>
      </c>
      <c r="Q29" s="42">
        <f>output!F43/SUM(output!F$43:F$46)</f>
        <v>0.90981746423285648</v>
      </c>
      <c r="R29" s="42">
        <f>output!G43/SUM(output!G$43:G$46)</f>
        <v>0.95195072597536301</v>
      </c>
      <c r="S29" s="42">
        <f>output!H43/SUM(output!H$43:H$46)</f>
        <v>0.92585443290641045</v>
      </c>
      <c r="T29" s="42" t="e">
        <f>output!I43/SUM(output!I$43:I$46)</f>
        <v>#DIV/0!</v>
      </c>
      <c r="U29" s="42">
        <f>output!J43/SUM(output!J$43:J$46)</f>
        <v>0.8609887710459676</v>
      </c>
      <c r="W29" s="3" t="s">
        <v>225</v>
      </c>
      <c r="X29" s="12">
        <f ref="X29:AD33" si="19" t="shared">M29-B29</f>
        <v>5.5743306146214255E-2</v>
      </c>
      <c r="Y29" s="12">
        <f si="19" t="shared"/>
        <v>-0.16804694146865673</v>
      </c>
      <c r="Z29" s="12">
        <f si="19" t="shared"/>
        <v>-1.1541557324811214E-3</v>
      </c>
      <c r="AA29" s="12">
        <f si="19" t="shared"/>
        <v>3.9170642510808484E-3</v>
      </c>
      <c r="AB29" s="12">
        <f si="19" t="shared"/>
        <v>9.2015214746031804E-3</v>
      </c>
      <c r="AC29" s="12">
        <f si="19" t="shared"/>
        <v>6.4313554994215649E-2</v>
      </c>
      <c r="AD29" s="12">
        <f si="19" t="shared"/>
        <v>3.0492572400275808E-2</v>
      </c>
      <c r="AE29" s="12" t="e">
        <f ref="AE29:AF33" si="20" t="shared">T29-I29</f>
        <v>#DIV/0!</v>
      </c>
      <c r="AF29" s="12">
        <f si="20" t="shared"/>
        <v>2.2822777674889494E-2</v>
      </c>
    </row>
    <row r="30" spans="1:32" x14ac:dyDescent="0.2">
      <c r="A30" s="3" t="s">
        <v>234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234</v>
      </c>
      <c r="M30" s="42">
        <f>output!B44/SUM(output!B$43:B$46)</f>
        <v>7.1059883933032197E-2</v>
      </c>
      <c r="N30" s="42">
        <f>output!C44/SUM(output!C$43:C$46)</f>
        <v>0.16754225402334372</v>
      </c>
      <c r="O30" s="42">
        <f>output!D44/SUM(output!D$43:D$46)</f>
        <v>0</v>
      </c>
      <c r="P30" s="42">
        <f>output!E44/SUM(output!E$43:E$46)</f>
        <v>0</v>
      </c>
      <c r="Q30" s="42">
        <f>output!F44/SUM(output!F$43:F$46)</f>
        <v>2.2200296003946719E-2</v>
      </c>
      <c r="R30" s="42">
        <f>output!G44/SUM(output!G$43:G$46)</f>
        <v>1.4839007419503709E-2</v>
      </c>
      <c r="S30" s="42">
        <f>output!H44/SUM(output!H$43:H$46)</f>
        <v>3.6732278472095023E-2</v>
      </c>
      <c r="T30" s="42" t="e">
        <f>output!I44/SUM(output!I$43:I$46)</f>
        <v>#DIV/0!</v>
      </c>
      <c r="U30" s="42">
        <f>output!J44/SUM(output!J$43:J$46)</f>
        <v>4.8332166146980271E-2</v>
      </c>
      <c r="W30" s="3" t="s">
        <v>234</v>
      </c>
      <c r="X30" s="12">
        <f si="19" t="shared"/>
        <v>-5.2657371030651642E-2</v>
      </c>
      <c r="Y30" s="12">
        <f si="19" t="shared"/>
        <v>0.11740258136582712</v>
      </c>
      <c r="Z30" s="12">
        <f si="19" t="shared"/>
        <v>-1.6533383748536378E-3</v>
      </c>
      <c r="AA30" s="12">
        <f si="19" t="shared"/>
        <v>-4.4356246099009396E-3</v>
      </c>
      <c r="AB30" s="12">
        <f si="19" t="shared"/>
        <v>-8.8193677861693534E-3</v>
      </c>
      <c r="AC30" s="12">
        <f si="19" t="shared"/>
        <v>-3.908841223451847E-2</v>
      </c>
      <c r="AD30" s="12">
        <f si="19" t="shared"/>
        <v>-2.6236235095022556E-2</v>
      </c>
      <c r="AE30" s="12" t="e">
        <f si="20" t="shared"/>
        <v>#DIV/0!</v>
      </c>
      <c r="AF30" s="12">
        <f si="20" t="shared"/>
        <v>-2.2443052442810071E-2</v>
      </c>
    </row>
    <row r="31" spans="1:32" x14ac:dyDescent="0.2">
      <c r="A31" s="3" t="s">
        <v>235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235</v>
      </c>
      <c r="M31" s="42">
        <f>output!B45/SUM(output!B$43:B$46)</f>
        <v>3.2516918496726187E-2</v>
      </c>
      <c r="N31" s="42">
        <f>output!C45/SUM(output!C$43:C$46)</f>
        <v>0.15383792521453871</v>
      </c>
      <c r="O31" s="42">
        <f>output!D45/SUM(output!D$43:D$46)</f>
        <v>4.8889616412942656E-2</v>
      </c>
      <c r="P31" s="42">
        <f>output!E45/SUM(output!E$43:E$46)</f>
        <v>0.11758077727467392</v>
      </c>
      <c r="Q31" s="42">
        <f>output!F45/SUM(output!F$43:F$46)</f>
        <v>4.0108534780463737E-2</v>
      </c>
      <c r="R31" s="42">
        <f>output!G45/SUM(output!G$43:G$46)</f>
        <v>1.7714508857254428E-2</v>
      </c>
      <c r="S31" s="42">
        <f>output!H45/SUM(output!H$43:H$46)</f>
        <v>1.6823299001028559E-2</v>
      </c>
      <c r="T31" s="42" t="e">
        <f>output!I45/SUM(output!I$43:I$46)</f>
        <v>#DIV/0!</v>
      </c>
      <c r="U31" s="42">
        <f>output!J45/SUM(output!J$43:J$46)</f>
        <v>5.2256441936695007E-2</v>
      </c>
      <c r="W31" s="3" t="s">
        <v>235</v>
      </c>
      <c r="X31" s="12">
        <f si="19" t="shared"/>
        <v>-8.033241981879137E-3</v>
      </c>
      <c r="Y31" s="12">
        <f si="19" t="shared"/>
        <v>3.3388162483796155E-2</v>
      </c>
      <c r="Z31" s="12">
        <f si="19" t="shared"/>
        <v>-2.8915396897296955E-3</v>
      </c>
      <c r="AA31" s="12">
        <f si="19" t="shared"/>
        <v>-2.2926805858666188E-2</v>
      </c>
      <c r="AB31" s="12">
        <f si="19" t="shared"/>
        <v>-1.6535941843286182E-2</v>
      </c>
      <c r="AC31" s="12">
        <f si="19" t="shared"/>
        <v>-3.4079051704047153E-2</v>
      </c>
      <c r="AD31" s="12">
        <f si="19" t="shared"/>
        <v>-1.2571595113593129E-2</v>
      </c>
      <c r="AE31" s="12" t="e">
        <f si="20" t="shared"/>
        <v>#DIV/0!</v>
      </c>
      <c r="AF31" s="12">
        <f si="20" t="shared"/>
        <v>-1.0273162010081431E-2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3.3926365896647361E-2</v>
      </c>
      <c r="N32" s="43">
        <f>output!C46/SUM(output!C$43:C$46)</f>
        <v>6.9306106924667793E-2</v>
      </c>
      <c r="O32" s="43">
        <f>output!D46/SUM(output!D$43:D$46)</f>
        <v>2.5954420618031684E-2</v>
      </c>
      <c r="P32" s="43">
        <f>output!E46/SUM(output!E$43:E$46)</f>
        <v>7.2754639158111825E-2</v>
      </c>
      <c r="Q32" s="43">
        <f>output!F46/SUM(output!F$43:F$46)</f>
        <v>2.7873704982733102E-2</v>
      </c>
      <c r="R32" s="43">
        <f>output!G46/SUM(output!G$43:G$46)</f>
        <v>1.5495757747878874E-2</v>
      </c>
      <c r="S32" s="43">
        <f>output!H46/SUM(output!H$43:H$46)</f>
        <v>2.0589989620465998E-2</v>
      </c>
      <c r="T32" s="43" t="e">
        <f>output!I46/SUM(output!I$43:I$46)</f>
        <v>#DIV/0!</v>
      </c>
      <c r="U32" s="43">
        <f>output!J46/SUM(output!J$43:J$46)</f>
        <v>3.8422620870357103E-2</v>
      </c>
      <c r="W32" s="8" t="s">
        <v>173</v>
      </c>
      <c r="X32" s="12">
        <f si="19" t="shared"/>
        <v>4.9473068663166489E-3</v>
      </c>
      <c r="Y32" s="12">
        <f si="19" t="shared"/>
        <v>1.7256197619033506E-2</v>
      </c>
      <c r="Z32" s="12">
        <f si="19" t="shared"/>
        <v>5.6990337970645732E-3</v>
      </c>
      <c r="AA32" s="12">
        <f si="19" t="shared"/>
        <v>2.344536621748624E-2</v>
      </c>
      <c r="AB32" s="12">
        <f si="19" t="shared"/>
        <v>1.6153788154852411E-2</v>
      </c>
      <c r="AC32" s="12">
        <f si="19" t="shared"/>
        <v>8.8539089443500398E-3</v>
      </c>
      <c r="AD32" s="12">
        <f si="19" t="shared"/>
        <v>8.3152578083398633E-3</v>
      </c>
      <c r="AE32" s="12" t="e">
        <f si="20" t="shared"/>
        <v>#DIV/0!</v>
      </c>
      <c r="AF32" s="12">
        <f si="20" t="shared"/>
        <v>9.893436778002012E-3</v>
      </c>
    </row>
    <row ht="13.5" r="33" spans="1:32" thickBot="1" x14ac:dyDescent="0.25">
      <c r="A33" s="15" t="s">
        <v>220</v>
      </c>
      <c r="B33" s="44">
        <f>SUM(B29:B32)</f>
        <v>0.99999999999999978</v>
      </c>
      <c r="C33" s="44">
        <f ref="C33:J33" si="21" t="shared">SUM(C29:C32)</f>
        <v>1</v>
      </c>
      <c r="D33" s="44">
        <f si="21" t="shared"/>
        <v>0.99999999999999978</v>
      </c>
      <c r="E33" s="44">
        <f si="21" t="shared"/>
        <v>1</v>
      </c>
      <c r="F33" s="44">
        <f si="21" t="shared"/>
        <v>1</v>
      </c>
      <c r="G33" s="44">
        <f si="21" t="shared"/>
        <v>0.99999999999999989</v>
      </c>
      <c r="H33" s="44">
        <f si="21" t="shared"/>
        <v>1.0000000000000002</v>
      </c>
      <c r="I33" s="44" t="e">
        <f si="21" t="shared"/>
        <v>#DIV/0!</v>
      </c>
      <c r="J33" s="44">
        <f si="21" t="shared"/>
        <v>0.99999999999999989</v>
      </c>
      <c r="L33" s="15" t="s">
        <v>220</v>
      </c>
      <c r="M33" s="44">
        <f>SUM(M29:M32)</f>
        <v>1</v>
      </c>
      <c r="N33" s="44">
        <f ref="N33:U33" si="22" t="shared">SUM(N29:N32)</f>
        <v>1.0000000000000002</v>
      </c>
      <c r="O33" s="44">
        <f si="22" t="shared"/>
        <v>1</v>
      </c>
      <c r="P33" s="44">
        <f si="22" t="shared"/>
        <v>1</v>
      </c>
      <c r="Q33" s="44">
        <f si="22" t="shared"/>
        <v>1</v>
      </c>
      <c r="R33" s="44">
        <f si="22" t="shared"/>
        <v>1</v>
      </c>
      <c r="S33" s="44">
        <f si="22" t="shared"/>
        <v>1</v>
      </c>
      <c r="T33" s="44" t="e">
        <f si="22" t="shared"/>
        <v>#DIV/0!</v>
      </c>
      <c r="U33" s="44">
        <f si="22" t="shared"/>
        <v>0.99999999999999989</v>
      </c>
      <c r="W33" s="15" t="s">
        <v>220</v>
      </c>
      <c r="X33" s="14">
        <f si="19" t="shared"/>
        <v>0</v>
      </c>
      <c r="Y33" s="14">
        <f si="19" t="shared"/>
        <v>0</v>
      </c>
      <c r="Z33" s="14">
        <f si="19" t="shared"/>
        <v>0</v>
      </c>
      <c r="AA33" s="14">
        <f si="19" t="shared"/>
        <v>0</v>
      </c>
      <c r="AB33" s="14">
        <f si="19" t="shared"/>
        <v>0</v>
      </c>
      <c r="AC33" s="14">
        <f si="19" t="shared"/>
        <v>0</v>
      </c>
      <c r="AD33" s="14">
        <f si="19" t="shared"/>
        <v>0</v>
      </c>
      <c r="AE33" s="14" t="e">
        <f si="20" t="shared"/>
        <v>#DIV/0!</v>
      </c>
      <c r="AF33" s="14">
        <f si="20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242</v>
      </c>
      <c r="Q40" s="41" t="s">
        <v>243</v>
      </c>
      <c r="R40" s="41" t="s">
        <v>244</v>
      </c>
      <c r="S40" s="41" t="s">
        <v>245</v>
      </c>
      <c r="T40" s="41" t="s">
        <v>170</v>
      </c>
      <c r="U40" s="41" t="s">
        <v>220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3" t="s">
        <v>225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225</v>
      </c>
      <c r="M41" s="42">
        <f>output!B50/SUM(output!B$50:B$53)</f>
        <v>0.76022961695344371</v>
      </c>
      <c r="N41" s="42">
        <f>output!C50/SUM(output!C$50:C$53)</f>
        <v>0.37412936506049871</v>
      </c>
      <c r="O41" s="42">
        <f>output!D50/SUM(output!D$50:D$53)</f>
        <v>0.47887136084199294</v>
      </c>
      <c r="P41" s="42">
        <f>output!E50/SUM(output!E$50:E$53)</f>
        <v>0.71009587799462814</v>
      </c>
      <c r="Q41" s="42">
        <f>output!F50/SUM(output!F$50:F$53)</f>
        <v>0.90891300772899197</v>
      </c>
      <c r="R41" s="42">
        <f>output!G50/SUM(output!G$50:G$53)</f>
        <v>0.92410096205048098</v>
      </c>
      <c r="S41" s="42">
        <f>output!H50/SUM(output!H$50:H$53)</f>
        <v>0.84393375791391911</v>
      </c>
      <c r="T41" s="42" t="e">
        <f>output!I50/SUM(output!I$50:I$53)</f>
        <v>#DIV/0!</v>
      </c>
      <c r="U41" s="42">
        <f>output!J50/SUM(output!J$50:J$53)</f>
        <v>0.72371323847576396</v>
      </c>
      <c r="W41" s="3" t="s">
        <v>225</v>
      </c>
      <c r="X41" s="12">
        <f ref="X41:AD45" si="23" t="shared">M41-B41</f>
        <v>4.4303302910754461E-2</v>
      </c>
      <c r="Y41" s="12">
        <f si="23" t="shared"/>
        <v>-0.2735204996014618</v>
      </c>
      <c r="Z41" s="12">
        <f si="23" t="shared"/>
        <v>-9.2597004193592347E-2</v>
      </c>
      <c r="AA41" s="12">
        <f si="23" t="shared"/>
        <v>7.6433166153389576E-2</v>
      </c>
      <c r="AB41" s="12">
        <f si="23" t="shared"/>
        <v>7.7513787133297263E-2</v>
      </c>
      <c r="AC41" s="12">
        <f si="23" t="shared"/>
        <v>0.17497554200855814</v>
      </c>
      <c r="AD41" s="12">
        <f si="23" t="shared"/>
        <v>-4.5815499547050553E-3</v>
      </c>
      <c r="AE41" s="12" t="e">
        <f ref="AE41:AF45" si="24" t="shared">T41-I41</f>
        <v>#DIV/0!</v>
      </c>
      <c r="AF41" s="12">
        <f si="24" t="shared"/>
        <v>1.0556590888155193E-2</v>
      </c>
    </row>
    <row r="42" spans="1:32" x14ac:dyDescent="0.2">
      <c r="A42" s="3" t="s">
        <v>234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234</v>
      </c>
      <c r="M42" s="42">
        <f>output!B51/SUM(output!B$50:B$53)</f>
        <v>0.1585649233438042</v>
      </c>
      <c r="N42" s="42">
        <f>output!C51/SUM(output!C$50:C$53)</f>
        <v>0.46688615779589704</v>
      </c>
      <c r="O42" s="42">
        <f>output!D51/SUM(output!D$50:D$53)</f>
        <v>0.14982842453711001</v>
      </c>
      <c r="P42" s="42">
        <f>output!E51/SUM(output!E$50:E$53)</f>
        <v>9.3715958322592455E-2</v>
      </c>
      <c r="Q42" s="42">
        <f>output!F51/SUM(output!F$50:F$53)</f>
        <v>3.147508633448446E-2</v>
      </c>
      <c r="R42" s="42">
        <f>output!G51/SUM(output!G$50:G$53)</f>
        <v>2.6767013383506691E-2</v>
      </c>
      <c r="S42" s="42">
        <f>output!H51/SUM(output!H$50:H$53)</f>
        <v>8.1971293843581511E-2</v>
      </c>
      <c r="T42" s="42" t="e">
        <f>output!I51/SUM(output!I$50:I$53)</f>
        <v>#DIV/0!</v>
      </c>
      <c r="U42" s="42">
        <f>output!J51/SUM(output!J$50:J$53)</f>
        <v>0.14354718669242475</v>
      </c>
      <c r="W42" s="3" t="s">
        <v>234</v>
      </c>
      <c r="X42" s="12">
        <f si="23" t="shared"/>
        <v>-3.559084251622438E-2</v>
      </c>
      <c r="Y42" s="12">
        <f si="23" t="shared"/>
        <v>0.28410012682529445</v>
      </c>
      <c r="Z42" s="12">
        <f si="23" t="shared"/>
        <v>2.260916454386927E-2</v>
      </c>
      <c r="AA42" s="12">
        <f si="23" t="shared"/>
        <v>-4.5438070383249804E-2</v>
      </c>
      <c r="AB42" s="12">
        <f si="23" t="shared"/>
        <v>-5.9895364808011615E-2</v>
      </c>
      <c r="AC42" s="12">
        <f si="23" t="shared"/>
        <v>-0.12092426364962623</v>
      </c>
      <c r="AD42" s="12">
        <f si="23" t="shared"/>
        <v>-1.5021527057288708E-3</v>
      </c>
      <c r="AE42" s="12" t="e">
        <f si="24" t="shared"/>
        <v>#DIV/0!</v>
      </c>
      <c r="AF42" s="12">
        <f si="24" t="shared"/>
        <v>-9.5791507580868518E-3</v>
      </c>
    </row>
    <row r="43" spans="1:32" x14ac:dyDescent="0.2">
      <c r="A43" s="3" t="s">
        <v>235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235</v>
      </c>
      <c r="M43" s="42">
        <f>output!B52/SUM(output!B$50:B$53)</f>
        <v>4.8811184303061562E-2</v>
      </c>
      <c r="N43" s="42">
        <f>output!C52/SUM(output!C$50:C$53)</f>
        <v>9.4741721539448973E-2</v>
      </c>
      <c r="O43" s="42">
        <f>output!D52/SUM(output!D$50:D$53)</f>
        <v>0.19954286961477369</v>
      </c>
      <c r="P43" s="42">
        <f>output!E52/SUM(output!E$50:E$53)</f>
        <v>0.10455940194749579</v>
      </c>
      <c r="Q43" s="42">
        <f>output!F52/SUM(output!F$50:F$53)</f>
        <v>3.4813353066929779E-2</v>
      </c>
      <c r="R43" s="42">
        <f>output!G52/SUM(output!G$50:G$53)</f>
        <v>2.9216514608257305E-2</v>
      </c>
      <c r="S43" s="42">
        <f>output!H52/SUM(output!H$50:H$53)</f>
        <v>4.4421274117492346E-2</v>
      </c>
      <c r="T43" s="42" t="e">
        <f>output!I52/SUM(output!I$50:I$53)</f>
        <v>#DIV/0!</v>
      </c>
      <c r="U43" s="42">
        <f>output!J52/SUM(output!J$50:J$53)</f>
        <v>7.493632595784E-2</v>
      </c>
      <c r="W43" s="3" t="s">
        <v>235</v>
      </c>
      <c r="X43" s="12">
        <f si="23" t="shared"/>
        <v>-6.3798539715194114E-3</v>
      </c>
      <c r="Y43" s="12">
        <f si="23" t="shared"/>
        <v>9.1415877101379273E-4</v>
      </c>
      <c r="Z43" s="12">
        <f si="23" t="shared"/>
        <v>4.5863714379177356E-3</v>
      </c>
      <c r="AA43" s="12">
        <f si="23" t="shared"/>
        <v>-4.2716678653753129E-2</v>
      </c>
      <c r="AB43" s="12">
        <f si="23" t="shared"/>
        <v>-1.0019271055293592E-2</v>
      </c>
      <c r="AC43" s="12">
        <f si="23" t="shared"/>
        <v>-5.6439280993962004E-2</v>
      </c>
      <c r="AD43" s="12">
        <f si="23" t="shared"/>
        <v>-8.6203757808729839E-3</v>
      </c>
      <c r="AE43" s="12" t="e">
        <f si="24" t="shared"/>
        <v>#DIV/0!</v>
      </c>
      <c r="AF43" s="12">
        <f si="24" t="shared"/>
        <v>-1.1256242043192033E-2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3.2394275399690566E-2</v>
      </c>
      <c r="N44" s="43">
        <f>output!C53/SUM(output!C$50:C$53)</f>
        <v>6.424275560415528E-2</v>
      </c>
      <c r="O44" s="43">
        <f>output!D53/SUM(output!D$50:D$53)</f>
        <v>0.17175734500612336</v>
      </c>
      <c r="P44" s="43">
        <f>output!E53/SUM(output!E$50:E$53)</f>
        <v>9.1628761735283601E-2</v>
      </c>
      <c r="Q44" s="43">
        <f>output!F53/SUM(output!F$50:F$53)</f>
        <v>2.4798552869593815E-2</v>
      </c>
      <c r="R44" s="43">
        <f>output!G53/SUM(output!G$50:G$53)</f>
        <v>1.9915509957754977E-2</v>
      </c>
      <c r="S44" s="43">
        <f>output!H53/SUM(output!H$50:H$53)</f>
        <v>2.9673674125007043E-2</v>
      </c>
      <c r="T44" s="43" t="e">
        <f>output!I53/SUM(output!I$50:I$53)</f>
        <v>#DIV/0!</v>
      </c>
      <c r="U44" s="43">
        <f>output!J53/SUM(output!J$50:J$53)</f>
        <v>5.7803248873971327E-2</v>
      </c>
      <c r="W44" s="8" t="s">
        <v>173</v>
      </c>
      <c r="X44" s="12">
        <f si="23" t="shared"/>
        <v>-2.3326064230105095E-3</v>
      </c>
      <c r="Y44" s="12">
        <f si="23" t="shared"/>
        <v>-1.1493785994846489E-2</v>
      </c>
      <c r="Z44" s="12">
        <f si="23" t="shared"/>
        <v>6.5401468211805355E-2</v>
      </c>
      <c r="AA44" s="12">
        <f si="23" t="shared"/>
        <v>1.1721582883613454E-2</v>
      </c>
      <c r="AB44" s="12">
        <f si="23" t="shared"/>
        <v>-7.5991512699919647E-3</v>
      </c>
      <c r="AC44" s="12">
        <f si="23" t="shared"/>
        <v>2.3880026350300322E-3</v>
      </c>
      <c r="AD44" s="12">
        <f si="23" t="shared"/>
        <v>1.4704078441307038E-2</v>
      </c>
      <c r="AE44" s="12" t="e">
        <f si="24" t="shared"/>
        <v>#DIV/0!</v>
      </c>
      <c r="AF44" s="12">
        <f si="24" t="shared"/>
        <v>1.027880191312356E-2</v>
      </c>
    </row>
    <row ht="13.5" r="45" spans="1:32" thickBot="1" x14ac:dyDescent="0.25">
      <c r="A45" s="15" t="s">
        <v>220</v>
      </c>
      <c r="B45" s="44">
        <f>SUM(B41:B44)</f>
        <v>0.99999999999999989</v>
      </c>
      <c r="C45" s="44">
        <f ref="C45:J45" si="25" t="shared">SUM(C41:C44)</f>
        <v>1</v>
      </c>
      <c r="D45" s="44">
        <f si="25" t="shared"/>
        <v>1</v>
      </c>
      <c r="E45" s="44">
        <f si="25" t="shared"/>
        <v>0.99999999999999978</v>
      </c>
      <c r="F45" s="44">
        <f si="25" t="shared"/>
        <v>0.99999999999999989</v>
      </c>
      <c r="G45" s="44">
        <f si="25" t="shared"/>
        <v>0.99999999999999989</v>
      </c>
      <c r="H45" s="44">
        <f si="25" t="shared"/>
        <v>1</v>
      </c>
      <c r="I45" s="44" t="e">
        <f si="25" t="shared"/>
        <v>#DIV/0!</v>
      </c>
      <c r="J45" s="44">
        <f si="25" t="shared"/>
        <v>1.0000000000000002</v>
      </c>
      <c r="L45" s="15" t="s">
        <v>220</v>
      </c>
      <c r="M45" s="44">
        <f>SUM(M41:M44)</f>
        <v>1</v>
      </c>
      <c r="N45" s="44">
        <f ref="N45:U45" si="26" t="shared">SUM(N41:N44)</f>
        <v>1</v>
      </c>
      <c r="O45" s="44">
        <f si="26" t="shared"/>
        <v>1</v>
      </c>
      <c r="P45" s="44">
        <f si="26" t="shared"/>
        <v>1</v>
      </c>
      <c r="Q45" s="44">
        <f si="26" t="shared"/>
        <v>1</v>
      </c>
      <c r="R45" s="44">
        <f si="26" t="shared"/>
        <v>0.99999999999999989</v>
      </c>
      <c r="S45" s="44">
        <f si="26" t="shared"/>
        <v>1</v>
      </c>
      <c r="T45" s="44" t="e">
        <f si="26" t="shared"/>
        <v>#DIV/0!</v>
      </c>
      <c r="U45" s="44">
        <f si="26" t="shared"/>
        <v>1</v>
      </c>
      <c r="W45" s="15" t="s">
        <v>220</v>
      </c>
      <c r="X45" s="14">
        <f si="23" t="shared"/>
        <v>0</v>
      </c>
      <c r="Y45" s="14">
        <f si="23" t="shared"/>
        <v>0</v>
      </c>
      <c r="Z45" s="14">
        <f si="23" t="shared"/>
        <v>0</v>
      </c>
      <c r="AA45" s="14">
        <f si="23" t="shared"/>
        <v>0</v>
      </c>
      <c r="AB45" s="14">
        <f si="23" t="shared"/>
        <v>0</v>
      </c>
      <c r="AC45" s="14">
        <f si="23" t="shared"/>
        <v>0</v>
      </c>
      <c r="AD45" s="14">
        <f si="23" t="shared"/>
        <v>0</v>
      </c>
      <c r="AE45" s="14" t="e">
        <f si="24" t="shared"/>
        <v>#DIV/0!</v>
      </c>
      <c r="AF45" s="14">
        <f si="24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293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242</v>
      </c>
      <c r="Q52" s="41" t="s">
        <v>243</v>
      </c>
      <c r="R52" s="41" t="s">
        <v>244</v>
      </c>
      <c r="S52" s="41" t="s">
        <v>245</v>
      </c>
      <c r="T52" s="41" t="s">
        <v>170</v>
      </c>
      <c r="U52" s="41" t="s">
        <v>220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3" t="s">
        <v>225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225</v>
      </c>
      <c r="M53" s="42">
        <f>output!B57/SUM(output!B$57:B$60)</f>
        <v>0.83469614101506584</v>
      </c>
      <c r="N53" s="42">
        <f>output!C57/SUM(output!C$57:C$60)</f>
        <v>0.41981339513876509</v>
      </c>
      <c r="O53" s="42">
        <f>output!D57/SUM(output!D$57:D$60)</f>
        <v>0.62620193765081056</v>
      </c>
      <c r="P53" s="42">
        <f>output!E57/SUM(output!E$57:E$60)</f>
        <v>0.72085249336847967</v>
      </c>
      <c r="Q53" s="42">
        <f>output!F57/SUM(output!F$57:F$60)</f>
        <v>0.88478868607136985</v>
      </c>
      <c r="R53" s="42">
        <f>output!G57/SUM(output!G$57:G$60)</f>
        <v>0.97488373744186874</v>
      </c>
      <c r="S53" s="42">
        <f>output!H57/SUM(output!H$57:H$60)</f>
        <v>0.92934297656506837</v>
      </c>
      <c r="T53" s="42" t="e">
        <f>output!I57/SUM(output!I$57:I$60)</f>
        <v>#DIV/0!</v>
      </c>
      <c r="U53" s="42">
        <f>output!J57/SUM(output!J$57:J$60)</f>
        <v>0.79104053361380899</v>
      </c>
      <c r="W53" s="3" t="s">
        <v>225</v>
      </c>
      <c r="X53" s="12">
        <f ref="X53:AD57" si="27" t="shared">M53-B53</f>
        <v>3.6339907612414124E-2</v>
      </c>
      <c r="Y53" s="12">
        <f si="27" t="shared"/>
        <v>-0.27503865379963227</v>
      </c>
      <c r="Z53" s="12">
        <f si="27" t="shared"/>
        <v>-4.3730653051051727E-2</v>
      </c>
      <c r="AA53" s="12">
        <f si="27" t="shared"/>
        <v>5.6805135891708658E-2</v>
      </c>
      <c r="AB53" s="12">
        <f si="27" t="shared"/>
        <v>6.3335808790227266E-2</v>
      </c>
      <c r="AC53" s="12">
        <f si="27" t="shared"/>
        <v>6.1171797549074869E-2</v>
      </c>
      <c r="AD53" s="12">
        <f si="27" t="shared"/>
        <v>1.2171067393024204E-2</v>
      </c>
      <c r="AE53" s="12" t="e">
        <f ref="AE53:AF57" si="28" t="shared">T53-I53</f>
        <v>#DIV/0!</v>
      </c>
      <c r="AF53" s="12">
        <f si="28" t="shared"/>
        <v>8.8864443758585043E-3</v>
      </c>
    </row>
    <row r="54" spans="1:32" x14ac:dyDescent="0.2">
      <c r="A54" s="3" t="s">
        <v>234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234</v>
      </c>
      <c r="M54" s="42">
        <f>output!B58/SUM(output!B$57:B$60)</f>
        <v>0.10807765732846718</v>
      </c>
      <c r="N54" s="42">
        <f>output!C58/SUM(output!C$57:C$60)</f>
        <v>0.44140963927022048</v>
      </c>
      <c r="O54" s="42">
        <f>output!D58/SUM(output!D$57:D$60)</f>
        <v>0.13176753040462708</v>
      </c>
      <c r="P54" s="42">
        <f>output!E58/SUM(output!E$57:E$60)</f>
        <v>9.4096907507961985E-2</v>
      </c>
      <c r="Q54" s="42">
        <f>output!F58/SUM(output!F$57:F$60)</f>
        <v>3.8365400427561258E-2</v>
      </c>
      <c r="R54" s="42">
        <f>output!G58/SUM(output!G$57:G$60)</f>
        <v>7.8455039227519618E-3</v>
      </c>
      <c r="S54" s="42">
        <f>output!H58/SUM(output!H$57:H$60)</f>
        <v>3.520875405062697E-2</v>
      </c>
      <c r="T54" s="42" t="e">
        <f>output!I58/SUM(output!I$57:I$60)</f>
        <v>#DIV/0!</v>
      </c>
      <c r="U54" s="42">
        <f>output!J58/SUM(output!J$57:J$60)</f>
        <v>0.11019963919824792</v>
      </c>
      <c r="W54" s="3" t="s">
        <v>234</v>
      </c>
      <c r="X54" s="12">
        <f si="27" t="shared"/>
        <v>-3.273548823751464E-2</v>
      </c>
      <c r="Y54" s="12">
        <f si="27" t="shared"/>
        <v>0.26815263306625692</v>
      </c>
      <c r="Z54" s="12">
        <f si="27" t="shared"/>
        <v>-6.1884006735367925E-3</v>
      </c>
      <c r="AA54" s="12">
        <f si="27" t="shared"/>
        <v>-4.1606981260598752E-2</v>
      </c>
      <c r="AB54" s="12">
        <f si="27" t="shared"/>
        <v>-6.131149886978754E-2</v>
      </c>
      <c r="AC54" s="12">
        <f si="27" t="shared"/>
        <v>-4.176318328570882E-2</v>
      </c>
      <c r="AD54" s="12">
        <f si="27" t="shared"/>
        <v>-1.5078472959832168E-2</v>
      </c>
      <c r="AE54" s="12" t="e">
        <f si="28" t="shared"/>
        <v>#DIV/0!</v>
      </c>
      <c r="AF54" s="12">
        <f si="28" t="shared"/>
        <v>-1.143058595664162E-2</v>
      </c>
    </row>
    <row r="55" spans="1:32" x14ac:dyDescent="0.2">
      <c r="A55" s="3" t="s">
        <v>235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235</v>
      </c>
      <c r="M55" s="42">
        <f>output!B59/SUM(output!B$57:B$60)</f>
        <v>3.4738043505333778E-2</v>
      </c>
      <c r="N55" s="42">
        <f>output!C59/SUM(output!C$57:C$60)</f>
        <v>8.5065668271230757E-2</v>
      </c>
      <c r="O55" s="42">
        <f>output!D59/SUM(output!D$57:D$60)</f>
        <v>0.13015484230820532</v>
      </c>
      <c r="P55" s="42">
        <f>output!E59/SUM(output!E$57:E$60)</f>
        <v>0.10469902460522705</v>
      </c>
      <c r="Q55" s="42">
        <f>output!F59/SUM(output!F$57:F$60)</f>
        <v>4.9925999013320177E-2</v>
      </c>
      <c r="R55" s="42">
        <f>output!G59/SUM(output!G$57:G$60)</f>
        <v>1.0490255245127622E-2</v>
      </c>
      <c r="S55" s="42">
        <f>output!H59/SUM(output!H$57:H$60)</f>
        <v>2.1251115390034284E-2</v>
      </c>
      <c r="T55" s="42" t="e">
        <f>output!I59/SUM(output!I$57:I$60)</f>
        <v>#DIV/0!</v>
      </c>
      <c r="U55" s="42">
        <f>output!J59/SUM(output!J$57:J$60)</f>
        <v>5.7028644463823303E-2</v>
      </c>
      <c r="W55" s="3" t="s">
        <v>235</v>
      </c>
      <c r="X55" s="12">
        <f si="27" t="shared"/>
        <v>-9.7295239145034074E-3</v>
      </c>
      <c r="Y55" s="12">
        <f si="27" t="shared"/>
        <v>-7.6924271470632244E-3</v>
      </c>
      <c r="Z55" s="12">
        <f si="27" t="shared"/>
        <v>-8.4079425520571793E-3</v>
      </c>
      <c r="AA55" s="12">
        <f si="27" t="shared"/>
        <v>-2.7460861343171702E-2</v>
      </c>
      <c r="AB55" s="12">
        <f si="27" t="shared"/>
        <v>-1.1458569114720443E-3</v>
      </c>
      <c r="AC55" s="12">
        <f si="27" t="shared"/>
        <v>-2.6189117653617706E-2</v>
      </c>
      <c r="AD55" s="12">
        <f si="27" t="shared"/>
        <v>-9.2287665582037638E-3</v>
      </c>
      <c r="AE55" s="12" t="e">
        <f si="28" t="shared"/>
        <v>#DIV/0!</v>
      </c>
      <c r="AF55" s="12">
        <f si="28" t="shared"/>
        <v>-1.1617186597495194E-2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2.2488158151133197E-2</v>
      </c>
      <c r="N56" s="43">
        <f>output!C60/SUM(output!C$57:C$60)</f>
        <v>5.3711297319783684E-2</v>
      </c>
      <c r="O56" s="43">
        <f>output!D60/SUM(output!D$57:D$60)</f>
        <v>0.11187568963635702</v>
      </c>
      <c r="P56" s="43">
        <f>output!E60/SUM(output!E$57:E$60)</f>
        <v>8.0351574518331262E-2</v>
      </c>
      <c r="Q56" s="43">
        <f>output!F60/SUM(output!F$57:F$60)</f>
        <v>2.6919914487748726E-2</v>
      </c>
      <c r="R56" s="43">
        <f>output!G60/SUM(output!G$57:G$60)</f>
        <v>6.7805033902516949E-3</v>
      </c>
      <c r="S56" s="43">
        <f>output!H60/SUM(output!H$57:H$60)</f>
        <v>1.4197153994270418E-2</v>
      </c>
      <c r="T56" s="43" t="e">
        <f>output!I60/SUM(output!I$57:I$60)</f>
        <v>#DIV/0!</v>
      </c>
      <c r="U56" s="43">
        <f>output!J60/SUM(output!J$57:J$60)</f>
        <v>4.1731182724119797E-2</v>
      </c>
      <c r="W56" s="8" t="s">
        <v>173</v>
      </c>
      <c r="X56" s="12">
        <f si="27" t="shared"/>
        <v>6.1251045396039858E-3</v>
      </c>
      <c r="Y56" s="12">
        <f si="27" t="shared"/>
        <v>1.4578447880438619E-2</v>
      </c>
      <c r="Z56" s="12">
        <f si="27" t="shared"/>
        <v>5.8326996276645719E-2</v>
      </c>
      <c r="AA56" s="12">
        <f si="27" t="shared"/>
        <v>1.2262706712061783E-2</v>
      </c>
      <c r="AB56" s="12">
        <f si="27" t="shared"/>
        <v>-8.7845300896772019E-4</v>
      </c>
      <c r="AC56" s="12">
        <f si="27" t="shared"/>
        <v>6.7805033902516949E-3</v>
      </c>
      <c r="AD56" s="12">
        <f si="27" t="shared"/>
        <v>1.2136172125011684E-2</v>
      </c>
      <c r="AE56" s="12" t="e">
        <f si="28" t="shared"/>
        <v>#DIV/0!</v>
      </c>
      <c r="AF56" s="12">
        <f si="28" t="shared"/>
        <v>1.4161328178278348E-2</v>
      </c>
    </row>
    <row ht="13.5" r="57" spans="1:32" thickBot="1" x14ac:dyDescent="0.25">
      <c r="A57" s="15" t="s">
        <v>220</v>
      </c>
      <c r="B57" s="44">
        <f>SUM(B53:B56)</f>
        <v>0.99999999999999989</v>
      </c>
      <c r="C57" s="44">
        <f ref="C57:J57" si="29" t="shared">SUM(C53:C56)</f>
        <v>0.99999999999999989</v>
      </c>
      <c r="D57" s="44">
        <f si="29" t="shared"/>
        <v>1</v>
      </c>
      <c r="E57" s="44">
        <f si="29" t="shared"/>
        <v>1</v>
      </c>
      <c r="F57" s="44">
        <f si="29" t="shared"/>
        <v>1</v>
      </c>
      <c r="G57" s="44">
        <f si="29" t="shared"/>
        <v>1</v>
      </c>
      <c r="H57" s="44">
        <f si="29" t="shared"/>
        <v>1</v>
      </c>
      <c r="I57" s="44" t="e">
        <f si="29" t="shared"/>
        <v>#DIV/0!</v>
      </c>
      <c r="J57" s="44">
        <f si="29" t="shared"/>
        <v>1</v>
      </c>
      <c r="L57" s="15" t="s">
        <v>220</v>
      </c>
      <c r="M57" s="44">
        <f>SUM(M53:M56)</f>
        <v>1</v>
      </c>
      <c r="N57" s="44">
        <f ref="N57:U57" si="30" t="shared">SUM(N53:N56)</f>
        <v>0.99999999999999989</v>
      </c>
      <c r="O57" s="44">
        <f si="30" t="shared"/>
        <v>1</v>
      </c>
      <c r="P57" s="44">
        <f si="30" t="shared"/>
        <v>1</v>
      </c>
      <c r="Q57" s="44">
        <f si="30" t="shared"/>
        <v>1</v>
      </c>
      <c r="R57" s="44">
        <f si="30" t="shared"/>
        <v>1</v>
      </c>
      <c r="S57" s="44">
        <f si="30" t="shared"/>
        <v>1</v>
      </c>
      <c r="T57" s="44" t="e">
        <f si="30" t="shared"/>
        <v>#DIV/0!</v>
      </c>
      <c r="U57" s="44">
        <f si="30" t="shared"/>
        <v>1</v>
      </c>
      <c r="W57" s="15" t="s">
        <v>220</v>
      </c>
      <c r="X57" s="14">
        <f si="27" t="shared"/>
        <v>0</v>
      </c>
      <c r="Y57" s="14">
        <f si="27" t="shared"/>
        <v>0</v>
      </c>
      <c r="Z57" s="14">
        <f si="27" t="shared"/>
        <v>0</v>
      </c>
      <c r="AA57" s="14">
        <f si="27" t="shared"/>
        <v>0</v>
      </c>
      <c r="AB57" s="14">
        <f si="27" t="shared"/>
        <v>0</v>
      </c>
      <c r="AC57" s="14">
        <f si="27" t="shared"/>
        <v>0</v>
      </c>
      <c r="AD57" s="14">
        <f si="27" t="shared"/>
        <v>0</v>
      </c>
      <c r="AE57" s="14" t="e">
        <f si="28" t="shared"/>
        <v>#DIV/0!</v>
      </c>
      <c r="AF57" s="14">
        <f si="28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255</v>
      </c>
      <c r="L62" s="2" t="s">
        <v>294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242</v>
      </c>
      <c r="Q64" s="41" t="s">
        <v>243</v>
      </c>
      <c r="R64" s="41" t="s">
        <v>244</v>
      </c>
      <c r="S64" s="41" t="s">
        <v>245</v>
      </c>
      <c r="T64" s="41" t="s">
        <v>170</v>
      </c>
      <c r="U64" s="41" t="s">
        <v>220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3" t="s">
        <v>225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225</v>
      </c>
      <c r="M65" s="42">
        <f>output!B64/SUM(output!B$64:B$67)</f>
        <v>0.85013618389147483</v>
      </c>
      <c r="N65" s="42">
        <f>output!C64/SUM(output!C$64:C$67)</f>
        <v>0.72053247756581684</v>
      </c>
      <c r="O65" s="42">
        <f>output!D64/SUM(output!D$64:D$67)</f>
        <v>0.79529043718663039</v>
      </c>
      <c r="P65" s="42">
        <f>output!E64/SUM(output!E$64:E$67)</f>
        <v>0.91014468651255609</v>
      </c>
      <c r="Q65" s="42">
        <f>output!F64/SUM(output!F$64:F$67)</f>
        <v>0.89587238940963654</v>
      </c>
      <c r="R65" s="42">
        <f>output!G64/SUM(output!G$64:G$67)</f>
        <v>0.97387198693599342</v>
      </c>
      <c r="S65" s="42">
        <f>output!H64/SUM(output!H$64:H$67)</f>
        <v>0.93426132040914089</v>
      </c>
      <c r="T65" s="42" t="e">
        <f>output!I64/SUM(output!I$64:I$67)</f>
        <v>#DIV/0!</v>
      </c>
      <c r="U65" s="42">
        <f>output!J64/SUM(output!J$64:J$67)</f>
        <v>0.86487983379165778</v>
      </c>
      <c r="W65" s="3" t="s">
        <v>225</v>
      </c>
      <c r="X65" s="12">
        <f ref="X65:AD69" si="31" t="shared">M65-B65</f>
        <v>4.3449516628713325E-2</v>
      </c>
      <c r="Y65" s="12">
        <f si="31" t="shared"/>
        <v>-0.11428308514108731</v>
      </c>
      <c r="Z65" s="12">
        <f si="31" t="shared"/>
        <v>-2.4257098264453991E-2</v>
      </c>
      <c r="AA65" s="12">
        <f si="31" t="shared"/>
        <v>5.1683664569084575E-2</v>
      </c>
      <c r="AB65" s="12">
        <f si="31" t="shared"/>
        <v>1.0114969255234918E-3</v>
      </c>
      <c r="AC65" s="12">
        <f si="31" t="shared"/>
        <v>5.6839978581709749E-2</v>
      </c>
      <c r="AD65" s="12">
        <f si="31" t="shared"/>
        <v>2.8471937416312265E-3</v>
      </c>
      <c r="AE65" s="12" t="e">
        <f ref="AE65:AF69" si="32" t="shared">T65-I65</f>
        <v>#DIV/0!</v>
      </c>
      <c r="AF65" s="12">
        <f si="32" t="shared"/>
        <v>1.799497929915006E-2</v>
      </c>
    </row>
    <row r="66" spans="1:32" x14ac:dyDescent="0.2">
      <c r="A66" s="3" t="s">
        <v>234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234</v>
      </c>
      <c r="M66" s="42">
        <f>output!B65/SUM(output!B$64:B$67)</f>
        <v>9.5259862893076239E-2</v>
      </c>
      <c r="N66" s="42">
        <f>output!C65/SUM(output!C$64:C$67)</f>
        <v>0.193676828905925</v>
      </c>
      <c r="O66" s="42">
        <f>output!D65/SUM(output!D$64:D$67)</f>
        <v>7.8615989960046317E-2</v>
      </c>
      <c r="P66" s="42">
        <f>output!E65/SUM(output!E$64:E$67)</f>
        <v>3.6595709296524198E-2</v>
      </c>
      <c r="Q66" s="42">
        <f>output!F65/SUM(output!F$64:F$67)</f>
        <v>4.1193882585101135E-2</v>
      </c>
      <c r="R66" s="42">
        <f>output!G65/SUM(output!G$64:G$67)</f>
        <v>1.2425006212503106E-2</v>
      </c>
      <c r="S66" s="42">
        <f>output!H65/SUM(output!H$64:H$67)</f>
        <v>3.7715911972723941E-2</v>
      </c>
      <c r="T66" s="42" t="e">
        <f>output!I65/SUM(output!I$64:I$67)</f>
        <v>#DIV/0!</v>
      </c>
      <c r="U66" s="42">
        <f>output!J65/SUM(output!J$64:J$67)</f>
        <v>7.6099828852271748E-2</v>
      </c>
      <c r="W66" s="3" t="s">
        <v>234</v>
      </c>
      <c r="X66" s="12">
        <f si="31" t="shared"/>
        <v>-4.0129070369166367E-2</v>
      </c>
      <c r="Y66" s="12">
        <f si="31" t="shared"/>
        <v>9.5911938338578653E-2</v>
      </c>
      <c r="Z66" s="12">
        <f si="31" t="shared"/>
        <v>8.8753978171550452E-4</v>
      </c>
      <c r="AA66" s="12">
        <f si="31" t="shared"/>
        <v>-4.9409062849627816E-2</v>
      </c>
      <c r="AB66" s="12">
        <f si="31" t="shared"/>
        <v>2.7006587818864877E-3</v>
      </c>
      <c r="AC66" s="12">
        <f si="31" t="shared"/>
        <v>-5.3556717869767727E-2</v>
      </c>
      <c r="AD66" s="12">
        <f si="31" t="shared"/>
        <v>-6.0374542162304756E-3</v>
      </c>
      <c r="AE66" s="12" t="e">
        <f si="32" t="shared"/>
        <v>#DIV/0!</v>
      </c>
      <c r="AF66" s="12">
        <f si="32" t="shared"/>
        <v>-2.1042943984902127E-2</v>
      </c>
    </row>
    <row r="67" spans="1:32" x14ac:dyDescent="0.2">
      <c r="A67" s="3" t="s">
        <v>235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235</v>
      </c>
      <c r="M67" s="42">
        <f>output!B66/SUM(output!B$64:B$67)</f>
        <v>4.8344915190913842E-2</v>
      </c>
      <c r="N67" s="42">
        <f>output!C66/SUM(output!C$64:C$67)</f>
        <v>7.944375111428062E-2</v>
      </c>
      <c r="O67" s="42">
        <f>output!D66/SUM(output!D$64:D$67)</f>
        <v>0.11456823955232477</v>
      </c>
      <c r="P67" s="42">
        <f>output!E66/SUM(output!E$64:E$67)</f>
        <v>4.871528355230334E-2</v>
      </c>
      <c r="Q67" s="42">
        <f>output!F66/SUM(output!F$64:F$67)</f>
        <v>5.8016773556980761E-2</v>
      </c>
      <c r="R67" s="42">
        <f>output!G66/SUM(output!G$64:G$67)</f>
        <v>1.1945755972877987E-2</v>
      </c>
      <c r="S67" s="42">
        <f>output!H66/SUM(output!H$64:H$67)</f>
        <v>2.4725971427766349E-2</v>
      </c>
      <c r="T67" s="42" t="e">
        <f>output!I66/SUM(output!I$64:I$67)</f>
        <v>#DIV/0!</v>
      </c>
      <c r="U67" s="42">
        <f>output!J66/SUM(output!J$64:J$67)</f>
        <v>5.3095736883833226E-2</v>
      </c>
      <c r="W67" s="3" t="s">
        <v>235</v>
      </c>
      <c r="X67" s="12">
        <f si="31" t="shared"/>
        <v>9.7515813291070702E-4</v>
      </c>
      <c r="Y67" s="12">
        <f si="31" t="shared"/>
        <v>1.5768055101028425E-2</v>
      </c>
      <c r="Z67" s="12">
        <f si="31" t="shared"/>
        <v>2.2914128833129432E-2</v>
      </c>
      <c r="AA67" s="12">
        <f si="31" t="shared"/>
        <v>-4.7745188397200905E-3</v>
      </c>
      <c r="AB67" s="12">
        <f si="31" t="shared"/>
        <v>-7.4976942107865124E-3</v>
      </c>
      <c r="AC67" s="12">
        <f si="31" t="shared"/>
        <v>-5.0405115905676427E-3</v>
      </c>
      <c r="AD67" s="12">
        <f si="31" t="shared"/>
        <v>1.104624689160217E-3</v>
      </c>
      <c r="AE67" s="12" t="e">
        <f si="32" t="shared"/>
        <v>#DIV/0!</v>
      </c>
      <c r="AF67" s="12">
        <f si="32" t="shared"/>
        <v>3.5194849489418728E-3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6.2590380245350777E-3</v>
      </c>
      <c r="N68" s="43">
        <f>output!C67/SUM(output!C$64:C$67)</f>
        <v>6.3469424139775358E-3</v>
      </c>
      <c r="O68" s="43">
        <f>output!D67/SUM(output!D$64:D$67)</f>
        <v>1.1525333300998539E-2</v>
      </c>
      <c r="P68" s="43">
        <f>output!E67/SUM(output!E$64:E$67)</f>
        <v>4.544320638616331E-3</v>
      </c>
      <c r="Q68" s="43">
        <f>output!F67/SUM(output!F$64:F$67)</f>
        <v>4.9169544482815328E-3</v>
      </c>
      <c r="R68" s="43">
        <f>output!G67/SUM(output!G$64:G$67)</f>
        <v>1.7572508786254392E-3</v>
      </c>
      <c r="S68" s="43">
        <f>output!H67/SUM(output!H$64:H$67)</f>
        <v>3.2967961903688468E-3</v>
      </c>
      <c r="T68" s="43" t="e">
        <f>output!I67/SUM(output!I$64:I$67)</f>
        <v>#DIV/0!</v>
      </c>
      <c r="U68" s="43">
        <f>output!J67/SUM(output!J$64:J$67)</f>
        <v>5.9246004722372557E-3</v>
      </c>
      <c r="W68" s="8" t="s">
        <v>173</v>
      </c>
      <c r="X68" s="12">
        <f si="31" t="shared"/>
        <v>-4.2956043924576208E-3</v>
      </c>
      <c r="Y68" s="12">
        <f si="31" t="shared"/>
        <v>2.6030917014802112E-3</v>
      </c>
      <c r="Z68" s="12">
        <f si="31" t="shared"/>
        <v>4.5542964960908899E-4</v>
      </c>
      <c r="AA68" s="12">
        <f si="31" t="shared"/>
        <v>2.4999171202632346E-3</v>
      </c>
      <c r="AB68" s="12">
        <f si="31" t="shared"/>
        <v>3.7855385033767281E-3</v>
      </c>
      <c r="AC68" s="12">
        <f si="31" t="shared"/>
        <v>1.7572508786254392E-3</v>
      </c>
      <c r="AD68" s="12">
        <f si="31" t="shared"/>
        <v>2.0856357854391267E-3</v>
      </c>
      <c r="AE68" s="12" t="e">
        <f si="32" t="shared"/>
        <v>#DIV/0!</v>
      </c>
      <c r="AF68" s="12">
        <f si="32" t="shared"/>
        <v>-4.7152026318980373E-4</v>
      </c>
    </row>
    <row ht="13.5" r="69" spans="1:32" thickBot="1" x14ac:dyDescent="0.25">
      <c r="A69" s="15" t="s">
        <v>220</v>
      </c>
      <c r="B69" s="44">
        <f>SUM(B65:B68)</f>
        <v>1</v>
      </c>
      <c r="C69" s="44">
        <f ref="C69:J69" si="33" t="shared">SUM(C65:C68)</f>
        <v>1</v>
      </c>
      <c r="D69" s="44">
        <f si="33" t="shared"/>
        <v>1</v>
      </c>
      <c r="E69" s="44">
        <f si="33" t="shared"/>
        <v>1</v>
      </c>
      <c r="F69" s="44">
        <f si="33" t="shared"/>
        <v>0.99999999999999978</v>
      </c>
      <c r="G69" s="44">
        <f si="33" t="shared"/>
        <v>1.0000000000000002</v>
      </c>
      <c r="H69" s="44">
        <f si="33" t="shared"/>
        <v>1</v>
      </c>
      <c r="I69" s="44" t="e">
        <f si="33" t="shared"/>
        <v>#DIV/0!</v>
      </c>
      <c r="J69" s="44">
        <f si="33" t="shared"/>
        <v>1</v>
      </c>
      <c r="L69" s="15" t="s">
        <v>220</v>
      </c>
      <c r="M69" s="44">
        <f>SUM(M65:M68)</f>
        <v>1</v>
      </c>
      <c r="N69" s="44">
        <f ref="N69:U69" si="34" t="shared">SUM(N65:N68)</f>
        <v>0.99999999999999989</v>
      </c>
      <c r="O69" s="44">
        <f si="34" t="shared"/>
        <v>1</v>
      </c>
      <c r="P69" s="44">
        <f si="34" t="shared"/>
        <v>1</v>
      </c>
      <c r="Q69" s="44">
        <f si="34" t="shared"/>
        <v>1</v>
      </c>
      <c r="R69" s="44">
        <f si="34" t="shared"/>
        <v>0.99999999999999989</v>
      </c>
      <c r="S69" s="44">
        <f si="34" t="shared"/>
        <v>1</v>
      </c>
      <c r="T69" s="44" t="e">
        <f si="34" t="shared"/>
        <v>#DIV/0!</v>
      </c>
      <c r="U69" s="44">
        <f si="34" t="shared"/>
        <v>1</v>
      </c>
      <c r="W69" s="15" t="s">
        <v>220</v>
      </c>
      <c r="X69" s="14">
        <f si="31" t="shared"/>
        <v>0</v>
      </c>
      <c r="Y69" s="14">
        <f si="31" t="shared"/>
        <v>0</v>
      </c>
      <c r="Z69" s="14">
        <f si="31" t="shared"/>
        <v>0</v>
      </c>
      <c r="AA69" s="14">
        <f si="31" t="shared"/>
        <v>0</v>
      </c>
      <c r="AB69" s="14">
        <f si="31" t="shared"/>
        <v>0</v>
      </c>
      <c r="AC69" s="14">
        <f si="31" t="shared"/>
        <v>0</v>
      </c>
      <c r="AD69" s="14">
        <f si="31" t="shared"/>
        <v>0</v>
      </c>
      <c r="AE69" s="14" t="e">
        <f si="32" t="shared"/>
        <v>#DIV/0!</v>
      </c>
      <c r="AF69" s="14">
        <f si="32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242</v>
      </c>
      <c r="Q76" s="41" t="s">
        <v>243</v>
      </c>
      <c r="R76" s="41" t="s">
        <v>244</v>
      </c>
      <c r="S76" s="41" t="s">
        <v>245</v>
      </c>
      <c r="T76" s="41" t="s">
        <v>170</v>
      </c>
      <c r="U76" s="41" t="s">
        <v>220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3" t="s">
        <v>225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225</v>
      </c>
      <c r="M77" s="42">
        <f>output!B71/SUM(output!B$71:B$74)</f>
        <v>0.85642891992035552</v>
      </c>
      <c r="N77" s="42">
        <f>output!C71/SUM(output!C$71:C$74)</f>
        <v>0.68015405096995052</v>
      </c>
      <c r="O77" s="42">
        <f>output!D71/SUM(output!D$71:D$74)</f>
        <v>0.77508457518400409</v>
      </c>
      <c r="P77" s="42">
        <f>output!E71/SUM(output!E$71:E$74)</f>
        <v>0.81922426086920364</v>
      </c>
      <c r="Q77" s="42">
        <f>output!F71/SUM(output!F$71:F$74)</f>
        <v>0.92192073672093411</v>
      </c>
      <c r="R77" s="42">
        <f>output!G71/SUM(output!G$71:G$74)</f>
        <v>0.85881392335410123</v>
      </c>
      <c r="S77" s="42">
        <f>output!H71/SUM(output!H$71:H$74)</f>
        <v>0.67497486870660739</v>
      </c>
      <c r="T77" s="42" t="e">
        <f>output!I71/SUM(output!I$71:I$74)</f>
        <v>#DIV/0!</v>
      </c>
      <c r="U77" s="42">
        <f>output!J71/SUM(output!J$71:J$74)</f>
        <v>0.80869300090337126</v>
      </c>
      <c r="W77" s="3" t="s">
        <v>225</v>
      </c>
      <c r="X77" s="12">
        <f ref="X77:AD81" si="35" t="shared">M77-B77</f>
        <v>2.9422742009964753E-2</v>
      </c>
      <c r="Y77" s="12">
        <f si="35" t="shared"/>
        <v>-0.10546105258206007</v>
      </c>
      <c r="Z77" s="12">
        <f si="35" t="shared"/>
        <v>-2.3644607873837264E-2</v>
      </c>
      <c r="AA77" s="12">
        <f si="35" t="shared"/>
        <v>3.5150644021047728E-2</v>
      </c>
      <c r="AB77" s="12">
        <f si="35" t="shared"/>
        <v>6.2034475992680749E-2</v>
      </c>
      <c r="AC77" s="12">
        <f si="35" t="shared"/>
        <v>0.18928002174841208</v>
      </c>
      <c r="AD77" s="12">
        <f si="35" t="shared"/>
        <v>-5.134441831334513E-2</v>
      </c>
      <c r="AE77" s="12" t="e">
        <f ref="AE77:AF81" si="36" t="shared">T77-I77</f>
        <v>#DIV/0!</v>
      </c>
      <c r="AF77" s="12">
        <f si="36" t="shared"/>
        <v>1.4066734698097827E-2</v>
      </c>
    </row>
    <row r="78" spans="1:32" x14ac:dyDescent="0.2">
      <c r="A78" s="3" t="s">
        <v>234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234</v>
      </c>
      <c r="M78" s="42">
        <f>output!B72/SUM(output!B$71:B$74)</f>
        <v>5.3743921539324842E-2</v>
      </c>
      <c r="N78" s="42">
        <f>output!C72/SUM(output!C$71:C$74)</f>
        <v>0.13471139216432104</v>
      </c>
      <c r="O78" s="42">
        <f>output!D72/SUM(output!D$71:D$74)</f>
        <v>3.5891404251191326E-2</v>
      </c>
      <c r="P78" s="42">
        <f>output!E72/SUM(output!E$71:E$74)</f>
        <v>2.9012260985618599E-2</v>
      </c>
      <c r="Q78" s="42">
        <f>output!F72/SUM(output!F$71:F$74)</f>
        <v>1.4701529353724716E-2</v>
      </c>
      <c r="R78" s="42">
        <f>output!G72/SUM(output!G$71:G$74)</f>
        <v>2.8027761506647497E-2</v>
      </c>
      <c r="S78" s="42">
        <f>output!H72/SUM(output!H$71:H$74)</f>
        <v>0.11902368448248325</v>
      </c>
      <c r="T78" s="42" t="e">
        <f>output!I72/SUM(output!I$71:I$74)</f>
        <v>#DIV/0!</v>
      </c>
      <c r="U78" s="42">
        <f>output!J72/SUM(output!J$71:J$74)</f>
        <v>5.9064634647249176E-2</v>
      </c>
      <c r="W78" s="3" t="s">
        <v>234</v>
      </c>
      <c r="X78" s="12">
        <f si="35" t="shared"/>
        <v>-2.429773460852238E-2</v>
      </c>
      <c r="Y78" s="12">
        <f si="35" t="shared"/>
        <v>6.0489508109415613E-2</v>
      </c>
      <c r="Z78" s="12">
        <f si="35" t="shared"/>
        <v>-1.3149116385379779E-2</v>
      </c>
      <c r="AA78" s="12">
        <f si="35" t="shared"/>
        <v>-1.542565951280106E-2</v>
      </c>
      <c r="AB78" s="12">
        <f si="35" t="shared"/>
        <v>-4.1070117860931218E-2</v>
      </c>
      <c r="AC78" s="12">
        <f si="35" t="shared"/>
        <v>-9.917562948478513E-2</v>
      </c>
      <c r="AD78" s="12">
        <f si="35" t="shared"/>
        <v>3.5865530195079778E-2</v>
      </c>
      <c r="AE78" s="12" t="e">
        <f si="36" t="shared"/>
        <v>#DIV/0!</v>
      </c>
      <c r="AF78" s="12">
        <f si="36" t="shared"/>
        <v>-1.1829547476248287E-2</v>
      </c>
    </row>
    <row r="79" spans="1:32" x14ac:dyDescent="0.2">
      <c r="A79" s="3" t="s">
        <v>235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235</v>
      </c>
      <c r="M79" s="42">
        <f>output!B73/SUM(output!B$71:B$74)</f>
        <v>7.5290132491762307E-2</v>
      </c>
      <c r="N79" s="42">
        <f>output!C73/SUM(output!C$71:C$74)</f>
        <v>0.17003851274248763</v>
      </c>
      <c r="O79" s="42">
        <f>output!D73/SUM(output!D$71:D$74)</f>
        <v>0.15618823586472821</v>
      </c>
      <c r="P79" s="42">
        <f>output!E73/SUM(output!E$71:E$74)</f>
        <v>0.12674674350051349</v>
      </c>
      <c r="Q79" s="42">
        <f>output!F73/SUM(output!F$71:F$74)</f>
        <v>5.3428712382831769E-2</v>
      </c>
      <c r="R79" s="42">
        <f>output!G73/SUM(output!G$71:G$74)</f>
        <v>9.2763192928270941E-2</v>
      </c>
      <c r="S79" s="42">
        <f>output!H73/SUM(output!H$71:H$74)</f>
        <v>0.15874991779483469</v>
      </c>
      <c r="T79" s="42" t="e">
        <f>output!I73/SUM(output!I$71:I$74)</f>
        <v>#DIV/0!</v>
      </c>
      <c r="U79" s="42">
        <f>output!J73/SUM(output!J$71:J$74)</f>
        <v>0.10931657336712487</v>
      </c>
      <c r="W79" s="3" t="s">
        <v>235</v>
      </c>
      <c r="X79" s="12">
        <f si="35" t="shared"/>
        <v>-1.0296617591959309E-2</v>
      </c>
      <c r="Y79" s="12">
        <f si="35" t="shared"/>
        <v>5.3188886741941971E-2</v>
      </c>
      <c r="Z79" s="12">
        <f si="35" t="shared"/>
        <v>2.0926511475227505E-2</v>
      </c>
      <c r="AA79" s="12">
        <f si="35" t="shared"/>
        <v>-1.7544342715102162E-2</v>
      </c>
      <c r="AB79" s="12">
        <f si="35" t="shared"/>
        <v>-1.221527538647571E-2</v>
      </c>
      <c r="AC79" s="12">
        <f si="35" t="shared"/>
        <v>-5.5924707838503576E-2</v>
      </c>
      <c r="AD79" s="12">
        <f si="35" t="shared"/>
        <v>-1.0199361657015987E-2</v>
      </c>
      <c r="AE79" s="12" t="e">
        <f si="36" t="shared"/>
        <v>#DIV/0!</v>
      </c>
      <c r="AF79" s="12">
        <f si="36" t="shared"/>
        <v>-7.1896738517228248E-3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1.4537026048557359E-2</v>
      </c>
      <c r="N80" s="43">
        <f>output!C74/SUM(output!C$71:C$74)</f>
        <v>1.5096044123240776E-2</v>
      </c>
      <c r="O80" s="43">
        <f>output!D74/SUM(output!D$71:D$74)</f>
        <v>3.2835784700076392E-2</v>
      </c>
      <c r="P80" s="43">
        <f>output!E74/SUM(output!E$71:E$74)</f>
        <v>2.5016734644664248E-2</v>
      </c>
      <c r="Q80" s="43">
        <f>output!F74/SUM(output!F$71:F$74)</f>
        <v>9.9490215425094564E-3</v>
      </c>
      <c r="R80" s="43">
        <f>output!G74/SUM(output!G$71:G$74)</f>
        <v>2.0395122210980349E-2</v>
      </c>
      <c r="S80" s="43">
        <f>output!H74/SUM(output!H$71:H$74)</f>
        <v>4.7251529016074635E-2</v>
      </c>
      <c r="T80" s="43" t="e">
        <f>output!I74/SUM(output!I$71:I$74)</f>
        <v>#DIV/0!</v>
      </c>
      <c r="U80" s="43">
        <f>output!J74/SUM(output!J$71:J$74)</f>
        <v>2.2925791082254714E-2</v>
      </c>
      <c r="W80" s="8" t="s">
        <v>173</v>
      </c>
      <c r="X80" s="12">
        <f si="35" t="shared"/>
        <v>5.1716101905171213E-3</v>
      </c>
      <c r="Y80" s="12">
        <f si="35" t="shared"/>
        <v>-8.2173422692973872E-3</v>
      </c>
      <c r="Z80" s="12">
        <f si="35" t="shared"/>
        <v>1.5867212783989476E-2</v>
      </c>
      <c r="AA80" s="12">
        <f si="35" t="shared"/>
        <v>-2.1806417931445297E-3</v>
      </c>
      <c r="AB80" s="12">
        <f si="35" t="shared"/>
        <v>-8.7490827452737507E-3</v>
      </c>
      <c r="AC80" s="12">
        <f si="35" t="shared"/>
        <v>-3.4179684425123327E-2</v>
      </c>
      <c r="AD80" s="12">
        <f si="35" t="shared"/>
        <v>2.5678249775281211E-2</v>
      </c>
      <c r="AE80" s="12" t="e">
        <f si="36" t="shared"/>
        <v>#DIV/0!</v>
      </c>
      <c r="AF80" s="12">
        <f si="36" t="shared"/>
        <v>4.952486629873222E-3</v>
      </c>
    </row>
    <row ht="13.5" r="81" spans="1:32" thickBot="1" x14ac:dyDescent="0.25">
      <c r="A81" s="15" t="s">
        <v>220</v>
      </c>
      <c r="B81" s="44">
        <f>SUM(B77:B80)</f>
        <v>0.99999999999999978</v>
      </c>
      <c r="C81" s="44">
        <f ref="C81:J81" si="37" t="shared">SUM(C77:C80)</f>
        <v>0.99999999999999989</v>
      </c>
      <c r="D81" s="44">
        <f si="37" t="shared"/>
        <v>1</v>
      </c>
      <c r="E81" s="44">
        <f si="37" t="shared"/>
        <v>0.99999999999999989</v>
      </c>
      <c r="F81" s="44">
        <f si="37" t="shared"/>
        <v>0.99999999999999989</v>
      </c>
      <c r="G81" s="44">
        <f si="37" t="shared"/>
        <v>1</v>
      </c>
      <c r="H81" s="44">
        <f si="37" t="shared"/>
        <v>1</v>
      </c>
      <c r="I81" s="44" t="e">
        <f si="37" t="shared"/>
        <v>#DIV/0!</v>
      </c>
      <c r="J81" s="44">
        <f si="37" t="shared"/>
        <v>1</v>
      </c>
      <c r="L81" s="15" t="s">
        <v>220</v>
      </c>
      <c r="M81" s="51">
        <f>SUM(M77:M80)</f>
        <v>1</v>
      </c>
      <c r="N81" s="51">
        <f ref="N81:U81" si="38" t="shared">SUM(N77:N80)</f>
        <v>0.99999999999999989</v>
      </c>
      <c r="O81" s="51">
        <f si="38" t="shared"/>
        <v>1</v>
      </c>
      <c r="P81" s="51">
        <f si="38" t="shared"/>
        <v>1</v>
      </c>
      <c r="Q81" s="51">
        <f si="38" t="shared"/>
        <v>1</v>
      </c>
      <c r="R81" s="51">
        <f si="38" t="shared"/>
        <v>1</v>
      </c>
      <c r="S81" s="51">
        <f si="38" t="shared"/>
        <v>1</v>
      </c>
      <c r="T81" s="51" t="e">
        <f si="38" t="shared"/>
        <v>#DIV/0!</v>
      </c>
      <c r="U81" s="51">
        <f si="38" t="shared"/>
        <v>1</v>
      </c>
      <c r="W81" s="15" t="s">
        <v>220</v>
      </c>
      <c r="X81" s="14">
        <f si="35" t="shared"/>
        <v>0</v>
      </c>
      <c r="Y81" s="14">
        <f si="35" t="shared"/>
        <v>0</v>
      </c>
      <c r="Z81" s="14">
        <f si="35" t="shared"/>
        <v>0</v>
      </c>
      <c r="AA81" s="14">
        <f si="35" t="shared"/>
        <v>0</v>
      </c>
      <c r="AB81" s="14">
        <f si="35" t="shared"/>
        <v>0</v>
      </c>
      <c r="AC81" s="14">
        <f si="35" t="shared"/>
        <v>0</v>
      </c>
      <c r="AD81" s="14">
        <f si="35" t="shared"/>
        <v>0</v>
      </c>
      <c r="AE81" s="14" t="e">
        <f si="36" t="shared"/>
        <v>#DIV/0!</v>
      </c>
      <c r="AF81" s="14">
        <f si="36" t="shared"/>
        <v>0</v>
      </c>
    </row>
  </sheetData>
  <phoneticPr fontId="5"/>
  <conditionalFormatting sqref="X29:AF33 X41:AF45 X53:AF57 X65:AF69 X77:AF81 X17:AF21 X5:AF9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M40" workbookViewId="0">
      <selection activeCell="AG67" sqref="AG67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241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242</v>
      </c>
      <c r="Q4" s="41" t="s">
        <v>243</v>
      </c>
      <c r="R4" s="41" t="s">
        <v>244</v>
      </c>
      <c r="S4" s="41" t="s">
        <v>245</v>
      </c>
      <c r="T4" s="41" t="s">
        <v>170</v>
      </c>
      <c r="U4" s="41" t="s">
        <v>220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242</v>
      </c>
      <c r="AB4" s="41" t="s">
        <v>243</v>
      </c>
      <c r="AC4" s="41" t="s">
        <v>244</v>
      </c>
      <c r="AD4" s="41" t="s">
        <v>245</v>
      </c>
      <c r="AE4" s="41" t="s">
        <v>170</v>
      </c>
      <c r="AF4" s="41" t="s">
        <v>220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0.9559169768129635</v>
      </c>
      <c r="N5" s="42">
        <f>output!C81/SUM(output!C$81:C$83)</f>
        <v>0.94449833336272726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0.9559590690208668</v>
      </c>
      <c r="R5" s="42">
        <f>output!G81/SUM(output!G$81:G$83)</f>
        <v>0.94089264173703258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0.95477625800230537</v>
      </c>
      <c r="W5" s="18">
        <v>1</v>
      </c>
      <c r="X5" s="12">
        <f ref="X5:AD8" si="0" t="shared">M5-B5</f>
        <v>-1.873404062658901E-3</v>
      </c>
      <c r="Y5" s="12">
        <f si="0" t="shared"/>
        <v>2.6721447809271215E-2</v>
      </c>
      <c r="Z5" s="12" t="e">
        <f si="0" t="shared"/>
        <v>#DIV/0!</v>
      </c>
      <c r="AA5" s="12" t="e">
        <f si="0" t="shared"/>
        <v>#DIV/0!</v>
      </c>
      <c r="AB5" s="12">
        <f si="0" t="shared"/>
        <v>-2.7125625805576536E-2</v>
      </c>
      <c r="AC5" s="12">
        <f si="0" t="shared"/>
        <v>-5.9107358262967424E-2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-2.716698994824629E-4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4.1592250759522359E-2</v>
      </c>
      <c r="N6" s="42">
        <f>output!C82/SUM(output!C$81:C$83)</f>
        <v>5.2415301317437081E-2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4.1633226324237563E-2</v>
      </c>
      <c r="R6" s="42">
        <f>output!G82/SUM(output!G$81:G$83)</f>
        <v>5.6091676718938478E-2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4.2675566888323385E-2</v>
      </c>
      <c r="W6" s="18">
        <v>2</v>
      </c>
      <c r="X6" s="12">
        <f si="0" t="shared"/>
        <v>1.8234798063371666E-3</v>
      </c>
      <c r="Y6" s="12">
        <f si="0" t="shared"/>
        <v>-2.4779347082950202E-2</v>
      </c>
      <c r="Z6" s="12" t="e">
        <f si="0" t="shared"/>
        <v>#DIV/0!</v>
      </c>
      <c r="AA6" s="12" t="e">
        <f si="0" t="shared"/>
        <v>#DIV/0!</v>
      </c>
      <c r="AB6" s="12">
        <f si="0" t="shared"/>
        <v>2.4717921150680843E-2</v>
      </c>
      <c r="AC6" s="12">
        <f si="0" t="shared"/>
        <v>5.6091676718938478E-2</v>
      </c>
      <c r="AD6" s="12" t="e">
        <f si="0" t="shared"/>
        <v>#DIV/0!</v>
      </c>
      <c r="AE6" s="12" t="e">
        <f si="1" t="shared"/>
        <v>#DIV/0!</v>
      </c>
      <c r="AF6" s="12">
        <f si="1" t="shared"/>
        <v>2.1324180338471582E-4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2.4907724275141053E-3</v>
      </c>
      <c r="N7" s="43">
        <f>output!C83/SUM(output!C$81:C$83)</f>
        <v>3.0863653198356291E-3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2.407704654895666E-3</v>
      </c>
      <c r="R7" s="43">
        <f>output!G83/SUM(output!G$81:G$83)</f>
        <v>3.0156815440289505E-3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2.5481751093712067E-3</v>
      </c>
      <c r="W7" s="23" t="s">
        <v>116</v>
      </c>
      <c r="X7" s="12">
        <f si="0" t="shared"/>
        <v>4.9924256321780876E-5</v>
      </c>
      <c r="Y7" s="12">
        <f si="0" t="shared"/>
        <v>-1.9421007263210653E-3</v>
      </c>
      <c r="Z7" s="12" t="e">
        <f si="0" t="shared"/>
        <v>#DIV/0!</v>
      </c>
      <c r="AA7" s="12" t="e">
        <f si="0" t="shared"/>
        <v>#DIV/0!</v>
      </c>
      <c r="AB7" s="12">
        <f si="0" t="shared"/>
        <v>2.407704654895666E-3</v>
      </c>
      <c r="AC7" s="12">
        <f si="0" t="shared"/>
        <v>3.0156815440289505E-3</v>
      </c>
      <c r="AD7" s="12" t="e">
        <f si="0" t="shared"/>
        <v>#DIV/0!</v>
      </c>
      <c r="AE7" s="12" t="e">
        <f si="1" t="shared"/>
        <v>#DIV/0!</v>
      </c>
      <c r="AF7" s="12">
        <f si="1" t="shared"/>
        <v>5.8428096097659036E-5</v>
      </c>
    </row>
    <row ht="13.5" r="8" spans="1:32" thickBot="1" x14ac:dyDescent="0.25">
      <c r="A8" s="21" t="s">
        <v>220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220</v>
      </c>
      <c r="M8" s="51">
        <f>SUM(M5:M7)</f>
        <v>0.99999999999999989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1</v>
      </c>
      <c r="W8" s="21" t="s">
        <v>220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252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242</v>
      </c>
      <c r="F15" s="6" t="s">
        <v>243</v>
      </c>
      <c r="G15" s="6" t="s">
        <v>244</v>
      </c>
      <c r="H15" s="6" t="s">
        <v>245</v>
      </c>
      <c r="I15" s="6" t="s">
        <v>170</v>
      </c>
      <c r="J15" s="6" t="s">
        <v>220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242</v>
      </c>
      <c r="Q15" s="41" t="s">
        <v>243</v>
      </c>
      <c r="R15" s="41" t="s">
        <v>244</v>
      </c>
      <c r="S15" s="41" t="s">
        <v>245</v>
      </c>
      <c r="T15" s="41" t="s">
        <v>170</v>
      </c>
      <c r="U15" s="41" t="s">
        <v>220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242</v>
      </c>
      <c r="AB15" s="41" t="s">
        <v>243</v>
      </c>
      <c r="AC15" s="41" t="s">
        <v>244</v>
      </c>
      <c r="AD15" s="41" t="s">
        <v>245</v>
      </c>
      <c r="AE15" s="41" t="s">
        <v>170</v>
      </c>
      <c r="AF15" s="41" t="s">
        <v>220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0.96441402908468776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0.88509615384615381</v>
      </c>
      <c r="R16" s="42">
        <f>output!G88/SUM(output!G$88:G$90)</f>
        <v>0.94219926834516887</v>
      </c>
      <c r="S16" s="42">
        <f>output!H88/SUM(output!H$88:H$90)</f>
        <v>0.96740367571601826</v>
      </c>
      <c r="T16" s="42" t="e">
        <f>output!I88/SUM(output!I$88:I$90)</f>
        <v>#DIV/0!</v>
      </c>
      <c r="U16" s="42">
        <f>output!J88/SUM(output!J$88:J$90)</f>
        <v>0.95934666040673111</v>
      </c>
      <c r="W16" s="18">
        <v>1</v>
      </c>
      <c r="X16" s="12">
        <f ref="X16:AF19" si="4" t="shared">M16-B16</f>
        <v>-3.5585970915312237E-2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-3.7481654942426723E-2</v>
      </c>
      <c r="AC16" s="12">
        <f si="4" t="shared"/>
        <v>-2.0760877222338436E-2</v>
      </c>
      <c r="AD16" s="12">
        <f si="4" t="shared"/>
        <v>-9.4164836320449474E-3</v>
      </c>
      <c r="AE16" s="12" t="e">
        <f si="4" t="shared"/>
        <v>#DIV/0!</v>
      </c>
      <c r="AF16" s="12">
        <f si="4" t="shared"/>
        <v>-1.1708039085637334E-2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3.1822070145423438E-2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0.10681089743589743</v>
      </c>
      <c r="R17" s="42">
        <f>output!G89/SUM(output!G$88:G$90)</f>
        <v>5.4185496018936949E-2</v>
      </c>
      <c r="S17" s="42">
        <f>output!H89/SUM(output!H$88:H$90)</f>
        <v>3.0375967907454053E-2</v>
      </c>
      <c r="T17" s="42" t="e">
        <f>output!I89/SUM(output!I$88:I$90)</f>
        <v>#DIV/0!</v>
      </c>
      <c r="U17" s="42">
        <f>output!J89/SUM(output!J$88:J$90)</f>
        <v>3.7866020904890163E-2</v>
      </c>
      <c r="W17" s="18">
        <v>2</v>
      </c>
      <c r="X17" s="12">
        <f si="4" t="shared"/>
        <v>3.1822070145423438E-2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2.9388706224477965E-2</v>
      </c>
      <c r="AC17" s="12">
        <f si="4" t="shared"/>
        <v>1.7145641586444119E-2</v>
      </c>
      <c r="AD17" s="12">
        <f si="4" t="shared"/>
        <v>7.1961272555172186E-3</v>
      </c>
      <c r="AE17" s="12" t="e">
        <f si="4" t="shared"/>
        <v>#DIV/0!</v>
      </c>
      <c r="AF17" s="12">
        <f si="4" t="shared"/>
        <v>8.9207203972586392E-3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3.7639007698887939E-3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8.0929487179487187E-3</v>
      </c>
      <c r="R18" s="43">
        <f>output!G90/SUM(output!G$88:G$90)</f>
        <v>3.6152356358941252E-3</v>
      </c>
      <c r="S18" s="43">
        <f>output!H90/SUM(output!H$88:H$90)</f>
        <v>2.2203563765276612E-3</v>
      </c>
      <c r="T18" s="43" t="e">
        <f>output!I90/SUM(output!I$88:I$90)</f>
        <v>#DIV/0!</v>
      </c>
      <c r="U18" s="43">
        <f>output!J90/SUM(output!J$88:J$90)</f>
        <v>2.7873186883787589E-3</v>
      </c>
      <c r="W18" s="23" t="s">
        <v>116</v>
      </c>
      <c r="X18" s="12">
        <f si="4" t="shared"/>
        <v>3.7639007698887939E-3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8.0929487179487187E-3</v>
      </c>
      <c r="AC18" s="12">
        <f si="4" t="shared"/>
        <v>3.6152356358941252E-3</v>
      </c>
      <c r="AD18" s="12">
        <f si="4" t="shared"/>
        <v>2.2203563765276612E-3</v>
      </c>
      <c r="AE18" s="12" t="e">
        <f si="4" t="shared"/>
        <v>#DIV/0!</v>
      </c>
      <c r="AF18" s="12">
        <f si="4" t="shared"/>
        <v>2.7873186883787589E-3</v>
      </c>
    </row>
    <row ht="13.5" r="19" spans="1:32" thickBot="1" x14ac:dyDescent="0.25">
      <c r="A19" s="21" t="s">
        <v>220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220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0.99999999999999989</v>
      </c>
      <c r="T19" s="51" t="e">
        <f si="6" t="shared"/>
        <v>#DIV/0!</v>
      </c>
      <c r="U19" s="51">
        <f si="6" t="shared"/>
        <v>1</v>
      </c>
      <c r="W19" s="21" t="s">
        <v>220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242</v>
      </c>
      <c r="F26" s="24" t="s">
        <v>243</v>
      </c>
      <c r="G26" s="24" t="s">
        <v>244</v>
      </c>
      <c r="H26" s="24" t="s">
        <v>245</v>
      </c>
      <c r="I26" s="24" t="s">
        <v>170</v>
      </c>
      <c r="J26" s="24" t="s">
        <v>220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242</v>
      </c>
      <c r="Q26" s="52" t="s">
        <v>243</v>
      </c>
      <c r="R26" s="52" t="s">
        <v>244</v>
      </c>
      <c r="S26" s="52" t="s">
        <v>245</v>
      </c>
      <c r="T26" s="52" t="s">
        <v>170</v>
      </c>
      <c r="U26" s="52" t="s">
        <v>220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242</v>
      </c>
      <c r="AB26" s="52" t="s">
        <v>243</v>
      </c>
      <c r="AC26" s="52" t="s">
        <v>244</v>
      </c>
      <c r="AD26" s="52" t="s">
        <v>245</v>
      </c>
      <c r="AE26" s="52" t="s">
        <v>170</v>
      </c>
      <c r="AF26" s="52" t="s">
        <v>220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0.75863133295118834</v>
      </c>
      <c r="N27" s="42">
        <f>output!C95/SUM(output!C$95:C$97)</f>
        <v>0.73414283431858129</v>
      </c>
      <c r="O27" s="42">
        <f>output!D95/SUM(output!D$95:D$97)</f>
        <v>0.65127582017010932</v>
      </c>
      <c r="P27" s="42">
        <f>output!E95/SUM(output!E$95:E$97)</f>
        <v>0.4934046735094999</v>
      </c>
      <c r="Q27" s="42">
        <f>output!F95/SUM(output!F$95:F$97)</f>
        <v>0.70924044508950168</v>
      </c>
      <c r="R27" s="42">
        <f>output!G95/SUM(output!G$95:G$97)</f>
        <v>0.83965793693212187</v>
      </c>
      <c r="S27" s="42">
        <f>output!H95/SUM(output!H$95:H$97)</f>
        <v>0.82828156312625245</v>
      </c>
      <c r="T27" s="42" t="e">
        <f>output!I95/SUM(output!I$95:I$97)</f>
        <v>#DIV/0!</v>
      </c>
      <c r="U27" s="42">
        <f>output!J95/SUM(output!J$95:J$97)</f>
        <v>0.66009584687983913</v>
      </c>
      <c r="W27" s="18">
        <v>1</v>
      </c>
      <c r="X27" s="12">
        <f ref="X27:AD30" si="7" t="shared">M27-B27</f>
        <v>1.4384430940282744E-2</v>
      </c>
      <c r="Y27" s="12">
        <f si="7" t="shared"/>
        <v>7.7734578793071218E-2</v>
      </c>
      <c r="Z27" s="12">
        <f si="7" t="shared"/>
        <v>-0.18164606234754477</v>
      </c>
      <c r="AA27" s="12">
        <f si="7" t="shared"/>
        <v>4.6564764397156289E-2</v>
      </c>
      <c r="AB27" s="12">
        <f si="7" t="shared"/>
        <v>0.11680313589565272</v>
      </c>
      <c r="AC27" s="12">
        <f si="7" t="shared"/>
        <v>-0.1377086677979108</v>
      </c>
      <c r="AD27" s="12">
        <f si="7" t="shared"/>
        <v>-0.13984049855027325</v>
      </c>
      <c r="AE27" s="12" t="e">
        <f ref="AE27:AF30" si="8" t="shared">T27-I27</f>
        <v>#DIV/0!</v>
      </c>
      <c r="AF27" s="12">
        <f si="8" t="shared"/>
        <v>6.9298620279620859E-3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0.19690021605890912</v>
      </c>
      <c r="N28" s="42">
        <f>output!C96/SUM(output!C$95:C$97)</f>
        <v>0.2162752303349843</v>
      </c>
      <c r="O28" s="42">
        <f>output!D96/SUM(output!D$95:D$97)</f>
        <v>0.28392061563385984</v>
      </c>
      <c r="P28" s="42">
        <f>output!E96/SUM(output!E$95:E$97)</f>
        <v>0.41089757588993231</v>
      </c>
      <c r="Q28" s="42">
        <f>output!F96/SUM(output!F$95:F$97)</f>
        <v>0.24189646831156264</v>
      </c>
      <c r="R28" s="42">
        <f>output!G96/SUM(output!G$95:G$97)</f>
        <v>0.13575628006413681</v>
      </c>
      <c r="S28" s="42">
        <f>output!H96/SUM(output!H$95:H$97)</f>
        <v>0.1406563126252505</v>
      </c>
      <c r="T28" s="42" t="e">
        <f>output!I96/SUM(output!I$95:I$97)</f>
        <v>#DIV/0!</v>
      </c>
      <c r="U28" s="42">
        <f>output!J96/SUM(output!J$95:J$97)</f>
        <v>0.27659824305183511</v>
      </c>
      <c r="W28" s="18">
        <v>2</v>
      </c>
      <c r="X28" s="12">
        <f si="7" t="shared"/>
        <v>-2.8915801305327921E-2</v>
      </c>
      <c r="Y28" s="12">
        <f si="7" t="shared"/>
        <v>-4.8377315607547156E-2</v>
      </c>
      <c r="Z28" s="12">
        <f si="7" t="shared"/>
        <v>0.13217074406448251</v>
      </c>
      <c r="AA28" s="12">
        <f si="7" t="shared"/>
        <v>1.4381533003791802E-2</v>
      </c>
      <c r="AB28" s="12">
        <f si="7" t="shared"/>
        <v>-1.1891891866321835E-2</v>
      </c>
      <c r="AC28" s="12">
        <f si="7" t="shared"/>
        <v>0.11312288479416943</v>
      </c>
      <c r="AD28" s="12">
        <f si="7" t="shared"/>
        <v>0.10877837430177624</v>
      </c>
      <c r="AE28" s="12" t="e">
        <f si="8" t="shared"/>
        <v>#DIV/0!</v>
      </c>
      <c r="AF28" s="12">
        <f si="8" t="shared"/>
        <v>1.0300583147076769E-2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4.4468450989902555E-2</v>
      </c>
      <c r="N29" s="43">
        <f>output!C97/SUM(output!C$95:C$97)</f>
        <v>4.9581935346434465E-2</v>
      </c>
      <c r="O29" s="43">
        <f>output!D97/SUM(output!D$95:D$97)</f>
        <v>6.4803564196030783E-2</v>
      </c>
      <c r="P29" s="43">
        <f>output!E97/SUM(output!E$95:E$97)</f>
        <v>9.5697750600567816E-2</v>
      </c>
      <c r="Q29" s="43">
        <f>output!F97/SUM(output!F$95:F$97)</f>
        <v>4.8863086598935658E-2</v>
      </c>
      <c r="R29" s="43">
        <f>output!G97/SUM(output!G$95:G$97)</f>
        <v>2.4585783003741316E-2</v>
      </c>
      <c r="S29" s="43">
        <f>output!H97/SUM(output!H$95:H$97)</f>
        <v>3.1062124248496994E-2</v>
      </c>
      <c r="T29" s="43" t="e">
        <f>output!I97/SUM(output!I$95:I$97)</f>
        <v>#DIV/0!</v>
      </c>
      <c r="U29" s="43">
        <f>output!J97/SUM(output!J$95:J$97)</f>
        <v>6.3305910068325769E-2</v>
      </c>
      <c r="W29" s="18">
        <v>3</v>
      </c>
      <c r="X29" s="12">
        <f si="7" t="shared"/>
        <v>1.4531370365045301E-2</v>
      </c>
      <c r="Y29" s="12">
        <f si="7" t="shared"/>
        <v>-2.9357263185523973E-2</v>
      </c>
      <c r="Z29" s="12">
        <f si="7" t="shared"/>
        <v>4.9475318283062231E-2</v>
      </c>
      <c r="AA29" s="12">
        <f si="7" t="shared"/>
        <v>-6.0946297400948063E-2</v>
      </c>
      <c r="AB29" s="12">
        <f si="7" t="shared"/>
        <v>-0.10491124402933089</v>
      </c>
      <c r="AC29" s="12">
        <f si="7" t="shared"/>
        <v>2.4585783003741316E-2</v>
      </c>
      <c r="AD29" s="12">
        <f si="7" t="shared"/>
        <v>3.1062124248496994E-2</v>
      </c>
      <c r="AE29" s="12" t="e">
        <f si="8" t="shared"/>
        <v>#DIV/0!</v>
      </c>
      <c r="AF29" s="12">
        <f si="8" t="shared"/>
        <v>-1.7230445175038828E-2</v>
      </c>
    </row>
    <row ht="13.5" r="30" spans="1:32" thickBot="1" x14ac:dyDescent="0.25">
      <c r="A30" s="21" t="s">
        <v>220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220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0.99999999999999989</v>
      </c>
      <c r="T30" s="44" t="e">
        <f si="10" t="shared"/>
        <v>#DIV/0!</v>
      </c>
      <c r="U30" s="44">
        <f si="10" t="shared"/>
        <v>1</v>
      </c>
      <c r="W30" s="21" t="s">
        <v>220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263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242</v>
      </c>
      <c r="F37" s="6" t="s">
        <v>243</v>
      </c>
      <c r="G37" s="6" t="s">
        <v>244</v>
      </c>
      <c r="H37" s="6" t="s">
        <v>245</v>
      </c>
      <c r="I37" s="6" t="s">
        <v>170</v>
      </c>
      <c r="J37" s="6" t="s">
        <v>220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242</v>
      </c>
      <c r="Q37" s="41" t="s">
        <v>243</v>
      </c>
      <c r="R37" s="41" t="s">
        <v>244</v>
      </c>
      <c r="S37" s="41" t="s">
        <v>245</v>
      </c>
      <c r="T37" s="41" t="s">
        <v>170</v>
      </c>
      <c r="U37" s="41" t="s">
        <v>220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242</v>
      </c>
      <c r="AB37" s="41" t="s">
        <v>243</v>
      </c>
      <c r="AC37" s="41" t="s">
        <v>244</v>
      </c>
      <c r="AD37" s="41" t="s">
        <v>245</v>
      </c>
      <c r="AE37" s="41" t="s">
        <v>170</v>
      </c>
      <c r="AF37" s="41" t="s">
        <v>220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0.86785237562682638</v>
      </c>
      <c r="N38" s="42">
        <f>output!C102/SUM(output!C$102:C$104)</f>
        <v>0.87794304507063303</v>
      </c>
      <c r="O38" s="42">
        <f>output!D102/SUM(output!D$102:D$104)</f>
        <v>0.81162236300698842</v>
      </c>
      <c r="P38" s="42">
        <f>output!E102/SUM(output!E$102:E$104)</f>
        <v>0.83274707577555518</v>
      </c>
      <c r="Q38" s="42">
        <f>output!F102/SUM(output!F$102:F$104)</f>
        <v>0.85186206896551719</v>
      </c>
      <c r="R38" s="42">
        <f>output!G102/SUM(output!G$102:G$104)</f>
        <v>0.8280346820809249</v>
      </c>
      <c r="S38" s="42">
        <f>output!H102/SUM(output!H$102:H$104)</f>
        <v>0.93619041590175345</v>
      </c>
      <c r="T38" s="42" t="e">
        <f>output!I102/SUM(output!I$102:I$104)</f>
        <v>#DIV/0!</v>
      </c>
      <c r="U38" s="42">
        <f>output!J102/SUM(output!J$102:J$104)</f>
        <v>0.84752535812237084</v>
      </c>
      <c r="W38" s="18">
        <v>1</v>
      </c>
      <c r="X38" s="12">
        <f ref="X38:AF41" si="11" t="shared">M38-B38</f>
        <v>-5.0644860969321637E-2</v>
      </c>
      <c r="Y38" s="12">
        <f si="11" t="shared"/>
        <v>1.8844613503122831E-2</v>
      </c>
      <c r="Z38" s="12">
        <f si="11" t="shared"/>
        <v>-3.8222299170418195E-2</v>
      </c>
      <c r="AA38" s="12">
        <f si="11" t="shared"/>
        <v>-5.064056572790987E-2</v>
      </c>
      <c r="AB38" s="12">
        <f si="11" t="shared"/>
        <v>-6.0609411018575088E-2</v>
      </c>
      <c r="AC38" s="12">
        <f si="11" t="shared"/>
        <v>-0.14152081241714609</v>
      </c>
      <c r="AD38" s="12">
        <f si="11" t="shared"/>
        <v>-4.5420730271185095E-3</v>
      </c>
      <c r="AE38" s="12" t="e">
        <f si="11" t="shared"/>
        <v>#DIV/0!</v>
      </c>
      <c r="AF38" s="12">
        <f si="11" t="shared"/>
        <v>-4.505498694860044E-2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0.11842057794292724</v>
      </c>
      <c r="N39" s="42">
        <f>output!C103/SUM(output!C$102:C$104)</f>
        <v>0.10822931459750355</v>
      </c>
      <c r="O39" s="42">
        <f>output!D103/SUM(output!D$102:D$104)</f>
        <v>0.16951864672457709</v>
      </c>
      <c r="P39" s="42">
        <f>output!E103/SUM(output!E$102:E$104)</f>
        <v>0.14919901678250552</v>
      </c>
      <c r="Q39" s="42">
        <f>output!F103/SUM(output!F$102:F$104)</f>
        <v>0.12882758620689655</v>
      </c>
      <c r="R39" s="42">
        <f>output!G103/SUM(output!G$102:G$104)</f>
        <v>0.15534682080924855</v>
      </c>
      <c r="S39" s="42">
        <f>output!H103/SUM(output!H$102:H$104)</f>
        <v>5.7732480850794451E-2</v>
      </c>
      <c r="T39" s="42" t="e">
        <f>output!I103/SUM(output!I$102:I$104)</f>
        <v>#DIV/0!</v>
      </c>
      <c r="U39" s="42">
        <f>output!J103/SUM(output!J$102:J$104)</f>
        <v>0.13660544616757669</v>
      </c>
      <c r="W39" s="18">
        <v>2</v>
      </c>
      <c r="X39" s="12">
        <f si="11" t="shared"/>
        <v>4.5481498577150808E-2</v>
      </c>
      <c r="Y39" s="12">
        <f si="11" t="shared"/>
        <v>-2.9241791671951803E-2</v>
      </c>
      <c r="Z39" s="12">
        <f si="11" t="shared"/>
        <v>3.8077337722872001E-2</v>
      </c>
      <c r="AA39" s="12">
        <f si="11" t="shared"/>
        <v>4.2587826642185481E-2</v>
      </c>
      <c r="AB39" s="12">
        <f si="11" t="shared"/>
        <v>4.8486402607256868E-2</v>
      </c>
      <c r="AC39" s="12">
        <f si="11" t="shared"/>
        <v>0.12490231530731946</v>
      </c>
      <c r="AD39" s="12">
        <f si="11" t="shared"/>
        <v>2.9601671020732884E-2</v>
      </c>
      <c r="AE39" s="12" t="e">
        <f si="11" t="shared"/>
        <v>#DIV/0!</v>
      </c>
      <c r="AF39" s="12">
        <f si="11" t="shared"/>
        <v>4.1476619925191138E-2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1.3727046430246401E-2</v>
      </c>
      <c r="N40" s="43">
        <f>output!C104/SUM(output!C$102:C$104)</f>
        <v>1.3827640331863369E-2</v>
      </c>
      <c r="O40" s="43">
        <f>output!D104/SUM(output!D$102:D$104)</f>
        <v>1.8858990268434458E-2</v>
      </c>
      <c r="P40" s="43">
        <f>output!E104/SUM(output!E$102:E$104)</f>
        <v>1.8053907441939313E-2</v>
      </c>
      <c r="Q40" s="43">
        <f>output!F104/SUM(output!F$102:F$104)</f>
        <v>1.9310344827586208E-2</v>
      </c>
      <c r="R40" s="43">
        <f>output!G104/SUM(output!G$102:G$104)</f>
        <v>1.6618497109826588E-2</v>
      </c>
      <c r="S40" s="43">
        <f>output!H104/SUM(output!H$102:H$104)</f>
        <v>6.0771032474520479E-3</v>
      </c>
      <c r="T40" s="43" t="e">
        <f>output!I104/SUM(output!I$102:I$104)</f>
        <v>#DIV/0!</v>
      </c>
      <c r="U40" s="43">
        <f>output!J104/SUM(output!J$102:J$104)</f>
        <v>1.5869195710052495E-2</v>
      </c>
      <c r="W40" s="23" t="s">
        <v>116</v>
      </c>
      <c r="X40" s="12">
        <f si="11" t="shared"/>
        <v>5.1633623921707276E-3</v>
      </c>
      <c r="Y40" s="12">
        <f si="11" t="shared"/>
        <v>1.0397178168828913E-2</v>
      </c>
      <c r="Z40" s="12">
        <f si="11" t="shared"/>
        <v>1.4496144754622478E-4</v>
      </c>
      <c r="AA40" s="12">
        <f si="11" t="shared"/>
        <v>8.0527390857243718E-3</v>
      </c>
      <c r="AB40" s="12">
        <f si="11" t="shared"/>
        <v>1.2123008411318265E-2</v>
      </c>
      <c r="AC40" s="12">
        <f si="11" t="shared"/>
        <v>1.6618497109826588E-2</v>
      </c>
      <c r="AD40" s="12">
        <f si="11" t="shared"/>
        <v>-2.5059597993614385E-2</v>
      </c>
      <c r="AE40" s="12" t="e">
        <f si="11" t="shared"/>
        <v>#DIV/0!</v>
      </c>
      <c r="AF40" s="12">
        <f si="11" t="shared"/>
        <v>3.5783670234092544E-3</v>
      </c>
    </row>
    <row ht="13.5" r="41" spans="1:32" thickBot="1" x14ac:dyDescent="0.25">
      <c r="A41" s="21" t="s">
        <v>220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220</v>
      </c>
      <c r="M41" s="51">
        <f>SUM(M38:M40)</f>
        <v>1</v>
      </c>
      <c r="N41" s="51">
        <f ref="N41:U41" si="13" t="shared">SUM(N38:N40)</f>
        <v>0.99999999999999989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0.99999999999999989</v>
      </c>
      <c r="T41" s="51" t="e">
        <f si="13" t="shared"/>
        <v>#DIV/0!</v>
      </c>
      <c r="U41" s="51">
        <f si="13" t="shared"/>
        <v>1</v>
      </c>
      <c r="W41" s="21" t="s">
        <v>220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265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253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242</v>
      </c>
      <c r="F48" s="6" t="s">
        <v>243</v>
      </c>
      <c r="G48" s="6" t="s">
        <v>244</v>
      </c>
      <c r="H48" s="6" t="s">
        <v>245</v>
      </c>
      <c r="I48" s="6" t="s">
        <v>170</v>
      </c>
      <c r="J48" s="6" t="s">
        <v>220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242</v>
      </c>
      <c r="Q48" s="41" t="s">
        <v>243</v>
      </c>
      <c r="R48" s="41" t="s">
        <v>244</v>
      </c>
      <c r="S48" s="41" t="s">
        <v>245</v>
      </c>
      <c r="T48" s="41" t="s">
        <v>170</v>
      </c>
      <c r="U48" s="41" t="s">
        <v>220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242</v>
      </c>
      <c r="AB48" s="41" t="s">
        <v>243</v>
      </c>
      <c r="AC48" s="41" t="s">
        <v>244</v>
      </c>
      <c r="AD48" s="41" t="s">
        <v>245</v>
      </c>
      <c r="AE48" s="41" t="s">
        <v>170</v>
      </c>
      <c r="AF48" s="41" t="s">
        <v>220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0.94872779398965856</v>
      </c>
      <c r="N49" s="42">
        <f>output!C109/SUM(output!C$109:C$111)</f>
        <v>0.96018153793457783</v>
      </c>
      <c r="O49" s="42">
        <f>output!D109/SUM(output!D$109:D$111)</f>
        <v>0.92573017383898604</v>
      </c>
      <c r="P49" s="42">
        <f>output!E109/SUM(output!E$109:E$111)</f>
        <v>0.9306672657829701</v>
      </c>
      <c r="Q49" s="42">
        <f>output!F109/SUM(output!F$109:F$111)</f>
        <v>0.93002353948213135</v>
      </c>
      <c r="R49" s="42">
        <f>output!G109/SUM(output!G$109:G$111)</f>
        <v>0.93422404933196301</v>
      </c>
      <c r="S49" s="42">
        <f>output!H109/SUM(output!H$109:H$111)</f>
        <v>0.99020516214427534</v>
      </c>
      <c r="T49" s="42" t="e">
        <f>output!I109/SUM(output!I$109:I$111)</f>
        <v>#DIV/0!</v>
      </c>
      <c r="U49" s="42">
        <f>output!J109/SUM(output!J$109:J$111)</f>
        <v>0.93945153224556366</v>
      </c>
      <c r="W49" s="18">
        <v>1</v>
      </c>
      <c r="X49" s="12">
        <f ref="X49:AF52" si="14" t="shared">M49-B49</f>
        <v>-7.0221134398423812E-3</v>
      </c>
      <c r="Y49" s="12">
        <f si="14" t="shared"/>
        <v>5.9488154547048144E-2</v>
      </c>
      <c r="Z49" s="12">
        <f si="14" t="shared"/>
        <v>1.2352211767443166E-2</v>
      </c>
      <c r="AA49" s="12">
        <f si="14" t="shared"/>
        <v>-1.1115681284942669E-2</v>
      </c>
      <c r="AB49" s="12">
        <f si="14" t="shared"/>
        <v>0.1936016367410156</v>
      </c>
      <c r="AC49" s="12">
        <f si="14" t="shared"/>
        <v>-6.5775950668036987E-2</v>
      </c>
      <c r="AD49" s="12">
        <f si="14" t="shared"/>
        <v>-9.7948378557246585E-3</v>
      </c>
      <c r="AE49" s="12" t="e">
        <f si="14" t="shared"/>
        <v>#DIV/0!</v>
      </c>
      <c r="AF49" s="12">
        <f si="14" t="shared"/>
        <v>7.5246894113836227E-3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4.7483745456407107E-2</v>
      </c>
      <c r="N50" s="42">
        <f>output!C110/SUM(output!C$109:C$111)</f>
        <v>3.6650111320431583E-2</v>
      </c>
      <c r="O50" s="42">
        <f>output!D110/SUM(output!D$109:D$111)</f>
        <v>6.8734031361154246E-2</v>
      </c>
      <c r="P50" s="42">
        <f>output!E110/SUM(output!E$109:E$111)</f>
        <v>6.4592226465962702E-2</v>
      </c>
      <c r="Q50" s="42">
        <f>output!F110/SUM(output!F$109:F$111)</f>
        <v>6.4840573507382843E-2</v>
      </c>
      <c r="R50" s="42">
        <f>output!G110/SUM(output!G$109:G$111)</f>
        <v>6.2692702980472761E-2</v>
      </c>
      <c r="S50" s="42">
        <f>output!H110/SUM(output!H$109:H$111)</f>
        <v>9.5301125082726673E-3</v>
      </c>
      <c r="T50" s="42" t="e">
        <f>output!I110/SUM(output!I$109:I$111)</f>
        <v>#DIV/0!</v>
      </c>
      <c r="U50" s="42">
        <f>output!J110/SUM(output!J$109:J$111)</f>
        <v>5.6194693247605759E-2</v>
      </c>
      <c r="W50" s="18">
        <v>2</v>
      </c>
      <c r="X50" s="12">
        <f si="14" t="shared"/>
        <v>3.2336528859081212E-3</v>
      </c>
      <c r="Y50" s="12">
        <f si="14" t="shared"/>
        <v>-3.7770883467985336E-2</v>
      </c>
      <c r="Z50" s="12">
        <f si="14" t="shared"/>
        <v>-1.6538108413895067E-2</v>
      </c>
      <c r="AA50" s="12">
        <f si="14" t="shared"/>
        <v>6.3751735338754695E-3</v>
      </c>
      <c r="AB50" s="12">
        <f si="14" t="shared"/>
        <v>-0.19873752375150136</v>
      </c>
      <c r="AC50" s="12">
        <f si="14" t="shared"/>
        <v>6.2692702980472761E-2</v>
      </c>
      <c r="AD50" s="12">
        <f si="14" t="shared"/>
        <v>9.5301125082726673E-3</v>
      </c>
      <c r="AE50" s="12" t="e">
        <f si="14" t="shared"/>
        <v>#DIV/0!</v>
      </c>
      <c r="AF50" s="12">
        <f si="14" t="shared"/>
        <v>-9.5920772544688532E-3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3.7884605539343676E-3</v>
      </c>
      <c r="N51" s="43">
        <f>output!C111/SUM(output!C$109:C$111)</f>
        <v>3.1683507449905804E-3</v>
      </c>
      <c r="O51" s="43">
        <f>output!D111/SUM(output!D$109:D$111)</f>
        <v>5.5357947998597263E-3</v>
      </c>
      <c r="P51" s="43">
        <f>output!E111/SUM(output!E$109:E$111)</f>
        <v>4.740507751067176E-3</v>
      </c>
      <c r="Q51" s="43">
        <f>output!F111/SUM(output!F$109:F$111)</f>
        <v>5.1358870104857689E-3</v>
      </c>
      <c r="R51" s="43">
        <f>output!G111/SUM(output!G$109:G$111)</f>
        <v>3.0832476875642342E-3</v>
      </c>
      <c r="S51" s="43">
        <f>output!H111/SUM(output!H$109:H$111)</f>
        <v>2.6472534745201854E-4</v>
      </c>
      <c r="T51" s="43" t="e">
        <f>output!I111/SUM(output!I$109:I$111)</f>
        <v>#DIV/0!</v>
      </c>
      <c r="U51" s="43">
        <f>output!J111/SUM(output!J$109:J$111)</f>
        <v>4.3537745068305735E-3</v>
      </c>
      <c r="W51" s="23" t="s">
        <v>116</v>
      </c>
      <c r="X51" s="12">
        <f si="14" t="shared"/>
        <v>3.7884605539343676E-3</v>
      </c>
      <c r="Y51" s="12">
        <f si="14" t="shared"/>
        <v>-2.1717271079062715E-2</v>
      </c>
      <c r="Z51" s="12">
        <f si="14" t="shared"/>
        <v>4.1858966464518796E-3</v>
      </c>
      <c r="AA51" s="12">
        <f si="14" t="shared"/>
        <v>4.740507751067176E-3</v>
      </c>
      <c r="AB51" s="12">
        <f si="14" t="shared"/>
        <v>5.1358870104857689E-3</v>
      </c>
      <c r="AC51" s="12">
        <f si="14" t="shared"/>
        <v>3.0832476875642342E-3</v>
      </c>
      <c r="AD51" s="12">
        <f si="14" t="shared"/>
        <v>2.6472534745201854E-4</v>
      </c>
      <c r="AE51" s="12" t="e">
        <f si="14" t="shared"/>
        <v>#DIV/0!</v>
      </c>
      <c r="AF51" s="12">
        <f si="14" t="shared"/>
        <v>2.0673878430853415E-3</v>
      </c>
    </row>
    <row ht="13.5" r="52" spans="1:32" thickBot="1" x14ac:dyDescent="0.25">
      <c r="A52" s="21" t="s">
        <v>220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220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0.99999999999999989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220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254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242</v>
      </c>
      <c r="F59" s="6" t="s">
        <v>243</v>
      </c>
      <c r="G59" s="6" t="s">
        <v>244</v>
      </c>
      <c r="H59" s="6" t="s">
        <v>245</v>
      </c>
      <c r="I59" s="6" t="s">
        <v>170</v>
      </c>
      <c r="J59" s="6" t="s">
        <v>220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242</v>
      </c>
      <c r="Q59" s="41" t="s">
        <v>243</v>
      </c>
      <c r="R59" s="41" t="s">
        <v>244</v>
      </c>
      <c r="S59" s="41" t="s">
        <v>245</v>
      </c>
      <c r="T59" s="41" t="s">
        <v>170</v>
      </c>
      <c r="U59" s="41" t="s">
        <v>220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242</v>
      </c>
      <c r="AB59" s="41" t="s">
        <v>243</v>
      </c>
      <c r="AC59" s="41" t="s">
        <v>244</v>
      </c>
      <c r="AD59" s="41" t="s">
        <v>245</v>
      </c>
      <c r="AE59" s="41" t="s">
        <v>170</v>
      </c>
      <c r="AF59" s="41" t="s">
        <v>220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0.9217788461538462</v>
      </c>
      <c r="P60" s="42">
        <f>output!E116/SUM(output!E$116:E$118)</f>
        <v>0.92060889929742384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0.97018325345362277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6.4013814390369017E-3</v>
      </c>
      <c r="AA60" s="12">
        <f si="17" t="shared"/>
        <v>6.9488160792051668E-3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1.5757083976793651E-2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7.8221153846153843E-2</v>
      </c>
      <c r="P61" s="42">
        <f>output!E117/SUM(output!E$116:E$118)</f>
        <v>7.9391100702576115E-2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2.9816746546377219E-2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-6.4013814390369156E-3</v>
      </c>
      <c r="AA61" s="12">
        <f si="17" t="shared"/>
        <v>-6.9488160792052084E-3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-1.4795601375022858E-2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220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220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220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240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242</v>
      </c>
      <c r="F70" s="6" t="s">
        <v>243</v>
      </c>
      <c r="G70" s="6" t="s">
        <v>244</v>
      </c>
      <c r="H70" s="6" t="s">
        <v>245</v>
      </c>
      <c r="I70" s="6" t="s">
        <v>170</v>
      </c>
      <c r="J70" s="6" t="s">
        <v>220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242</v>
      </c>
      <c r="Q70" s="41" t="s">
        <v>243</v>
      </c>
      <c r="R70" s="41" t="s">
        <v>244</v>
      </c>
      <c r="S70" s="41" t="s">
        <v>245</v>
      </c>
      <c r="T70" s="41" t="s">
        <v>170</v>
      </c>
      <c r="U70" s="41" t="s">
        <v>220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242</v>
      </c>
      <c r="AB70" s="41" t="s">
        <v>243</v>
      </c>
      <c r="AC70" s="41" t="s">
        <v>244</v>
      </c>
      <c r="AD70" s="41" t="s">
        <v>245</v>
      </c>
      <c r="AE70" s="41" t="s">
        <v>170</v>
      </c>
      <c r="AF70" s="41" t="s">
        <v>220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0.96030658838878014</v>
      </c>
      <c r="N71" s="42">
        <f>output!C123/SUM(output!C$123:C$125)</f>
        <v>0.94693275154004108</v>
      </c>
      <c r="O71" s="42">
        <f>output!D123/SUM(output!D$123:D$125)</f>
        <v>0.90897719618974304</v>
      </c>
      <c r="P71" s="42">
        <f>output!E123/SUM(output!E$123:E$125)</f>
        <v>0.90611730542695124</v>
      </c>
      <c r="Q71" s="42">
        <f>output!F123/SUM(output!F$123:F$125)</f>
        <v>0.88427607680332121</v>
      </c>
      <c r="R71" s="42">
        <f>output!G123/SUM(output!G$123:G$125)</f>
        <v>0.92377666248431622</v>
      </c>
      <c r="S71" s="42">
        <f>output!H123/SUM(output!H$123:H$125)</f>
        <v>0.92559611924662366</v>
      </c>
      <c r="T71" s="42" t="e">
        <f>output!I123/SUM(output!I$123:I$125)</f>
        <v>#DIV/0!</v>
      </c>
      <c r="U71" s="42">
        <f>output!J123/SUM(output!J$123:J$125)</f>
        <v>0.93093470876839857</v>
      </c>
      <c r="W71" s="18">
        <v>1</v>
      </c>
      <c r="X71" s="12">
        <f ref="X71:AF74" si="20" t="shared">M71-B71</f>
        <v>-1.0322465790085888E-2</v>
      </c>
      <c r="Y71" s="12">
        <f si="20" t="shared"/>
        <v>7.6423443112763279E-2</v>
      </c>
      <c r="Z71" s="12">
        <f si="20" t="shared"/>
        <v>1.1239272538325795E-2</v>
      </c>
      <c r="AA71" s="12">
        <f si="20" t="shared"/>
        <v>-1.789070523702796E-2</v>
      </c>
      <c r="AB71" s="12">
        <f si="20" t="shared"/>
        <v>-3.3074312746816936E-4</v>
      </c>
      <c r="AC71" s="12">
        <f si="20" t="shared"/>
        <v>-2.6933562015806989E-2</v>
      </c>
      <c r="AD71" s="12">
        <f si="20" t="shared"/>
        <v>1.4020766570550625E-2</v>
      </c>
      <c r="AE71" s="12" t="e">
        <f si="20" t="shared"/>
        <v>#DIV/0!</v>
      </c>
      <c r="AF71" s="12">
        <f si="20" t="shared"/>
        <v>1.566695271325913E-3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3.7508153946510109E-2</v>
      </c>
      <c r="N72" s="42">
        <f>output!C124/SUM(output!C$123:C$125)</f>
        <v>5.0821355236139627E-2</v>
      </c>
      <c r="O72" s="42">
        <f>output!D124/SUM(output!D$123:D$125)</f>
        <v>8.5891144680714585E-2</v>
      </c>
      <c r="P72" s="42">
        <f>output!E124/SUM(output!E$123:E$125)</f>
        <v>8.8951593019751807E-2</v>
      </c>
      <c r="Q72" s="42">
        <f>output!F124/SUM(output!F$123:F$125)</f>
        <v>0.10690192008303062</v>
      </c>
      <c r="R72" s="42">
        <f>output!G124/SUM(output!G$123:G$125)</f>
        <v>7.1675031367628608E-2</v>
      </c>
      <c r="S72" s="42">
        <f>output!H124/SUM(output!H$123:H$125)</f>
        <v>7.0304493384044278E-2</v>
      </c>
      <c r="T72" s="42" t="e">
        <f>output!I124/SUM(output!I$123:I$125)</f>
        <v>#DIV/0!</v>
      </c>
      <c r="U72" s="42">
        <f>output!J124/SUM(output!J$123:J$125)</f>
        <v>6.5281167442445595E-2</v>
      </c>
      <c r="W72" s="18">
        <v>2</v>
      </c>
      <c r="X72" s="12">
        <f si="20" t="shared"/>
        <v>1.3138172566490088E-2</v>
      </c>
      <c r="Y72" s="12">
        <f si="20" t="shared"/>
        <v>-7.866933633658249E-2</v>
      </c>
      <c r="Z72" s="12">
        <f si="20" t="shared"/>
        <v>-1.5283341212147111E-2</v>
      </c>
      <c r="AA72" s="12">
        <f si="20" t="shared"/>
        <v>1.2959603683731002E-2</v>
      </c>
      <c r="AB72" s="12">
        <f si="20" t="shared"/>
        <v>-8.4912599861800414E-3</v>
      </c>
      <c r="AC72" s="12">
        <f si="20" t="shared"/>
        <v>2.2385255867751933E-2</v>
      </c>
      <c r="AD72" s="12">
        <f si="20" t="shared"/>
        <v>-1.2061912561150773E-2</v>
      </c>
      <c r="AE72" s="12" t="e">
        <f si="20" t="shared"/>
        <v>#DIV/0!</v>
      </c>
      <c r="AF72" s="12">
        <f si="20" t="shared"/>
        <v>-2.3401993839951146E-3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2.1852576647097195E-3</v>
      </c>
      <c r="N73" s="43">
        <f>output!C125/SUM(output!C$123:C$125)</f>
        <v>2.2458932238193017E-3</v>
      </c>
      <c r="O73" s="43">
        <f>output!D125/SUM(output!D$123:D$125)</f>
        <v>5.1316591295423198E-3</v>
      </c>
      <c r="P73" s="43">
        <f>output!E125/SUM(output!E$123:E$125)</f>
        <v>4.9311015532969892E-3</v>
      </c>
      <c r="Q73" s="43">
        <f>output!F125/SUM(output!F$123:F$125)</f>
        <v>8.822003113648157E-3</v>
      </c>
      <c r="R73" s="43">
        <f>output!G125/SUM(output!G$123:G$125)</f>
        <v>4.5483061480552072E-3</v>
      </c>
      <c r="S73" s="43">
        <f>output!H125/SUM(output!H$123:H$125)</f>
        <v>4.099387369332028E-3</v>
      </c>
      <c r="T73" s="43" t="e">
        <f>output!I125/SUM(output!I$123:I$125)</f>
        <v>#DIV/0!</v>
      </c>
      <c r="U73" s="43">
        <f>output!J125/SUM(output!J$123:J$125)</f>
        <v>3.7841237891558686E-3</v>
      </c>
      <c r="W73" s="23" t="s">
        <v>116</v>
      </c>
      <c r="X73" s="12">
        <f si="20" t="shared"/>
        <v>-2.8157067764041431E-3</v>
      </c>
      <c r="Y73" s="12">
        <f si="20" t="shared"/>
        <v>2.2458932238193017E-3</v>
      </c>
      <c r="Z73" s="12">
        <f si="20" t="shared"/>
        <v>4.0440686738211426E-3</v>
      </c>
      <c r="AA73" s="12">
        <f si="20" t="shared"/>
        <v>4.9311015532969892E-3</v>
      </c>
      <c r="AB73" s="12">
        <f si="20" t="shared"/>
        <v>8.822003113648157E-3</v>
      </c>
      <c r="AC73" s="12">
        <f si="20" t="shared"/>
        <v>4.5483061480552072E-3</v>
      </c>
      <c r="AD73" s="12">
        <f si="20" t="shared"/>
        <v>-1.9588540093999707E-3</v>
      </c>
      <c r="AE73" s="12" t="e">
        <f si="20" t="shared"/>
        <v>#DIV/0!</v>
      </c>
      <c r="AF73" s="12">
        <f si="20" t="shared"/>
        <v>7.7350411266916171E-4</v>
      </c>
    </row>
    <row ht="13.5" r="74" spans="1:32" thickBot="1" x14ac:dyDescent="0.25">
      <c r="A74" s="21" t="s">
        <v>220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220</v>
      </c>
      <c r="M74" s="51">
        <f>SUM(M71:M73)</f>
        <v>0.99999999999999989</v>
      </c>
      <c r="N74" s="51">
        <f ref="N74:U74" si="22" t="shared">SUM(N71:N73)</f>
        <v>1</v>
      </c>
      <c r="O74" s="51">
        <f si="22" t="shared"/>
        <v>0.99999999999999989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220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5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topLeftCell="V19" workbookViewId="0">
      <selection activeCell="AH75" sqref="AH7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 t="s">
        <v>245</v>
      </c>
      <c r="I4" s="6" t="s">
        <v>170</v>
      </c>
      <c r="J4" s="6" t="s">
        <v>220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242</v>
      </c>
      <c r="Q4" s="6" t="s">
        <v>243</v>
      </c>
      <c r="R4" s="6" t="s">
        <v>244</v>
      </c>
      <c r="S4" s="6" t="s">
        <v>245</v>
      </c>
      <c r="T4" s="6" t="s">
        <v>170</v>
      </c>
      <c r="U4" s="6" t="s">
        <v>220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242</v>
      </c>
      <c r="AB4" s="6" t="s">
        <v>243</v>
      </c>
      <c r="AC4" s="6" t="s">
        <v>244</v>
      </c>
      <c r="AD4" s="6" t="s">
        <v>245</v>
      </c>
      <c r="AE4" s="6" t="s">
        <v>170</v>
      </c>
      <c r="AF4" s="6" t="s">
        <v>220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0.23708766454959013</v>
      </c>
      <c r="N5" s="12">
        <f>output!C80/SUM(output!C$80:C$83)</f>
        <v>0.32608721489950915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0.83607959217234007</v>
      </c>
      <c r="R5" s="12">
        <f>output!G80/SUM(output!G$80:G$83)</f>
        <v>0.97057048528524259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0.60788361302863081</v>
      </c>
      <c r="W5" s="18">
        <v>0</v>
      </c>
      <c r="X5" s="12">
        <f ref="X5:AF9" si="0" t="shared">M5-B5</f>
        <v>3.8675082458166726E-2</v>
      </c>
      <c r="Y5" s="12">
        <f si="0" t="shared"/>
        <v>-0.15721527700564403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4.6651096514313539E-2</v>
      </c>
      <c r="AC5" s="12">
        <f si="0" t="shared"/>
        <v>1.3117687145249413E-2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7.9976230541053406E-3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0.72928085327707326</v>
      </c>
      <c r="N6" s="12">
        <f>output!C81/SUM(output!C$80:C$83)</f>
        <v>0.63650950235924741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0.15670120046045058</v>
      </c>
      <c r="R6" s="12">
        <f>output!G81/SUM(output!G$80:G$83)</f>
        <v>2.7690013845006922E-2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0.37438341665390784</v>
      </c>
      <c r="W6" s="18">
        <v>1</v>
      </c>
      <c r="X6" s="12">
        <f si="0" t="shared"/>
        <v>-3.8471865026689089E-2</v>
      </c>
      <c r="Y6" s="12">
        <f si="0" t="shared"/>
        <v>0.16229647260672736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-5.0308422624723431E-2</v>
      </c>
      <c r="AC6" s="12">
        <f si="0" t="shared"/>
        <v>-1.485718801499988E-2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-7.7446395453967809E-3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3.1731241163586284E-2</v>
      </c>
      <c r="N7" s="12">
        <f>output!C82/SUM(output!C$80:C$83)</f>
        <v>3.5323341692715456E-2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6.8245354382502881E-3</v>
      </c>
      <c r="R7" s="12">
        <f>output!G82/SUM(output!G$80:G$83)</f>
        <v>1.6507508253754126E-3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1.6733789100204365E-2</v>
      </c>
      <c r="W7" s="18">
        <v>2</v>
      </c>
      <c r="X7" s="12">
        <f si="0" t="shared"/>
        <v>-1.4690525817503963E-4</v>
      </c>
      <c r="Y7" s="12">
        <f si="0" t="shared"/>
        <v>-4.5629407740224934E-3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3.2626541814508841E-3</v>
      </c>
      <c r="AC7" s="12">
        <f si="0" t="shared"/>
        <v>1.6507508253754126E-3</v>
      </c>
      <c r="AD7" s="12">
        <f si="0" t="shared"/>
        <v>0</v>
      </c>
      <c r="AE7" s="12" t="e">
        <f si="0" t="shared"/>
        <v>#DIV/0!</v>
      </c>
      <c r="AF7" s="12">
        <f si="0" t="shared"/>
        <v>-2.5598206453574315E-4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1.9002410097502729E-3</v>
      </c>
      <c r="N8" s="13">
        <f>output!C83/SUM(output!C$80:C$83)</f>
        <v>2.0799410485279959E-3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3.9467192895905278E-4</v>
      </c>
      <c r="R8" s="13">
        <f>output!G83/SUM(output!G$80:G$83)</f>
        <v>8.8750044375022187E-5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9.9918121725701124E-4</v>
      </c>
      <c r="W8" s="23" t="s">
        <v>116</v>
      </c>
      <c r="X8" s="12">
        <f si="0" t="shared"/>
        <v>-5.6312173302653897E-5</v>
      </c>
      <c r="Y8" s="12">
        <f si="0" t="shared"/>
        <v>-5.182548270607143E-4</v>
      </c>
      <c r="Z8" s="12">
        <f si="0" t="shared"/>
        <v>0</v>
      </c>
      <c r="AA8" s="12">
        <f si="0" t="shared"/>
        <v>0</v>
      </c>
      <c r="AB8" s="12">
        <f si="0" t="shared"/>
        <v>3.9467192895905278E-4</v>
      </c>
      <c r="AC8" s="12">
        <f si="0" t="shared"/>
        <v>8.8750044375022187E-5</v>
      </c>
      <c r="AD8" s="12">
        <f si="0" t="shared"/>
        <v>0</v>
      </c>
      <c r="AE8" s="12" t="e">
        <f si="0" t="shared"/>
        <v>#DIV/0!</v>
      </c>
      <c r="AF8" s="12">
        <f si="0" t="shared"/>
        <v>2.9985558271836913E-6</v>
      </c>
    </row>
    <row ht="13.5" r="9" spans="1:32" thickBot="1" x14ac:dyDescent="0.25">
      <c r="A9" s="21" t="s">
        <v>220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220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0.99999999999999989</v>
      </c>
      <c r="R9" s="14">
        <f si="2" t="shared"/>
        <v>0.99999999999999989</v>
      </c>
      <c r="S9" s="14">
        <f si="2" t="shared"/>
        <v>1</v>
      </c>
      <c r="T9" s="14" t="e">
        <f si="2" t="shared"/>
        <v>#DIV/0!</v>
      </c>
      <c r="U9" s="14">
        <f si="2" t="shared"/>
        <v>1</v>
      </c>
      <c r="W9" s="21" t="s">
        <v>220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242</v>
      </c>
      <c r="F16" s="6" t="s">
        <v>243</v>
      </c>
      <c r="G16" s="6" t="s">
        <v>244</v>
      </c>
      <c r="H16" s="6" t="s">
        <v>245</v>
      </c>
      <c r="I16" s="6" t="s">
        <v>170</v>
      </c>
      <c r="J16" s="6" t="s">
        <v>220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242</v>
      </c>
      <c r="Q16" s="6" t="s">
        <v>243</v>
      </c>
      <c r="R16" s="6" t="s">
        <v>244</v>
      </c>
      <c r="S16" s="6" t="s">
        <v>245</v>
      </c>
      <c r="T16" s="6" t="s">
        <v>170</v>
      </c>
      <c r="U16" s="6" t="s">
        <v>220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242</v>
      </c>
      <c r="AB16" s="6" t="s">
        <v>243</v>
      </c>
      <c r="AC16" s="6" t="s">
        <v>244</v>
      </c>
      <c r="AD16" s="6" t="s">
        <v>245</v>
      </c>
      <c r="AE16" s="6" t="s">
        <v>170</v>
      </c>
      <c r="AF16" s="6" t="s">
        <v>220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0.99143646206477232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0.7947705969412926</v>
      </c>
      <c r="R17" s="12">
        <f>output!G87/SUM(output!G$87:G$90)</f>
        <v>0.58757854378927188</v>
      </c>
      <c r="S17" s="28">
        <f>output!H87/SUM(output!H$87:H$90)</f>
        <v>0.24491751081305738</v>
      </c>
      <c r="T17" s="28" t="e">
        <f>output!I87/SUM(output!I$87:I$90)</f>
        <v>#DIV/0!</v>
      </c>
      <c r="U17" s="12">
        <f>output!J87/SUM(output!J$87:J$90)</f>
        <v>0.86530358200808133</v>
      </c>
      <c r="W17" s="18">
        <v>0</v>
      </c>
      <c r="X17" s="12">
        <f ref="X17:AF21" si="3" t="shared">M17-B17</f>
        <v>7.30471280943501E-4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4.7803132928322278E-2</v>
      </c>
      <c r="AC17" s="12">
        <f si="3" t="shared"/>
        <v>0.29458859361672973</v>
      </c>
      <c r="AD17" s="12">
        <f si="3" t="shared"/>
        <v>-1.5732774002192113E-2</v>
      </c>
      <c r="AE17" s="12" t="e">
        <f si="3" t="shared"/>
        <v>#DIV/0!</v>
      </c>
      <c r="AF17" s="12">
        <f si="3" t="shared"/>
        <v>2.972539516970274E-2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8.258796123332527E-3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0.18164775530340405</v>
      </c>
      <c r="R18" s="12">
        <f>output!G88/SUM(output!G$87:G$90)</f>
        <v>0.38858319429159716</v>
      </c>
      <c r="S18" s="28">
        <f>output!H88/SUM(output!H$87:H$90)</f>
        <v>0.73046957550824887</v>
      </c>
      <c r="T18" s="28" t="e">
        <f>output!I88/SUM(output!I$87:I$90)</f>
        <v>#DIV/0!</v>
      </c>
      <c r="U18" s="12">
        <f>output!J88/SUM(output!J$87:J$90)</f>
        <v>0.12922055876929631</v>
      </c>
      <c r="W18" s="18">
        <v>1</v>
      </c>
      <c r="X18" s="12">
        <f si="3" t="shared"/>
        <v>-1.0352130928386691E-3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-5.1794447299727597E-2</v>
      </c>
      <c r="AC18" s="12">
        <f si="3" t="shared"/>
        <v>-0.29223930620794225</v>
      </c>
      <c r="AD18" s="12">
        <f si="3" t="shared"/>
        <v>8.2578689075357703E-3</v>
      </c>
      <c r="AE18" s="12" t="e">
        <f si="3" t="shared"/>
        <v>#DIV/0!</v>
      </c>
      <c r="AF18" s="12">
        <f si="3" t="shared"/>
        <v>-3.0442015600352396E-2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2.725095048678109E-4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2.1920736720934055E-2</v>
      </c>
      <c r="R19" s="12">
        <f>output!G89/SUM(output!G$87:G$90)</f>
        <v>2.2347261173630586E-2</v>
      </c>
      <c r="S19" s="28">
        <f>output!H89/SUM(output!H$87:H$90)</f>
        <v>2.2936361459023093E-2</v>
      </c>
      <c r="T19" s="28" t="e">
        <f>output!I89/SUM(output!I$87:I$90)</f>
        <v>#DIV/0!</v>
      </c>
      <c r="U19" s="12">
        <f>output!J89/SUM(output!J$87:J$90)</f>
        <v>5.1004173794958162E-3</v>
      </c>
      <c r="W19" s="18">
        <v>2</v>
      </c>
      <c r="X19" s="12">
        <f si="3" t="shared"/>
        <v>2.725095048678109E-4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2.3304033370358489E-3</v>
      </c>
      <c r="AC19" s="12">
        <f si="3" t="shared"/>
        <v>-3.8402881542879581E-3</v>
      </c>
      <c r="AD19" s="12">
        <f si="3" t="shared"/>
        <v>5.7983528749856947E-3</v>
      </c>
      <c r="AE19" s="12" t="e">
        <f si="3" t="shared"/>
        <v>#DIV/0!</v>
      </c>
      <c r="AF19" s="12">
        <f si="3" t="shared"/>
        <v>3.4117858752303817E-4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3.2232307027375487E-5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1.6609110343693472E-3</v>
      </c>
      <c r="R20" s="13">
        <f>output!G90/SUM(output!G$87:G$90)</f>
        <v>1.4910007455003727E-3</v>
      </c>
      <c r="S20" s="30">
        <f>output!H90/SUM(output!H$87:H$90)</f>
        <v>1.6765522196706068E-3</v>
      </c>
      <c r="T20" s="30" t="e">
        <f>output!I90/SUM(output!I$87:I$90)</f>
        <v>#DIV/0!</v>
      </c>
      <c r="U20" s="13">
        <f>output!J90/SUM(output!J$87:J$90)</f>
        <v>3.7544184312655188E-4</v>
      </c>
      <c r="W20" s="23" t="s">
        <v>116</v>
      </c>
      <c r="X20" s="12">
        <f si="3" t="shared"/>
        <v>3.2232307027375487E-5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1.6609110343693472E-3</v>
      </c>
      <c r="AC20" s="12">
        <f si="3" t="shared"/>
        <v>1.4910007455003727E-3</v>
      </c>
      <c r="AD20" s="12">
        <f si="3" t="shared"/>
        <v>1.6765522196706068E-3</v>
      </c>
      <c r="AE20" s="12" t="e">
        <f si="3" t="shared"/>
        <v>#DIV/0!</v>
      </c>
      <c r="AF20" s="12">
        <f si="3" t="shared"/>
        <v>3.7544184312655188E-4</v>
      </c>
    </row>
    <row ht="13.5" r="21" spans="1:32" thickBot="1" x14ac:dyDescent="0.25">
      <c r="A21" s="21" t="s">
        <v>220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220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0.99999999999999989</v>
      </c>
      <c r="T21" s="14" t="e">
        <f si="5" t="shared"/>
        <v>#DIV/0!</v>
      </c>
      <c r="U21" s="14">
        <f si="5" t="shared"/>
        <v>1</v>
      </c>
      <c r="W21" s="21" t="s">
        <v>220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242</v>
      </c>
      <c r="F28" s="24" t="s">
        <v>243</v>
      </c>
      <c r="G28" s="24" t="s">
        <v>244</v>
      </c>
      <c r="H28" s="24" t="s">
        <v>245</v>
      </c>
      <c r="I28" s="24" t="s">
        <v>170</v>
      </c>
      <c r="J28" s="24" t="s">
        <v>220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242</v>
      </c>
      <c r="Q28" s="24" t="s">
        <v>243</v>
      </c>
      <c r="R28" s="24" t="s">
        <v>244</v>
      </c>
      <c r="S28" s="24" t="s">
        <v>245</v>
      </c>
      <c r="T28" s="24" t="s">
        <v>170</v>
      </c>
      <c r="U28" s="24" t="s">
        <v>220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242</v>
      </c>
      <c r="AB28" s="24" t="s">
        <v>243</v>
      </c>
      <c r="AC28" s="24" t="s">
        <v>244</v>
      </c>
      <c r="AD28" s="24" t="s">
        <v>245</v>
      </c>
      <c r="AE28" s="24" t="s">
        <v>170</v>
      </c>
      <c r="AF28" s="24" t="s">
        <v>220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0.93354577353874102</v>
      </c>
      <c r="N29" s="12">
        <f>output!C94/SUM(output!C$94:C$97)</f>
        <v>0.77682826818165607</v>
      </c>
      <c r="O29" s="12">
        <f>output!D94/SUM(output!D$94:D$97)</f>
        <v>0.92515596296902569</v>
      </c>
      <c r="P29" s="12">
        <f>output!E94/SUM(output!E$94:E$97)</f>
        <v>0.80962082155330117</v>
      </c>
      <c r="Q29" s="12">
        <f>output!F94/SUM(output!F$94:F$97)</f>
        <v>0.93201776023680316</v>
      </c>
      <c r="R29" s="12">
        <f>output!G94/SUM(output!G$94:G$97)</f>
        <v>0.96678973339486673</v>
      </c>
      <c r="S29" s="28">
        <f>output!H94/SUM(output!H$94:H$97)</f>
        <v>0.96250534195560189</v>
      </c>
      <c r="T29" s="28" t="e">
        <f>output!I94/SUM(output!I$94:I$97)</f>
        <v>#DIV/0!</v>
      </c>
      <c r="U29" s="12">
        <f>output!J94/SUM(output!J$94:J$97)</f>
        <v>0.90929551400251629</v>
      </c>
      <c r="W29" s="18">
        <v>0</v>
      </c>
      <c r="X29" s="12">
        <f ref="X29:AF33" si="6" t="shared">M29-B29</f>
        <v>3.0749930476771103E-3</v>
      </c>
      <c r="Y29" s="12">
        <f si="6" t="shared"/>
        <v>-5.0672059781967094E-2</v>
      </c>
      <c r="Z29" s="12">
        <f si="6" t="shared"/>
        <v>-2.8074941073348292E-3</v>
      </c>
      <c r="AA29" s="12">
        <f si="6" t="shared"/>
        <v>-5.6232237273312613E-4</v>
      </c>
      <c r="AB29" s="12">
        <f si="6" t="shared"/>
        <v>3.8215368843375064E-4</v>
      </c>
      <c r="AC29" s="12">
        <f si="6" t="shared"/>
        <v>2.5225142759697228E-2</v>
      </c>
      <c r="AD29" s="12">
        <f si="6" t="shared"/>
        <v>4.1749678823496117E-3</v>
      </c>
      <c r="AE29" s="12" t="e">
        <f si="6" t="shared"/>
        <v>#DIV/0!</v>
      </c>
      <c r="AF29" s="12">
        <f si="6" t="shared"/>
        <v>3.5430204164776935E-4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5.0414258400545017E-2</v>
      </c>
      <c r="N30" s="12">
        <f>output!C95/SUM(output!C$94:C$97)</f>
        <v>0.16383992773690528</v>
      </c>
      <c r="O30" s="12">
        <f>output!D95/SUM(output!D$94:D$97)</f>
        <v>4.8744111602189846E-2</v>
      </c>
      <c r="P30" s="12">
        <f>output!E95/SUM(output!E$94:E$97)</f>
        <v>9.3933976384500253E-2</v>
      </c>
      <c r="Q30" s="12">
        <f>output!F95/SUM(output!F$94:F$97)</f>
        <v>4.8215753987830949E-2</v>
      </c>
      <c r="R30" s="12">
        <f>output!G95/SUM(output!G$94:G$97)</f>
        <v>2.7885263942631973E-2</v>
      </c>
      <c r="S30" s="28">
        <f>output!H95/SUM(output!H$94:H$97)</f>
        <v>3.1056133973898382E-2</v>
      </c>
      <c r="T30" s="28" t="e">
        <f>output!I95/SUM(output!I$94:I$97)</f>
        <v>#DIV/0!</v>
      </c>
      <c r="U30" s="12">
        <f>output!J95/SUM(output!J$94:J$97)</f>
        <v>5.9873654500309542E-2</v>
      </c>
      <c r="W30" s="18">
        <v>1</v>
      </c>
      <c r="X30" s="12">
        <f si="6" t="shared"/>
        <v>-1.3326478182168477E-3</v>
      </c>
      <c r="Y30" s="12">
        <f si="6" t="shared"/>
        <v>5.0609718936784537E-2</v>
      </c>
      <c r="Z30" s="12">
        <f si="6" t="shared"/>
        <v>-1.1256701339831733E-2</v>
      </c>
      <c r="AA30" s="12">
        <f si="6" t="shared"/>
        <v>9.1162296684186295E-3</v>
      </c>
      <c r="AB30" s="12">
        <f si="6" t="shared"/>
        <v>7.7141366866773226E-3</v>
      </c>
      <c r="AC30" s="12">
        <f si="6" t="shared"/>
        <v>-2.9227553704281886E-2</v>
      </c>
      <c r="AD30" s="12">
        <f si="6" t="shared"/>
        <v>-9.2851501875943314E-3</v>
      </c>
      <c r="AE30" s="12" t="e">
        <f si="6" t="shared"/>
        <v>#DIV/0!</v>
      </c>
      <c r="AF30" s="12">
        <f si="6" t="shared"/>
        <v>3.9715153131186093E-4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1.3084851548249565E-2</v>
      </c>
      <c r="N31" s="12">
        <f>output!C96/SUM(output!C$94:C$97)</f>
        <v>4.8266517703269667E-2</v>
      </c>
      <c r="O31" s="12">
        <f>output!D96/SUM(output!D$94:D$97)</f>
        <v>2.124976507035764E-2</v>
      </c>
      <c r="P31" s="12">
        <f>output!E96/SUM(output!E$94:E$97)</f>
        <v>7.8226342923665398E-2</v>
      </c>
      <c r="Q31" s="12">
        <f>output!F96/SUM(output!F$94:F$97)</f>
        <v>1.6444663706627199E-2</v>
      </c>
      <c r="R31" s="12">
        <f>output!G96/SUM(output!G$94:G$97)</f>
        <v>4.5085022542511273E-3</v>
      </c>
      <c r="S31" s="28">
        <f>output!H96/SUM(output!H$94:H$97)</f>
        <v>5.2738603436697238E-3</v>
      </c>
      <c r="T31" s="28" t="e">
        <f>output!I96/SUM(output!I$94:I$97)</f>
        <v>#DIV/0!</v>
      </c>
      <c r="U31" s="12">
        <f>output!J96/SUM(output!J$94:J$97)</f>
        <v>2.5088701463823783E-2</v>
      </c>
      <c r="W31" s="18">
        <v>2</v>
      </c>
      <c r="X31" s="12">
        <f si="6" t="shared"/>
        <v>-2.6159598917021819E-3</v>
      </c>
      <c r="Y31" s="12">
        <f si="6" t="shared"/>
        <v>2.6140403245908314E-3</v>
      </c>
      <c r="Z31" s="12">
        <f si="6" t="shared"/>
        <v>1.0318228933393413E-2</v>
      </c>
      <c r="AA31" s="12">
        <f si="6" t="shared"/>
        <v>2.960914280128471E-3</v>
      </c>
      <c r="AB31" s="12">
        <f si="6" t="shared"/>
        <v>-9.0542360201783731E-4</v>
      </c>
      <c r="AC31" s="12">
        <f si="6" t="shared"/>
        <v>3.1859105363345663E-3</v>
      </c>
      <c r="AD31" s="12">
        <f si="6" t="shared"/>
        <v>3.9455185784146125E-3</v>
      </c>
      <c r="AE31" s="12" t="e">
        <f si="6" t="shared"/>
        <v>#DIV/0!</v>
      </c>
      <c r="AF31" s="12">
        <f si="6" t="shared"/>
        <v>8.399592952396534E-4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2.9551165124643798E-3</v>
      </c>
      <c r="N32" s="13">
        <f>output!C97/SUM(output!C$94:C$97)</f>
        <v>1.1065286378168939E-2</v>
      </c>
      <c r="O32" s="13">
        <f>output!D97/SUM(output!D$94:D$97)</f>
        <v>4.8501603584268508E-3</v>
      </c>
      <c r="P32" s="13">
        <f>output!E97/SUM(output!E$94:E$97)</f>
        <v>1.8218859138533178E-2</v>
      </c>
      <c r="Q32" s="13">
        <f>output!F97/SUM(output!F$94:F$97)</f>
        <v>3.3218220687386943E-3</v>
      </c>
      <c r="R32" s="13">
        <f>output!G97/SUM(output!G$94:G$97)</f>
        <v>8.165004082502041E-4</v>
      </c>
      <c r="S32" s="30">
        <f>output!H97/SUM(output!H$94:H$97)</f>
        <v>1.1646637268300014E-3</v>
      </c>
      <c r="T32" s="30" t="e">
        <f>output!I97/SUM(output!I$94:I$97)</f>
        <v>#DIV/0!</v>
      </c>
      <c r="U32" s="13">
        <f>output!J97/SUM(output!J$94:J$97)</f>
        <v>5.7421300333504195E-3</v>
      </c>
      <c r="W32" s="18" t="s">
        <v>116</v>
      </c>
      <c r="X32" s="12">
        <f si="6" t="shared"/>
        <v>8.7361466224196395E-4</v>
      </c>
      <c r="Y32" s="12">
        <f si="6" t="shared"/>
        <v>-2.5516994794083335E-3</v>
      </c>
      <c r="Z32" s="12">
        <f si="6" t="shared"/>
        <v>3.7459665137731905E-3</v>
      </c>
      <c r="AA32" s="12">
        <f si="6" t="shared"/>
        <v>-1.1514821575813929E-2</v>
      </c>
      <c r="AB32" s="12">
        <f si="6" t="shared"/>
        <v>-7.1908667730932515E-3</v>
      </c>
      <c r="AC32" s="12">
        <f si="6" t="shared"/>
        <v>8.165004082502041E-4</v>
      </c>
      <c r="AD32" s="12">
        <f si="6" t="shared"/>
        <v>1.1646637268300014E-3</v>
      </c>
      <c r="AE32" s="12" t="e">
        <f si="6" t="shared"/>
        <v>#DIV/0!</v>
      </c>
      <c r="AF32" s="12">
        <f si="6" t="shared"/>
        <v>-1.5914128681993184E-3</v>
      </c>
    </row>
    <row ht="13.5" r="33" spans="1:32" thickBot="1" x14ac:dyDescent="0.25">
      <c r="A33" s="21" t="s">
        <v>220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220</v>
      </c>
      <c r="M33" s="14">
        <f>SUM(M29:M32)</f>
        <v>1</v>
      </c>
      <c r="N33" s="14">
        <f ref="N33:U33" si="8" t="shared">SUM(N29:N32)</f>
        <v>0.99999999999999989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 t="e">
        <f si="8" t="shared"/>
        <v>#DIV/0!</v>
      </c>
      <c r="U33" s="14">
        <f si="8" t="shared"/>
        <v>1</v>
      </c>
      <c r="W33" s="21" t="s">
        <v>220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242</v>
      </c>
      <c r="F40" s="6" t="s">
        <v>243</v>
      </c>
      <c r="G40" s="6" t="s">
        <v>244</v>
      </c>
      <c r="H40" s="6" t="s">
        <v>245</v>
      </c>
      <c r="I40" s="6" t="s">
        <v>170</v>
      </c>
      <c r="J40" s="6" t="s">
        <v>220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242</v>
      </c>
      <c r="Q40" s="6" t="s">
        <v>243</v>
      </c>
      <c r="R40" s="6" t="s">
        <v>244</v>
      </c>
      <c r="S40" s="6" t="s">
        <v>245</v>
      </c>
      <c r="T40" s="6" t="s">
        <v>170</v>
      </c>
      <c r="U40" s="6" t="s">
        <v>220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242</v>
      </c>
      <c r="AB40" s="6" t="s">
        <v>243</v>
      </c>
      <c r="AC40" s="6" t="s">
        <v>244</v>
      </c>
      <c r="AD40" s="6" t="s">
        <v>245</v>
      </c>
      <c r="AE40" s="6" t="s">
        <v>170</v>
      </c>
      <c r="AF40" s="6" t="s">
        <v>220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0.91877751650074357</v>
      </c>
      <c r="N41" s="12">
        <f>output!C101/SUM(output!C$101:C$104)</f>
        <v>0.84098553549567967</v>
      </c>
      <c r="O41" s="12">
        <f>output!D101/SUM(output!D$101:D$104)</f>
        <v>0.62869597376063246</v>
      </c>
      <c r="P41" s="12">
        <f>output!E101/SUM(output!E$101:E$104)</f>
        <v>0.80379178446698818</v>
      </c>
      <c r="Q41" s="12">
        <f>output!F101/SUM(output!F$101:F$104)</f>
        <v>0.94038809406347645</v>
      </c>
      <c r="R41" s="12">
        <f>output!G101/SUM(output!G$101:G$104)</f>
        <v>0.95086797543398771</v>
      </c>
      <c r="S41" s="28">
        <f>output!H101/SUM(output!H$101:H$104)</f>
        <v>0.92581373833575187</v>
      </c>
      <c r="T41" s="28" t="e">
        <f>output!I101/SUM(output!I$101:I$104)</f>
        <v>#DIV/0!</v>
      </c>
      <c r="U41" s="12">
        <f>output!J101/SUM(output!J$101:J$104)</f>
        <v>0.86723537673991336</v>
      </c>
      <c r="W41" s="18">
        <v>0</v>
      </c>
      <c r="X41" s="12">
        <f ref="X41:AF45" si="9" t="shared">M41-B41</f>
        <v>8.6954365980254078E-3</v>
      </c>
      <c r="Y41" s="12">
        <f si="9" t="shared"/>
        <v>1.0549639863116633E-2</v>
      </c>
      <c r="Z41" s="12">
        <f si="9" t="shared"/>
        <v>-6.9991651268193622E-2</v>
      </c>
      <c r="AA41" s="12">
        <f si="9" t="shared"/>
        <v>3.0975043919907352E-2</v>
      </c>
      <c r="AB41" s="12">
        <f si="9" t="shared"/>
        <v>1.7618422325285654E-2</v>
      </c>
      <c r="AC41" s="12">
        <f si="9" t="shared"/>
        <v>5.4051278358931976E-2</v>
      </c>
      <c r="AD41" s="12">
        <f si="9" t="shared"/>
        <v>-6.1750160821828493E-3</v>
      </c>
      <c r="AE41" s="12" t="e">
        <f si="9" t="shared"/>
        <v>#DIV/0!</v>
      </c>
      <c r="AF41" s="12">
        <f si="9" t="shared"/>
        <v>9.5239170179306498E-4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7.0489125259140417E-2</v>
      </c>
      <c r="N42" s="12">
        <f>output!C102/SUM(output!C$101:C$104)</f>
        <v>0.13960564317719909</v>
      </c>
      <c r="O42" s="12">
        <f>output!D102/SUM(output!D$101:D$104)</f>
        <v>0.30135865117040433</v>
      </c>
      <c r="P42" s="12">
        <f>output!E102/SUM(output!E$101:E$104)</f>
        <v>0.16339181772825545</v>
      </c>
      <c r="Q42" s="12">
        <f>output!F102/SUM(output!F$101:F$104)</f>
        <v>5.0781121526064794E-2</v>
      </c>
      <c r="R42" s="12">
        <f>output!G102/SUM(output!G$101:G$104)</f>
        <v>4.0683020341510168E-2</v>
      </c>
      <c r="S42" s="28">
        <f>output!H102/SUM(output!H$101:H$104)</f>
        <v>6.9452467161648754E-2</v>
      </c>
      <c r="T42" s="28" t="e">
        <f>output!I102/SUM(output!I$101:I$104)</f>
        <v>#DIV/0!</v>
      </c>
      <c r="U42" s="12">
        <f>output!J102/SUM(output!J$101:J$104)</f>
        <v>0.1125213848744866</v>
      </c>
      <c r="W42" s="18">
        <v>1</v>
      </c>
      <c r="X42" s="12">
        <f si="9" t="shared"/>
        <v>-1.2100235870686385E-2</v>
      </c>
      <c r="Y42" s="12">
        <f si="9" t="shared"/>
        <v>-6.066612935015564E-3</v>
      </c>
      <c r="Z42" s="12">
        <f si="9" t="shared"/>
        <v>4.5289937653154866E-2</v>
      </c>
      <c r="AA42" s="12">
        <f si="9" t="shared"/>
        <v>-3.729906602892849E-2</v>
      </c>
      <c r="AB42" s="12">
        <f si="9" t="shared"/>
        <v>-1.9689350402645488E-2</v>
      </c>
      <c r="AC42" s="12">
        <f si="9" t="shared"/>
        <v>-5.9358917949828421E-2</v>
      </c>
      <c r="AD42" s="12">
        <f si="9" t="shared"/>
        <v>5.4720788300796769E-3</v>
      </c>
      <c r="AE42" s="12" t="e">
        <f si="9" t="shared"/>
        <v>#DIV/0!</v>
      </c>
      <c r="AF42" s="12">
        <f si="9" t="shared"/>
        <v>-6.8317944820483062E-3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9.618413437941821E-3</v>
      </c>
      <c r="N43" s="12">
        <f>output!C103/SUM(output!C$101:C$104)</f>
        <v>1.7210026504391646E-2</v>
      </c>
      <c r="O43" s="12">
        <f>output!D103/SUM(output!D$101:D$104)</f>
        <v>6.294295605148445E-2</v>
      </c>
      <c r="P43" s="12">
        <f>output!E103/SUM(output!E$101:E$104)</f>
        <v>2.9274072842175286E-2</v>
      </c>
      <c r="Q43" s="12">
        <f>output!F103/SUM(output!F$101:F$104)</f>
        <v>7.6796579509949021E-3</v>
      </c>
      <c r="R43" s="12">
        <f>output!G103/SUM(output!G$101:G$104)</f>
        <v>7.6325038162519078E-3</v>
      </c>
      <c r="S43" s="28">
        <f>output!H103/SUM(output!H$101:H$104)</f>
        <v>4.282956930923231E-3</v>
      </c>
      <c r="T43" s="28" t="e">
        <f>output!I103/SUM(output!I$101:I$104)</f>
        <v>#DIV/0!</v>
      </c>
      <c r="U43" s="12">
        <f>output!J103/SUM(output!J$101:J$104)</f>
        <v>1.8136370595714373E-2</v>
      </c>
      <c r="W43" s="18">
        <v>2</v>
      </c>
      <c r="X43" s="12">
        <f si="9" t="shared"/>
        <v>3.059883127560622E-3</v>
      </c>
      <c r="Y43" s="12">
        <f si="9" t="shared"/>
        <v>-6.1001385065892963E-3</v>
      </c>
      <c r="Z43" s="12">
        <f si="9" t="shared"/>
        <v>2.3338063066860731E-2</v>
      </c>
      <c r="AA43" s="12">
        <f si="9" t="shared"/>
        <v>5.053795171942474E-3</v>
      </c>
      <c r="AB43" s="12">
        <f si="9" t="shared"/>
        <v>1.4748819686524507E-3</v>
      </c>
      <c r="AC43" s="12">
        <f si="9" t="shared"/>
        <v>4.4911391826462253E-3</v>
      </c>
      <c r="AD43" s="12">
        <f si="9" t="shared"/>
        <v>2.3697455151485353E-3</v>
      </c>
      <c r="AE43" s="12" t="e">
        <f si="9" t="shared"/>
        <v>#DIV/0!</v>
      </c>
      <c r="AF43" s="12">
        <f si="9" t="shared"/>
        <v>5.4160279137552402E-3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1.1149448021742156E-3</v>
      </c>
      <c r="N44" s="13">
        <f>output!C104/SUM(output!C$101:C$104)</f>
        <v>2.1987948227295958E-3</v>
      </c>
      <c r="O44" s="13">
        <f>output!D104/SUM(output!D$101:D$104)</f>
        <v>7.0024190174787651E-3</v>
      </c>
      <c r="P44" s="13">
        <f>output!E104/SUM(output!E$101:E$104)</f>
        <v>3.5423249625810742E-3</v>
      </c>
      <c r="Q44" s="13">
        <f>output!F104/SUM(output!F$101:F$104)</f>
        <v>1.1511264594639039E-3</v>
      </c>
      <c r="R44" s="13">
        <f>output!G104/SUM(output!G$101:G$104)</f>
        <v>8.165004082502041E-4</v>
      </c>
      <c r="S44" s="30">
        <f>output!H104/SUM(output!H$101:H$104)</f>
        <v>4.5083757167612955E-4</v>
      </c>
      <c r="T44" s="30" t="e">
        <f>output!I104/SUM(output!I$101:I$104)</f>
        <v>#DIV/0!</v>
      </c>
      <c r="U44" s="13">
        <f>output!J104/SUM(output!J$101:J$104)</f>
        <v>2.1068677898857034E-3</v>
      </c>
      <c r="W44" s="23" t="s">
        <v>116</v>
      </c>
      <c r="X44" s="12">
        <f si="9" t="shared"/>
        <v>3.4491614510015738E-4</v>
      </c>
      <c r="Y44" s="12">
        <f si="9" t="shared"/>
        <v>1.6171115784882777E-3</v>
      </c>
      <c r="Z44" s="12">
        <f si="9" t="shared"/>
        <v>1.363650548177932E-3</v>
      </c>
      <c r="AA44" s="12">
        <f si="9" t="shared"/>
        <v>1.2702269370787715E-3</v>
      </c>
      <c r="AB44" s="12">
        <f si="9" t="shared"/>
        <v>5.9604610870747556E-4</v>
      </c>
      <c r="AC44" s="12">
        <f si="9" t="shared"/>
        <v>8.165004082502041E-4</v>
      </c>
      <c r="AD44" s="12">
        <f si="9" t="shared"/>
        <v>-1.6668082630454388E-3</v>
      </c>
      <c r="AE44" s="12" t="e">
        <f si="9" t="shared"/>
        <v>#DIV/0!</v>
      </c>
      <c r="AF44" s="12">
        <f si="9" t="shared"/>
        <v>4.633748664999277E-4</v>
      </c>
    </row>
    <row ht="13.5" r="45" spans="1:32" thickBot="1" x14ac:dyDescent="0.25">
      <c r="A45" s="21" t="s">
        <v>220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220</v>
      </c>
      <c r="M45" s="14">
        <f>SUM(M41:M44)</f>
        <v>1</v>
      </c>
      <c r="N45" s="14">
        <f ref="N45:U45" si="11" t="shared">SUM(N41:N44)</f>
        <v>0.99999999999999989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0.99999999999999989</v>
      </c>
      <c r="T45" s="14" t="e">
        <f si="11" t="shared"/>
        <v>#DIV/0!</v>
      </c>
      <c r="U45" s="14">
        <f si="11" t="shared"/>
        <v>1</v>
      </c>
      <c r="W45" s="21" t="s">
        <v>220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227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242</v>
      </c>
      <c r="F52" s="6" t="s">
        <v>243</v>
      </c>
      <c r="G52" s="6" t="s">
        <v>244</v>
      </c>
      <c r="H52" s="6" t="s">
        <v>245</v>
      </c>
      <c r="I52" s="6" t="s">
        <v>170</v>
      </c>
      <c r="J52" s="6" t="s">
        <v>220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242</v>
      </c>
      <c r="Q52" s="6" t="s">
        <v>243</v>
      </c>
      <c r="R52" s="6" t="s">
        <v>244</v>
      </c>
      <c r="S52" s="6" t="s">
        <v>245</v>
      </c>
      <c r="T52" s="6" t="s">
        <v>170</v>
      </c>
      <c r="U52" s="6" t="s">
        <v>220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242</v>
      </c>
      <c r="AB52" s="6" t="s">
        <v>243</v>
      </c>
      <c r="AC52" s="6" t="s">
        <v>244</v>
      </c>
      <c r="AD52" s="6" t="s">
        <v>245</v>
      </c>
      <c r="AE52" s="6" t="s">
        <v>170</v>
      </c>
      <c r="AF52" s="6" t="s">
        <v>220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0.94276421334857041</v>
      </c>
      <c r="N53" s="12">
        <f>output!C108/SUM(output!C$108:C$111)</f>
        <v>0.86120256248737181</v>
      </c>
      <c r="O53" s="12">
        <f>output!D108/SUM(output!D$108:D$111)</f>
        <v>0.75796487271360413</v>
      </c>
      <c r="P53" s="12">
        <f>output!E108/SUM(output!E$108:E$111)</f>
        <v>0.81494262431398634</v>
      </c>
      <c r="Q53" s="12">
        <f>output!F108/SUM(output!F$108:F$111)</f>
        <v>0.92315408649893105</v>
      </c>
      <c r="R53" s="12">
        <f>output!G108/SUM(output!G$108:G$111)</f>
        <v>0.9827292413646207</v>
      </c>
      <c r="S53" s="28">
        <f>output!H108/SUM(output!H$108:H$111)</f>
        <v>0.96452002235402956</v>
      </c>
      <c r="T53" s="28" t="e">
        <f>output!I108/SUM(output!I$108:I$111)</f>
        <v>#DIV/0!</v>
      </c>
      <c r="U53" s="12">
        <f>output!J108/SUM(output!J$108:J$111)</f>
        <v>0.90122883979150992</v>
      </c>
      <c r="W53" s="18">
        <v>0</v>
      </c>
      <c r="X53" s="12">
        <f ref="X53:AF57" si="12" t="shared">M53-B53</f>
        <v>3.5948343799367954E-3</v>
      </c>
      <c r="Y53" s="12">
        <f si="12" t="shared"/>
        <v>-6.9064926549892158E-3</v>
      </c>
      <c r="Z53" s="12">
        <f si="12" t="shared"/>
        <v>-4.9923649066422104E-2</v>
      </c>
      <c r="AA53" s="12">
        <f si="12" t="shared"/>
        <v>1.519137806865456E-2</v>
      </c>
      <c r="AB53" s="12">
        <f si="12" t="shared"/>
        <v>2.0243099204396708E-3</v>
      </c>
      <c r="AC53" s="12">
        <f si="12" t="shared"/>
        <v>1.9408614263366042E-2</v>
      </c>
      <c r="AD53" s="12">
        <f si="12" t="shared"/>
        <v>-2.9391138284735607E-3</v>
      </c>
      <c r="AE53" s="12" t="e">
        <f si="12" t="shared"/>
        <v>#DIV/0!</v>
      </c>
      <c r="AF53" s="12">
        <f si="12" t="shared"/>
        <v>-2.5554746013300988E-3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5.4301181607073527E-2</v>
      </c>
      <c r="N54" s="12">
        <f>output!C109/SUM(output!C$108:C$111)</f>
        <v>0.13327073701225384</v>
      </c>
      <c r="O54" s="12">
        <f>output!D109/SUM(output!D$108:D$111)</f>
        <v>0.22405922045797638</v>
      </c>
      <c r="P54" s="12">
        <f>output!E109/SUM(output!E$108:E$111)</f>
        <v>0.1722268418426742</v>
      </c>
      <c r="Q54" s="12">
        <f>output!F109/SUM(output!F$108:F$111)</f>
        <v>7.146850846900181E-2</v>
      </c>
      <c r="R54" s="12">
        <f>output!G109/SUM(output!G$108:G$111)</f>
        <v>1.6134758067379035E-2</v>
      </c>
      <c r="S54" s="28">
        <f>output!H109/SUM(output!H$108:H$111)</f>
        <v>3.513245701780339E-2</v>
      </c>
      <c r="T54" s="28" t="e">
        <f>output!I109/SUM(output!I$108:I$111)</f>
        <v>#DIV/0!</v>
      </c>
      <c r="U54" s="12">
        <f>output!J109/SUM(output!J$108:J$111)</f>
        <v>9.2790717799538014E-2</v>
      </c>
      <c r="W54" s="18">
        <v>1</v>
      </c>
      <c r="X54" s="12">
        <f si="12" t="shared"/>
        <v>-3.8376788125339609E-3</v>
      </c>
      <c r="Y54" s="12">
        <f si="12" t="shared"/>
        <v>1.447743565024881E-2</v>
      </c>
      <c r="Z54" s="12">
        <f si="12" t="shared"/>
        <v>4.858882999086514E-2</v>
      </c>
      <c r="AA54" s="12">
        <f si="12" t="shared"/>
        <v>-1.6364019615074027E-2</v>
      </c>
      <c r="AB54" s="12">
        <f si="12" t="shared"/>
        <v>1.3386748467317487E-2</v>
      </c>
      <c r="AC54" s="12">
        <f si="12" t="shared"/>
        <v>-2.0544614831366294E-2</v>
      </c>
      <c r="AD54" s="12">
        <f si="12" t="shared"/>
        <v>2.5915932003066147E-3</v>
      </c>
      <c r="AE54" s="12" t="e">
        <f si="12" t="shared"/>
        <v>#DIV/0!</v>
      </c>
      <c r="AF54" s="12">
        <f si="12" t="shared"/>
        <v>3.1247376805313837E-3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2.7177695243537055E-3</v>
      </c>
      <c r="N55" s="12">
        <f>output!C110/SUM(output!C$108:C$111)</f>
        <v>5.0869415358284703E-3</v>
      </c>
      <c r="O55" s="12">
        <f>output!D110/SUM(output!D$108:D$111)</f>
        <v>1.6636050029404097E-2</v>
      </c>
      <c r="P55" s="12">
        <f>output!E110/SUM(output!E$108:E$111)</f>
        <v>1.1953267919507734E-2</v>
      </c>
      <c r="Q55" s="12">
        <f>output!F110/SUM(output!F$108:F$111)</f>
        <v>4.9827331031080417E-3</v>
      </c>
      <c r="R55" s="12">
        <f>output!G110/SUM(output!G$108:G$111)</f>
        <v>1.0827505413752707E-3</v>
      </c>
      <c r="S55" s="28">
        <f>output!H110/SUM(output!H$108:H$111)</f>
        <v>3.3812817875709716E-4</v>
      </c>
      <c r="T55" s="28" t="e">
        <f>output!I110/SUM(output!I$108:I$111)</f>
        <v>#DIV/0!</v>
      </c>
      <c r="U55" s="12">
        <f>output!J110/SUM(output!J$108:J$111)</f>
        <v>5.5504150496262219E-3</v>
      </c>
      <c r="W55" s="18">
        <v>2</v>
      </c>
      <c r="X55" s="12">
        <f si="12" t="shared"/>
        <v>2.600891259479975E-5</v>
      </c>
      <c r="Y55" s="12">
        <f si="12" t="shared"/>
        <v>-4.7285137840612683E-3</v>
      </c>
      <c r="Z55" s="12">
        <f si="12" t="shared"/>
        <v>2.5429320623914994E-4</v>
      </c>
      <c r="AA55" s="12">
        <f si="12" t="shared"/>
        <v>2.9537562258770932E-4</v>
      </c>
      <c r="AB55" s="12">
        <f si="12" t="shared"/>
        <v>-1.5805730316716296E-2</v>
      </c>
      <c r="AC55" s="12">
        <f si="12" t="shared"/>
        <v>1.0827505413752707E-3</v>
      </c>
      <c r="AD55" s="12">
        <f si="12" t="shared"/>
        <v>3.3812817875709716E-4</v>
      </c>
      <c r="AE55" s="12" t="e">
        <f si="12" t="shared"/>
        <v>#DIV/0!</v>
      </c>
      <c r="AF55" s="12">
        <f si="12" t="shared"/>
        <v>-7.7930417811177335E-4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2.1683552000234416E-4</v>
      </c>
      <c r="N56" s="13">
        <f>output!C111/SUM(output!C$108:C$111)</f>
        <v>4.3975896454591916E-4</v>
      </c>
      <c r="O56" s="13">
        <f>output!D111/SUM(output!D$108:D$111)</f>
        <v>1.3398567990154174E-3</v>
      </c>
      <c r="P56" s="13">
        <f>output!E111/SUM(output!E$108:E$111)</f>
        <v>8.77265923831698E-4</v>
      </c>
      <c r="Q56" s="13">
        <f>output!F111/SUM(output!F$108:F$111)</f>
        <v>3.9467192895905278E-4</v>
      </c>
      <c r="R56" s="13">
        <f>output!G111/SUM(output!G$108:G$111)</f>
        <v>5.3250026625013311E-5</v>
      </c>
      <c r="S56" s="30">
        <f>output!H111/SUM(output!H$108:H$111)</f>
        <v>9.3924494099193662E-6</v>
      </c>
      <c r="T56" s="30" t="e">
        <f>output!I111/SUM(output!I$108:I$111)</f>
        <v>#DIV/0!</v>
      </c>
      <c r="U56" s="13">
        <f>output!J111/SUM(output!J$108:J$111)</f>
        <v>4.3002735932580233E-4</v>
      </c>
      <c r="W56" s="23" t="s">
        <v>116</v>
      </c>
      <c r="X56" s="12">
        <f si="12" t="shared"/>
        <v>2.1683552000234416E-4</v>
      </c>
      <c r="Y56" s="12">
        <f si="12" t="shared"/>
        <v>-2.8424292111983531E-3</v>
      </c>
      <c r="Z56" s="12">
        <f si="12" t="shared"/>
        <v>1.080525869317823E-3</v>
      </c>
      <c r="AA56" s="12">
        <f si="12" t="shared"/>
        <v>8.77265923831698E-4</v>
      </c>
      <c r="AB56" s="12">
        <f si="12" t="shared"/>
        <v>3.9467192895905278E-4</v>
      </c>
      <c r="AC56" s="12">
        <f si="12" t="shared"/>
        <v>5.3250026625013311E-5</v>
      </c>
      <c r="AD56" s="12">
        <f si="12" t="shared"/>
        <v>9.3924494099193662E-6</v>
      </c>
      <c r="AE56" s="12" t="e">
        <f si="12" t="shared"/>
        <v>#DIV/0!</v>
      </c>
      <c r="AF56" s="12">
        <f si="12" t="shared"/>
        <v>2.1004109891048774E-4</v>
      </c>
    </row>
    <row ht="13.5" r="57" spans="1:32" thickBot="1" x14ac:dyDescent="0.25">
      <c r="A57" s="21" t="s">
        <v>220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220</v>
      </c>
      <c r="M57" s="14">
        <f>SUM(M53:M56)</f>
        <v>0.99999999999999989</v>
      </c>
      <c r="N57" s="14">
        <f ref="N57:U57" si="14" t="shared">SUM(N53:N56)</f>
        <v>1</v>
      </c>
      <c r="O57" s="14">
        <f si="14" t="shared"/>
        <v>0.99999999999999989</v>
      </c>
      <c r="P57" s="14">
        <f si="14" t="shared"/>
        <v>1</v>
      </c>
      <c r="Q57" s="14">
        <f si="14" t="shared"/>
        <v>0.99999999999999989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1</v>
      </c>
      <c r="W57" s="21" t="s">
        <v>220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228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242</v>
      </c>
      <c r="F64" s="6" t="s">
        <v>243</v>
      </c>
      <c r="G64" s="6" t="s">
        <v>244</v>
      </c>
      <c r="H64" s="6" t="s">
        <v>245</v>
      </c>
      <c r="I64" s="6" t="s">
        <v>170</v>
      </c>
      <c r="J64" s="6" t="s">
        <v>220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242</v>
      </c>
      <c r="Q64" s="6" t="s">
        <v>243</v>
      </c>
      <c r="R64" s="6" t="s">
        <v>244</v>
      </c>
      <c r="S64" s="6" t="s">
        <v>245</v>
      </c>
      <c r="T64" s="6" t="s">
        <v>170</v>
      </c>
      <c r="U64" s="6" t="s">
        <v>220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242</v>
      </c>
      <c r="AB64" s="6" t="s">
        <v>243</v>
      </c>
      <c r="AC64" s="6" t="s">
        <v>244</v>
      </c>
      <c r="AD64" s="6" t="s">
        <v>245</v>
      </c>
      <c r="AE64" s="6" t="s">
        <v>170</v>
      </c>
      <c r="AF64" s="6" t="s">
        <v>220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0.94538675105670689</v>
      </c>
      <c r="N65" s="12">
        <f>output!C115/SUM(output!C$115:C$118)</f>
        <v>0.91418757502644499</v>
      </c>
      <c r="O65" s="12">
        <f>output!D115/SUM(output!D$115:D$118)</f>
        <v>0.87389583068090193</v>
      </c>
      <c r="P65" s="12">
        <f>output!E115/SUM(output!E$115:E$118)</f>
        <v>0.94674039580908032</v>
      </c>
      <c r="Q65" s="12">
        <f>output!F115/SUM(output!F$115:F$118)</f>
        <v>0.93706627199473769</v>
      </c>
      <c r="R65" s="12">
        <f>output!G115/SUM(output!G$115:G$118)</f>
        <v>0.98629699314849661</v>
      </c>
      <c r="S65" s="28">
        <f>output!H115/SUM(output!H$115:H$118)</f>
        <v>0.97196353851139072</v>
      </c>
      <c r="T65" s="28" t="e">
        <f>output!I115/SUM(output!I$115:I$118)</f>
        <v>#DIV/0!</v>
      </c>
      <c r="U65" s="12">
        <f>output!J115/SUM(output!J$115:J$118)</f>
        <v>0.94097108964672516</v>
      </c>
      <c r="W65" s="18">
        <v>0</v>
      </c>
      <c r="X65" s="12">
        <f ref="X65:AF69" si="15" t="shared">M65-B65</f>
        <v>3.3111505317028334E-3</v>
      </c>
      <c r="Y65" s="12">
        <f si="15" t="shared"/>
        <v>-1.8392878247805555E-2</v>
      </c>
      <c r="Z65" s="12">
        <f si="15" t="shared"/>
        <v>-2.338015494851331E-2</v>
      </c>
      <c r="AA65" s="12">
        <f si="15" t="shared"/>
        <v>2.2746017194568147E-3</v>
      </c>
      <c r="AB65" s="12">
        <f si="15" t="shared"/>
        <v>3.7121557074097922E-3</v>
      </c>
      <c r="AC65" s="12">
        <f si="15" t="shared"/>
        <v>3.2832607119421819E-3</v>
      </c>
      <c r="AD65" s="12">
        <f si="15" t="shared"/>
        <v>-3.2039543450734786E-3</v>
      </c>
      <c r="AE65" s="12" t="e">
        <f si="15" t="shared"/>
        <v>#DIV/0!</v>
      </c>
      <c r="AF65" s="12">
        <f si="15" t="shared"/>
        <v>-3.0565376829564395E-3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5.4613248943293113E-2</v>
      </c>
      <c r="N66" s="12">
        <f>output!C116/SUM(output!C$115:C$118)</f>
        <v>8.581242497355504E-2</v>
      </c>
      <c r="O66" s="12">
        <f>output!D116/SUM(output!D$115:D$118)</f>
        <v>0.11624015569014751</v>
      </c>
      <c r="P66" s="12">
        <f>output!E116/SUM(output!E$115:E$118)</f>
        <v>4.9031265591219023E-2</v>
      </c>
      <c r="Q66" s="12">
        <f>output!F116/SUM(output!F$115:F$118)</f>
        <v>6.2933728005262299E-2</v>
      </c>
      <c r="R66" s="12">
        <f>output!G116/SUM(output!G$115:G$118)</f>
        <v>1.3703006851503425E-2</v>
      </c>
      <c r="S66" s="28">
        <f>output!H116/SUM(output!H$115:H$118)</f>
        <v>2.8036461488609308E-2</v>
      </c>
      <c r="T66" s="28" t="e">
        <f>output!I116/SUM(output!I$115:I$118)</f>
        <v>#DIV/0!</v>
      </c>
      <c r="U66" s="12">
        <f>output!J116/SUM(output!J$115:J$118)</f>
        <v>5.726886029436238E-2</v>
      </c>
      <c r="W66" s="18">
        <v>1</v>
      </c>
      <c r="X66" s="12">
        <f si="15" t="shared"/>
        <v>-2.1446121105472352E-3</v>
      </c>
      <c r="Y66" s="12">
        <f si="15" t="shared"/>
        <v>2.0536421962801213E-2</v>
      </c>
      <c r="Z66" s="12">
        <f si="15" t="shared"/>
        <v>2.2208907850273962E-2</v>
      </c>
      <c r="AA66" s="12">
        <f si="15" t="shared"/>
        <v>-1.7081216023132895E-3</v>
      </c>
      <c r="AB66" s="12">
        <f si="15" t="shared"/>
        <v>1.052167049016485E-3</v>
      </c>
      <c r="AC66" s="12">
        <f si="15" t="shared"/>
        <v>-3.2832607119422045E-3</v>
      </c>
      <c r="AD66" s="12">
        <f si="15" t="shared"/>
        <v>3.5296450066379971E-3</v>
      </c>
      <c r="AE66" s="12" t="e">
        <f si="15" t="shared"/>
        <v>#DIV/0!</v>
      </c>
      <c r="AF66" s="12">
        <f si="15" t="shared"/>
        <v>3.8473630501008257E-3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9.8640136289506065E-3</v>
      </c>
      <c r="P67" s="12">
        <f>output!E117/SUM(output!E$115:E$118)</f>
        <v>4.2283385997006484E-3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1.7600500589124168E-3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1.1712470982393527E-3</v>
      </c>
      <c r="AA67" s="12">
        <f si="15" t="shared"/>
        <v>-5.6648011714356943E-4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-7.3700890464209272E-4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220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220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220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242</v>
      </c>
      <c r="F76" s="6" t="s">
        <v>243</v>
      </c>
      <c r="G76" s="6" t="s">
        <v>244</v>
      </c>
      <c r="H76" s="6" t="s">
        <v>245</v>
      </c>
      <c r="I76" s="6" t="s">
        <v>170</v>
      </c>
      <c r="J76" s="6" t="s">
        <v>220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242</v>
      </c>
      <c r="Q76" s="6" t="s">
        <v>243</v>
      </c>
      <c r="R76" s="6" t="s">
        <v>244</v>
      </c>
      <c r="S76" s="6" t="s">
        <v>245</v>
      </c>
      <c r="T76" s="6" t="s">
        <v>170</v>
      </c>
      <c r="U76" s="6" t="s">
        <v>220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242</v>
      </c>
      <c r="AB76" s="6" t="s">
        <v>243</v>
      </c>
      <c r="AC76" s="6" t="s">
        <v>244</v>
      </c>
      <c r="AD76" s="6" t="s">
        <v>245</v>
      </c>
      <c r="AE76" s="6" t="s">
        <v>170</v>
      </c>
      <c r="AF76" s="6" t="s">
        <v>220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0.91015976968551526</v>
      </c>
      <c r="N77" s="12">
        <f>output!C122/SUM(output!C$122:C$125)</f>
        <v>0.81477827828422689</v>
      </c>
      <c r="O77" s="12">
        <f>output!D122/SUM(output!D$122:D$125)</f>
        <v>0.81097106273076158</v>
      </c>
      <c r="P77" s="12">
        <f>output!E122/SUM(output!E$122:E$125)</f>
        <v>0.84823299517711626</v>
      </c>
      <c r="Q77" s="12">
        <f>output!F122/SUM(output!F$122:F$125)</f>
        <v>0.93662226607465882</v>
      </c>
      <c r="R77" s="12">
        <f>output!G122/SUM(output!G$122:G$125)</f>
        <v>0.88682594341297172</v>
      </c>
      <c r="S77" s="28">
        <f>output!H122/SUM(output!H$122:H$125)</f>
        <v>0.79379346942992524</v>
      </c>
      <c r="T77" s="28" t="e">
        <f>output!I122/SUM(output!I$122:I$125)</f>
        <v>#DIV/0!</v>
      </c>
      <c r="U77" s="12">
        <f>output!J122/SUM(output!J$122:J$125)</f>
        <v>0.86771333284517016</v>
      </c>
      <c r="W77" s="18">
        <v>0</v>
      </c>
      <c r="X77" s="12">
        <f ref="X77:AF81" si="18" t="shared">M77-B77</f>
        <v>5.1119356272771865E-3</v>
      </c>
      <c r="Y77" s="12">
        <f si="18" t="shared"/>
        <v>-4.5058709322689294E-2</v>
      </c>
      <c r="Z77" s="12">
        <f si="18" t="shared"/>
        <v>-3.679864096365093E-2</v>
      </c>
      <c r="AA77" s="12">
        <f si="18" t="shared"/>
        <v>1.972145783054069E-2</v>
      </c>
      <c r="AB77" s="12">
        <f si="18" t="shared"/>
        <v>2.0964358131749572E-2</v>
      </c>
      <c r="AC77" s="12">
        <f si="18" t="shared"/>
        <v>9.0088650815849936E-2</v>
      </c>
      <c r="AD77" s="12">
        <f si="18" t="shared"/>
        <v>-1.5683971877430758E-2</v>
      </c>
      <c r="AE77" s="12" t="e">
        <f si="18" t="shared"/>
        <v>#DIV/0!</v>
      </c>
      <c r="AF77" s="12">
        <f si="18" t="shared"/>
        <v>2.1928845163993183E-3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8.6274165073365119E-2</v>
      </c>
      <c r="N78" s="12">
        <f>output!C123/SUM(output!C$122:C$125)</f>
        <v>0.17539251458930077</v>
      </c>
      <c r="O78" s="12">
        <f>output!D123/SUM(output!D$122:D$125)</f>
        <v>0.17182299339771923</v>
      </c>
      <c r="P78" s="12">
        <f>output!E123/SUM(output!E$122:E$125)</f>
        <v>0.13751870946283054</v>
      </c>
      <c r="Q78" s="12">
        <f>output!F123/SUM(output!F$122:F$125)</f>
        <v>5.6043413912185494E-2</v>
      </c>
      <c r="R78" s="12">
        <f>output!G123/SUM(output!G$122:G$125)</f>
        <v>0.10454755227377614</v>
      </c>
      <c r="S78" s="28">
        <f>output!H123/SUM(output!H$122:H$125)</f>
        <v>0.19086396445897144</v>
      </c>
      <c r="T78" s="28" t="e">
        <f>output!I123/SUM(output!I$122:I$125)</f>
        <v>#DIV/0!</v>
      </c>
      <c r="U78" s="12">
        <f>output!J123/SUM(output!J$122:J$125)</f>
        <v>0.12315024996172357</v>
      </c>
      <c r="W78" s="18">
        <v>1</v>
      </c>
      <c r="X78" s="12">
        <f si="18" t="shared"/>
        <v>-5.8891659469219315E-3</v>
      </c>
      <c r="Y78" s="12">
        <f si="18" t="shared"/>
        <v>5.3379307603913378E-2</v>
      </c>
      <c r="Z78" s="12">
        <f si="18" t="shared"/>
        <v>3.5160083275500992E-2</v>
      </c>
      <c r="AA78" s="12">
        <f si="18" t="shared"/>
        <v>-2.0938003765384267E-2</v>
      </c>
      <c r="AB78" s="12">
        <f si="18" t="shared"/>
        <v>-1.8566175928747361E-2</v>
      </c>
      <c r="AC78" s="12">
        <f si="18" t="shared"/>
        <v>-8.8696381913717107E-2</v>
      </c>
      <c r="AD78" s="12">
        <f si="18" t="shared"/>
        <v>1.7188295825976585E-2</v>
      </c>
      <c r="AE78" s="12" t="e">
        <f si="18" t="shared"/>
        <v>#DIV/0!</v>
      </c>
      <c r="AF78" s="12">
        <f si="18" t="shared"/>
        <v>-1.8307438309435875E-3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3.369741189225619E-3</v>
      </c>
      <c r="N79" s="12">
        <f>output!C124/SUM(output!C$122:C$125)</f>
        <v>9.4132189167667017E-3</v>
      </c>
      <c r="O79" s="12">
        <f>output!D124/SUM(output!D$122:D$125)</f>
        <v>1.6235911799833882E-2</v>
      </c>
      <c r="P79" s="12">
        <f>output!E124/SUM(output!E$122:E$125)</f>
        <v>1.3499916846831864E-2</v>
      </c>
      <c r="Q79" s="12">
        <f>output!F124/SUM(output!F$122:F$125)</f>
        <v>6.7752014471304063E-3</v>
      </c>
      <c r="R79" s="12">
        <f>output!G124/SUM(output!G$122:G$125)</f>
        <v>8.1117540558770275E-3</v>
      </c>
      <c r="S79" s="28">
        <f>output!H124/SUM(output!H$122:H$125)</f>
        <v>1.4497245664210541E-2</v>
      </c>
      <c r="T79" s="28" t="e">
        <f>output!I124/SUM(output!I$122:I$125)</f>
        <v>#DIV/0!</v>
      </c>
      <c r="U79" s="12">
        <f>output!J124/SUM(output!J$122:J$125)</f>
        <v>8.6358280689375136E-3</v>
      </c>
      <c r="W79" s="18">
        <v>2</v>
      </c>
      <c r="X79" s="12">
        <f si="18" t="shared"/>
        <v>1.0557586732323114E-3</v>
      </c>
      <c r="Y79" s="12">
        <f si="18" t="shared"/>
        <v>-8.7365864909297458E-3</v>
      </c>
      <c r="Z79" s="12">
        <f si="18" t="shared"/>
        <v>8.3408983379805457E-4</v>
      </c>
      <c r="AA79" s="12">
        <f si="18" t="shared"/>
        <v>4.6816742162223215E-4</v>
      </c>
      <c r="AB79" s="12">
        <f si="18" t="shared"/>
        <v>-2.9573007690273994E-3</v>
      </c>
      <c r="AC79" s="12">
        <f si="18" t="shared"/>
        <v>-1.9070191595079635E-3</v>
      </c>
      <c r="AD79" s="12">
        <f si="18" t="shared"/>
        <v>-1.1954127467850312E-3</v>
      </c>
      <c r="AE79" s="12" t="e">
        <f si="18" t="shared"/>
        <v>#DIV/0!</v>
      </c>
      <c r="AF79" s="12">
        <f si="18" t="shared"/>
        <v>-4.5786302527795961E-4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1.9632405189401431E-4</v>
      </c>
      <c r="N80" s="13">
        <f>output!C125/SUM(output!C$122:C$125)</f>
        <v>4.1598820970559919E-4</v>
      </c>
      <c r="O80" s="13">
        <f>output!D125/SUM(output!D$122:D$125)</f>
        <v>9.7003207168537011E-4</v>
      </c>
      <c r="P80" s="13">
        <f>output!E125/SUM(output!E$122:E$125)</f>
        <v>7.4837851322135372E-4</v>
      </c>
      <c r="Q80" s="13">
        <f>output!F125/SUM(output!F$122:F$125)</f>
        <v>5.5911856602532475E-4</v>
      </c>
      <c r="R80" s="13">
        <f>output!G125/SUM(output!G$122:G$125)</f>
        <v>5.1475025737512871E-4</v>
      </c>
      <c r="S80" s="30">
        <f>output!H125/SUM(output!H$122:H$125)</f>
        <v>8.4532044689274296E-4</v>
      </c>
      <c r="T80" s="30" t="e">
        <f>output!I125/SUM(output!I$122:I$125)</f>
        <v>#DIV/0!</v>
      </c>
      <c r="U80" s="13">
        <f>output!J125/SUM(output!J$122:J$125)</f>
        <v>5.005891241687358E-4</v>
      </c>
      <c r="W80" s="23" t="s">
        <v>116</v>
      </c>
      <c r="X80" s="12">
        <f si="18" t="shared"/>
        <v>-2.785283535874795E-4</v>
      </c>
      <c r="Y80" s="12">
        <f si="18" t="shared"/>
        <v>4.1598820970559919E-4</v>
      </c>
      <c r="Z80" s="12">
        <f si="18" t="shared"/>
        <v>8.0446785435180632E-4</v>
      </c>
      <c r="AA80" s="12">
        <f si="18" t="shared"/>
        <v>7.4837851322135372E-4</v>
      </c>
      <c r="AB80" s="12">
        <f si="18" t="shared"/>
        <v>5.5911856602532475E-4</v>
      </c>
      <c r="AC80" s="12">
        <f si="18" t="shared"/>
        <v>5.1475025737512871E-4</v>
      </c>
      <c r="AD80" s="12">
        <f si="18" t="shared"/>
        <v>-3.0891120176092918E-4</v>
      </c>
      <c r="AE80" s="12" t="e">
        <f si="18" t="shared"/>
        <v>#DIV/0!</v>
      </c>
      <c r="AF80" s="12">
        <f si="18" t="shared"/>
        <v>9.572233982222257E-5</v>
      </c>
    </row>
    <row ht="13.5" r="81" spans="1:32" thickBot="1" x14ac:dyDescent="0.25">
      <c r="A81" s="21" t="s">
        <v>220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220</v>
      </c>
      <c r="M81" s="14">
        <f>SUM(M77:M80)</f>
        <v>1</v>
      </c>
      <c r="N81" s="14">
        <f ref="N81:U81" si="20" t="shared">SUM(N77:N80)</f>
        <v>1</v>
      </c>
      <c r="O81" s="14">
        <f si="20" t="shared"/>
        <v>1</v>
      </c>
      <c r="P81" s="14">
        <f si="20" t="shared"/>
        <v>1</v>
      </c>
      <c r="Q81" s="14">
        <f si="20" t="shared"/>
        <v>1</v>
      </c>
      <c r="R81" s="14">
        <f si="20" t="shared"/>
        <v>1</v>
      </c>
      <c r="S81" s="14">
        <f si="20" t="shared"/>
        <v>1</v>
      </c>
      <c r="T81" s="14" t="e">
        <f si="20" t="shared"/>
        <v>#DIV/0!</v>
      </c>
      <c r="U81" s="14">
        <f si="20" t="shared"/>
        <v>0.99999999999999989</v>
      </c>
      <c r="W81" s="21" t="s">
        <v>220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5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>
      <selection activeCell="L23" sqref="L23"/>
    </sheetView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248</v>
      </c>
      <c r="C4" s="6" t="s">
        <v>249</v>
      </c>
      <c r="D4" s="6" t="s">
        <v>220</v>
      </c>
      <c r="F4" s="5" t="s">
        <v>87</v>
      </c>
      <c r="G4" s="6" t="s">
        <v>248</v>
      </c>
      <c r="H4" s="94" t="s">
        <v>249</v>
      </c>
      <c r="I4" s="6" t="s">
        <v>220</v>
      </c>
      <c r="J4"/>
      <c r="K4" s="5" t="s">
        <v>87</v>
      </c>
      <c r="L4" s="6" t="s">
        <v>248</v>
      </c>
      <c r="M4" s="6" t="s">
        <v>249</v>
      </c>
      <c r="N4" s="6" t="s">
        <v>220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0.82174894083354477</v>
      </c>
      <c r="C5" s="12">
        <f>output_NHTS!C129/SUM(output_NHTS!C$129:C$132)</f>
        <v>0.92266465149375065</v>
      </c>
      <c r="D5" s="12">
        <f>output_NHTS!D129/SUM(output_NHTS!D$129:D$132)</f>
        <v>0.83854923863541908</v>
      </c>
      <c r="F5" s="18">
        <v>0</v>
      </c>
      <c r="G5" s="12">
        <f>output!B129/SUM(output!B$129:B$132)</f>
        <v>0.86365195751677559</v>
      </c>
      <c r="H5" s="92">
        <f>output!C129/SUM(output!C$129:C$132)</f>
        <v>0.8066957747635537</v>
      </c>
      <c r="I5" s="12">
        <f>output!D129/SUM(output!D$129:D$132)</f>
        <v>0.85710532443096366</v>
      </c>
      <c r="J5"/>
      <c r="K5" s="18">
        <v>0</v>
      </c>
      <c r="L5" s="12">
        <f ref="L5:N9" si="0" t="shared">G5-B5</f>
        <v>4.190301668323082E-2</v>
      </c>
      <c r="M5" s="12">
        <f si="0" t="shared"/>
        <v>-0.11596887673019696</v>
      </c>
      <c r="N5" s="12">
        <f si="0" t="shared"/>
        <v>1.8556085795544575E-2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0.16060378027660399</v>
      </c>
      <c r="C6" s="12">
        <f>output_NHTS!C130/SUM(output_NHTS!C$129:C$132)</f>
        <v>6.0076894524242745E-2</v>
      </c>
      <c r="D6" s="12">
        <f>output_NHTS!D130/SUM(output_NHTS!D$129:D$132)</f>
        <v>0.14386821346856435</v>
      </c>
      <c r="F6" s="18">
        <v>1</v>
      </c>
      <c r="G6" s="12">
        <f>output!B130/SUM(output!B$129:B$132)</f>
        <v>0.1285606363595965</v>
      </c>
      <c r="H6" s="92">
        <f>output!C130/SUM(output!C$129:C$132)</f>
        <v>0.18106787478955941</v>
      </c>
      <c r="I6" s="12">
        <f>output!D130/SUM(output!D$129:D$132)</f>
        <v>0.13459590079857026</v>
      </c>
      <c r="J6"/>
      <c r="K6" s="18">
        <v>1</v>
      </c>
      <c r="L6" s="12">
        <f si="0" t="shared"/>
        <v>-3.2043143917007494E-2</v>
      </c>
      <c r="M6" s="12">
        <f si="0" t="shared"/>
        <v>0.12099098026531666</v>
      </c>
      <c r="N6" s="12">
        <f si="0" t="shared"/>
        <v>-9.2723126699940928E-3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1.5103988842265425E-2</v>
      </c>
      <c r="C7" s="12">
        <f>output_NHTS!C131/SUM(output_NHTS!C$129:C$132)</f>
        <v>1.1435041434900622E-2</v>
      </c>
      <c r="D7" s="12">
        <f>output_NHTS!D131/SUM(output_NHTS!D$129:D$132)</f>
        <v>1.4493187920784622E-2</v>
      </c>
      <c r="F7" s="18">
        <v>2</v>
      </c>
      <c r="G7" s="12">
        <f>output!B131/SUM(output!B$129:B$132)</f>
        <v>7.177709638714838E-3</v>
      </c>
      <c r="H7" s="92">
        <f>output!C131/SUM(output!C$129:C$132)</f>
        <v>1.1278246944334186E-2</v>
      </c>
      <c r="I7" s="12">
        <f>output!D131/SUM(output!D$129:D$132)</f>
        <v>7.6490318358305694E-3</v>
      </c>
      <c r="J7"/>
      <c r="K7" s="18">
        <v>2</v>
      </c>
      <c r="L7" s="12">
        <f si="0" t="shared"/>
        <v>-7.9262792035505875E-3</v>
      </c>
      <c r="M7" s="12">
        <f si="0" t="shared"/>
        <v>-1.5679449056643646E-4</v>
      </c>
      <c r="N7" s="12">
        <f si="0" t="shared"/>
        <v>-6.8441560849540522E-3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2.5432900475857254E-3</v>
      </c>
      <c r="C8" s="13">
        <f>output_NHTS!C132/SUM(output_NHTS!C$129:C$132)</f>
        <v>5.8234125471060012E-3</v>
      </c>
      <c r="D8" s="13">
        <f>output_NHTS!D132/SUM(output_NHTS!D$129:D$132)</f>
        <v>3.0893599752317841E-3</v>
      </c>
      <c r="F8" s="23" t="s">
        <v>116</v>
      </c>
      <c r="G8" s="13">
        <f>output!B132/SUM(output!B$129:B$132)</f>
        <v>6.0969648491312274E-4</v>
      </c>
      <c r="H8" s="90">
        <f>output!C132/SUM(output!C$129:C$132)</f>
        <v>9.5810350255266146E-4</v>
      </c>
      <c r="I8" s="13">
        <f>output!D132/SUM(output!D$129:D$132)</f>
        <v>6.4974293463554618E-4</v>
      </c>
      <c r="J8"/>
      <c r="K8" s="23" t="s">
        <v>116</v>
      </c>
      <c r="L8" s="12">
        <f si="0" t="shared"/>
        <v>-1.9335935626726027E-3</v>
      </c>
      <c r="M8" s="12">
        <f si="0" t="shared"/>
        <v>-4.8653090445533401E-3</v>
      </c>
      <c r="N8" s="12">
        <f si="0" t="shared"/>
        <v>-2.439617040596238E-3</v>
      </c>
      <c r="O8"/>
      <c r="P8"/>
      <c r="Q8"/>
    </row>
    <row ht="13.5" r="9" spans="1:17" thickBot="1" x14ac:dyDescent="0.25">
      <c r="A9" s="21" t="s">
        <v>220</v>
      </c>
      <c r="B9" s="17">
        <f>SUM(B5:B8)</f>
        <v>0.99999999999999989</v>
      </c>
      <c r="C9" s="91">
        <f>SUM(C5:C8)</f>
        <v>1</v>
      </c>
      <c r="D9" s="17">
        <f>SUM(D5:D8)</f>
        <v>0.99999999999999978</v>
      </c>
      <c r="F9" s="21" t="s">
        <v>220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220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248</v>
      </c>
      <c r="C15" s="6" t="s">
        <v>249</v>
      </c>
      <c r="D15" s="6" t="s">
        <v>220</v>
      </c>
      <c r="F15" s="5" t="s">
        <v>159</v>
      </c>
      <c r="G15" s="6" t="s">
        <v>248</v>
      </c>
      <c r="H15" s="6" t="s">
        <v>249</v>
      </c>
      <c r="I15" s="6" t="s">
        <v>220</v>
      </c>
      <c r="K15" s="5" t="s">
        <v>159</v>
      </c>
      <c r="L15" s="6" t="s">
        <v>248</v>
      </c>
      <c r="M15" s="6" t="s">
        <v>249</v>
      </c>
      <c r="N15" s="6" t="s">
        <v>220</v>
      </c>
    </row>
    <row r="16" spans="1:17" x14ac:dyDescent="0.2">
      <c r="A16" s="18" t="s">
        <v>117</v>
      </c>
      <c r="B16" s="12">
        <f>output_NHTS!B136/SUM(output_NHTS!B$136:B$142)</f>
        <v>0.1890930961138777</v>
      </c>
      <c r="C16" s="12">
        <f>output_NHTS!C136/SUM(output_NHTS!C$136:C$142)</f>
        <v>0.24624654451292832</v>
      </c>
      <c r="D16" s="12">
        <f>output_NHTS!D136/SUM(output_NHTS!D$136:D$142)</f>
        <v>0.1938838381704506</v>
      </c>
      <c r="F16" s="18" t="s">
        <v>117</v>
      </c>
      <c r="G16" s="12">
        <f>output!B136/SUM(output!B$136:B$142)</f>
        <v>0.21566417114920416</v>
      </c>
      <c r="H16" s="12">
        <f>output!C136/SUM(output!C$136:C$142)</f>
        <v>5.5555555555555552E-2</v>
      </c>
      <c r="I16" s="12">
        <f>output!D136/SUM(output!D$136:D$142)</f>
        <v>0.19048750012907756</v>
      </c>
      <c r="K16" s="18" t="s">
        <v>117</v>
      </c>
      <c r="L16" s="12">
        <f ref="L16:L23" si="1" t="shared">G16-B16</f>
        <v>2.6571075035326464E-2</v>
      </c>
      <c r="M16" s="12">
        <f ref="M16:M23" si="2" t="shared">H16-C16</f>
        <v>-0.19069098895737277</v>
      </c>
      <c r="N16" s="12">
        <f ref="N16:N23" si="3" t="shared">I16-D16</f>
        <v>-3.3963380413730426E-3</v>
      </c>
    </row>
    <row r="17" spans="1:15" x14ac:dyDescent="0.2">
      <c r="A17" s="18" t="s">
        <v>118</v>
      </c>
      <c r="B17" s="12">
        <f>output_NHTS!B137/SUM(output_NHTS!B$136:B$142)</f>
        <v>6.5485963446431658E-3</v>
      </c>
      <c r="C17" s="12">
        <f>output_NHTS!C137/SUM(output_NHTS!C$136:C$142)</f>
        <v>0</v>
      </c>
      <c r="D17" s="12">
        <f>output_NHTS!D137/SUM(output_NHTS!D$136:D$142)</f>
        <v>5.9996769565993325E-3</v>
      </c>
      <c r="F17" s="18" t="s">
        <v>118</v>
      </c>
      <c r="G17" s="12">
        <f>output!B137/SUM(output!B$136:B$142)</f>
        <v>4.4968326124514473E-3</v>
      </c>
      <c r="H17" s="12">
        <f>output!C137/SUM(output!C$136:C$142)</f>
        <v>8.8652482269503553E-3</v>
      </c>
      <c r="I17" s="12">
        <f>output!D137/SUM(output!D$136:D$142)</f>
        <v>5.1837548145929925E-3</v>
      </c>
      <c r="K17" s="18" t="s">
        <v>118</v>
      </c>
      <c r="L17" s="12">
        <f si="1" t="shared"/>
        <v>-2.0517637321917186E-3</v>
      </c>
      <c r="M17" s="12">
        <f si="2" t="shared"/>
        <v>8.8652482269503553E-3</v>
      </c>
      <c r="N17" s="12">
        <f si="3" t="shared"/>
        <v>-8.1592214200634002E-4</v>
      </c>
    </row>
    <row r="18" spans="1:15" x14ac:dyDescent="0.2">
      <c r="A18" s="18" t="s">
        <v>4</v>
      </c>
      <c r="B18" s="12">
        <f>output_NHTS!B138/SUM(output_NHTS!B$136:B$142)</f>
        <v>4.4905810594353772E-2</v>
      </c>
      <c r="C18" s="12">
        <f>output_NHTS!C138/SUM(output_NHTS!C$136:C$142)</f>
        <v>0.13494660926218999</v>
      </c>
      <c r="D18" s="12">
        <f>output_NHTS!D138/SUM(output_NHTS!D$136:D$142)</f>
        <v>5.2453250916302617E-2</v>
      </c>
      <c r="F18" s="18" t="s">
        <v>4</v>
      </c>
      <c r="G18" s="12">
        <f>output!B138/SUM(output!B$136:B$142)</f>
        <v>5.0408635879087893E-2</v>
      </c>
      <c r="H18" s="12">
        <f>output!C138/SUM(output!C$136:C$142)</f>
        <v>7.7554504859469395E-2</v>
      </c>
      <c r="I18" s="12">
        <f>output!D138/SUM(output!D$136:D$142)</f>
        <v>5.4677254468665129E-2</v>
      </c>
      <c r="K18" s="18" t="s">
        <v>4</v>
      </c>
      <c r="L18" s="12">
        <f si="1" t="shared"/>
        <v>5.5028252847341211E-3</v>
      </c>
      <c r="M18" s="12">
        <f si="2" t="shared"/>
        <v>-5.7392104402720592E-2</v>
      </c>
      <c r="N18" s="12">
        <f si="3" t="shared"/>
        <v>2.2240035523625121E-3</v>
      </c>
    </row>
    <row r="19" spans="1:15" x14ac:dyDescent="0.2">
      <c r="A19" s="18" t="s">
        <v>5</v>
      </c>
      <c r="B19" s="12">
        <f>output_NHTS!B139/SUM(output_NHTS!B$136:B$142)</f>
        <v>0.18228650579074693</v>
      </c>
      <c r="C19" s="12">
        <f>output_NHTS!C139/SUM(output_NHTS!C$136:C$142)</f>
        <v>0.15981581269852524</v>
      </c>
      <c r="D19" s="12">
        <f>output_NHTS!D139/SUM(output_NHTS!D$136:D$142)</f>
        <v>0.18040295724813549</v>
      </c>
      <c r="F19" s="18" t="s">
        <v>5</v>
      </c>
      <c r="G19" s="12">
        <f>output!B139/SUM(output!B$136:B$142)</f>
        <v>0.17170058691630011</v>
      </c>
      <c r="H19" s="12">
        <f>output!C139/SUM(output!C$136:C$142)</f>
        <v>0.23653795639611241</v>
      </c>
      <c r="I19" s="12">
        <f>output!D139/SUM(output!D$136:D$142)</f>
        <v>0.18189609772720233</v>
      </c>
      <c r="K19" s="18" t="s">
        <v>5</v>
      </c>
      <c r="L19" s="12">
        <f si="1" t="shared"/>
        <v>-1.058591887444682E-2</v>
      </c>
      <c r="M19" s="12">
        <f si="2" t="shared"/>
        <v>7.6722143697587175E-2</v>
      </c>
      <c r="N19" s="12">
        <f si="3" t="shared"/>
        <v>1.4931404790668457E-3</v>
      </c>
    </row>
    <row r="20" spans="1:15" x14ac:dyDescent="0.2">
      <c r="A20" s="18" t="s">
        <v>6</v>
      </c>
      <c r="B20" s="12">
        <f>output_NHTS!B140/SUM(output_NHTS!B$136:B$142)</f>
        <v>0.10958190293108099</v>
      </c>
      <c r="C20" s="12">
        <f>output_NHTS!C140/SUM(output_NHTS!C$136:C$142)</f>
        <v>6.0854509972778026E-2</v>
      </c>
      <c r="D20" s="12">
        <f>output_NHTS!D140/SUM(output_NHTS!D$136:D$142)</f>
        <v>0.10549745348329621</v>
      </c>
      <c r="F20" s="18" t="s">
        <v>6</v>
      </c>
      <c r="G20" s="12">
        <f>output!B140/SUM(output!B$136:B$142)</f>
        <v>8.9532304902405255E-2</v>
      </c>
      <c r="H20" s="12">
        <f>output!C140/SUM(output!C$136:C$142)</f>
        <v>0.17270816916206988</v>
      </c>
      <c r="I20" s="12">
        <f>output!D140/SUM(output!D$136:D$142)</f>
        <v>0.10261149719643539</v>
      </c>
      <c r="K20" s="18" t="s">
        <v>6</v>
      </c>
      <c r="L20" s="12">
        <f si="1" t="shared"/>
        <v>-2.004959802867573E-2</v>
      </c>
      <c r="M20" s="12">
        <f si="2" t="shared"/>
        <v>0.11185365918929185</v>
      </c>
      <c r="N20" s="12">
        <f si="3" t="shared"/>
        <v>-2.8859562868608218E-3</v>
      </c>
    </row>
    <row r="21" spans="1:15" x14ac:dyDescent="0.2">
      <c r="A21" s="18" t="s">
        <v>7</v>
      </c>
      <c r="B21" s="12">
        <f>output_NHTS!B141/SUM(output_NHTS!B$136:B$142)</f>
        <v>0.40676105947771796</v>
      </c>
      <c r="C21" s="12">
        <f>output_NHTS!C141/SUM(output_NHTS!C$136:C$142)</f>
        <v>0.35590997055507639</v>
      </c>
      <c r="D21" s="12">
        <f>output_NHTS!D141/SUM(output_NHTS!D$136:D$142)</f>
        <v>0.40249859663167425</v>
      </c>
      <c r="F21" s="18" t="s">
        <v>7</v>
      </c>
      <c r="G21" s="12">
        <f>output!B141/SUM(output!B$136:B$142)</f>
        <v>0.41269160550402512</v>
      </c>
      <c r="H21" s="12">
        <f>output!C141/SUM(output!C$136:C$142)</f>
        <v>0.38265038087733122</v>
      </c>
      <c r="I21" s="12">
        <f>output!D141/SUM(output!D$136:D$142)</f>
        <v>0.40796769963135449</v>
      </c>
      <c r="K21" s="18" t="s">
        <v>7</v>
      </c>
      <c r="L21" s="12">
        <f si="1" t="shared"/>
        <v>5.9305460263071597E-3</v>
      </c>
      <c r="M21" s="12">
        <f si="2" t="shared"/>
        <v>2.6740410322254826E-2</v>
      </c>
      <c r="N21" s="12">
        <f si="3" t="shared"/>
        <v>5.4691029996802309E-3</v>
      </c>
    </row>
    <row r="22" spans="1:15" x14ac:dyDescent="0.2">
      <c r="A22" s="23" t="s">
        <v>8</v>
      </c>
      <c r="B22" s="13">
        <f>output_NHTS!B142/SUM(output_NHTS!B$136:B$142)</f>
        <v>6.0823028747579486E-2</v>
      </c>
      <c r="C22" s="13">
        <f>output_NHTS!C142/SUM(output_NHTS!C$136:C$142)</f>
        <v>4.2226552998501921E-2</v>
      </c>
      <c r="D22" s="13">
        <f>output_NHTS!D142/SUM(output_NHTS!D$136:D$142)</f>
        <v>5.9264226593541414E-2</v>
      </c>
      <c r="F22" s="23" t="s">
        <v>8</v>
      </c>
      <c r="G22" s="13">
        <f>output!B142/SUM(output!B$136:B$142)</f>
        <v>5.5505863036526042E-2</v>
      </c>
      <c r="H22" s="13">
        <f>output!C142/SUM(output!C$136:C$142)</f>
        <v>6.6128184922511157E-2</v>
      </c>
      <c r="I22" s="13">
        <f>output!D142/SUM(output!D$136:D$142)</f>
        <v>5.7176196032672114E-2</v>
      </c>
      <c r="K22" s="23" t="s">
        <v>8</v>
      </c>
      <c r="L22" s="12">
        <f si="1" t="shared"/>
        <v>-5.317165711053444E-3</v>
      </c>
      <c r="M22" s="12">
        <f si="2" t="shared"/>
        <v>2.3901631924009237E-2</v>
      </c>
      <c r="N22" s="12">
        <f si="3" t="shared"/>
        <v>-2.0880305608693001E-3</v>
      </c>
      <c r="O22" s="36"/>
    </row>
    <row ht="13.5" r="23" spans="1:15" thickBot="1" x14ac:dyDescent="0.25">
      <c r="A23" s="21" t="s">
        <v>220</v>
      </c>
      <c r="B23" s="17">
        <f>SUM(B19:B22)</f>
        <v>0.75945249694712536</v>
      </c>
      <c r="C23" s="91">
        <f>SUM(C19:C22)</f>
        <v>0.61880684622488169</v>
      </c>
      <c r="D23" s="17">
        <f>SUM(D19:D22)</f>
        <v>0.74766323395664736</v>
      </c>
      <c r="F23" s="21" t="s">
        <v>220</v>
      </c>
      <c r="G23" s="14">
        <f>SUM(G16:G22)</f>
        <v>1</v>
      </c>
      <c r="H23" s="14">
        <f>SUM(H16:H22)</f>
        <v>0.99999999999999989</v>
      </c>
      <c r="I23" s="14">
        <f>SUM(I16:I22)</f>
        <v>1</v>
      </c>
      <c r="K23" s="21" t="s">
        <v>220</v>
      </c>
      <c r="L23" s="14">
        <f si="1" t="shared"/>
        <v>0.24054750305287464</v>
      </c>
      <c r="M23" s="14">
        <f si="2" t="shared"/>
        <v>0.3811931537751182</v>
      </c>
      <c r="N23" s="14">
        <f si="3" t="shared"/>
        <v>0.25233676604335264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5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topLeftCell="A55"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291</v>
      </c>
    </row>
    <row ht="13.5" r="3" spans="1:29" thickBot="1" x14ac:dyDescent="0.25"/>
    <row r="4" spans="1:29" x14ac:dyDescent="0.2">
      <c r="A4" s="5" t="s">
        <v>247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220</v>
      </c>
      <c r="K4" s="5" t="s">
        <v>247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220</v>
      </c>
      <c r="U4" s="5" t="s">
        <v>247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220</v>
      </c>
    </row>
    <row r="5" spans="1:29" x14ac:dyDescent="0.2">
      <c r="A5" s="18">
        <v>0</v>
      </c>
      <c r="B5" s="7">
        <f>output_NHTS!B148</f>
        <v>302562.23517599999</v>
      </c>
      <c r="C5" s="7">
        <f>output_NHTS!C148</f>
        <v>154191.281139</v>
      </c>
      <c r="D5" s="7">
        <f>output_NHTS!D148</f>
        <v>98127.561159000004</v>
      </c>
      <c r="E5" s="7">
        <f>output_NHTS!E148</f>
        <v>150913.90134700001</v>
      </c>
      <c r="F5" s="7">
        <f>output_NHTS!F148</f>
        <v>92577.652308999997</v>
      </c>
      <c r="G5" s="7">
        <f>output_NHTS!G148</f>
        <v>78961.985132999995</v>
      </c>
      <c r="H5" s="7">
        <f>output_NHTS!H148</f>
        <v>140552.96543000001</v>
      </c>
      <c r="I5" s="7">
        <f>output_NHTS!I148</f>
        <v>1017887.581693</v>
      </c>
      <c r="K5" s="18">
        <v>0</v>
      </c>
      <c r="L5" s="7">
        <f>output!B148</f>
        <v>304399</v>
      </c>
      <c r="M5" s="7">
        <f>output!C148</f>
        <v>142828</v>
      </c>
      <c r="N5" s="7">
        <f>output!D148</f>
        <v>89188</v>
      </c>
      <c r="O5" s="7">
        <f>output!E148</f>
        <v>149203</v>
      </c>
      <c r="P5" s="7">
        <f>output!F148</f>
        <v>97617</v>
      </c>
      <c r="Q5" s="7">
        <f>output!G148</f>
        <v>97539</v>
      </c>
      <c r="R5" s="7">
        <f>output!H148</f>
        <v>154777</v>
      </c>
      <c r="S5" s="7">
        <f>output!I148</f>
        <v>1035551</v>
      </c>
      <c r="U5" s="18">
        <v>0</v>
      </c>
      <c r="V5" s="7">
        <f>L5-B5</f>
        <v>1836.7648240000126</v>
      </c>
      <c r="W5" s="7">
        <f ref="W5:W12" si="0" t="shared">M5-C5</f>
        <v>-11363.281138999999</v>
      </c>
      <c r="X5" s="7">
        <f ref="X5:X12" si="1" t="shared">N5-D5</f>
        <v>-8939.5611590000044</v>
      </c>
      <c r="Y5" s="7">
        <f ref="Y5:Y12" si="2" t="shared">O5-E5</f>
        <v>-1710.9013470000064</v>
      </c>
      <c r="Z5" s="7">
        <f ref="Z5:Z12" si="3" t="shared">P5-F5</f>
        <v>5039.3476910000027</v>
      </c>
      <c r="AA5" s="7">
        <f ref="AA5:AA12" si="4" t="shared">Q5-G5</f>
        <v>18577.014867000005</v>
      </c>
      <c r="AB5" s="7">
        <f ref="AB5:AB12" si="5" t="shared">R5-H5</f>
        <v>14224.034569999989</v>
      </c>
      <c r="AC5" s="7">
        <f ref="AC5:AC12" si="6" t="shared">S5-I5</f>
        <v>17663.418306999956</v>
      </c>
    </row>
    <row r="6" spans="1:29" x14ac:dyDescent="0.2">
      <c r="A6" s="18">
        <v>1</v>
      </c>
      <c r="B6" s="7">
        <f>output_NHTS!B149</f>
        <v>126903.233761</v>
      </c>
      <c r="C6" s="7">
        <f>output_NHTS!C149</f>
        <v>37833.605884999997</v>
      </c>
      <c r="D6" s="7">
        <f>output_NHTS!D149</f>
        <v>38997.123677000003</v>
      </c>
      <c r="E6" s="7">
        <f>output_NHTS!E149</f>
        <v>42837.576173000001</v>
      </c>
      <c r="F6" s="7">
        <f>output_NHTS!F149</f>
        <v>30561.288292000001</v>
      </c>
      <c r="G6" s="7">
        <f>output_NHTS!G149</f>
        <v>19815.761879000001</v>
      </c>
      <c r="H6" s="7">
        <f>output_NHTS!H149</f>
        <v>34483.135004999996</v>
      </c>
      <c r="I6" s="7">
        <f>output_NHTS!I149</f>
        <v>331431.72467199998</v>
      </c>
      <c r="K6" s="18">
        <v>1</v>
      </c>
      <c r="L6" s="7">
        <f>output!B149</f>
        <v>169480</v>
      </c>
      <c r="M6" s="7">
        <f>output!C149</f>
        <v>44361</v>
      </c>
      <c r="N6" s="7">
        <f>output!D149</f>
        <v>59678</v>
      </c>
      <c r="O6" s="7">
        <f>output!E149</f>
        <v>65730</v>
      </c>
      <c r="P6" s="7">
        <f>output!F149</f>
        <v>44951</v>
      </c>
      <c r="Q6" s="7">
        <f>output!G149</f>
        <v>24402</v>
      </c>
      <c r="R6" s="7">
        <f>output!H149</f>
        <v>45295</v>
      </c>
      <c r="S6" s="7">
        <f>output!I149</f>
        <v>453897</v>
      </c>
      <c r="U6" s="18">
        <v>1</v>
      </c>
      <c r="V6" s="7">
        <f ref="V6:V12" si="7" t="shared">L6-B6</f>
        <v>42576.766239000004</v>
      </c>
      <c r="W6" s="7">
        <f si="0" t="shared"/>
        <v>6527.3941150000028</v>
      </c>
      <c r="X6" s="7">
        <f si="1" t="shared"/>
        <v>20680.876322999997</v>
      </c>
      <c r="Y6" s="7">
        <f si="2" t="shared"/>
        <v>22892.423826999999</v>
      </c>
      <c r="Z6" s="7">
        <f si="3" t="shared"/>
        <v>14389.711707999999</v>
      </c>
      <c r="AA6" s="7">
        <f si="4" t="shared"/>
        <v>4586.2381209999985</v>
      </c>
      <c r="AB6" s="7">
        <f si="5" t="shared"/>
        <v>10811.864995000004</v>
      </c>
      <c r="AC6" s="7">
        <f si="6" t="shared"/>
        <v>122465.27532800002</v>
      </c>
    </row>
    <row r="7" spans="1:29" x14ac:dyDescent="0.2">
      <c r="A7" s="19">
        <v>2</v>
      </c>
      <c r="B7" s="7">
        <f>output_NHTS!B150</f>
        <v>65893.008723999999</v>
      </c>
      <c r="C7" s="7">
        <f>output_NHTS!C150</f>
        <v>17515.514861</v>
      </c>
      <c r="D7" s="7">
        <f>output_NHTS!D150</f>
        <v>24157.439022999999</v>
      </c>
      <c r="E7" s="7">
        <f>output_NHTS!E150</f>
        <v>17488.495868999998</v>
      </c>
      <c r="F7" s="7">
        <f>output_NHTS!F150</f>
        <v>14445.511646999999</v>
      </c>
      <c r="G7" s="7">
        <f>output_NHTS!G150</f>
        <v>8035.9892630000004</v>
      </c>
      <c r="H7" s="7">
        <f>output_NHTS!H150</f>
        <v>16433.883925999999</v>
      </c>
      <c r="I7" s="7">
        <f>output_NHTS!I150</f>
        <v>163969.84331300002</v>
      </c>
      <c r="K7" s="19">
        <v>2</v>
      </c>
      <c r="L7" s="7">
        <f>output!B150</f>
        <v>93397</v>
      </c>
      <c r="M7" s="7">
        <f>output!C150</f>
        <v>17311</v>
      </c>
      <c r="N7" s="7">
        <f>output!D150</f>
        <v>29586</v>
      </c>
      <c r="O7" s="7">
        <f>output!E150</f>
        <v>25576</v>
      </c>
      <c r="P7" s="7">
        <f>output!F150</f>
        <v>17763</v>
      </c>
      <c r="Q7" s="7">
        <f>output!G150</f>
        <v>6780</v>
      </c>
      <c r="R7" s="7">
        <f>output!H150</f>
        <v>13658</v>
      </c>
      <c r="S7" s="7">
        <f>output!I150</f>
        <v>204071</v>
      </c>
      <c r="U7" s="19">
        <v>2</v>
      </c>
      <c r="V7" s="7">
        <f si="7" t="shared"/>
        <v>27503.991276000001</v>
      </c>
      <c r="W7" s="7">
        <f si="0" t="shared"/>
        <v>-204.51486099999966</v>
      </c>
      <c r="X7" s="7">
        <f si="1" t="shared"/>
        <v>5428.560977000001</v>
      </c>
      <c r="Y7" s="7">
        <f si="2" t="shared"/>
        <v>8087.5041310000015</v>
      </c>
      <c r="Z7" s="7">
        <f si="3" t="shared"/>
        <v>3317.4883530000006</v>
      </c>
      <c r="AA7" s="7">
        <f si="4" t="shared"/>
        <v>-1255.9892630000004</v>
      </c>
      <c r="AB7" s="7">
        <f si="5" t="shared"/>
        <v>-2775.8839259999986</v>
      </c>
      <c r="AC7" s="7">
        <f si="6" t="shared"/>
        <v>40101.156686999981</v>
      </c>
    </row>
    <row r="8" spans="1:29" x14ac:dyDescent="0.2">
      <c r="A8" s="20">
        <v>3</v>
      </c>
      <c r="B8" s="7">
        <f>output_NHTS!B151</f>
        <v>38377.105776999997</v>
      </c>
      <c r="C8" s="7">
        <f>output_NHTS!C151</f>
        <v>7306.4098720000002</v>
      </c>
      <c r="D8" s="7">
        <f>output_NHTS!D151</f>
        <v>9385.9747059999991</v>
      </c>
      <c r="E8" s="7">
        <f>output_NHTS!E151</f>
        <v>6623.8452619999998</v>
      </c>
      <c r="F8" s="7">
        <f>output_NHTS!F151</f>
        <v>6349.3426630000004</v>
      </c>
      <c r="G8" s="7">
        <f>output_NHTS!G151</f>
        <v>3840.4057910000001</v>
      </c>
      <c r="H8" s="7">
        <f>output_NHTS!H151</f>
        <v>3513.5295889999998</v>
      </c>
      <c r="I8" s="7">
        <f>output_NHTS!I151</f>
        <v>75396.613659999988</v>
      </c>
      <c r="K8" s="20">
        <v>3</v>
      </c>
      <c r="L8" s="7">
        <f>output!B151</f>
        <v>41422</v>
      </c>
      <c r="M8" s="7">
        <f>output!C151</f>
        <v>5182</v>
      </c>
      <c r="N8" s="7">
        <f>output!D151</f>
        <v>11772</v>
      </c>
      <c r="O8" s="7">
        <f>output!E151</f>
        <v>7830</v>
      </c>
      <c r="P8" s="7">
        <f>output!F151</f>
        <v>5683</v>
      </c>
      <c r="Q8" s="7">
        <f>output!G151</f>
        <v>1672</v>
      </c>
      <c r="R8" s="7">
        <f>output!H151</f>
        <v>3736</v>
      </c>
      <c r="S8" s="7">
        <f>output!I151</f>
        <v>77297</v>
      </c>
      <c r="U8" s="20">
        <v>3</v>
      </c>
      <c r="V8" s="7">
        <f si="7" t="shared"/>
        <v>3044.894223000003</v>
      </c>
      <c r="W8" s="7">
        <f si="0" t="shared"/>
        <v>-2124.4098720000002</v>
      </c>
      <c r="X8" s="7">
        <f si="1" t="shared"/>
        <v>2386.0252940000009</v>
      </c>
      <c r="Y8" s="7">
        <f si="2" t="shared"/>
        <v>1206.1547380000002</v>
      </c>
      <c r="Z8" s="7">
        <f si="3" t="shared"/>
        <v>-666.34266300000036</v>
      </c>
      <c r="AA8" s="7">
        <f si="4" t="shared"/>
        <v>-2168.4057910000001</v>
      </c>
      <c r="AB8" s="7">
        <f si="5" t="shared"/>
        <v>222.47041100000024</v>
      </c>
      <c r="AC8" s="7">
        <f si="6" t="shared"/>
        <v>1900.3863400000118</v>
      </c>
    </row>
    <row r="9" spans="1:29" x14ac:dyDescent="0.2">
      <c r="A9" s="20">
        <v>4</v>
      </c>
      <c r="B9" s="7">
        <f>output_NHTS!B152</f>
        <v>16085.035511</v>
      </c>
      <c r="C9" s="7">
        <f>output_NHTS!C152</f>
        <v>3150.7707449999998</v>
      </c>
      <c r="D9" s="7">
        <f>output_NHTS!D152</f>
        <v>3855.7207209999997</v>
      </c>
      <c r="E9" s="7">
        <f>output_NHTS!E152</f>
        <v>2584.9750800000002</v>
      </c>
      <c r="F9" s="7">
        <f>output_NHTS!F152</f>
        <v>3265.9604679999998</v>
      </c>
      <c r="G9" s="7">
        <f>output_NHTS!G152</f>
        <v>1471.556151</v>
      </c>
      <c r="H9" s="7">
        <f>output_NHTS!H152</f>
        <v>3043.024101</v>
      </c>
      <c r="I9" s="7">
        <f>output_NHTS!I152</f>
        <v>33457.042777000002</v>
      </c>
      <c r="K9" s="20">
        <v>4</v>
      </c>
      <c r="L9" s="7">
        <f>output!B152</f>
        <v>16997</v>
      </c>
      <c r="M9" s="7">
        <f>output!C152</f>
        <v>1444</v>
      </c>
      <c r="N9" s="7">
        <f>output!D152</f>
        <v>4265</v>
      </c>
      <c r="O9" s="7">
        <f>output!E152</f>
        <v>1869</v>
      </c>
      <c r="P9" s="7">
        <f>output!F152</f>
        <v>1559</v>
      </c>
      <c r="Q9" s="7">
        <f>output!G152</f>
        <v>360</v>
      </c>
      <c r="R9" s="7">
        <f>output!H152</f>
        <v>980</v>
      </c>
      <c r="S9" s="7">
        <f>output!I152</f>
        <v>27474</v>
      </c>
      <c r="U9" s="20">
        <v>4</v>
      </c>
      <c r="V9" s="7">
        <f si="7" t="shared"/>
        <v>911.96448899999996</v>
      </c>
      <c r="W9" s="7">
        <f si="0" t="shared"/>
        <v>-1706.7707449999998</v>
      </c>
      <c r="X9" s="7">
        <f si="1" t="shared"/>
        <v>409.27927900000032</v>
      </c>
      <c r="Y9" s="7">
        <f si="2" t="shared"/>
        <v>-715.97508000000016</v>
      </c>
      <c r="Z9" s="7">
        <f si="3" t="shared"/>
        <v>-1706.9604679999998</v>
      </c>
      <c r="AA9" s="7">
        <f si="4" t="shared"/>
        <v>-1111.556151</v>
      </c>
      <c r="AB9" s="7">
        <f si="5" t="shared"/>
        <v>-2063.024101</v>
      </c>
      <c r="AC9" s="7">
        <f si="6" t="shared"/>
        <v>-5983.0427770000024</v>
      </c>
    </row>
    <row r="10" spans="1:29" x14ac:dyDescent="0.2">
      <c r="A10" s="20">
        <v>5</v>
      </c>
      <c r="B10" s="7">
        <f>output_NHTS!B153</f>
        <v>6280.511469</v>
      </c>
      <c r="C10" s="7">
        <f>output_NHTS!C153</f>
        <v>701.17916199999991</v>
      </c>
      <c r="D10" s="7">
        <f>output_NHTS!D153</f>
        <v>4659.3313840000001</v>
      </c>
      <c r="E10" s="7">
        <f>output_NHTS!E153</f>
        <v>1349.226234</v>
      </c>
      <c r="F10" s="7">
        <f>output_NHTS!F153</f>
        <v>893.80941399999995</v>
      </c>
      <c r="G10" s="7">
        <f>output_NHTS!G153</f>
        <v>954.91988600000002</v>
      </c>
      <c r="H10" s="7">
        <f>output_NHTS!H153</f>
        <v>819.95339100000001</v>
      </c>
      <c r="I10" s="7">
        <f>output_NHTS!I153</f>
        <v>15658.930939999998</v>
      </c>
      <c r="K10" s="20">
        <v>5</v>
      </c>
      <c r="L10" s="7">
        <f>output!B153</f>
        <v>6261</v>
      </c>
      <c r="M10" s="7">
        <f>output!C153</f>
        <v>377</v>
      </c>
      <c r="N10" s="7">
        <f>output!D153</f>
        <v>1387</v>
      </c>
      <c r="O10" s="7">
        <f>output!E153</f>
        <v>354</v>
      </c>
      <c r="P10" s="7">
        <f>output!F153</f>
        <v>302</v>
      </c>
      <c r="Q10" s="7">
        <f>output!G153</f>
        <v>56</v>
      </c>
      <c r="R10" s="7">
        <f>output!H153</f>
        <v>220</v>
      </c>
      <c r="S10" s="7">
        <f>output!I153</f>
        <v>8957</v>
      </c>
      <c r="U10" s="20">
        <v>5</v>
      </c>
      <c r="V10" s="7">
        <f si="7" t="shared"/>
        <v>-19.511469000000034</v>
      </c>
      <c r="W10" s="7">
        <f si="0" t="shared"/>
        <v>-324.17916199999991</v>
      </c>
      <c r="X10" s="7">
        <f si="1" t="shared"/>
        <v>-3272.3313840000001</v>
      </c>
      <c r="Y10" s="7">
        <f si="2" t="shared"/>
        <v>-995.22623399999998</v>
      </c>
      <c r="Z10" s="7">
        <f si="3" t="shared"/>
        <v>-591.80941399999995</v>
      </c>
      <c r="AA10" s="7">
        <f si="4" t="shared"/>
        <v>-898.91988600000002</v>
      </c>
      <c r="AB10" s="7">
        <f si="5" t="shared"/>
        <v>-599.95339100000001</v>
      </c>
      <c r="AC10" s="7">
        <f si="6" t="shared"/>
        <v>-6701.9309399999984</v>
      </c>
    </row>
    <row r="11" spans="1:29" x14ac:dyDescent="0.2">
      <c r="A11" s="3" t="s">
        <v>209</v>
      </c>
      <c r="B11" s="9">
        <f>output_NHTS!B154</f>
        <v>11314.371192000001</v>
      </c>
      <c r="C11" s="9">
        <f>output_NHTS!C154</f>
        <v>738.62220200000002</v>
      </c>
      <c r="D11" s="9">
        <f>output_NHTS!D154</f>
        <v>2395.2011969999999</v>
      </c>
      <c r="E11" s="9">
        <f>output_NHTS!E154</f>
        <v>1921.7545829999999</v>
      </c>
      <c r="F11" s="9">
        <f>output_NHTS!F154</f>
        <v>2493.3537980000001</v>
      </c>
      <c r="G11" s="9">
        <f>output_NHTS!G154</f>
        <v>1606.0207560000001</v>
      </c>
      <c r="H11" s="9">
        <f>output_NHTS!H154</f>
        <v>1245.655935</v>
      </c>
      <c r="I11" s="9">
        <f>output_NHTS!I154</f>
        <v>21714.979663000002</v>
      </c>
      <c r="K11" s="3" t="s">
        <v>209</v>
      </c>
      <c r="L11" s="9">
        <f>output!B154</f>
        <v>3680</v>
      </c>
      <c r="M11" s="9">
        <f>output!C154</f>
        <v>134</v>
      </c>
      <c r="N11" s="9">
        <f>output!D154</f>
        <v>619</v>
      </c>
      <c r="O11" s="9">
        <f>output!E154</f>
        <v>71</v>
      </c>
      <c r="P11" s="9">
        <f>output!F154</f>
        <v>69</v>
      </c>
      <c r="Q11" s="9">
        <f>output!G154</f>
        <v>18</v>
      </c>
      <c r="R11" s="9">
        <f>output!H154</f>
        <v>73</v>
      </c>
      <c r="S11" s="9">
        <f>output!I154</f>
        <v>4664</v>
      </c>
      <c r="U11" s="3" t="s">
        <v>209</v>
      </c>
      <c r="V11" s="9">
        <f si="7" t="shared"/>
        <v>-7634.3711920000005</v>
      </c>
      <c r="W11" s="9">
        <f si="0" t="shared"/>
        <v>-604.62220200000002</v>
      </c>
      <c r="X11" s="9">
        <f si="1" t="shared"/>
        <v>-1776.2011969999999</v>
      </c>
      <c r="Y11" s="9">
        <f si="2" t="shared"/>
        <v>-1850.7545829999999</v>
      </c>
      <c r="Z11" s="9">
        <f si="3" t="shared"/>
        <v>-2424.3537980000001</v>
      </c>
      <c r="AA11" s="9">
        <f si="4" t="shared"/>
        <v>-1588.0207560000001</v>
      </c>
      <c r="AB11" s="9">
        <f si="5" t="shared"/>
        <v>-1172.655935</v>
      </c>
      <c r="AC11" s="9">
        <f si="6" t="shared"/>
        <v>-17050.979663000002</v>
      </c>
    </row>
    <row ht="13.5" r="12" spans="1:29" thickBot="1" x14ac:dyDescent="0.25">
      <c r="A12" s="21" t="s">
        <v>220</v>
      </c>
      <c r="B12" s="22">
        <f ref="B12:I12" si="8" t="shared">SUM(B5:B11)</f>
        <v>567415.50160999992</v>
      </c>
      <c r="C12" s="22">
        <f si="8" t="shared"/>
        <v>221437.38386599996</v>
      </c>
      <c r="D12" s="22">
        <f si="8" t="shared"/>
        <v>181578.35186699996</v>
      </c>
      <c r="E12" s="22">
        <f si="8" t="shared"/>
        <v>223719.77454800002</v>
      </c>
      <c r="F12" s="22">
        <f si="8" t="shared"/>
        <v>150586.91859099997</v>
      </c>
      <c r="G12" s="22">
        <f si="8" t="shared"/>
        <v>114686.63885899998</v>
      </c>
      <c r="H12" s="22">
        <f si="8" t="shared"/>
        <v>200092.14737699999</v>
      </c>
      <c r="I12" s="22">
        <f si="8" t="shared"/>
        <v>1659516.7167180001</v>
      </c>
      <c r="K12" s="21" t="s">
        <v>220</v>
      </c>
      <c r="L12" s="22">
        <f ref="L12:S12" si="9" t="shared">SUM(L5:L11)</f>
        <v>635636</v>
      </c>
      <c r="M12" s="22">
        <f si="9" t="shared"/>
        <v>211637</v>
      </c>
      <c r="N12" s="22">
        <f si="9" t="shared"/>
        <v>196495</v>
      </c>
      <c r="O12" s="22">
        <f si="9" t="shared"/>
        <v>250633</v>
      </c>
      <c r="P12" s="22">
        <f si="9" t="shared"/>
        <v>167944</v>
      </c>
      <c r="Q12" s="22">
        <f si="9" t="shared"/>
        <v>130827</v>
      </c>
      <c r="R12" s="22">
        <f si="9" t="shared"/>
        <v>218739</v>
      </c>
      <c r="S12" s="22">
        <f si="9" t="shared"/>
        <v>1811911</v>
      </c>
      <c r="U12" s="21" t="s">
        <v>220</v>
      </c>
      <c r="V12" s="22">
        <f si="7" t="shared"/>
        <v>68220.498390000081</v>
      </c>
      <c r="W12" s="22">
        <f si="0" t="shared"/>
        <v>-9800.3838659999601</v>
      </c>
      <c r="X12" s="22">
        <f si="1" t="shared"/>
        <v>14916.648133000039</v>
      </c>
      <c r="Y12" s="22">
        <f si="2" t="shared"/>
        <v>26913.225451999984</v>
      </c>
      <c r="Z12" s="22">
        <f si="3" t="shared"/>
        <v>17357.081409000035</v>
      </c>
      <c r="AA12" s="22">
        <f si="4" t="shared"/>
        <v>16140.361141000016</v>
      </c>
      <c r="AB12" s="22">
        <f si="5" t="shared"/>
        <v>18646.852623000013</v>
      </c>
      <c r="AC12" s="22">
        <f si="6" t="shared"/>
        <v>152394.28328199987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292</v>
      </c>
    </row>
    <row ht="13.5" r="17" spans="1:29" thickBot="1" x14ac:dyDescent="0.25"/>
    <row r="18" spans="1:29" x14ac:dyDescent="0.2">
      <c r="A18" s="5" t="s">
        <v>247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220</v>
      </c>
      <c r="K18" s="5" t="s">
        <v>247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220</v>
      </c>
      <c r="U18" s="5" t="s">
        <v>247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220</v>
      </c>
    </row>
    <row r="19" spans="1:29" x14ac:dyDescent="0.2">
      <c r="A19" s="18">
        <v>0</v>
      </c>
      <c r="B19" s="12">
        <f ref="B19:I24" si="10" t="shared">B5/B$12</f>
        <v>0.53322870862269678</v>
      </c>
      <c r="C19" s="12">
        <f si="10" t="shared"/>
        <v>0.69632000905640623</v>
      </c>
      <c r="D19" s="12">
        <f si="10" t="shared"/>
        <v>0.54041442798685135</v>
      </c>
      <c r="E19" s="12">
        <f si="10" t="shared"/>
        <v>0.67456666113625463</v>
      </c>
      <c r="F19" s="12">
        <f si="10" t="shared"/>
        <v>0.61477884782571701</v>
      </c>
      <c r="G19" s="12">
        <f si="10" t="shared"/>
        <v>0.6885020427713362</v>
      </c>
      <c r="H19" s="12">
        <f si="10" t="shared"/>
        <v>0.70244118658579691</v>
      </c>
      <c r="I19" s="12">
        <f si="10" t="shared"/>
        <v>0.61336386156209388</v>
      </c>
      <c r="K19" s="18">
        <v>0</v>
      </c>
      <c r="L19" s="12">
        <f>L5/L$12</f>
        <v>0.478888860920401</v>
      </c>
      <c r="M19" s="12">
        <f ref="M19:S19" si="11" t="shared">M5/M$12</f>
        <v>0.67487254119081252</v>
      </c>
      <c r="N19" s="12">
        <f si="11" t="shared"/>
        <v>0.45389450113234431</v>
      </c>
      <c r="O19" s="12">
        <f si="11" t="shared"/>
        <v>0.59530468852864549</v>
      </c>
      <c r="P19" s="12">
        <f si="11" t="shared"/>
        <v>0.58124732053541661</v>
      </c>
      <c r="Q19" s="12">
        <f si="11" t="shared"/>
        <v>0.74555710977091882</v>
      </c>
      <c r="R19" s="12">
        <f si="11" t="shared"/>
        <v>0.70758758154695778</v>
      </c>
      <c r="S19" s="12">
        <f si="11" t="shared"/>
        <v>0.57152420841862539</v>
      </c>
      <c r="U19" s="18">
        <v>0</v>
      </c>
      <c r="V19" s="12">
        <f ref="V19:AA26" si="12" t="shared">L19-B19</f>
        <v>-5.4339847702295774E-2</v>
      </c>
      <c r="W19" s="12">
        <f si="12" t="shared"/>
        <v>-2.1447467865593706E-2</v>
      </c>
      <c r="X19" s="12">
        <f si="12" t="shared"/>
        <v>-8.6519926854507045E-2</v>
      </c>
      <c r="Y19" s="12">
        <f si="12" t="shared"/>
        <v>-7.9261972607609144E-2</v>
      </c>
      <c r="Z19" s="12">
        <f si="12" t="shared"/>
        <v>-3.35315272903004E-2</v>
      </c>
      <c r="AA19" s="12">
        <f si="12" t="shared"/>
        <v>5.7055066999582627E-2</v>
      </c>
      <c r="AB19" s="12">
        <f ref="AB19:AB26" si="13" t="shared">R19-H19</f>
        <v>5.1463949611608717E-3</v>
      </c>
      <c r="AC19" s="12">
        <f ref="AC19:AC26" si="14" t="shared">S19-I19</f>
        <v>-4.1839653143468492E-2</v>
      </c>
    </row>
    <row r="20" spans="1:29" x14ac:dyDescent="0.2">
      <c r="A20" s="18">
        <v>1</v>
      </c>
      <c r="B20" s="12">
        <f si="10" t="shared"/>
        <v>0.22365133381256128</v>
      </c>
      <c r="C20" s="12">
        <f si="10" t="shared"/>
        <v>0.1708546462411899</v>
      </c>
      <c r="D20" s="12">
        <f si="10" t="shared"/>
        <v>0.21476747242184513</v>
      </c>
      <c r="E20" s="12">
        <f si="10" t="shared"/>
        <v>0.19147872046424319</v>
      </c>
      <c r="F20" s="12">
        <f si="10" t="shared"/>
        <v>0.20294782958542149</v>
      </c>
      <c r="G20" s="12">
        <f si="10" t="shared"/>
        <v>0.17278178239543873</v>
      </c>
      <c r="H20" s="12">
        <f si="10" t="shared"/>
        <v>0.17233627334724547</v>
      </c>
      <c r="I20" s="12">
        <f si="10" t="shared"/>
        <v>0.19971580962888236</v>
      </c>
      <c r="K20" s="18">
        <v>1</v>
      </c>
      <c r="L20" s="12">
        <f ref="L20:S20" si="15" t="shared">L6/L$12</f>
        <v>0.26663058731726963</v>
      </c>
      <c r="M20" s="12">
        <f si="15" t="shared"/>
        <v>0.20960890581514574</v>
      </c>
      <c r="N20" s="12">
        <f si="15" t="shared"/>
        <v>0.30371256266062752</v>
      </c>
      <c r="O20" s="12">
        <f si="15" t="shared"/>
        <v>0.26225596788930428</v>
      </c>
      <c r="P20" s="12">
        <f si="15" t="shared"/>
        <v>0.26765469442195017</v>
      </c>
      <c r="Q20" s="12">
        <f si="15" t="shared"/>
        <v>0.18652113095920567</v>
      </c>
      <c r="R20" s="12">
        <f si="15" t="shared"/>
        <v>0.20707326997014708</v>
      </c>
      <c r="S20" s="12">
        <f si="15" t="shared"/>
        <v>0.25050733728091501</v>
      </c>
      <c r="U20" s="18">
        <v>1</v>
      </c>
      <c r="V20" s="12">
        <f si="12" t="shared"/>
        <v>4.2979253504708353E-2</v>
      </c>
      <c r="W20" s="12">
        <f si="12" t="shared"/>
        <v>3.875425957395584E-2</v>
      </c>
      <c r="X20" s="12">
        <f si="12" t="shared"/>
        <v>8.8945090238782387E-2</v>
      </c>
      <c r="Y20" s="12">
        <f si="12" t="shared"/>
        <v>7.0777247425061085E-2</v>
      </c>
      <c r="Z20" s="12">
        <f si="12" t="shared"/>
        <v>6.4706864836528682E-2</v>
      </c>
      <c r="AA20" s="12">
        <f si="12" t="shared"/>
        <v>1.3739348563766934E-2</v>
      </c>
      <c r="AB20" s="12">
        <f si="13" t="shared"/>
        <v>3.4736996622901611E-2</v>
      </c>
      <c r="AC20" s="12">
        <f si="14" t="shared"/>
        <v>5.0791527652032653E-2</v>
      </c>
    </row>
    <row r="21" spans="1:29" x14ac:dyDescent="0.2">
      <c r="A21" s="19">
        <v>2</v>
      </c>
      <c r="B21" s="12">
        <f si="10" t="shared"/>
        <v>0.11612831961240645</v>
      </c>
      <c r="C21" s="12">
        <f si="10" t="shared"/>
        <v>7.9099177181389091E-2</v>
      </c>
      <c r="D21" s="12">
        <f si="10" t="shared"/>
        <v>0.13304140485146881</v>
      </c>
      <c r="E21" s="12">
        <f si="10" t="shared"/>
        <v>7.817143524453074E-2</v>
      </c>
      <c r="F21" s="12">
        <f si="10" t="shared"/>
        <v>9.5928064550112629E-2</v>
      </c>
      <c r="G21" s="12">
        <f si="10" t="shared"/>
        <v>7.0069097350387466E-2</v>
      </c>
      <c r="H21" s="12">
        <f si="10" t="shared"/>
        <v>8.2131578582323853E-2</v>
      </c>
      <c r="I21" s="12">
        <f si="10" t="shared"/>
        <v>9.8805779815994005E-2</v>
      </c>
      <c r="K21" s="19">
        <v>2</v>
      </c>
      <c r="L21" s="12">
        <f ref="L21:S21" si="16" t="shared">L7/L$12</f>
        <v>0.14693472364686708</v>
      </c>
      <c r="M21" s="12">
        <f si="16" t="shared"/>
        <v>8.1795716249994099E-2</v>
      </c>
      <c r="N21" s="12">
        <f si="16" t="shared"/>
        <v>0.15056871676124076</v>
      </c>
      <c r="O21" s="12">
        <f si="16" t="shared"/>
        <v>0.10204562048892205</v>
      </c>
      <c r="P21" s="12">
        <f si="16" t="shared"/>
        <v>0.10576739865669509</v>
      </c>
      <c r="Q21" s="12">
        <f si="16" t="shared"/>
        <v>5.1824164736636931E-2</v>
      </c>
      <c r="R21" s="12">
        <f si="16" t="shared"/>
        <v>6.2439711254051629E-2</v>
      </c>
      <c r="S21" s="12">
        <f si="16" t="shared"/>
        <v>0.11262749660441379</v>
      </c>
      <c r="U21" s="19">
        <v>2</v>
      </c>
      <c r="V21" s="12">
        <f si="12" t="shared"/>
        <v>3.0806404034460624E-2</v>
      </c>
      <c r="W21" s="12">
        <f si="12" t="shared"/>
        <v>2.6965390686050084E-3</v>
      </c>
      <c r="X21" s="12">
        <f si="12" t="shared"/>
        <v>1.7527311909771942E-2</v>
      </c>
      <c r="Y21" s="12">
        <f si="12" t="shared"/>
        <v>2.3874185244391305E-2</v>
      </c>
      <c r="Z21" s="12">
        <f si="12" t="shared"/>
        <v>9.8393341065824563E-3</v>
      </c>
      <c r="AA21" s="12">
        <f si="12" t="shared"/>
        <v>-1.8244932613750535E-2</v>
      </c>
      <c r="AB21" s="12">
        <f si="13" t="shared"/>
        <v>-1.9691867328272224E-2</v>
      </c>
      <c r="AC21" s="12">
        <f si="14" t="shared"/>
        <v>1.3821716788419786E-2</v>
      </c>
    </row>
    <row r="22" spans="1:29" x14ac:dyDescent="0.2">
      <c r="A22" s="20">
        <v>3</v>
      </c>
      <c r="B22" s="12">
        <f si="10" t="shared"/>
        <v>6.7634926554011598E-2</v>
      </c>
      <c r="C22" s="12">
        <f si="10" t="shared"/>
        <v>3.2995376591070012E-2</v>
      </c>
      <c r="D22" s="12">
        <f si="10" t="shared"/>
        <v>5.1691044717020615E-2</v>
      </c>
      <c r="E22" s="12">
        <f si="10" t="shared"/>
        <v>2.9607777298107485E-2</v>
      </c>
      <c r="F22" s="12">
        <f si="10" t="shared"/>
        <v>4.2163972291943012E-2</v>
      </c>
      <c r="G22" s="12">
        <f si="10" t="shared"/>
        <v>3.348607849360323E-2</v>
      </c>
      <c r="H22" s="12">
        <f si="10" t="shared"/>
        <v>1.7559557609125195E-2</v>
      </c>
      <c r="I22" s="12">
        <f si="10" t="shared"/>
        <v>4.5432873860475884E-2</v>
      </c>
      <c r="K22" s="20">
        <v>3</v>
      </c>
      <c r="L22" s="12">
        <f ref="L22:S22" si="17" t="shared">L8/L$12</f>
        <v>6.5166227211800459E-2</v>
      </c>
      <c r="M22" s="12">
        <f si="17" t="shared"/>
        <v>2.4485321564754744E-2</v>
      </c>
      <c r="N22" s="12">
        <f si="17" t="shared"/>
        <v>5.9909921372045087E-2</v>
      </c>
      <c r="O22" s="12">
        <f si="17" t="shared"/>
        <v>3.1240898046147155E-2</v>
      </c>
      <c r="P22" s="12">
        <f si="17" t="shared"/>
        <v>3.3838660505882912E-2</v>
      </c>
      <c r="Q22" s="12">
        <f si="17" t="shared"/>
        <v>1.2780236495524623E-2</v>
      </c>
      <c r="R22" s="12">
        <f si="17" t="shared"/>
        <v>1.7079716008576433E-2</v>
      </c>
      <c r="S22" s="12">
        <f si="17" t="shared"/>
        <v>4.2660483875863658E-2</v>
      </c>
      <c r="U22" s="20">
        <v>3</v>
      </c>
      <c r="V22" s="12">
        <f si="12" t="shared"/>
        <v>-2.4686993422111392E-3</v>
      </c>
      <c r="W22" s="12">
        <f si="12" t="shared"/>
        <v>-8.5100550263152684E-3</v>
      </c>
      <c r="X22" s="12">
        <f si="12" t="shared"/>
        <v>8.2188766550244721E-3</v>
      </c>
      <c r="Y22" s="12">
        <f si="12" t="shared"/>
        <v>1.6331207480396702E-3</v>
      </c>
      <c r="Z22" s="12">
        <f si="12" t="shared"/>
        <v>-8.3253117860601009E-3</v>
      </c>
      <c r="AA22" s="12">
        <f si="12" t="shared"/>
        <v>-2.0705841998078608E-2</v>
      </c>
      <c r="AB22" s="12">
        <f si="13" t="shared"/>
        <v>-4.7984160054876171E-4</v>
      </c>
      <c r="AC22" s="12">
        <f si="14" t="shared"/>
        <v>-2.7723899846122252E-3</v>
      </c>
    </row>
    <row r="23" spans="1:29" x14ac:dyDescent="0.2">
      <c r="A23" s="20">
        <v>4</v>
      </c>
      <c r="B23" s="12">
        <f si="10" t="shared"/>
        <v>2.8347895793047407E-2</v>
      </c>
      <c r="C23" s="12">
        <f si="10" t="shared"/>
        <v>1.4228720959360001E-2</v>
      </c>
      <c r="D23" s="12">
        <f si="10" t="shared"/>
        <v>2.1234473610731885E-2</v>
      </c>
      <c r="E23" s="12">
        <f si="10" t="shared"/>
        <v>1.1554522103478085E-2</v>
      </c>
      <c r="F23" s="12">
        <f si="10" t="shared"/>
        <v>2.1688208368686245E-2</v>
      </c>
      <c r="G23" s="12">
        <f si="10" t="shared"/>
        <v>1.2831103654621754E-2</v>
      </c>
      <c r="H23" s="12">
        <f si="10" t="shared"/>
        <v>1.5208113566128816E-2</v>
      </c>
      <c r="I23" s="12">
        <f si="10" t="shared"/>
        <v>2.0160714526074472E-2</v>
      </c>
      <c r="K23" s="20">
        <v>4</v>
      </c>
      <c r="L23" s="12">
        <f ref="L23:S23" si="18" t="shared">L9/L$12</f>
        <v>2.6740146876514232E-2</v>
      </c>
      <c r="M23" s="12">
        <f si="18" t="shared"/>
        <v>6.8230035390787055E-3</v>
      </c>
      <c r="N23" s="12">
        <f si="18" t="shared"/>
        <v>2.1705386905519226E-2</v>
      </c>
      <c r="O23" s="12">
        <f si="18" t="shared"/>
        <v>7.45711857576616E-3</v>
      </c>
      <c r="P23" s="12">
        <f si="18" t="shared"/>
        <v>9.282856190158624E-3</v>
      </c>
      <c r="Q23" s="12">
        <f si="18" t="shared"/>
        <v>2.7517255612373591E-3</v>
      </c>
      <c r="R23" s="12">
        <f si="18" t="shared"/>
        <v>4.4802252913289358E-3</v>
      </c>
      <c r="S23" s="12">
        <f si="18" t="shared"/>
        <v>1.5162996416490656E-2</v>
      </c>
      <c r="U23" s="20">
        <v>4</v>
      </c>
      <c r="V23" s="12">
        <f si="12" t="shared"/>
        <v>-1.6077489165331749E-3</v>
      </c>
      <c r="W23" s="12">
        <f si="12" t="shared"/>
        <v>-7.4057174202812959E-3</v>
      </c>
      <c r="X23" s="12">
        <f si="12" t="shared"/>
        <v>4.7091329478734026E-4</v>
      </c>
      <c r="Y23" s="12">
        <f si="12" t="shared"/>
        <v>-4.0974035277119248E-3</v>
      </c>
      <c r="Z23" s="12">
        <f si="12" t="shared"/>
        <v>-1.2405352178527621E-2</v>
      </c>
      <c r="AA23" s="12">
        <f si="12" t="shared"/>
        <v>-1.0079378093384396E-2</v>
      </c>
      <c r="AB23" s="12">
        <f si="13" t="shared"/>
        <v>-1.072788827479988E-2</v>
      </c>
      <c r="AC23" s="12">
        <f si="14" t="shared"/>
        <v>-4.9977181095838159E-3</v>
      </c>
    </row>
    <row r="24" spans="1:29" x14ac:dyDescent="0.2">
      <c r="A24" s="20">
        <v>5</v>
      </c>
      <c r="B24" s="12">
        <f si="10" t="shared"/>
        <v>1.1068628634888382E-2</v>
      </c>
      <c r="C24" s="12">
        <f si="10" t="shared"/>
        <v>3.166489550040519E-3</v>
      </c>
      <c r="D24" s="12">
        <f si="10" t="shared"/>
        <v>2.5660170037300502E-2</v>
      </c>
      <c r="E24" s="12">
        <f si="10" t="shared"/>
        <v>6.0308760668383284E-3</v>
      </c>
      <c r="F24" s="12">
        <f si="10" t="shared"/>
        <v>5.9355050383069572E-3</v>
      </c>
      <c r="G24" s="12">
        <f si="10" t="shared"/>
        <v>8.3263394541888535E-3</v>
      </c>
      <c r="H24" s="12">
        <f si="10" t="shared"/>
        <v>4.0978789110354226E-3</v>
      </c>
      <c r="I24" s="12">
        <f si="10" t="shared"/>
        <v>9.4358380257647638E-3</v>
      </c>
      <c r="K24" s="20">
        <v>5</v>
      </c>
      <c r="L24" s="12">
        <f ref="L24:S24" si="19" t="shared">L10/L$12</f>
        <v>9.8499770308793089E-3</v>
      </c>
      <c r="M24" s="12">
        <f si="19" t="shared"/>
        <v>1.781352032017086E-3</v>
      </c>
      <c r="N24" s="12">
        <f si="19" t="shared"/>
        <v>7.0587037838112932E-3</v>
      </c>
      <c r="O24" s="12">
        <f si="19" t="shared"/>
        <v>1.4124237430825151E-3</v>
      </c>
      <c r="P24" s="12">
        <f si="19" t="shared"/>
        <v>1.7982184537703044E-3</v>
      </c>
      <c r="Q24" s="12">
        <f si="19" t="shared"/>
        <v>4.2804619841470032E-4</v>
      </c>
      <c r="R24" s="12">
        <f si="19" t="shared"/>
        <v>1.0057648613187406E-3</v>
      </c>
      <c r="S24" s="12">
        <f si="19" t="shared"/>
        <v>4.9433995378360199E-3</v>
      </c>
      <c r="U24" s="20">
        <v>5</v>
      </c>
      <c r="V24" s="12">
        <f si="12" t="shared"/>
        <v>-1.2186516040090731E-3</v>
      </c>
      <c r="W24" s="12">
        <f si="12" t="shared"/>
        <v>-1.385137518023433E-3</v>
      </c>
      <c r="X24" s="12">
        <f si="12" t="shared"/>
        <v>-1.8601466253489209E-2</v>
      </c>
      <c r="Y24" s="12">
        <f si="12" t="shared"/>
        <v>-4.6184523237558133E-3</v>
      </c>
      <c r="Z24" s="12">
        <f si="12" t="shared"/>
        <v>-4.137286584536653E-3</v>
      </c>
      <c r="AA24" s="12">
        <f si="12" t="shared"/>
        <v>-7.8982932557741525E-3</v>
      </c>
      <c r="AB24" s="12">
        <f si="13" t="shared"/>
        <v>-3.0921140497166821E-3</v>
      </c>
      <c r="AC24" s="12">
        <f si="14" t="shared"/>
        <v>-4.4924384879287439E-3</v>
      </c>
    </row>
    <row r="25" spans="1:29" x14ac:dyDescent="0.2">
      <c r="A25" s="3" t="s">
        <v>209</v>
      </c>
      <c r="B25" s="13">
        <f ref="B25:I25" si="20" t="shared">B11/B$12</f>
        <v>1.9940186970388192E-2</v>
      </c>
      <c r="C25" s="13">
        <f si="20" t="shared"/>
        <v>3.3355804205443826E-3</v>
      </c>
      <c r="D25" s="13">
        <f si="20" t="shared"/>
        <v>1.3191006374781969E-2</v>
      </c>
      <c r="E25" s="13">
        <f si="20" t="shared"/>
        <v>8.5900076865475274E-3</v>
      </c>
      <c r="F25" s="13">
        <f si="20" t="shared"/>
        <v>1.6557572339812913E-2</v>
      </c>
      <c r="G25" s="13">
        <f si="20" t="shared"/>
        <v>1.4003555880423889E-2</v>
      </c>
      <c r="H25" s="13">
        <f si="20" t="shared"/>
        <v>6.2254113983444834E-3</v>
      </c>
      <c r="I25" s="13">
        <f si="20" t="shared"/>
        <v>1.3085122580714566E-2</v>
      </c>
      <c r="K25" s="3" t="s">
        <v>209</v>
      </c>
      <c r="L25" s="13">
        <f ref="L25:S25" si="21" t="shared">L11/L$12</f>
        <v>5.7894769962683048E-3</v>
      </c>
      <c r="M25" s="13">
        <f si="21" t="shared"/>
        <v>6.3315960819705435E-4</v>
      </c>
      <c r="N25" s="13">
        <f si="21" t="shared"/>
        <v>3.150207384411817E-3</v>
      </c>
      <c r="O25" s="13">
        <f si="21" t="shared"/>
        <v>2.8328272813236884E-4</v>
      </c>
      <c r="P25" s="13">
        <f si="21" t="shared"/>
        <v>4.108512361263278E-4</v>
      </c>
      <c r="Q25" s="13">
        <f si="21" t="shared"/>
        <v>1.3758627806186797E-4</v>
      </c>
      <c r="R25" s="13">
        <f si="21" t="shared"/>
        <v>3.3373106761940029E-4</v>
      </c>
      <c r="S25" s="13">
        <f si="21" t="shared"/>
        <v>2.5740778658554422E-3</v>
      </c>
      <c r="U25" s="3" t="s">
        <v>209</v>
      </c>
      <c r="V25" s="12">
        <f si="12" t="shared"/>
        <v>-1.4150709974119886E-2</v>
      </c>
      <c r="W25" s="12">
        <f si="12" t="shared"/>
        <v>-2.7024208123473284E-3</v>
      </c>
      <c r="X25" s="12">
        <f si="12" t="shared"/>
        <v>-1.0040798990370152E-2</v>
      </c>
      <c r="Y25" s="12">
        <f si="12" t="shared"/>
        <v>-8.3067249584151577E-3</v>
      </c>
      <c r="Z25" s="12">
        <f si="12" t="shared"/>
        <v>-1.6146721103686586E-2</v>
      </c>
      <c r="AA25" s="12">
        <f si="12" t="shared"/>
        <v>-1.3865969602362022E-2</v>
      </c>
      <c r="AB25" s="12">
        <f si="13" t="shared"/>
        <v>-5.8916803307250834E-3</v>
      </c>
      <c r="AC25" s="12">
        <f si="14" t="shared"/>
        <v>-1.0511044714859124E-2</v>
      </c>
    </row>
    <row ht="13.5" r="26" spans="1:29" thickBot="1" x14ac:dyDescent="0.25">
      <c r="A26" s="21" t="s">
        <v>220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220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220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269</v>
      </c>
    </row>
    <row ht="13.5" r="33" spans="1:29" thickBot="1" x14ac:dyDescent="0.25"/>
    <row r="34" spans="1:29" x14ac:dyDescent="0.2">
      <c r="A34" s="5" t="s">
        <v>247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220</v>
      </c>
      <c r="K34" s="5" t="s">
        <v>247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220</v>
      </c>
      <c r="U34" s="5" t="s">
        <v>247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220</v>
      </c>
    </row>
    <row r="35" spans="1:29" x14ac:dyDescent="0.2">
      <c r="A35" s="18">
        <v>0</v>
      </c>
      <c r="B35" s="7">
        <f>output_NHTS!B158</f>
        <v>431850.82988400001</v>
      </c>
      <c r="C35" s="7">
        <f>output_NHTS!C158</f>
        <v>199129.75158099999</v>
      </c>
      <c r="D35" s="7">
        <f>output_NHTS!D158</f>
        <v>144262.82115500001</v>
      </c>
      <c r="E35" s="7">
        <f>output_NHTS!E158</f>
        <v>196663.88841799999</v>
      </c>
      <c r="F35" s="7">
        <f>output_NHTS!F158</f>
        <v>108687.947286</v>
      </c>
      <c r="G35" s="7">
        <f>output_NHTS!G158</f>
        <v>92276.961999000006</v>
      </c>
      <c r="H35" s="7">
        <f>output_NHTS!H158</f>
        <v>173133.49841599999</v>
      </c>
      <c r="I35" s="7">
        <f>output_NHTS!I158</f>
        <v>1346005.6987390001</v>
      </c>
      <c r="K35" s="18">
        <v>0</v>
      </c>
      <c r="L35" s="7">
        <f>output!B158</f>
        <v>460753</v>
      </c>
      <c r="M35" s="7">
        <f>output!C158</f>
        <v>186027</v>
      </c>
      <c r="N35" s="7">
        <f>output!D158</f>
        <v>133179</v>
      </c>
      <c r="O35" s="7">
        <f>output!E158</f>
        <v>193953</v>
      </c>
      <c r="P35" s="7">
        <f>output!F158</f>
        <v>127907</v>
      </c>
      <c r="Q35" s="7">
        <f>output!G158</f>
        <v>112359</v>
      </c>
      <c r="R35" s="7">
        <f>output!H158</f>
        <v>184069</v>
      </c>
      <c r="S35" s="7">
        <f>output!I158</f>
        <v>1398247</v>
      </c>
      <c r="U35" s="18">
        <v>0</v>
      </c>
      <c r="V35" s="7">
        <f ref="V35:AA42" si="24" t="shared">L35-B35</f>
        <v>28902.170115999994</v>
      </c>
      <c r="W35" s="7">
        <f si="24" t="shared"/>
        <v>-13102.75158099999</v>
      </c>
      <c r="X35" s="7">
        <f si="24" t="shared"/>
        <v>-11083.821155000012</v>
      </c>
      <c r="Y35" s="7">
        <f si="24" t="shared"/>
        <v>-2710.8884179999877</v>
      </c>
      <c r="Z35" s="7">
        <f si="24" t="shared"/>
        <v>19219.052714000005</v>
      </c>
      <c r="AA35" s="7">
        <f si="24" t="shared"/>
        <v>20082.038000999994</v>
      </c>
      <c r="AB35" s="7">
        <f ref="AB35:AB42" si="25" t="shared">R35-H35</f>
        <v>10935.501584000012</v>
      </c>
      <c r="AC35" s="7">
        <f ref="AC35:AC42" si="26" t="shared">S35-I35</f>
        <v>52241.30126099987</v>
      </c>
    </row>
    <row r="36" spans="1:29" x14ac:dyDescent="0.2">
      <c r="A36" s="18">
        <v>1</v>
      </c>
      <c r="B36" s="7">
        <f>output_NHTS!B159</f>
        <v>93300.501338000002</v>
      </c>
      <c r="C36" s="7">
        <f>output_NHTS!C159</f>
        <v>16308.182667999999</v>
      </c>
      <c r="D36" s="7">
        <f>output_NHTS!D159</f>
        <v>20076.082665999998</v>
      </c>
      <c r="E36" s="7">
        <f>output_NHTS!E159</f>
        <v>21372.451905000002</v>
      </c>
      <c r="F36" s="7">
        <f>output_NHTS!F159</f>
        <v>28299.009193999998</v>
      </c>
      <c r="G36" s="7">
        <f>output_NHTS!G159</f>
        <v>14768.521621</v>
      </c>
      <c r="H36" s="7">
        <f>output_NHTS!H159</f>
        <v>16450.886138000002</v>
      </c>
      <c r="I36" s="7">
        <f>output_NHTS!I159</f>
        <v>210575.63553</v>
      </c>
      <c r="K36" s="18">
        <v>1</v>
      </c>
      <c r="L36" s="7">
        <f>output!B159</f>
        <v>123683</v>
      </c>
      <c r="M36" s="7">
        <f>output!C159</f>
        <v>20960</v>
      </c>
      <c r="N36" s="7">
        <f>output!D159</f>
        <v>46160</v>
      </c>
      <c r="O36" s="7">
        <f>output!E159</f>
        <v>44068</v>
      </c>
      <c r="P36" s="7">
        <f>output!F159</f>
        <v>30701</v>
      </c>
      <c r="Q36" s="7">
        <f>output!G159</f>
        <v>15176</v>
      </c>
      <c r="R36" s="7">
        <f>output!H159</f>
        <v>28036</v>
      </c>
      <c r="S36" s="7">
        <f>output!I159</f>
        <v>308784</v>
      </c>
      <c r="U36" s="18">
        <v>1</v>
      </c>
      <c r="V36" s="7">
        <f si="24" t="shared"/>
        <v>30382.498661999998</v>
      </c>
      <c r="W36" s="7">
        <f si="24" t="shared"/>
        <v>4651.8173320000005</v>
      </c>
      <c r="X36" s="7">
        <f si="24" t="shared"/>
        <v>26083.917334000002</v>
      </c>
      <c r="Y36" s="7">
        <f si="24" t="shared"/>
        <v>22695.548094999998</v>
      </c>
      <c r="Z36" s="7">
        <f si="24" t="shared"/>
        <v>2401.9908060000016</v>
      </c>
      <c r="AA36" s="7">
        <f si="24" t="shared"/>
        <v>407.47837900000013</v>
      </c>
      <c r="AB36" s="7">
        <f si="25" t="shared"/>
        <v>11585.113861999998</v>
      </c>
      <c r="AC36" s="7">
        <f si="26" t="shared"/>
        <v>98208.36447</v>
      </c>
    </row>
    <row r="37" spans="1:29" x14ac:dyDescent="0.2">
      <c r="A37" s="19">
        <v>2</v>
      </c>
      <c r="B37" s="7">
        <f>output_NHTS!B160</f>
        <v>26303.190043999999</v>
      </c>
      <c r="C37" s="7">
        <f>output_NHTS!C160</f>
        <v>3839.7721849999998</v>
      </c>
      <c r="D37" s="7">
        <f>output_NHTS!D160</f>
        <v>9423.8908719999999</v>
      </c>
      <c r="E37" s="7">
        <f>output_NHTS!E160</f>
        <v>2766.8668969999999</v>
      </c>
      <c r="F37" s="7">
        <f>output_NHTS!F160</f>
        <v>7735.0005789999996</v>
      </c>
      <c r="G37" s="7">
        <f>output_NHTS!G160</f>
        <v>6004.9197759999997</v>
      </c>
      <c r="H37" s="7">
        <f>output_NHTS!H160</f>
        <v>6698.6036359999998</v>
      </c>
      <c r="I37" s="7">
        <f>output_NHTS!I160</f>
        <v>62772.243989000002</v>
      </c>
      <c r="K37" s="19">
        <v>2</v>
      </c>
      <c r="L37" s="7">
        <f>output!B160</f>
        <v>35475</v>
      </c>
      <c r="M37" s="7">
        <f>output!C160</f>
        <v>3767</v>
      </c>
      <c r="N37" s="7">
        <f>output!D160</f>
        <v>12612</v>
      </c>
      <c r="O37" s="7">
        <f>output!E160</f>
        <v>10121</v>
      </c>
      <c r="P37" s="7">
        <f>output!F160</f>
        <v>7344</v>
      </c>
      <c r="Q37" s="7">
        <f>output!G160</f>
        <v>2669</v>
      </c>
      <c r="R37" s="7">
        <f>output!H160</f>
        <v>5245</v>
      </c>
      <c r="S37" s="7">
        <f>output!I160</f>
        <v>77233</v>
      </c>
      <c r="U37" s="19">
        <v>2</v>
      </c>
      <c r="V37" s="7">
        <f si="24" t="shared"/>
        <v>9171.809956000001</v>
      </c>
      <c r="W37" s="7">
        <f si="24" t="shared"/>
        <v>-72.772184999999808</v>
      </c>
      <c r="X37" s="7">
        <f si="24" t="shared"/>
        <v>3188.1091280000001</v>
      </c>
      <c r="Y37" s="7">
        <f si="24" t="shared"/>
        <v>7354.1331030000001</v>
      </c>
      <c r="Z37" s="7">
        <f si="24" t="shared"/>
        <v>-391.00057899999956</v>
      </c>
      <c r="AA37" s="7">
        <f si="24" t="shared"/>
        <v>-3335.9197759999997</v>
      </c>
      <c r="AB37" s="7">
        <f si="25" t="shared"/>
        <v>-1453.6036359999998</v>
      </c>
      <c r="AC37" s="7">
        <f si="26" t="shared"/>
        <v>14460.756010999998</v>
      </c>
    </row>
    <row r="38" spans="1:29" x14ac:dyDescent="0.2">
      <c r="A38" s="20">
        <v>3</v>
      </c>
      <c r="B38" s="7">
        <f>output_NHTS!B161</f>
        <v>10364.914445</v>
      </c>
      <c r="C38" s="7">
        <f>output_NHTS!C161</f>
        <v>1918.0067020000001</v>
      </c>
      <c r="D38" s="7">
        <f>output_NHTS!D161</f>
        <v>2555.26595</v>
      </c>
      <c r="E38" s="7">
        <f>output_NHTS!E161</f>
        <v>1162.660928</v>
      </c>
      <c r="F38" s="7">
        <f>output_NHTS!F161</f>
        <v>2868.272676</v>
      </c>
      <c r="G38" s="7">
        <f>output_NHTS!G161</f>
        <v>320.105481</v>
      </c>
      <c r="H38" s="7">
        <f>output_NHTS!H161</f>
        <v>2515.2019639999999</v>
      </c>
      <c r="I38" s="7">
        <f>output_NHTS!I161</f>
        <v>21704.428145999998</v>
      </c>
      <c r="K38" s="20">
        <v>3</v>
      </c>
      <c r="L38" s="7">
        <f>output!B161</f>
        <v>11425</v>
      </c>
      <c r="M38" s="7">
        <f>output!C161</f>
        <v>738</v>
      </c>
      <c r="N38" s="7">
        <f>output!D161</f>
        <v>3499</v>
      </c>
      <c r="O38" s="7">
        <f>output!E161</f>
        <v>2123</v>
      </c>
      <c r="P38" s="7">
        <f>output!F161</f>
        <v>1667</v>
      </c>
      <c r="Q38" s="7">
        <f>output!G161</f>
        <v>546</v>
      </c>
      <c r="R38" s="7">
        <f>output!H161</f>
        <v>1145</v>
      </c>
      <c r="S38" s="7">
        <f>output!I161</f>
        <v>21143</v>
      </c>
      <c r="U38" s="20">
        <v>3</v>
      </c>
      <c r="V38" s="7">
        <f si="24" t="shared"/>
        <v>1060.0855549999997</v>
      </c>
      <c r="W38" s="7">
        <f si="24" t="shared"/>
        <v>-1180.0067020000001</v>
      </c>
      <c r="X38" s="7">
        <f si="24" t="shared"/>
        <v>943.73405000000002</v>
      </c>
      <c r="Y38" s="7">
        <f si="24" t="shared"/>
        <v>960.33907199999999</v>
      </c>
      <c r="Z38" s="7">
        <f si="24" t="shared"/>
        <v>-1201.272676</v>
      </c>
      <c r="AA38" s="7">
        <f si="24" t="shared"/>
        <v>225.894519</v>
      </c>
      <c r="AB38" s="7">
        <f si="25" t="shared"/>
        <v>-1370.2019639999999</v>
      </c>
      <c r="AC38" s="7">
        <f si="26" t="shared"/>
        <v>-561.42814599999838</v>
      </c>
    </row>
    <row r="39" spans="1:29" x14ac:dyDescent="0.2">
      <c r="A39" s="20">
        <v>4</v>
      </c>
      <c r="B39" s="7">
        <f>output_NHTS!B162</f>
        <v>2950.6856050000001</v>
      </c>
      <c r="C39" s="7">
        <f>output_NHTS!C162</f>
        <v>78.865507000000008</v>
      </c>
      <c r="D39" s="7">
        <f>output_NHTS!D162</f>
        <v>1888.7125289999999</v>
      </c>
      <c r="E39" s="7">
        <f>output_NHTS!E162</f>
        <v>1058.00296</v>
      </c>
      <c r="F39" s="7">
        <f>output_NHTS!F162</f>
        <v>1916.699402</v>
      </c>
      <c r="G39" s="7">
        <f>output_NHTS!G162</f>
        <v>550.57030899999995</v>
      </c>
      <c r="H39" s="7">
        <f>output_NHTS!H162</f>
        <v>219.195538</v>
      </c>
      <c r="I39" s="7">
        <f>output_NHTS!I162</f>
        <v>8662.7318500000001</v>
      </c>
      <c r="K39" s="20">
        <v>4</v>
      </c>
      <c r="L39" s="7">
        <f>output!B162</f>
        <v>3188</v>
      </c>
      <c r="M39" s="7">
        <f>output!C162</f>
        <v>122</v>
      </c>
      <c r="N39" s="7">
        <f>output!D162</f>
        <v>812</v>
      </c>
      <c r="O39" s="7">
        <f>output!E162</f>
        <v>322</v>
      </c>
      <c r="P39" s="7">
        <f>output!F162</f>
        <v>282</v>
      </c>
      <c r="Q39" s="7">
        <f>output!G162</f>
        <v>66</v>
      </c>
      <c r="R39" s="7">
        <f>output!H162</f>
        <v>206</v>
      </c>
      <c r="S39" s="7">
        <f>output!I162</f>
        <v>4998</v>
      </c>
      <c r="U39" s="20">
        <v>4</v>
      </c>
      <c r="V39" s="7">
        <f si="24" t="shared"/>
        <v>237.31439499999988</v>
      </c>
      <c r="W39" s="7">
        <f si="24" t="shared"/>
        <v>43.134492999999992</v>
      </c>
      <c r="X39" s="7">
        <f si="24" t="shared"/>
        <v>-1076.7125289999999</v>
      </c>
      <c r="Y39" s="7">
        <f si="24" t="shared"/>
        <v>-736.00296000000003</v>
      </c>
      <c r="Z39" s="7">
        <f si="24" t="shared"/>
        <v>-1634.699402</v>
      </c>
      <c r="AA39" s="7">
        <f si="24" t="shared"/>
        <v>-484.57030899999995</v>
      </c>
      <c r="AB39" s="7">
        <f si="25" t="shared"/>
        <v>-13.195537999999999</v>
      </c>
      <c r="AC39" s="7">
        <f si="26" t="shared"/>
        <v>-3664.7318500000001</v>
      </c>
    </row>
    <row r="40" spans="1:29" x14ac:dyDescent="0.2">
      <c r="A40" s="20">
        <v>5</v>
      </c>
      <c r="B40" s="7">
        <f>output_NHTS!B163</f>
        <v>497.07647099999997</v>
      </c>
      <c r="C40" s="7">
        <f>output_NHTS!C163</f>
        <v>162.80522300000001</v>
      </c>
      <c r="D40" s="7">
        <f>output_NHTS!D163</f>
        <v>2047.1994969999998</v>
      </c>
      <c r="E40" s="7">
        <f>output_NHTS!E163</f>
        <v>426.44287499999996</v>
      </c>
      <c r="F40" s="7">
        <f>output_NHTS!F163</f>
        <v>717.97093799999993</v>
      </c>
      <c r="G40" s="7">
        <f>output_NHTS!G163</f>
        <v>400.25996200000003</v>
      </c>
      <c r="H40" s="7">
        <f>output_NHTS!H163</f>
        <v>457.22871499999997</v>
      </c>
      <c r="I40" s="7">
        <f>output_NHTS!I163</f>
        <v>4708.9836809999997</v>
      </c>
      <c r="K40" s="20">
        <v>5</v>
      </c>
      <c r="L40" s="7">
        <f>output!B163</f>
        <v>652</v>
      </c>
      <c r="M40" s="7">
        <f>output!C163</f>
        <v>16</v>
      </c>
      <c r="N40" s="7">
        <f>output!D163</f>
        <v>143</v>
      </c>
      <c r="O40" s="7">
        <f>output!E163</f>
        <v>36</v>
      </c>
      <c r="P40" s="7">
        <f>output!F163</f>
        <v>34</v>
      </c>
      <c r="Q40" s="7">
        <f>output!G163</f>
        <v>8</v>
      </c>
      <c r="R40" s="7">
        <f>output!H163</f>
        <v>31</v>
      </c>
      <c r="S40" s="7">
        <f>output!I163</f>
        <v>920</v>
      </c>
      <c r="U40" s="20">
        <v>5</v>
      </c>
      <c r="V40" s="7">
        <f si="24" t="shared"/>
        <v>154.92352900000003</v>
      </c>
      <c r="W40" s="7">
        <f si="24" t="shared"/>
        <v>-146.80522300000001</v>
      </c>
      <c r="X40" s="7">
        <f si="24" t="shared"/>
        <v>-1904.1994969999998</v>
      </c>
      <c r="Y40" s="7">
        <f si="24" t="shared"/>
        <v>-390.44287499999996</v>
      </c>
      <c r="Z40" s="7">
        <f si="24" t="shared"/>
        <v>-683.97093799999993</v>
      </c>
      <c r="AA40" s="7">
        <f si="24" t="shared"/>
        <v>-392.25996200000003</v>
      </c>
      <c r="AB40" s="7">
        <f si="25" t="shared"/>
        <v>-426.22871499999997</v>
      </c>
      <c r="AC40" s="7">
        <f si="26" t="shared"/>
        <v>-3788.9836809999997</v>
      </c>
    </row>
    <row r="41" spans="1:29" x14ac:dyDescent="0.2">
      <c r="A41" s="3" t="s">
        <v>209</v>
      </c>
      <c r="B41" s="9">
        <f>output_NHTS!B164</f>
        <v>2148.3038229999997</v>
      </c>
      <c r="C41" s="9">
        <f>output_NHTS!C164</f>
        <v>0</v>
      </c>
      <c r="D41" s="9">
        <f>output_NHTS!D164</f>
        <v>1324.3791979999999</v>
      </c>
      <c r="E41" s="9">
        <f>output_NHTS!E164</f>
        <v>269.46056499999997</v>
      </c>
      <c r="F41" s="9">
        <f>output_NHTS!F164</f>
        <v>362.01851599999998</v>
      </c>
      <c r="G41" s="9">
        <f>output_NHTS!G164</f>
        <v>365.299711</v>
      </c>
      <c r="H41" s="9">
        <f>output_NHTS!H164</f>
        <v>617.53296999999998</v>
      </c>
      <c r="I41" s="9">
        <f>output_NHTS!I164</f>
        <v>5086.9947829999992</v>
      </c>
      <c r="K41" s="3" t="s">
        <v>209</v>
      </c>
      <c r="L41" s="9">
        <f>output!B164</f>
        <v>460</v>
      </c>
      <c r="M41" s="9">
        <f>output!C164</f>
        <v>7</v>
      </c>
      <c r="N41" s="9">
        <f>output!D164</f>
        <v>90</v>
      </c>
      <c r="O41" s="9">
        <f>output!E164</f>
        <v>10</v>
      </c>
      <c r="P41" s="9">
        <f>output!F164</f>
        <v>9</v>
      </c>
      <c r="Q41" s="9">
        <f>output!G164</f>
        <v>3</v>
      </c>
      <c r="R41" s="9">
        <f>output!H164</f>
        <v>7</v>
      </c>
      <c r="S41" s="9">
        <f>output!I164</f>
        <v>586</v>
      </c>
      <c r="U41" s="3" t="s">
        <v>209</v>
      </c>
      <c r="V41" s="9">
        <f si="24" t="shared"/>
        <v>-1688.3038229999997</v>
      </c>
      <c r="W41" s="9">
        <f si="24" t="shared"/>
        <v>7</v>
      </c>
      <c r="X41" s="9">
        <f si="24" t="shared"/>
        <v>-1234.3791979999999</v>
      </c>
      <c r="Y41" s="9">
        <f si="24" t="shared"/>
        <v>-259.46056499999997</v>
      </c>
      <c r="Z41" s="9">
        <f si="24" t="shared"/>
        <v>-353.01851599999998</v>
      </c>
      <c r="AA41" s="9">
        <f si="24" t="shared"/>
        <v>-362.299711</v>
      </c>
      <c r="AB41" s="9">
        <f si="25" t="shared"/>
        <v>-610.53296999999998</v>
      </c>
      <c r="AC41" s="9">
        <f si="26" t="shared"/>
        <v>-4500.9947829999992</v>
      </c>
    </row>
    <row ht="13.5" r="42" spans="1:29" thickBot="1" x14ac:dyDescent="0.25">
      <c r="A42" s="21" t="s">
        <v>220</v>
      </c>
      <c r="B42" s="22">
        <f ref="B42:I42" si="27" t="shared">SUM(B35:B41)</f>
        <v>567415.50161000015</v>
      </c>
      <c r="C42" s="22">
        <f si="27" t="shared"/>
        <v>221437.38386600002</v>
      </c>
      <c r="D42" s="22">
        <f si="27" t="shared"/>
        <v>181578.35186700002</v>
      </c>
      <c r="E42" s="22">
        <f si="27" t="shared"/>
        <v>223719.77454799999</v>
      </c>
      <c r="F42" s="22">
        <f si="27" t="shared"/>
        <v>150586.91859099999</v>
      </c>
      <c r="G42" s="22">
        <f si="27" t="shared"/>
        <v>114686.63885900001</v>
      </c>
      <c r="H42" s="22">
        <f si="27" t="shared"/>
        <v>200092.14737700002</v>
      </c>
      <c r="I42" s="22">
        <f si="27" t="shared"/>
        <v>1659516.7167180006</v>
      </c>
      <c r="K42" s="21" t="s">
        <v>220</v>
      </c>
      <c r="L42" s="22">
        <f>SUM(L35:L41)</f>
        <v>635636</v>
      </c>
      <c r="M42" s="22">
        <f ref="M42:S42" si="28" t="shared">SUM(M35:M41)</f>
        <v>211637</v>
      </c>
      <c r="N42" s="22">
        <f si="28" t="shared"/>
        <v>196495</v>
      </c>
      <c r="O42" s="22">
        <f si="28" t="shared"/>
        <v>250633</v>
      </c>
      <c r="P42" s="22">
        <f si="28" t="shared"/>
        <v>167944</v>
      </c>
      <c r="Q42" s="22">
        <f si="28" t="shared"/>
        <v>130827</v>
      </c>
      <c r="R42" s="22">
        <f si="28" t="shared"/>
        <v>218739</v>
      </c>
      <c r="S42" s="22">
        <f si="28" t="shared"/>
        <v>1811911</v>
      </c>
      <c r="U42" s="21" t="s">
        <v>220</v>
      </c>
      <c r="V42" s="22">
        <f si="24" t="shared"/>
        <v>68220.498389999848</v>
      </c>
      <c r="W42" s="22">
        <f si="24" t="shared"/>
        <v>-9800.3838660000183</v>
      </c>
      <c r="X42" s="22">
        <f si="24" t="shared"/>
        <v>14916.648132999981</v>
      </c>
      <c r="Y42" s="22">
        <f si="24" t="shared"/>
        <v>26913.225452000013</v>
      </c>
      <c r="Z42" s="22">
        <f si="24" t="shared"/>
        <v>17357.081409000006</v>
      </c>
      <c r="AA42" s="22">
        <f si="24" t="shared"/>
        <v>16140.361140999987</v>
      </c>
      <c r="AB42" s="22">
        <f si="25" t="shared"/>
        <v>18646.852622999984</v>
      </c>
      <c r="AC42" s="22">
        <f si="26" t="shared"/>
        <v>152394.28328199941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270</v>
      </c>
    </row>
    <row ht="13.5" r="47" spans="1:29" thickBot="1" x14ac:dyDescent="0.25"/>
    <row r="48" spans="1:29" x14ac:dyDescent="0.2">
      <c r="A48" s="5" t="s">
        <v>247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220</v>
      </c>
      <c r="K48" s="5" t="s">
        <v>247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220</v>
      </c>
      <c r="U48" s="5" t="s">
        <v>247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220</v>
      </c>
    </row>
    <row r="49" spans="1:29" x14ac:dyDescent="0.2">
      <c r="A49" s="18">
        <v>0</v>
      </c>
      <c r="B49" s="12">
        <f ref="B49:I49" si="29" t="shared">B35/B$12</f>
        <v>0.76108394758101416</v>
      </c>
      <c r="C49" s="12">
        <f si="29" t="shared"/>
        <v>0.89925986346325715</v>
      </c>
      <c r="D49" s="12">
        <f si="29" t="shared"/>
        <v>0.79449350471397429</v>
      </c>
      <c r="E49" s="12">
        <f si="29" t="shared"/>
        <v>0.87906350171922298</v>
      </c>
      <c r="F49" s="12">
        <f si="29" t="shared"/>
        <v>0.72176221084117387</v>
      </c>
      <c r="G49" s="12">
        <f si="29" t="shared"/>
        <v>0.80460080543862422</v>
      </c>
      <c r="H49" s="12">
        <f si="29" t="shared"/>
        <v>0.86526883081420303</v>
      </c>
      <c r="I49" s="12">
        <f si="29" t="shared"/>
        <v>0.81108294070154008</v>
      </c>
      <c r="K49" s="18">
        <v>0</v>
      </c>
      <c r="L49" s="12">
        <f ref="L49:S54" si="30" t="shared">L35/L$42</f>
        <v>0.72486926479935054</v>
      </c>
      <c r="M49" s="12">
        <f si="30" t="shared"/>
        <v>0.87899091368711524</v>
      </c>
      <c r="N49" s="12">
        <f si="30" t="shared"/>
        <v>0.67777297132242553</v>
      </c>
      <c r="O49" s="12">
        <f si="30" t="shared"/>
        <v>0.77385260520362442</v>
      </c>
      <c r="P49" s="12">
        <f si="30" t="shared"/>
        <v>0.76160505882913354</v>
      </c>
      <c r="Q49" s="12">
        <f si="30" t="shared"/>
        <v>0.85883647870852342</v>
      </c>
      <c r="R49" s="12">
        <f si="30" t="shared"/>
        <v>0.84150060117308756</v>
      </c>
      <c r="S49" s="12">
        <f si="30" t="shared"/>
        <v>0.77169739573301332</v>
      </c>
      <c r="U49" s="18">
        <v>0</v>
      </c>
      <c r="V49" s="12">
        <f>L49-B49</f>
        <v>-3.6214682781663621E-2</v>
      </c>
      <c r="W49" s="12">
        <f ref="V49:AA56" si="31" t="shared">M49-C49</f>
        <v>-2.0268949776141909E-2</v>
      </c>
      <c r="X49" s="12">
        <f si="31" t="shared"/>
        <v>-0.11672053339154875</v>
      </c>
      <c r="Y49" s="12">
        <f si="31" t="shared"/>
        <v>-0.10521089651559856</v>
      </c>
      <c r="Z49" s="12">
        <f si="31" t="shared"/>
        <v>3.9842847987959673E-2</v>
      </c>
      <c r="AA49" s="12">
        <f si="31" t="shared"/>
        <v>5.4235673269899198E-2</v>
      </c>
      <c r="AB49" s="12">
        <f ref="AB49:AB56" si="32" t="shared">R49-H49</f>
        <v>-2.3768229641115468E-2</v>
      </c>
      <c r="AC49" s="12">
        <f ref="AC49:AC56" si="33" t="shared">S49-I49</f>
        <v>-3.9385544968526753E-2</v>
      </c>
    </row>
    <row r="50" spans="1:29" x14ac:dyDescent="0.2">
      <c r="A50" s="18">
        <v>1</v>
      </c>
      <c r="B50" s="12">
        <f ref="B50:I50" si="34" t="shared">B36/B$12</f>
        <v>0.16443065279899238</v>
      </c>
      <c r="C50" s="12">
        <f si="34" t="shared"/>
        <v>7.3646926202256296E-2</v>
      </c>
      <c r="D50" s="12">
        <f si="34" t="shared"/>
        <v>0.11056429612658371</v>
      </c>
      <c r="E50" s="12">
        <f si="34" t="shared"/>
        <v>9.553224317421459E-2</v>
      </c>
      <c r="F50" s="12">
        <f si="34" t="shared"/>
        <v>0.18792475109249845</v>
      </c>
      <c r="G50" s="12">
        <f si="34" t="shared"/>
        <v>0.12877281754814499</v>
      </c>
      <c r="H50" s="12">
        <f si="34" t="shared"/>
        <v>8.2216550492630588E-2</v>
      </c>
      <c r="I50" s="12">
        <f si="34" t="shared"/>
        <v>0.12688973446826862</v>
      </c>
      <c r="K50" s="18">
        <v>1</v>
      </c>
      <c r="L50" s="12">
        <f si="30" t="shared"/>
        <v>0.19458149003517736</v>
      </c>
      <c r="M50" s="12">
        <f si="30" t="shared"/>
        <v>9.9037502894106413E-2</v>
      </c>
      <c r="N50" s="12">
        <f si="30" t="shared"/>
        <v>0.23491691900557266</v>
      </c>
      <c r="O50" s="12">
        <f si="30" t="shared"/>
        <v>0.17582680652587648</v>
      </c>
      <c r="P50" s="12">
        <f si="30" t="shared"/>
        <v>0.18280498261325204</v>
      </c>
      <c r="Q50" s="12">
        <f si="30" t="shared"/>
        <v>0.11600051977038379</v>
      </c>
      <c r="R50" s="12">
        <f si="30" t="shared"/>
        <v>0.12817101659969188</v>
      </c>
      <c r="S50" s="12">
        <f si="30" t="shared"/>
        <v>0.17041896649449118</v>
      </c>
      <c r="U50" s="18">
        <v>1</v>
      </c>
      <c r="V50" s="12">
        <f si="31" t="shared"/>
        <v>3.0150837236184974E-2</v>
      </c>
      <c r="W50" s="12">
        <f si="31" t="shared"/>
        <v>2.5390576691850117E-2</v>
      </c>
      <c r="X50" s="12">
        <f si="31" t="shared"/>
        <v>0.12435262287898895</v>
      </c>
      <c r="Y50" s="12">
        <f si="31" t="shared"/>
        <v>8.0294563351661893E-2</v>
      </c>
      <c r="Z50" s="12">
        <f si="31" t="shared"/>
        <v>-5.1197684792464171E-3</v>
      </c>
      <c r="AA50" s="12">
        <f si="31" t="shared"/>
        <v>-1.2772297777761191E-2</v>
      </c>
      <c r="AB50" s="12">
        <f si="32" t="shared"/>
        <v>4.595446610706129E-2</v>
      </c>
      <c r="AC50" s="12">
        <f si="33" t="shared"/>
        <v>4.3529232026222553E-2</v>
      </c>
    </row>
    <row r="51" spans="1:29" x14ac:dyDescent="0.2">
      <c r="A51" s="19">
        <v>2</v>
      </c>
      <c r="B51" s="12">
        <f ref="B51:I51" si="35" t="shared">B37/B$12</f>
        <v>4.6356135793552737E-2</v>
      </c>
      <c r="C51" s="12">
        <f si="35" t="shared"/>
        <v>1.7340216534185528E-2</v>
      </c>
      <c r="D51" s="12">
        <f si="35" t="shared"/>
        <v>5.1899859069668632E-2</v>
      </c>
      <c r="E51" s="12">
        <f si="35" t="shared"/>
        <v>1.2367556254649975E-2</v>
      </c>
      <c r="F51" s="12">
        <f si="35" t="shared"/>
        <v>5.1365687347707592E-2</v>
      </c>
      <c r="G51" s="12">
        <f si="35" t="shared"/>
        <v>5.2359366668532949E-2</v>
      </c>
      <c r="H51" s="12">
        <f si="35" t="shared"/>
        <v>3.3477593817707138E-2</v>
      </c>
      <c r="I51" s="12">
        <f si="35" t="shared"/>
        <v>3.7825617155061671E-2</v>
      </c>
      <c r="K51" s="19">
        <v>2</v>
      </c>
      <c r="L51" s="12">
        <f si="30" t="shared"/>
        <v>5.5810243598537528E-2</v>
      </c>
      <c r="M51" s="12">
        <f si="30" t="shared"/>
        <v>1.7799345105061971E-2</v>
      </c>
      <c r="N51" s="12">
        <f si="30" t="shared"/>
        <v>6.418483930888827E-2</v>
      </c>
      <c r="O51" s="12">
        <f si="30" t="shared"/>
        <v>4.0381753400390213E-2</v>
      </c>
      <c r="P51" s="12">
        <f si="30" t="shared"/>
        <v>4.3728862001619587E-2</v>
      </c>
      <c r="Q51" s="12">
        <f si="30" t="shared"/>
        <v>2.0400987563729201E-2</v>
      </c>
      <c r="R51" s="12">
        <f si="30" t="shared"/>
        <v>2.3978348625530884E-2</v>
      </c>
      <c r="S51" s="12">
        <f si="30" t="shared"/>
        <v>4.2625162052661529E-2</v>
      </c>
      <c r="U51" s="19">
        <v>2</v>
      </c>
      <c r="V51" s="12">
        <f si="31" t="shared"/>
        <v>9.4541078049847904E-3</v>
      </c>
      <c r="W51" s="12">
        <f si="31" t="shared"/>
        <v>4.5912857087644296E-4</v>
      </c>
      <c r="X51" s="12">
        <f si="31" t="shared"/>
        <v>1.2284980239219638E-2</v>
      </c>
      <c r="Y51" s="12">
        <f si="31" t="shared"/>
        <v>2.8014197145740237E-2</v>
      </c>
      <c r="Z51" s="12">
        <f si="31" t="shared"/>
        <v>-7.6368253460880053E-3</v>
      </c>
      <c r="AA51" s="12">
        <f si="31" t="shared"/>
        <v>-3.1958379104803744E-2</v>
      </c>
      <c r="AB51" s="12">
        <f si="32" t="shared"/>
        <v>-9.499245192176254E-3</v>
      </c>
      <c r="AC51" s="12">
        <f si="33" t="shared"/>
        <v>4.7995448975998584E-3</v>
      </c>
    </row>
    <row r="52" spans="1:29" x14ac:dyDescent="0.2">
      <c r="A52" s="20">
        <v>3</v>
      </c>
      <c r="B52" s="12">
        <f ref="B52:I52" si="36" t="shared">B38/B$12</f>
        <v>1.8266886286311027E-2</v>
      </c>
      <c r="C52" s="12">
        <f si="36" t="shared"/>
        <v>8.6616210348685191E-3</v>
      </c>
      <c r="D52" s="12">
        <f si="36" t="shared"/>
        <v>1.4072525296802156E-2</v>
      </c>
      <c r="E52" s="12">
        <f si="36" t="shared"/>
        <v>5.1969519920580208E-3</v>
      </c>
      <c r="F52" s="12">
        <f si="36" t="shared"/>
        <v>1.9047289783452853E-2</v>
      </c>
      <c r="G52" s="12">
        <f si="36" t="shared"/>
        <v>2.7911314184867653E-3</v>
      </c>
      <c r="H52" s="12">
        <f si="36" t="shared"/>
        <v>1.2570218256796594E-2</v>
      </c>
      <c r="I52" s="12">
        <f si="36" t="shared"/>
        <v>1.3078764394084865E-2</v>
      </c>
      <c r="K52" s="20">
        <v>3</v>
      </c>
      <c r="L52" s="12">
        <f si="30" t="shared"/>
        <v>1.7974123554990593E-2</v>
      </c>
      <c r="M52" s="12">
        <f si="30" t="shared"/>
        <v>3.4871029167867621E-3</v>
      </c>
      <c r="N52" s="12">
        <f si="30" t="shared"/>
        <v>1.7807068882159851E-2</v>
      </c>
      <c r="O52" s="12">
        <f si="30" t="shared"/>
        <v>8.470552560915761E-3</v>
      </c>
      <c r="P52" s="12">
        <f si="30" t="shared"/>
        <v>9.9259276901824418E-3</v>
      </c>
      <c r="Q52" s="12">
        <f si="30" t="shared"/>
        <v>4.173450434543328E-3</v>
      </c>
      <c r="R52" s="12">
        <f si="30" t="shared"/>
        <v>5.2345489373179909E-3</v>
      </c>
      <c r="S52" s="12">
        <f si="30" t="shared"/>
        <v>1.1668895436917156E-2</v>
      </c>
      <c r="U52" s="20">
        <v>3</v>
      </c>
      <c r="V52" s="12">
        <f si="31" t="shared"/>
        <v>-2.9276273132043326E-4</v>
      </c>
      <c r="W52" s="12">
        <f si="31" t="shared"/>
        <v>-5.1745181180817574E-3</v>
      </c>
      <c r="X52" s="12">
        <f si="31" t="shared"/>
        <v>3.7345435853576945E-3</v>
      </c>
      <c r="Y52" s="12">
        <f si="31" t="shared"/>
        <v>3.2736005688577402E-3</v>
      </c>
      <c r="Z52" s="12">
        <f si="31" t="shared"/>
        <v>-9.1213620932704114E-3</v>
      </c>
      <c r="AA52" s="12">
        <f si="31" t="shared"/>
        <v>1.3823190160565627E-3</v>
      </c>
      <c r="AB52" s="12">
        <f si="32" t="shared"/>
        <v>-7.3356693194786028E-3</v>
      </c>
      <c r="AC52" s="12">
        <f si="33" t="shared"/>
        <v>-1.4098689571677096E-3</v>
      </c>
    </row>
    <row r="53" spans="1:29" x14ac:dyDescent="0.2">
      <c r="A53" s="20">
        <v>4</v>
      </c>
      <c r="B53" s="12">
        <f ref="B53:I53" si="37" t="shared">B39/B$12</f>
        <v>5.2002202911757712E-3</v>
      </c>
      <c r="C53" s="12">
        <f si="37" t="shared"/>
        <v>3.5615263160679534E-4</v>
      </c>
      <c r="D53" s="12">
        <f si="37" t="shared"/>
        <v>1.0401639345109919E-2</v>
      </c>
      <c r="E53" s="12">
        <f si="37" t="shared"/>
        <v>4.7291436894104375E-3</v>
      </c>
      <c r="F53" s="12">
        <f si="37" t="shared"/>
        <v>1.2728193258312374E-2</v>
      </c>
      <c r="G53" s="12">
        <f si="37" t="shared"/>
        <v>4.8006490945897507E-3</v>
      </c>
      <c r="H53" s="12">
        <f si="37" t="shared"/>
        <v>1.0954729651984128E-3</v>
      </c>
      <c r="I53" s="12">
        <f si="37" t="shared"/>
        <v>5.2200328943550192E-3</v>
      </c>
      <c r="K53" s="20">
        <v>4</v>
      </c>
      <c r="L53" s="12">
        <f si="30" t="shared"/>
        <v>5.0154490935063467E-3</v>
      </c>
      <c r="M53" s="12">
        <f si="30" t="shared"/>
        <v>5.7645874776149732E-4</v>
      </c>
      <c r="N53" s="12">
        <f si="30" t="shared"/>
        <v>4.1324206722817376E-3</v>
      </c>
      <c r="O53" s="12">
        <f si="30" t="shared"/>
        <v>1.2847470205439827E-3</v>
      </c>
      <c r="P53" s="12">
        <f si="30" t="shared"/>
        <v>1.6791311389510789E-3</v>
      </c>
      <c r="Q53" s="12">
        <f si="30" t="shared"/>
        <v>5.0448301956018248E-4</v>
      </c>
      <c r="R53" s="12">
        <f si="30" t="shared"/>
        <v>9.417616428711844E-4</v>
      </c>
      <c r="S53" s="12">
        <f si="30" t="shared"/>
        <v>2.7584136306915735E-3</v>
      </c>
      <c r="U53" s="20">
        <v>4</v>
      </c>
      <c r="V53" s="12">
        <f si="31" t="shared"/>
        <v>-1.8477119766942447E-4</v>
      </c>
      <c r="W53" s="12">
        <f si="31" t="shared"/>
        <v>2.2030611615470199E-4</v>
      </c>
      <c r="X53" s="12">
        <f si="31" t="shared"/>
        <v>-6.2692186728281812E-3</v>
      </c>
      <c r="Y53" s="12">
        <f si="31" t="shared"/>
        <v>-3.444396668866455E-3</v>
      </c>
      <c r="Z53" s="12">
        <f si="31" t="shared"/>
        <v>-1.1049062119361295E-2</v>
      </c>
      <c r="AA53" s="12">
        <f si="31" t="shared"/>
        <v>-4.2961660750295682E-3</v>
      </c>
      <c r="AB53" s="12">
        <f si="32" t="shared"/>
        <v>-1.5371132232722844E-4</v>
      </c>
      <c r="AC53" s="12">
        <f si="33" t="shared"/>
        <v>-2.4616192636634456E-3</v>
      </c>
    </row>
    <row r="54" spans="1:29" x14ac:dyDescent="0.2">
      <c r="A54" s="20">
        <v>5</v>
      </c>
      <c r="B54" s="12">
        <f ref="B54:I54" si="38" t="shared">B40/B$12</f>
        <v>8.7603611390521042E-4</v>
      </c>
      <c r="C54" s="12">
        <f si="38" t="shared"/>
        <v>7.3522013382582019E-4</v>
      </c>
      <c r="D54" s="12">
        <f si="38" t="shared"/>
        <v>1.1274468987908341E-2</v>
      </c>
      <c r="E54" s="12">
        <f si="38" t="shared"/>
        <v>1.9061474376218131E-3</v>
      </c>
      <c r="F54" s="12">
        <f si="38" t="shared"/>
        <v>4.7678174486725337E-3</v>
      </c>
      <c r="G54" s="12">
        <f si="38" t="shared"/>
        <v>3.4900313234577786E-3</v>
      </c>
      <c r="H54" s="12">
        <f si="38" t="shared"/>
        <v>2.2850907494061765E-3</v>
      </c>
      <c r="I54" s="12">
        <f si="38" t="shared"/>
        <v>2.837563269813203E-3</v>
      </c>
      <c r="K54" s="20">
        <v>5</v>
      </c>
      <c r="L54" s="12">
        <f si="30" t="shared"/>
        <v>1.0257442939040583E-3</v>
      </c>
      <c r="M54" s="12">
        <f si="30" t="shared"/>
        <v>7.560114724740948E-5</v>
      </c>
      <c r="N54" s="12">
        <f si="30" t="shared"/>
        <v>7.2775388686735032E-4</v>
      </c>
      <c r="O54" s="12">
        <f si="30" t="shared"/>
        <v>1.4363631285584899E-4</v>
      </c>
      <c r="P54" s="12">
        <f si="30" t="shared"/>
        <v>2.0244843519268328E-4</v>
      </c>
      <c r="Q54" s="12">
        <f si="30" t="shared"/>
        <v>6.1149456916385756E-5</v>
      </c>
      <c r="R54" s="12">
        <f si="30" t="shared"/>
        <v>1.4172141227673164E-4</v>
      </c>
      <c r="S54" s="12">
        <f si="30" t="shared"/>
        <v>5.0775120853066178E-4</v>
      </c>
      <c r="U54" s="20">
        <v>5</v>
      </c>
      <c r="V54" s="12">
        <f si="31" t="shared"/>
        <v>1.4970817999884788E-4</v>
      </c>
      <c r="W54" s="12">
        <f si="31" t="shared"/>
        <v>-6.5961898657841071E-4</v>
      </c>
      <c r="X54" s="12">
        <f si="31" t="shared"/>
        <v>-1.0546715101040991E-2</v>
      </c>
      <c r="Y54" s="12">
        <f si="31" t="shared"/>
        <v>-1.7625111247659641E-3</v>
      </c>
      <c r="Z54" s="12">
        <f si="31" t="shared"/>
        <v>-4.5653690134798506E-3</v>
      </c>
      <c r="AA54" s="12">
        <f si="31" t="shared"/>
        <v>-3.4288818665413928E-3</v>
      </c>
      <c r="AB54" s="12">
        <f si="32" t="shared"/>
        <v>-2.143369337129445E-3</v>
      </c>
      <c r="AC54" s="12">
        <f si="33" t="shared"/>
        <v>-2.3298120612825412E-3</v>
      </c>
    </row>
    <row r="55" spans="1:29" x14ac:dyDescent="0.2">
      <c r="A55" s="3" t="s">
        <v>209</v>
      </c>
      <c r="B55" s="13">
        <f ref="B55:I55" si="39" t="shared">B41/B$12</f>
        <v>3.7861211350489104E-3</v>
      </c>
      <c r="C55" s="13">
        <f si="39" t="shared"/>
        <v>0</v>
      </c>
      <c r="D55" s="13">
        <f si="39" t="shared"/>
        <v>7.2937064599532392E-3</v>
      </c>
      <c r="E55" s="13">
        <f si="39" t="shared"/>
        <v>1.2044557328220716E-3</v>
      </c>
      <c r="F55" s="13">
        <f si="39" t="shared"/>
        <v>2.4040502281825462E-3</v>
      </c>
      <c r="G55" s="13">
        <f si="39" t="shared"/>
        <v>3.185198508163737E-3</v>
      </c>
      <c r="H55" s="13">
        <f si="39" t="shared"/>
        <v>3.086242904058031E-3</v>
      </c>
      <c r="I55" s="13">
        <f si="39" t="shared"/>
        <v>3.0653471168765735E-3</v>
      </c>
      <c r="K55" s="3" t="s">
        <v>209</v>
      </c>
      <c r="L55" s="13">
        <f ref="L55:S55" si="40" t="shared">L41/L$42</f>
        <v>7.236846245335381E-4</v>
      </c>
      <c r="M55" s="13">
        <f si="40" t="shared"/>
        <v>3.3075501920741647E-5</v>
      </c>
      <c r="N55" s="13">
        <f si="40" t="shared"/>
        <v>4.5802692180462606E-4</v>
      </c>
      <c r="O55" s="13">
        <f si="40" t="shared"/>
        <v>3.9898975793291387E-5</v>
      </c>
      <c r="P55" s="13">
        <f si="40" t="shared"/>
        <v>5.3589291668651455E-5</v>
      </c>
      <c r="Q55" s="13">
        <f si="40" t="shared"/>
        <v>2.2931046343644662E-5</v>
      </c>
      <c r="R55" s="13">
        <f si="40" t="shared"/>
        <v>3.2001609223778109E-5</v>
      </c>
      <c r="S55" s="13">
        <f si="40" t="shared"/>
        <v>3.2341544369453025E-4</v>
      </c>
      <c r="U55" s="3" t="s">
        <v>209</v>
      </c>
      <c r="V55" s="12">
        <f si="31" t="shared"/>
        <v>-3.0624365105153721E-3</v>
      </c>
      <c r="W55" s="12">
        <f si="31" t="shared"/>
        <v>3.3075501920741647E-5</v>
      </c>
      <c r="X55" s="12">
        <f si="31" t="shared"/>
        <v>-6.8356795381486132E-3</v>
      </c>
      <c r="Y55" s="12">
        <f si="31" t="shared"/>
        <v>-1.1645567570287801E-3</v>
      </c>
      <c r="Z55" s="12">
        <f si="31" t="shared"/>
        <v>-2.3504609365138946E-3</v>
      </c>
      <c r="AA55" s="12">
        <f si="31" t="shared"/>
        <v>-3.1622674618200924E-3</v>
      </c>
      <c r="AB55" s="12">
        <f si="32" t="shared"/>
        <v>-3.054241294834253E-3</v>
      </c>
      <c r="AC55" s="12">
        <f si="33" t="shared"/>
        <v>-2.7419316731820431E-3</v>
      </c>
    </row>
    <row ht="13.5" r="56" spans="1:29" thickBot="1" x14ac:dyDescent="0.25">
      <c r="A56" s="21" t="s">
        <v>220</v>
      </c>
      <c r="B56" s="17">
        <f ref="B56:I56" si="41" t="shared">B42/B$12</f>
        <v>1.0000000000000004</v>
      </c>
      <c r="C56" s="17">
        <f si="41" t="shared"/>
        <v>1.0000000000000002</v>
      </c>
      <c r="D56" s="17">
        <f si="41" t="shared"/>
        <v>1.0000000000000002</v>
      </c>
      <c r="E56" s="17">
        <f si="41" t="shared"/>
        <v>0.99999999999999989</v>
      </c>
      <c r="F56" s="17">
        <f si="41" t="shared"/>
        <v>1.0000000000000002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220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220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288</v>
      </c>
      <c r="U62" s="2" t="s">
        <v>236</v>
      </c>
    </row>
    <row ht="13.5" r="63" spans="1:29" thickBot="1" x14ac:dyDescent="0.25"/>
    <row r="64" spans="1:29" x14ac:dyDescent="0.2">
      <c r="A64" s="5" t="s">
        <v>247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220</v>
      </c>
      <c r="K64" s="5" t="s">
        <v>247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220</v>
      </c>
      <c r="U64" s="5" t="s">
        <v>247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220</v>
      </c>
    </row>
    <row r="65" spans="1:29" x14ac:dyDescent="0.2">
      <c r="A65" s="18">
        <v>0</v>
      </c>
      <c r="B65" s="7">
        <f>output_NHTS!B168</f>
        <v>362468.837787</v>
      </c>
      <c r="C65" s="7">
        <f>output_NHTS!C168</f>
        <v>165343.102426</v>
      </c>
      <c r="D65" s="7">
        <f>output_NHTS!D168</f>
        <v>125196.015015</v>
      </c>
      <c r="E65" s="7">
        <f>output_NHTS!E168</f>
        <v>165233.585303</v>
      </c>
      <c r="F65" s="7">
        <f>output_NHTS!F168</f>
        <v>121309.75949500001</v>
      </c>
      <c r="G65" s="7">
        <f>output_NHTS!G168</f>
        <v>93193.670876000004</v>
      </c>
      <c r="H65" s="7">
        <f>output_NHTS!H168</f>
        <v>159609.177853</v>
      </c>
      <c r="I65" s="7">
        <f>output_NHTS!I168</f>
        <v>1192354.148755</v>
      </c>
      <c r="K65" s="18">
        <v>0</v>
      </c>
      <c r="L65" s="7">
        <f>output!B168</f>
        <v>389464</v>
      </c>
      <c r="M65" s="7">
        <f>output!C168</f>
        <v>157392</v>
      </c>
      <c r="N65" s="7">
        <f>output!D168</f>
        <v>124108</v>
      </c>
      <c r="O65" s="7">
        <f>output!E168</f>
        <v>187221</v>
      </c>
      <c r="P65" s="7">
        <f>output!F168</f>
        <v>123943</v>
      </c>
      <c r="Q65" s="7">
        <f>output!G168</f>
        <v>111453</v>
      </c>
      <c r="R65" s="7">
        <f>output!H168</f>
        <v>179782</v>
      </c>
      <c r="S65" s="7">
        <f>output!I168</f>
        <v>1273363</v>
      </c>
      <c r="U65" s="18">
        <v>0</v>
      </c>
      <c r="V65" s="7">
        <f ref="V65:AA72" si="43" t="shared">L65-B65</f>
        <v>26995.162213000003</v>
      </c>
      <c r="W65" s="7">
        <f si="43" t="shared"/>
        <v>-7951.1024259999976</v>
      </c>
      <c r="X65" s="7">
        <f si="43" t="shared"/>
        <v>-1088.0150149999972</v>
      </c>
      <c r="Y65" s="7">
        <f si="43" t="shared"/>
        <v>21987.414697</v>
      </c>
      <c r="Z65" s="7">
        <f si="43" t="shared"/>
        <v>2633.2405049999943</v>
      </c>
      <c r="AA65" s="7">
        <f si="43" t="shared"/>
        <v>18259.329123999996</v>
      </c>
      <c r="AB65" s="7">
        <f ref="AB65:AB72" si="44" t="shared">R65-H65</f>
        <v>20172.822146999999</v>
      </c>
      <c r="AC65" s="7">
        <f ref="AC65:AC72" si="45" t="shared">S65-I65</f>
        <v>81008.851245000027</v>
      </c>
    </row>
    <row r="66" spans="1:29" x14ac:dyDescent="0.2">
      <c r="A66" s="18">
        <v>1</v>
      </c>
      <c r="B66" s="7">
        <f>output_NHTS!B169</f>
        <v>126385.33496199999</v>
      </c>
      <c r="C66" s="7">
        <f>output_NHTS!C169</f>
        <v>38018.293282999999</v>
      </c>
      <c r="D66" s="7">
        <f>output_NHTS!D169</f>
        <v>32219.246330999998</v>
      </c>
      <c r="E66" s="7">
        <f>output_NHTS!E169</f>
        <v>40161.596966999998</v>
      </c>
      <c r="F66" s="7">
        <f>output_NHTS!F169</f>
        <v>17566.786050999999</v>
      </c>
      <c r="G66" s="7">
        <f>output_NHTS!G169</f>
        <v>14835.281238</v>
      </c>
      <c r="H66" s="7">
        <f>output_NHTS!H169</f>
        <v>26260.264404000001</v>
      </c>
      <c r="I66" s="7">
        <f>output_NHTS!I169</f>
        <v>295446.80323600001</v>
      </c>
      <c r="K66" s="18">
        <v>1</v>
      </c>
      <c r="L66" s="7">
        <f>output!B169</f>
        <v>168120</v>
      </c>
      <c r="M66" s="7">
        <f>output!C169</f>
        <v>40193</v>
      </c>
      <c r="N66" s="7">
        <f>output!D169</f>
        <v>54327</v>
      </c>
      <c r="O66" s="7">
        <f>output!E169</f>
        <v>51289</v>
      </c>
      <c r="P66" s="7">
        <f>output!F169</f>
        <v>35585</v>
      </c>
      <c r="Q66" s="7">
        <f>output!G169</f>
        <v>16782</v>
      </c>
      <c r="R66" s="7">
        <f>output!H169</f>
        <v>32813</v>
      </c>
      <c r="S66" s="7">
        <f>output!I169</f>
        <v>399109</v>
      </c>
      <c r="U66" s="18">
        <v>1</v>
      </c>
      <c r="V66" s="7">
        <f si="43" t="shared"/>
        <v>41734.665038000006</v>
      </c>
      <c r="W66" s="7">
        <f si="43" t="shared"/>
        <v>2174.7067170000009</v>
      </c>
      <c r="X66" s="7">
        <f si="43" t="shared"/>
        <v>22107.753669000002</v>
      </c>
      <c r="Y66" s="7">
        <f si="43" t="shared"/>
        <v>11127.403033000002</v>
      </c>
      <c r="Z66" s="7">
        <f si="43" t="shared"/>
        <v>18018.213949000001</v>
      </c>
      <c r="AA66" s="7">
        <f si="43" t="shared"/>
        <v>1946.7187620000004</v>
      </c>
      <c r="AB66" s="7">
        <f si="44" t="shared"/>
        <v>6552.7355959999986</v>
      </c>
      <c r="AC66" s="7">
        <f si="45" t="shared"/>
        <v>103662.19676399999</v>
      </c>
    </row>
    <row r="67" spans="1:29" x14ac:dyDescent="0.2">
      <c r="A67" s="19">
        <v>2</v>
      </c>
      <c r="B67" s="7">
        <f>output_NHTS!B170</f>
        <v>46954.250950000001</v>
      </c>
      <c r="C67" s="7">
        <f>output_NHTS!C170</f>
        <v>11952.40605</v>
      </c>
      <c r="D67" s="7">
        <f>output_NHTS!D170</f>
        <v>14010.503849999999</v>
      </c>
      <c r="E67" s="7">
        <f>output_NHTS!E170</f>
        <v>11749.419572000001</v>
      </c>
      <c r="F67" s="7">
        <f>output_NHTS!F170</f>
        <v>8206.0784399999993</v>
      </c>
      <c r="G67" s="7">
        <f>output_NHTS!G170</f>
        <v>3465.0161939999998</v>
      </c>
      <c r="H67" s="7">
        <f>output_NHTS!H170</f>
        <v>12160.275165999999</v>
      </c>
      <c r="I67" s="7">
        <f>output_NHTS!I170</f>
        <v>108497.95022199998</v>
      </c>
      <c r="K67" s="19">
        <v>2</v>
      </c>
      <c r="L67" s="7">
        <f>output!B170</f>
        <v>55693</v>
      </c>
      <c r="M67" s="7">
        <f>output!C170</f>
        <v>11310</v>
      </c>
      <c r="N67" s="7">
        <f>output!D170</f>
        <v>14072</v>
      </c>
      <c r="O67" s="7">
        <f>output!E170</f>
        <v>10174</v>
      </c>
      <c r="P67" s="7">
        <f>output!F170</f>
        <v>7104</v>
      </c>
      <c r="Q67" s="7">
        <f>output!G170</f>
        <v>2273</v>
      </c>
      <c r="R67" s="7">
        <f>output!H170</f>
        <v>5146</v>
      </c>
      <c r="S67" s="7">
        <f>output!I170</f>
        <v>105772</v>
      </c>
      <c r="U67" s="19">
        <v>2</v>
      </c>
      <c r="V67" s="7">
        <f si="43" t="shared"/>
        <v>8738.7490499999985</v>
      </c>
      <c r="W67" s="7">
        <f si="43" t="shared"/>
        <v>-642.4060499999996</v>
      </c>
      <c r="X67" s="7">
        <f si="43" t="shared"/>
        <v>61.496150000000853</v>
      </c>
      <c r="Y67" s="7">
        <f si="43" t="shared"/>
        <v>-1575.4195720000007</v>
      </c>
      <c r="Z67" s="7">
        <f si="43" t="shared"/>
        <v>-1102.0784399999993</v>
      </c>
      <c r="AA67" s="7">
        <f si="43" t="shared"/>
        <v>-1192.0161939999998</v>
      </c>
      <c r="AB67" s="7">
        <f si="44" t="shared"/>
        <v>-7014.2751659999994</v>
      </c>
      <c r="AC67" s="7">
        <f si="45" t="shared"/>
        <v>-2725.9502219999849</v>
      </c>
    </row>
    <row r="68" spans="1:29" x14ac:dyDescent="0.2">
      <c r="A68" s="20">
        <v>3</v>
      </c>
      <c r="B68" s="7">
        <f>output_NHTS!B171</f>
        <v>18503.883906999999</v>
      </c>
      <c r="C68" s="7">
        <f>output_NHTS!C171</f>
        <v>3601.4458559999998</v>
      </c>
      <c r="D68" s="7">
        <f>output_NHTS!D171</f>
        <v>5274.5849740000003</v>
      </c>
      <c r="E68" s="7">
        <f>output_NHTS!E171</f>
        <v>3525.8210060000001</v>
      </c>
      <c r="F68" s="7">
        <f>output_NHTS!F171</f>
        <v>2400.6551079999999</v>
      </c>
      <c r="G68" s="7">
        <f>output_NHTS!G171</f>
        <v>1136.1214219999999</v>
      </c>
      <c r="H68" s="7">
        <f>output_NHTS!H171</f>
        <v>1079.1418659999999</v>
      </c>
      <c r="I68" s="7">
        <f>output_NHTS!I171</f>
        <v>35521.654138999991</v>
      </c>
      <c r="K68" s="20">
        <v>3</v>
      </c>
      <c r="L68" s="7">
        <f>output!B171</f>
        <v>15645</v>
      </c>
      <c r="M68" s="7">
        <f>output!C171</f>
        <v>2200</v>
      </c>
      <c r="N68" s="7">
        <f>output!D171</f>
        <v>3042</v>
      </c>
      <c r="O68" s="7">
        <f>output!E171</f>
        <v>1635</v>
      </c>
      <c r="P68" s="7">
        <f>output!F171</f>
        <v>1122</v>
      </c>
      <c r="Q68" s="7">
        <f>output!G171</f>
        <v>274</v>
      </c>
      <c r="R68" s="7">
        <f>output!H171</f>
        <v>829</v>
      </c>
      <c r="S68" s="7">
        <f>output!I171</f>
        <v>24747</v>
      </c>
      <c r="U68" s="20">
        <v>3</v>
      </c>
      <c r="V68" s="7">
        <f si="43" t="shared"/>
        <v>-2858.8839069999995</v>
      </c>
      <c r="W68" s="7">
        <f si="43" t="shared"/>
        <v>-1401.4458559999998</v>
      </c>
      <c r="X68" s="7">
        <f si="43" t="shared"/>
        <v>-2232.5849740000003</v>
      </c>
      <c r="Y68" s="7">
        <f si="43" t="shared"/>
        <v>-1890.8210060000001</v>
      </c>
      <c r="Z68" s="7">
        <f si="43" t="shared"/>
        <v>-1278.6551079999999</v>
      </c>
      <c r="AA68" s="7">
        <f si="43" t="shared"/>
        <v>-862.12142199999994</v>
      </c>
      <c r="AB68" s="7">
        <f si="44" t="shared"/>
        <v>-250.14186599999994</v>
      </c>
      <c r="AC68" s="7">
        <f si="45" t="shared"/>
        <v>-10774.654138999991</v>
      </c>
    </row>
    <row r="69" spans="1:29" x14ac:dyDescent="0.2">
      <c r="A69" s="20">
        <v>4</v>
      </c>
      <c r="B69" s="7">
        <f>output_NHTS!B172</f>
        <v>4776.804932</v>
      </c>
      <c r="C69" s="7">
        <f>output_NHTS!C172</f>
        <v>1460.5992469999999</v>
      </c>
      <c r="D69" s="7">
        <f>output_NHTS!D172</f>
        <v>2868.7253179999998</v>
      </c>
      <c r="E69" s="7">
        <f>output_NHTS!E172</f>
        <v>1490.7333249999999</v>
      </c>
      <c r="F69" s="7">
        <f>output_NHTS!F172</f>
        <v>568.47479199999998</v>
      </c>
      <c r="G69" s="7">
        <f>output_NHTS!G172</f>
        <v>528.18555900000001</v>
      </c>
      <c r="H69" s="7">
        <f>output_NHTS!H172</f>
        <v>253.32379599999999</v>
      </c>
      <c r="I69" s="7">
        <f>output_NHTS!I172</f>
        <v>11946.846969</v>
      </c>
      <c r="K69" s="20">
        <v>4</v>
      </c>
      <c r="L69" s="7">
        <f>output!B172</f>
        <v>5026</v>
      </c>
      <c r="M69" s="7">
        <f>output!C172</f>
        <v>442</v>
      </c>
      <c r="N69" s="7">
        <f>output!D172</f>
        <v>739</v>
      </c>
      <c r="O69" s="7">
        <f>output!E172</f>
        <v>273</v>
      </c>
      <c r="P69" s="7">
        <f>output!F172</f>
        <v>169</v>
      </c>
      <c r="Q69" s="7">
        <f>output!G172</f>
        <v>39</v>
      </c>
      <c r="R69" s="7">
        <f>output!H172</f>
        <v>141</v>
      </c>
      <c r="S69" s="7">
        <f>output!I172</f>
        <v>6829</v>
      </c>
      <c r="U69" s="20">
        <v>4</v>
      </c>
      <c r="V69" s="7">
        <f si="43" t="shared"/>
        <v>249.19506799999999</v>
      </c>
      <c r="W69" s="7">
        <f si="43" t="shared"/>
        <v>-1018.5992469999999</v>
      </c>
      <c r="X69" s="7">
        <f si="43" t="shared"/>
        <v>-2129.7253179999998</v>
      </c>
      <c r="Y69" s="7">
        <f si="43" t="shared"/>
        <v>-1217.7333249999999</v>
      </c>
      <c r="Z69" s="7">
        <f si="43" t="shared"/>
        <v>-399.47479199999998</v>
      </c>
      <c r="AA69" s="7">
        <f si="43" t="shared"/>
        <v>-489.18555900000001</v>
      </c>
      <c r="AB69" s="7">
        <f si="44" t="shared"/>
        <v>-112.32379599999999</v>
      </c>
      <c r="AC69" s="7">
        <f si="45" t="shared"/>
        <v>-5117.8469690000002</v>
      </c>
    </row>
    <row r="70" spans="1:29" x14ac:dyDescent="0.2">
      <c r="A70" s="20">
        <v>5</v>
      </c>
      <c r="B70" s="7">
        <f>output_NHTS!B173</f>
        <v>4641.797536</v>
      </c>
      <c r="C70" s="7">
        <f>output_NHTS!C173</f>
        <v>485.72002499999996</v>
      </c>
      <c r="D70" s="7">
        <f>output_NHTS!D173</f>
        <v>1488.0818469999999</v>
      </c>
      <c r="E70" s="7">
        <f>output_NHTS!E173</f>
        <v>590.20616700000005</v>
      </c>
      <c r="F70" s="7">
        <f>output_NHTS!F173</f>
        <v>497.802819</v>
      </c>
      <c r="G70" s="7">
        <f>output_NHTS!G173</f>
        <v>1528.36357</v>
      </c>
      <c r="H70" s="7">
        <f>output_NHTS!H173</f>
        <v>426.99530699999997</v>
      </c>
      <c r="I70" s="7">
        <f>output_NHTS!I173</f>
        <v>9658.9672709999995</v>
      </c>
      <c r="K70" s="20">
        <v>5</v>
      </c>
      <c r="L70" s="7">
        <f>output!B173</f>
        <v>876</v>
      </c>
      <c r="M70" s="7">
        <f>output!C173</f>
        <v>68</v>
      </c>
      <c r="N70" s="7">
        <f>output!D173</f>
        <v>123</v>
      </c>
      <c r="O70" s="7">
        <f>output!E173</f>
        <v>33</v>
      </c>
      <c r="P70" s="7">
        <f>output!F173</f>
        <v>11</v>
      </c>
      <c r="Q70" s="7">
        <f>output!G173</f>
        <v>4</v>
      </c>
      <c r="R70" s="7">
        <f>output!H173</f>
        <v>15</v>
      </c>
      <c r="S70" s="7">
        <f>output!I173</f>
        <v>1130</v>
      </c>
      <c r="U70" s="20">
        <v>5</v>
      </c>
      <c r="V70" s="7">
        <f si="43" t="shared"/>
        <v>-3765.797536</v>
      </c>
      <c r="W70" s="7">
        <f si="43" t="shared"/>
        <v>-417.72002499999996</v>
      </c>
      <c r="X70" s="7">
        <f si="43" t="shared"/>
        <v>-1365.0818469999999</v>
      </c>
      <c r="Y70" s="7">
        <f si="43" t="shared"/>
        <v>-557.20616700000005</v>
      </c>
      <c r="Z70" s="7">
        <f si="43" t="shared"/>
        <v>-486.802819</v>
      </c>
      <c r="AA70" s="7">
        <f si="43" t="shared"/>
        <v>-1524.36357</v>
      </c>
      <c r="AB70" s="7">
        <f si="44" t="shared"/>
        <v>-411.99530699999997</v>
      </c>
      <c r="AC70" s="7">
        <f si="45" t="shared"/>
        <v>-8528.9672709999995</v>
      </c>
    </row>
    <row r="71" spans="1:29" x14ac:dyDescent="0.2">
      <c r="A71" s="3" t="s">
        <v>209</v>
      </c>
      <c r="B71" s="9">
        <f>output_NHTS!B174</f>
        <v>3684.5915359999999</v>
      </c>
      <c r="C71" s="9">
        <f>output_NHTS!C174</f>
        <v>575.81697899999995</v>
      </c>
      <c r="D71" s="9">
        <f>output_NHTS!D174</f>
        <v>521.19453199999998</v>
      </c>
      <c r="E71" s="9">
        <f>output_NHTS!E174</f>
        <v>968.41220800000008</v>
      </c>
      <c r="F71" s="9">
        <f>output_NHTS!F174</f>
        <v>37.361885999999998</v>
      </c>
      <c r="G71" s="9">
        <f>output_NHTS!G174</f>
        <v>0</v>
      </c>
      <c r="H71" s="9">
        <f>output_NHTS!H174</f>
        <v>302.96898499999998</v>
      </c>
      <c r="I71" s="9">
        <f>output_NHTS!I174</f>
        <v>6090.3461260000004</v>
      </c>
      <c r="K71" s="3" t="s">
        <v>209</v>
      </c>
      <c r="L71" s="9">
        <f>output!B174</f>
        <v>812</v>
      </c>
      <c r="M71" s="9">
        <f>output!C174</f>
        <v>32</v>
      </c>
      <c r="N71" s="9">
        <f>output!D174</f>
        <v>84</v>
      </c>
      <c r="O71" s="9">
        <f>output!E174</f>
        <v>8</v>
      </c>
      <c r="P71" s="9">
        <f>output!F174</f>
        <v>10</v>
      </c>
      <c r="Q71" s="9">
        <f>output!G174</f>
        <v>2</v>
      </c>
      <c r="R71" s="9">
        <f>output!H174</f>
        <v>13</v>
      </c>
      <c r="S71" s="9">
        <f>output!I174</f>
        <v>961</v>
      </c>
      <c r="U71" s="3" t="s">
        <v>209</v>
      </c>
      <c r="V71" s="9">
        <f si="43" t="shared"/>
        <v>-2872.5915359999999</v>
      </c>
      <c r="W71" s="9">
        <f si="43" t="shared"/>
        <v>-543.81697899999995</v>
      </c>
      <c r="X71" s="9">
        <f si="43" t="shared"/>
        <v>-437.19453199999998</v>
      </c>
      <c r="Y71" s="9">
        <f si="43" t="shared"/>
        <v>-960.41220800000008</v>
      </c>
      <c r="Z71" s="9">
        <f si="43" t="shared"/>
        <v>-27.361885999999998</v>
      </c>
      <c r="AA71" s="9">
        <f si="43" t="shared"/>
        <v>2</v>
      </c>
      <c r="AB71" s="9">
        <f si="44" t="shared"/>
        <v>-289.96898499999998</v>
      </c>
      <c r="AC71" s="9">
        <f si="45" t="shared"/>
        <v>-5129.3461260000004</v>
      </c>
    </row>
    <row ht="13.5" r="72" spans="1:29" thickBot="1" x14ac:dyDescent="0.25">
      <c r="A72" s="21" t="s">
        <v>220</v>
      </c>
      <c r="B72" s="22">
        <f ref="B72:I72" si="46" t="shared">SUM(B65:B71)</f>
        <v>567415.50161000004</v>
      </c>
      <c r="C72" s="22">
        <f si="46" t="shared"/>
        <v>221437.38386599999</v>
      </c>
      <c r="D72" s="22">
        <f si="46" t="shared"/>
        <v>181578.35186699999</v>
      </c>
      <c r="E72" s="22">
        <f si="46" t="shared"/>
        <v>223719.77454800002</v>
      </c>
      <c r="F72" s="22">
        <f si="46" t="shared"/>
        <v>150586.91859100002</v>
      </c>
      <c r="G72" s="22">
        <f si="46" t="shared"/>
        <v>114686.638859</v>
      </c>
      <c r="H72" s="22">
        <f si="46" t="shared"/>
        <v>200092.14737700004</v>
      </c>
      <c r="I72" s="22">
        <f si="46" t="shared"/>
        <v>1659516.7167179999</v>
      </c>
      <c r="K72" s="21" t="s">
        <v>220</v>
      </c>
      <c r="L72" s="22">
        <f>SUM(L65:L71)</f>
        <v>635636</v>
      </c>
      <c r="M72" s="22">
        <f ref="M72:S72" si="47" t="shared">SUM(M65:M71)</f>
        <v>211637</v>
      </c>
      <c r="N72" s="22">
        <f si="47" t="shared"/>
        <v>196495</v>
      </c>
      <c r="O72" s="22">
        <f si="47" t="shared"/>
        <v>250633</v>
      </c>
      <c r="P72" s="22">
        <f si="47" t="shared"/>
        <v>167944</v>
      </c>
      <c r="Q72" s="22">
        <f si="47" t="shared"/>
        <v>130827</v>
      </c>
      <c r="R72" s="22">
        <f si="47" t="shared"/>
        <v>218739</v>
      </c>
      <c r="S72" s="22">
        <f si="47" t="shared"/>
        <v>1811911</v>
      </c>
      <c r="U72" s="21" t="s">
        <v>220</v>
      </c>
      <c r="V72" s="22">
        <f si="43" t="shared"/>
        <v>68220.498389999964</v>
      </c>
      <c r="W72" s="22">
        <f si="43" t="shared"/>
        <v>-9800.3838659999892</v>
      </c>
      <c r="X72" s="22">
        <f si="43" t="shared"/>
        <v>14916.64813300001</v>
      </c>
      <c r="Y72" s="22">
        <f si="43" t="shared"/>
        <v>26913.225451999984</v>
      </c>
      <c r="Z72" s="22">
        <f si="43" t="shared"/>
        <v>17357.081408999977</v>
      </c>
      <c r="AA72" s="22">
        <f si="43" t="shared"/>
        <v>16140.361141000001</v>
      </c>
      <c r="AB72" s="22">
        <f si="44" t="shared"/>
        <v>18646.852622999955</v>
      </c>
      <c r="AC72" s="22">
        <f si="45" t="shared"/>
        <v>152394.28328200011</v>
      </c>
    </row>
    <row r="74" spans="1:29" x14ac:dyDescent="0.2">
      <c r="B74" s="7">
        <f>SUM(B66:B71)</f>
        <v>204946.66382299998</v>
      </c>
      <c r="C74" s="7">
        <f ref="C74:H74" si="48" t="shared">SUM(C66:C71)</f>
        <v>56094.281439999999</v>
      </c>
      <c r="D74" s="7">
        <f si="48" t="shared"/>
        <v>56382.336851999993</v>
      </c>
      <c r="E74" s="7">
        <f si="48" t="shared"/>
        <v>58486.189244999994</v>
      </c>
      <c r="F74" s="7">
        <f si="48" t="shared"/>
        <v>29277.159095999999</v>
      </c>
      <c r="G74" s="7">
        <f si="48" t="shared"/>
        <v>21492.967983000002</v>
      </c>
      <c r="H74" s="7">
        <f si="48" t="shared"/>
        <v>40482.969523999993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264</v>
      </c>
    </row>
    <row ht="13.5" r="77" spans="1:29" thickBot="1" x14ac:dyDescent="0.25"/>
    <row r="78" spans="1:29" x14ac:dyDescent="0.2">
      <c r="A78" s="5" t="s">
        <v>247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220</v>
      </c>
      <c r="K78" s="5" t="s">
        <v>247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220</v>
      </c>
      <c r="U78" s="5" t="s">
        <v>247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220</v>
      </c>
    </row>
    <row r="79" spans="1:29" x14ac:dyDescent="0.2">
      <c r="A79" s="18">
        <v>0</v>
      </c>
      <c r="B79" s="12">
        <f ref="B79:I79" si="49" t="shared">B65/B$12</f>
        <v>0.63880672409992545</v>
      </c>
      <c r="C79" s="12">
        <f si="49" t="shared"/>
        <v>0.74668106865846684</v>
      </c>
      <c r="D79" s="12">
        <f si="49" t="shared"/>
        <v>0.68948756130742872</v>
      </c>
      <c r="E79" s="12">
        <f si="49" t="shared"/>
        <v>0.73857389511872784</v>
      </c>
      <c r="F79" s="12">
        <f si="49" t="shared"/>
        <v>0.80557966541889414</v>
      </c>
      <c r="G79" s="12">
        <f si="49" t="shared"/>
        <v>0.81259396738076672</v>
      </c>
      <c r="H79" s="12">
        <f si="49" t="shared"/>
        <v>0.79767836941784265</v>
      </c>
      <c r="I79" s="12">
        <f si="49" t="shared"/>
        <v>0.71849481041269647</v>
      </c>
      <c r="K79" s="18">
        <v>0</v>
      </c>
      <c r="L79" s="12">
        <f ref="L79:S84" si="50" t="shared">L65/L$72</f>
        <v>0.61271545349854317</v>
      </c>
      <c r="M79" s="12">
        <f si="50" t="shared"/>
        <v>0.743688485472767</v>
      </c>
      <c r="N79" s="12">
        <f si="50" t="shared"/>
        <v>0.63160894679253921</v>
      </c>
      <c r="O79" s="12">
        <f si="50" t="shared"/>
        <v>0.74699261469958067</v>
      </c>
      <c r="P79" s="12">
        <f si="50" t="shared"/>
        <v>0.73800195303196303</v>
      </c>
      <c r="Q79" s="12">
        <f si="50" t="shared"/>
        <v>0.85191130271274274</v>
      </c>
      <c r="R79" s="12">
        <f si="50" t="shared"/>
        <v>0.82190190135275376</v>
      </c>
      <c r="S79" s="12">
        <f si="50" t="shared"/>
        <v>0.70277348059590128</v>
      </c>
      <c r="U79" s="18">
        <v>0</v>
      </c>
      <c r="V79" s="12">
        <f ref="V79:AA86" si="51" t="shared">L79-B79</f>
        <v>-2.6091270601382277E-2</v>
      </c>
      <c r="W79" s="12">
        <f si="51" t="shared"/>
        <v>-2.9925831856998375E-3</v>
      </c>
      <c r="X79" s="12">
        <f si="51" t="shared"/>
        <v>-5.7878614514889515E-2</v>
      </c>
      <c r="Y79" s="12">
        <f si="51" t="shared"/>
        <v>8.4187195808528292E-3</v>
      </c>
      <c r="Z79" s="12">
        <f si="51" t="shared"/>
        <v>-6.757771238693111E-2</v>
      </c>
      <c r="AA79" s="12">
        <f si="51" t="shared"/>
        <v>3.9317335331976011E-2</v>
      </c>
      <c r="AB79" s="12">
        <f ref="AB79:AB86" si="52" t="shared">R79-H79</f>
        <v>2.4223531934911113E-2</v>
      </c>
      <c r="AC79" s="12">
        <f ref="AC79:AC86" si="53" t="shared">S79-I79</f>
        <v>-1.5721329816795193E-2</v>
      </c>
    </row>
    <row r="80" spans="1:29" x14ac:dyDescent="0.2">
      <c r="A80" s="18">
        <v>1</v>
      </c>
      <c r="B80" s="12">
        <f ref="B80:I80" si="54" t="shared">B66/B$12</f>
        <v>0.22273860090778427</v>
      </c>
      <c r="C80" s="12">
        <f si="54" t="shared"/>
        <v>0.17168868516802155</v>
      </c>
      <c r="D80" s="12">
        <f si="54" t="shared"/>
        <v>0.17743990954714423</v>
      </c>
      <c r="E80" s="12">
        <f si="54" t="shared"/>
        <v>0.17951742106008228</v>
      </c>
      <c r="F80" s="12">
        <f si="54" t="shared"/>
        <v>0.11665545862394652</v>
      </c>
      <c r="G80" s="12">
        <f si="54" t="shared"/>
        <v>0.12935492212165225</v>
      </c>
      <c r="H80" s="12">
        <f si="54" t="shared"/>
        <v>0.13124085451750489</v>
      </c>
      <c r="I80" s="12">
        <f si="54" t="shared"/>
        <v>0.17803183315941551</v>
      </c>
      <c r="K80" s="18">
        <v>1</v>
      </c>
      <c r="L80" s="12">
        <f si="50" t="shared"/>
        <v>0.26449099799256176</v>
      </c>
      <c r="M80" s="12">
        <f si="50" t="shared"/>
        <v>0.18991480695719556</v>
      </c>
      <c r="N80" s="12">
        <f si="50" t="shared"/>
        <v>0.27648031756533248</v>
      </c>
      <c r="O80" s="12">
        <f si="50" t="shared"/>
        <v>0.2046378569462122</v>
      </c>
      <c r="P80" s="12">
        <f si="50" t="shared"/>
        <v>0.21188610489210688</v>
      </c>
      <c r="Q80" s="12">
        <f si="50" t="shared"/>
        <v>0.12827627324634824</v>
      </c>
      <c r="R80" s="12">
        <f si="50" t="shared"/>
        <v>0.15000982906569016</v>
      </c>
      <c r="S80" s="12">
        <f si="50" t="shared"/>
        <v>0.22026964900593904</v>
      </c>
      <c r="U80" s="18">
        <v>1</v>
      </c>
      <c r="V80" s="12">
        <f si="51" t="shared"/>
        <v>4.1752397084777487E-2</v>
      </c>
      <c r="W80" s="12">
        <f si="51" t="shared"/>
        <v>1.8226121789174016E-2</v>
      </c>
      <c r="X80" s="12">
        <f si="51" t="shared"/>
        <v>9.9040408018188253E-2</v>
      </c>
      <c r="Y80" s="12">
        <f si="51" t="shared"/>
        <v>2.5120435886129916E-2</v>
      </c>
      <c r="Z80" s="12">
        <f si="51" t="shared"/>
        <v>9.5230646268160357E-2</v>
      </c>
      <c r="AA80" s="12">
        <f si="51" t="shared"/>
        <v>-1.0786488753040113E-3</v>
      </c>
      <c r="AB80" s="12">
        <f si="52" t="shared"/>
        <v>1.8768974548185269E-2</v>
      </c>
      <c r="AC80" s="12">
        <f si="53" t="shared"/>
        <v>4.223781584652353E-2</v>
      </c>
    </row>
    <row r="81" spans="1:29" x14ac:dyDescent="0.2">
      <c r="A81" s="19">
        <v>2</v>
      </c>
      <c r="B81" s="12">
        <f ref="B81:I81" si="55" t="shared">B67/B$12</f>
        <v>8.2751089486929344E-2</v>
      </c>
      <c r="C81" s="12">
        <f si="55" t="shared"/>
        <v>5.3976459806953134E-2</v>
      </c>
      <c r="D81" s="12">
        <f si="55" t="shared"/>
        <v>7.7159549615596373E-2</v>
      </c>
      <c r="E81" s="12">
        <f si="55" t="shared"/>
        <v>5.2518466888938839E-2</v>
      </c>
      <c r="F81" s="12">
        <f si="55" t="shared"/>
        <v>5.4493966121240807E-2</v>
      </c>
      <c r="G81" s="12">
        <f si="55" t="shared"/>
        <v>3.0212902117220643E-2</v>
      </c>
      <c r="H81" s="12">
        <f si="55" t="shared"/>
        <v>6.0773375294375938E-2</v>
      </c>
      <c r="I81" s="12">
        <f si="55" t="shared"/>
        <v>6.537924513142275E-2</v>
      </c>
      <c r="K81" s="19">
        <v>2</v>
      </c>
      <c r="L81" s="12">
        <f si="50" t="shared"/>
        <v>8.7617756074231168E-2</v>
      </c>
      <c r="M81" s="12">
        <f si="50" t="shared"/>
        <v>5.3440560960512577E-2</v>
      </c>
      <c r="N81" s="12">
        <f si="50" t="shared"/>
        <v>7.1615053818163313E-2</v>
      </c>
      <c r="O81" s="12">
        <f si="50" t="shared"/>
        <v>4.0593217972094656E-2</v>
      </c>
      <c r="P81" s="12">
        <f si="50" t="shared"/>
        <v>4.2299814223788881E-2</v>
      </c>
      <c r="Q81" s="12">
        <f si="50" t="shared"/>
        <v>1.7374089446368104E-2</v>
      </c>
      <c r="R81" s="12">
        <f si="50" t="shared"/>
        <v>2.352575443793745E-2</v>
      </c>
      <c r="S81" s="12">
        <f si="50" t="shared"/>
        <v>5.837593568337518E-2</v>
      </c>
      <c r="U81" s="19">
        <v>2</v>
      </c>
      <c r="V81" s="12">
        <f si="51" t="shared"/>
        <v>4.8666665873018239E-3</v>
      </c>
      <c r="W81" s="12">
        <f si="51" t="shared"/>
        <v>-5.3589884644055646E-4</v>
      </c>
      <c r="X81" s="12">
        <f si="51" t="shared"/>
        <v>-5.5444957974330605E-3</v>
      </c>
      <c r="Y81" s="12">
        <f si="51" t="shared"/>
        <v>-1.1925248916844183E-2</v>
      </c>
      <c r="Z81" s="12">
        <f si="51" t="shared"/>
        <v>-1.2194151897451926E-2</v>
      </c>
      <c r="AA81" s="12">
        <f si="51" t="shared"/>
        <v>-1.2838812670852538E-2</v>
      </c>
      <c r="AB81" s="12">
        <f si="52" t="shared"/>
        <v>-3.7247620856438485E-2</v>
      </c>
      <c r="AC81" s="12">
        <f si="53" t="shared"/>
        <v>-7.0033094480475705E-3</v>
      </c>
    </row>
    <row r="82" spans="1:29" x14ac:dyDescent="0.2">
      <c r="A82" s="20">
        <v>3</v>
      </c>
      <c r="B82" s="12">
        <f ref="B82:I82" si="56" t="shared">B68/B$12</f>
        <v>3.2610818446969787E-2</v>
      </c>
      <c r="C82" s="12">
        <f si="56" t="shared"/>
        <v>1.6263946914127966E-2</v>
      </c>
      <c r="D82" s="12">
        <f si="56" t="shared"/>
        <v>2.9048534254036276E-2</v>
      </c>
      <c r="E82" s="12">
        <f si="56" t="shared"/>
        <v>1.5759988195605482E-2</v>
      </c>
      <c r="F82" s="12">
        <f si="56" t="shared"/>
        <v>1.5941989719042423E-2</v>
      </c>
      <c r="G82" s="12">
        <f si="56" t="shared"/>
        <v>9.9063102145385031E-3</v>
      </c>
      <c r="H82" s="12">
        <f si="56" t="shared"/>
        <v>5.3932244725564083E-3</v>
      </c>
      <c r="I82" s="12">
        <f si="56" t="shared"/>
        <v>2.1404818512012702E-2</v>
      </c>
      <c r="K82" s="20">
        <v>3</v>
      </c>
      <c r="L82" s="12">
        <f si="50" t="shared"/>
        <v>2.4613143371363486E-2</v>
      </c>
      <c r="M82" s="12">
        <f si="50" t="shared"/>
        <v>1.0395157746518804E-2</v>
      </c>
      <c r="N82" s="12">
        <f si="50" t="shared"/>
        <v>1.5481309956996361E-2</v>
      </c>
      <c r="O82" s="12">
        <f si="50" t="shared"/>
        <v>6.5234825422031415E-3</v>
      </c>
      <c r="P82" s="12">
        <f si="50" t="shared"/>
        <v>6.6807983613585481E-3</v>
      </c>
      <c r="Q82" s="12">
        <f si="50" t="shared"/>
        <v>2.0943688993862123E-3</v>
      </c>
      <c r="R82" s="12">
        <f si="50" t="shared"/>
        <v>3.7899048637874363E-3</v>
      </c>
      <c r="S82" s="12">
        <f si="50" t="shared"/>
        <v>1.365795560598727E-2</v>
      </c>
      <c r="U82" s="20">
        <v>3</v>
      </c>
      <c r="V82" s="12">
        <f si="51" t="shared"/>
        <v>-7.9976750756063017E-3</v>
      </c>
      <c r="W82" s="12">
        <f si="51" t="shared"/>
        <v>-5.8687891676091619E-3</v>
      </c>
      <c r="X82" s="12">
        <f si="51" t="shared"/>
        <v>-1.3567224297039914E-2</v>
      </c>
      <c r="Y82" s="12">
        <f si="51" t="shared"/>
        <v>-9.2365056534023417E-3</v>
      </c>
      <c r="Z82" s="12">
        <f si="51" t="shared"/>
        <v>-9.2611913576838741E-3</v>
      </c>
      <c r="AA82" s="12">
        <f si="51" t="shared"/>
        <v>-7.8119413151522907E-3</v>
      </c>
      <c r="AB82" s="12">
        <f si="52" t="shared"/>
        <v>-1.603319608768972E-3</v>
      </c>
      <c r="AC82" s="12">
        <f si="53" t="shared"/>
        <v>-7.746862906025432E-3</v>
      </c>
    </row>
    <row r="83" spans="1:29" x14ac:dyDescent="0.2">
      <c r="A83" s="20">
        <v>4</v>
      </c>
      <c r="B83" s="12">
        <f ref="B83:I83" si="57" t="shared">B69/B$12</f>
        <v>8.4185308974572704E-3</v>
      </c>
      <c r="C83" s="12">
        <f si="57" t="shared"/>
        <v>6.5959921558857611E-3</v>
      </c>
      <c r="D83" s="12">
        <f si="57" t="shared"/>
        <v>1.5798828927036657E-2</v>
      </c>
      <c r="E83" s="12">
        <f si="57" t="shared"/>
        <v>6.6633954374925265E-3</v>
      </c>
      <c r="F83" s="12">
        <f si="57" t="shared"/>
        <v>3.7750609237446448E-3</v>
      </c>
      <c r="G83" s="12">
        <f si="57" t="shared"/>
        <v>4.6054672475786037E-3</v>
      </c>
      <c r="H83" s="12">
        <f si="57" t="shared"/>
        <v>1.2660356706687972E-3</v>
      </c>
      <c r="I83" s="12">
        <f si="57" t="shared"/>
        <v>7.1989916393412953E-3</v>
      </c>
      <c r="K83" s="20">
        <v>4</v>
      </c>
      <c r="L83" s="12">
        <f si="50" t="shared"/>
        <v>7.9070411367512233E-3</v>
      </c>
      <c r="M83" s="12">
        <f si="50" t="shared"/>
        <v>2.088481692709687E-3</v>
      </c>
      <c r="N83" s="12">
        <f si="50" t="shared"/>
        <v>3.7609099468179853E-3</v>
      </c>
      <c r="O83" s="12">
        <f si="50" t="shared"/>
        <v>1.0892420391568549E-3</v>
      </c>
      <c r="P83" s="12">
        <f si="50" t="shared"/>
        <v>1.0062878102224551E-3</v>
      </c>
      <c r="Q83" s="12">
        <f si="50" t="shared"/>
        <v>2.9810360246738059E-4</v>
      </c>
      <c r="R83" s="12">
        <f si="50" t="shared"/>
        <v>6.4460384293610188E-4</v>
      </c>
      <c r="S83" s="12">
        <f si="50" t="shared"/>
        <v>3.7689489163650973E-3</v>
      </c>
      <c r="U83" s="20">
        <v>4</v>
      </c>
      <c r="V83" s="12">
        <f si="51" t="shared"/>
        <v>-5.1148976070604715E-4</v>
      </c>
      <c r="W83" s="12">
        <f si="51" t="shared"/>
        <v>-4.507510463176074E-3</v>
      </c>
      <c r="X83" s="12">
        <f si="51" t="shared"/>
        <v>-1.2037918980218672E-2</v>
      </c>
      <c r="Y83" s="12">
        <f si="51" t="shared"/>
        <v>-5.5741533983356718E-3</v>
      </c>
      <c r="Z83" s="12">
        <f si="51" t="shared"/>
        <v>-2.7687731135221895E-3</v>
      </c>
      <c r="AA83" s="12">
        <f si="51" t="shared"/>
        <v>-4.3073636451112229E-3</v>
      </c>
      <c r="AB83" s="12">
        <f si="52" t="shared"/>
        <v>-6.214318277326953E-4</v>
      </c>
      <c r="AC83" s="12">
        <f si="53" t="shared"/>
        <v>-3.4300427229761979E-3</v>
      </c>
    </row>
    <row r="84" spans="1:29" x14ac:dyDescent="0.2">
      <c r="A84" s="20">
        <v>5</v>
      </c>
      <c r="B84" s="12">
        <f ref="B84:I84" si="58" t="shared">B70/B$12</f>
        <v>8.1805969749314915E-3</v>
      </c>
      <c r="C84" s="12">
        <f si="58" t="shared"/>
        <v>2.1934870098263412E-3</v>
      </c>
      <c r="D84" s="12">
        <f si="58" t="shared"/>
        <v>8.1952602372444144E-3</v>
      </c>
      <c r="E84" s="12">
        <f si="58" t="shared"/>
        <v>2.6381493016987144E-3</v>
      </c>
      <c r="F84" s="12">
        <f si="58" t="shared"/>
        <v>3.3057507495193005E-3</v>
      </c>
      <c r="G84" s="12">
        <f si="58" t="shared"/>
        <v>1.3326430918243466E-2</v>
      </c>
      <c r="H84" s="12">
        <f si="58" t="shared"/>
        <v>2.1339933255625694E-3</v>
      </c>
      <c r="I84" s="12">
        <f si="58" t="shared"/>
        <v>5.8203494871099494E-3</v>
      </c>
      <c r="K84" s="20">
        <v>5</v>
      </c>
      <c r="L84" s="12">
        <f si="50" t="shared"/>
        <v>1.3781472415029985E-3</v>
      </c>
      <c r="M84" s="12">
        <f si="50" t="shared"/>
        <v>3.2130487580149026E-4</v>
      </c>
      <c r="N84" s="12">
        <f si="50" t="shared"/>
        <v>6.2597012646632233E-4</v>
      </c>
      <c r="O84" s="12">
        <f si="50" t="shared"/>
        <v>1.3166662011786158E-4</v>
      </c>
      <c r="P84" s="12">
        <f si="50" t="shared"/>
        <v>6.5498023150574003E-5</v>
      </c>
      <c r="Q84" s="12">
        <f si="50" t="shared"/>
        <v>3.0574728458192878E-5</v>
      </c>
      <c r="R84" s="12">
        <f si="50" t="shared"/>
        <v>6.8574876908095953E-5</v>
      </c>
      <c r="S84" s="12">
        <f si="50" t="shared"/>
        <v>6.2365094091266073E-4</v>
      </c>
      <c r="U84" s="20">
        <v>5</v>
      </c>
      <c r="V84" s="12">
        <f si="51" t="shared"/>
        <v>-6.8024497334284928E-3</v>
      </c>
      <c r="W84" s="12">
        <f si="51" t="shared"/>
        <v>-1.8721821340248509E-3</v>
      </c>
      <c r="X84" s="12">
        <f si="51" t="shared"/>
        <v>-7.5692901107780918E-3</v>
      </c>
      <c r="Y84" s="12">
        <f si="51" t="shared"/>
        <v>-2.5064826815808529E-3</v>
      </c>
      <c r="Z84" s="12">
        <f si="51" t="shared"/>
        <v>-3.2402527263687263E-3</v>
      </c>
      <c r="AA84" s="12">
        <f si="51" t="shared"/>
        <v>-1.3295856189785273E-2</v>
      </c>
      <c r="AB84" s="12">
        <f si="52" t="shared"/>
        <v>-2.0654184486544732E-3</v>
      </c>
      <c r="AC84" s="12">
        <f si="53" t="shared"/>
        <v>-5.1966985461972884E-3</v>
      </c>
    </row>
    <row r="85" spans="1:29" x14ac:dyDescent="0.2">
      <c r="A85" s="3" t="s">
        <v>209</v>
      </c>
      <c r="B85" s="13">
        <f ref="B85:I85" si="59" t="shared">B71/B$12</f>
        <v>6.49363918600257E-3</v>
      </c>
      <c r="C85" s="13">
        <f si="59" t="shared"/>
        <v>2.600360286718562E-3</v>
      </c>
      <c r="D85" s="13">
        <f si="59" t="shared"/>
        <v>2.8703561115135433E-3</v>
      </c>
      <c r="E85" s="13">
        <f si="59" t="shared"/>
        <v>4.3286839974542492E-3</v>
      </c>
      <c r="F85" s="13">
        <f si="59" t="shared"/>
        <v>2.4810844361239874E-4</v>
      </c>
      <c r="G85" s="13">
        <f si="59" t="shared"/>
        <v>0</v>
      </c>
      <c r="H85" s="13">
        <f si="59" t="shared"/>
        <v>1.5141473014888809E-3</v>
      </c>
      <c r="I85" s="13">
        <f si="59" t="shared"/>
        <v>3.669951658001241E-3</v>
      </c>
      <c r="K85" s="3" t="s">
        <v>209</v>
      </c>
      <c r="L85" s="13">
        <f ref="L85:S85" si="60" t="shared">L71/L$72</f>
        <v>1.2774606850461585E-3</v>
      </c>
      <c r="M85" s="13">
        <f si="60" t="shared"/>
        <v>1.5120229449481896E-4</v>
      </c>
      <c r="N85" s="13">
        <f si="60" t="shared"/>
        <v>4.2749179368431765E-4</v>
      </c>
      <c r="O85" s="13">
        <f si="60" t="shared"/>
        <v>3.191918063463311E-5</v>
      </c>
      <c r="P85" s="13">
        <f si="60" t="shared"/>
        <v>5.9543657409612725E-5</v>
      </c>
      <c r="Q85" s="13">
        <f si="60" t="shared"/>
        <v>1.5287364229096439E-5</v>
      </c>
      <c r="R85" s="13">
        <f si="60" t="shared"/>
        <v>5.9431559987016488E-5</v>
      </c>
      <c r="S85" s="13">
        <f si="60" t="shared"/>
        <v>5.3037925151952828E-4</v>
      </c>
      <c r="U85" s="3" t="s">
        <v>209</v>
      </c>
      <c r="V85" s="12">
        <f si="51" t="shared"/>
        <v>-5.2161785009564119E-3</v>
      </c>
      <c r="W85" s="12">
        <f si="51" t="shared"/>
        <v>-2.4491579922237428E-3</v>
      </c>
      <c r="X85" s="12">
        <f si="51" t="shared"/>
        <v>-2.4428643178292255E-3</v>
      </c>
      <c r="Y85" s="12">
        <f si="51" t="shared"/>
        <v>-4.2967648168196161E-3</v>
      </c>
      <c r="Z85" s="12">
        <f si="51" t="shared"/>
        <v>-1.8856478620278601E-4</v>
      </c>
      <c r="AA85" s="12">
        <f si="51" t="shared"/>
        <v>1.5287364229096439E-5</v>
      </c>
      <c r="AB85" s="12">
        <f si="52" t="shared"/>
        <v>-1.4547157415018643E-3</v>
      </c>
      <c r="AC85" s="12">
        <f si="53" t="shared"/>
        <v>-3.1395724064817126E-3</v>
      </c>
    </row>
    <row ht="13.5" r="86" spans="1:29" thickBot="1" x14ac:dyDescent="0.25">
      <c r="A86" s="21" t="s">
        <v>220</v>
      </c>
      <c r="B86" s="17">
        <f ref="B86:I86" si="61" t="shared">B72/B$12</f>
        <v>1.0000000000000002</v>
      </c>
      <c r="C86" s="17">
        <f si="61" t="shared"/>
        <v>1.0000000000000002</v>
      </c>
      <c r="D86" s="17">
        <f si="61" t="shared"/>
        <v>1.0000000000000002</v>
      </c>
      <c r="E86" s="17">
        <f si="61" t="shared"/>
        <v>1</v>
      </c>
      <c r="F86" s="17">
        <f si="61" t="shared"/>
        <v>1.0000000000000004</v>
      </c>
      <c r="G86" s="17">
        <f si="61" t="shared"/>
        <v>1.0000000000000002</v>
      </c>
      <c r="H86" s="17">
        <f si="61" t="shared"/>
        <v>1.0000000000000002</v>
      </c>
      <c r="I86" s="17">
        <f si="61" t="shared"/>
        <v>0.99999999999999989</v>
      </c>
      <c r="K86" s="21" t="s">
        <v>220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220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5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topLeftCell="A98" workbookViewId="0">
      <selection activeCell="B118" sqref="B118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bestFit="true" customWidth="true" style="3" width="6.6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256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242</v>
      </c>
      <c r="R4" s="41" t="s">
        <v>243</v>
      </c>
      <c r="S4" s="41" t="s">
        <v>244</v>
      </c>
      <c r="T4" s="41"/>
      <c r="U4" s="41" t="s">
        <v>245</v>
      </c>
      <c r="V4" s="41" t="s">
        <v>170</v>
      </c>
      <c r="W4" s="41" t="s">
        <v>220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  <c r="AM4" s="3" t="s">
        <v>81</v>
      </c>
    </row>
    <row r="5" spans="1:39" x14ac:dyDescent="0.2">
      <c r="A5" s="3" t="s">
        <v>210</v>
      </c>
      <c r="B5" s="7">
        <f>output_NHTS!B178</f>
        <v>458523.91127699998</v>
      </c>
      <c r="C5" s="7">
        <f>output_NHTS!C178</f>
        <v>63060.84145</v>
      </c>
      <c r="D5" s="7">
        <f>output_NHTS!D178</f>
        <v>3053.1703520000001</v>
      </c>
      <c r="E5" s="7">
        <f>output_NHTS!E178</f>
        <v>12925.199651000001</v>
      </c>
      <c r="F5" s="7">
        <f>output_NHTS!F178</f>
        <v>11876.555882999999</v>
      </c>
      <c r="G5" s="7">
        <f>output_NHTS!G178</f>
        <v>1353.618406</v>
      </c>
      <c r="H5" s="7"/>
      <c r="I5" s="7">
        <f>output_NHTS!H178</f>
        <v>473.95271400000001</v>
      </c>
      <c r="J5" s="7">
        <f>output_NHTS!I178</f>
        <v>0</v>
      </c>
      <c r="K5" s="7">
        <f>output_NHTS!J178</f>
        <v>551267.24973299995</v>
      </c>
      <c r="L5"/>
      <c r="M5" s="3" t="s">
        <v>210</v>
      </c>
      <c r="N5" s="53">
        <f>output!B178</f>
        <v>544974</v>
      </c>
      <c r="O5" s="53">
        <f>output!C178</f>
        <v>60023</v>
      </c>
      <c r="P5" s="53">
        <f>output!D178</f>
        <v>0</v>
      </c>
      <c r="Q5" s="53">
        <f>output!E178</f>
        <v>0</v>
      </c>
      <c r="R5" s="53">
        <f>output!F178</f>
        <v>10431</v>
      </c>
      <c r="S5" s="53">
        <f>output!G178</f>
        <v>1761</v>
      </c>
      <c r="T5" s="53"/>
      <c r="U5" s="53">
        <f>output!H178</f>
        <v>0</v>
      </c>
      <c r="V5" s="53">
        <f>output!I178</f>
        <v>0</v>
      </c>
      <c r="W5" s="53">
        <f>output!J178</f>
        <v>617189</v>
      </c>
      <c r="Y5" s="3" t="s">
        <v>210</v>
      </c>
      <c r="Z5" s="7">
        <f ref="Z5:Z13" si="0" t="shared">N5-B5</f>
        <v>86450.088723000023</v>
      </c>
      <c r="AA5" s="7">
        <f ref="AA5:AA13" si="1" t="shared">O5-C5</f>
        <v>-3037.8414499999999</v>
      </c>
      <c r="AB5" s="7">
        <f ref="AB5:AB13" si="2" t="shared">P5-D5</f>
        <v>-3053.1703520000001</v>
      </c>
      <c r="AC5" s="7">
        <f ref="AC5:AC13" si="3" t="shared">Q5-E5</f>
        <v>-12925.199651000001</v>
      </c>
      <c r="AD5" s="7">
        <f ref="AD5:AD13" si="4" t="shared">R5-F5</f>
        <v>-1445.5558829999991</v>
      </c>
      <c r="AE5" s="7">
        <f ref="AE5:AE13" si="5" t="shared">S5-G5</f>
        <v>407.38159399999995</v>
      </c>
      <c r="AF5" s="7"/>
      <c r="AG5" s="7">
        <f ref="AG5:AG13" si="6" t="shared">U5-I5</f>
        <v>-473.95271400000001</v>
      </c>
      <c r="AH5" s="7">
        <f ref="AH5:AH13" si="7" t="shared">V5-J5</f>
        <v>0</v>
      </c>
      <c r="AI5" s="7">
        <f ref="AI5:AI13" si="8" t="shared">W5-K5</f>
        <v>65921.750267000054</v>
      </c>
      <c r="AK5" s="3">
        <v>1424330</v>
      </c>
      <c r="AM5" s="7">
        <f>W5-AK5</f>
        <v>-807141</v>
      </c>
    </row>
    <row r="6" spans="1:39" x14ac:dyDescent="0.2">
      <c r="A6" s="3" t="s">
        <v>211</v>
      </c>
      <c r="B6" s="7">
        <f>output_NHTS!B179</f>
        <v>5090.6621960000002</v>
      </c>
      <c r="C6" s="7">
        <f>output_NHTS!C179</f>
        <v>1297.3480769999999</v>
      </c>
      <c r="D6" s="7">
        <f>output_NHTS!D179</f>
        <v>310.38361500000002</v>
      </c>
      <c r="E6" s="7">
        <f>output_NHTS!E179</f>
        <v>2596.0894090000002</v>
      </c>
      <c r="F6" s="7">
        <f>output_NHTS!F179</f>
        <v>14712.30385</v>
      </c>
      <c r="G6" s="7">
        <f>output_NHTS!G179</f>
        <v>21287.730342999999</v>
      </c>
      <c r="H6" s="7"/>
      <c r="I6" s="7">
        <f>output_NHTS!H179</f>
        <v>175643.16358699999</v>
      </c>
      <c r="J6" s="7">
        <f>output_NHTS!I179</f>
        <v>0</v>
      </c>
      <c r="K6" s="7">
        <f>output_NHTS!J179</f>
        <v>220937.68107699999</v>
      </c>
      <c r="L6"/>
      <c r="M6" s="3" t="s">
        <v>211</v>
      </c>
      <c r="N6" s="53">
        <f>output!B179</f>
        <v>6075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14015</v>
      </c>
      <c r="S6" s="53">
        <f>output!G179</f>
        <v>24662</v>
      </c>
      <c r="T6" s="53"/>
      <c r="U6" s="53">
        <f>output!H179</f>
        <v>166383</v>
      </c>
      <c r="V6" s="53">
        <f>output!I179</f>
        <v>0</v>
      </c>
      <c r="W6" s="53">
        <f>output!J179</f>
        <v>211135</v>
      </c>
      <c r="Y6" s="3" t="s">
        <v>211</v>
      </c>
      <c r="Z6" s="7">
        <f si="0" t="shared"/>
        <v>984.33780399999978</v>
      </c>
      <c r="AA6" s="7">
        <f si="1" t="shared"/>
        <v>-1297.3480769999999</v>
      </c>
      <c r="AB6" s="7">
        <f si="2" t="shared"/>
        <v>-310.38361500000002</v>
      </c>
      <c r="AC6" s="7">
        <f si="3" t="shared"/>
        <v>-2596.0894090000002</v>
      </c>
      <c r="AD6" s="7">
        <f si="4" t="shared"/>
        <v>-697.30385000000024</v>
      </c>
      <c r="AE6" s="7">
        <f si="5" t="shared"/>
        <v>3374.2696570000007</v>
      </c>
      <c r="AF6" s="7"/>
      <c r="AG6" s="7">
        <f si="6" t="shared"/>
        <v>-9260.1635869999882</v>
      </c>
      <c r="AH6" s="7">
        <f si="7" t="shared"/>
        <v>0</v>
      </c>
      <c r="AI6" s="7">
        <f si="8" t="shared"/>
        <v>-9802.6810769999865</v>
      </c>
      <c r="AK6" s="3">
        <v>741310</v>
      </c>
      <c r="AM6" s="7">
        <f ref="AM6:AM13" si="9" t="shared">W6-AK6</f>
        <v>-530175</v>
      </c>
    </row>
    <row r="7" spans="1:39" x14ac:dyDescent="0.2">
      <c r="A7" s="3" t="s">
        <v>212</v>
      </c>
      <c r="B7" s="7">
        <f>output_NHTS!B180</f>
        <v>49198.455200999997</v>
      </c>
      <c r="C7" s="7">
        <f>output_NHTS!C180</f>
        <v>27924.494073999998</v>
      </c>
      <c r="D7" s="7">
        <f>output_NHTS!D180</f>
        <v>13372.418621999999</v>
      </c>
      <c r="E7" s="7">
        <f>output_NHTS!E180</f>
        <v>68406.62156</v>
      </c>
      <c r="F7" s="7">
        <f>output_NHTS!F180</f>
        <v>6381.6610149999997</v>
      </c>
      <c r="G7" s="7">
        <f>output_NHTS!G180</f>
        <v>1826.5144069999999</v>
      </c>
      <c r="H7" s="7"/>
      <c r="I7" s="7">
        <f>output_NHTS!H180</f>
        <v>10099.445809999999</v>
      </c>
      <c r="J7" s="7">
        <f>output_NHTS!I180</f>
        <v>0</v>
      </c>
      <c r="K7" s="7">
        <f>output_NHTS!J180</f>
        <v>177209.61068899999</v>
      </c>
      <c r="L7"/>
      <c r="M7" s="3" t="s">
        <v>212</v>
      </c>
      <c r="N7" s="53">
        <f>output!B180</f>
        <v>58323</v>
      </c>
      <c r="O7" s="53">
        <f>output!C180</f>
        <v>24700</v>
      </c>
      <c r="P7" s="53">
        <f>output!D180</f>
        <v>17450</v>
      </c>
      <c r="Q7" s="53">
        <f>output!E180</f>
        <v>73369</v>
      </c>
      <c r="R7" s="53">
        <f>output!F180</f>
        <v>5538</v>
      </c>
      <c r="S7" s="53">
        <f>output!G180</f>
        <v>2217</v>
      </c>
      <c r="T7" s="53"/>
      <c r="U7" s="53">
        <f>output!H180</f>
        <v>9603</v>
      </c>
      <c r="V7" s="53">
        <f>output!I180</f>
        <v>0</v>
      </c>
      <c r="W7" s="53">
        <f>output!J180</f>
        <v>191200</v>
      </c>
      <c r="Y7" s="3" t="s">
        <v>212</v>
      </c>
      <c r="Z7" s="7">
        <f si="0" t="shared"/>
        <v>9124.544799000003</v>
      </c>
      <c r="AA7" s="7">
        <f si="1" t="shared"/>
        <v>-3224.4940739999984</v>
      </c>
      <c r="AB7" s="7">
        <f si="2" t="shared"/>
        <v>4077.5813780000008</v>
      </c>
      <c r="AC7" s="7">
        <f si="3" t="shared"/>
        <v>4962.3784400000004</v>
      </c>
      <c r="AD7" s="7">
        <f si="4" t="shared"/>
        <v>-843.66101499999968</v>
      </c>
      <c r="AE7" s="7">
        <f si="5" t="shared"/>
        <v>390.48559300000011</v>
      </c>
      <c r="AF7" s="7"/>
      <c r="AG7" s="7">
        <f si="6" t="shared"/>
        <v>-496.44580999999926</v>
      </c>
      <c r="AH7" s="7">
        <f si="7" t="shared"/>
        <v>0</v>
      </c>
      <c r="AI7" s="7">
        <f si="8" t="shared"/>
        <v>13990.389311000006</v>
      </c>
      <c r="AK7" s="3">
        <v>924620</v>
      </c>
      <c r="AM7" s="7">
        <f si="9" t="shared"/>
        <v>-733420</v>
      </c>
    </row>
    <row r="8" spans="1:39" x14ac:dyDescent="0.2">
      <c r="A8" s="3" t="s">
        <v>213</v>
      </c>
      <c r="B8" s="7">
        <f>output_NHTS!B181</f>
        <v>53645.889870999999</v>
      </c>
      <c r="C8" s="7">
        <f>output_NHTS!C181</f>
        <v>21683.940521</v>
      </c>
      <c r="D8" s="7">
        <f>output_NHTS!D181</f>
        <v>55772.121294999997</v>
      </c>
      <c r="E8" s="7">
        <f>output_NHTS!E181</f>
        <v>52338.720587999996</v>
      </c>
      <c r="F8" s="7">
        <f>output_NHTS!F181</f>
        <v>5046.8036140000004</v>
      </c>
      <c r="G8" s="7">
        <f>output_NHTS!G181</f>
        <v>3001.0160559999999</v>
      </c>
      <c r="H8" s="7"/>
      <c r="I8" s="7">
        <f>output_NHTS!H181</f>
        <v>17205.830144</v>
      </c>
      <c r="J8" s="7">
        <f>output_NHTS!I181</f>
        <v>0</v>
      </c>
      <c r="K8" s="7">
        <f>output_NHTS!J181</f>
        <v>208694.32208899999</v>
      </c>
      <c r="L8"/>
      <c r="M8" s="3" t="s">
        <v>213</v>
      </c>
      <c r="N8" s="53">
        <f>output!B181</f>
        <v>63525</v>
      </c>
      <c r="O8" s="53">
        <f>output!C181</f>
        <v>15197</v>
      </c>
      <c r="P8" s="53">
        <f>output!D181</f>
        <v>73936</v>
      </c>
      <c r="Q8" s="53">
        <f>output!E181</f>
        <v>55937</v>
      </c>
      <c r="R8" s="53">
        <f>output!F181</f>
        <v>4232</v>
      </c>
      <c r="S8" s="53">
        <f>output!G181</f>
        <v>3290</v>
      </c>
      <c r="T8" s="53"/>
      <c r="U8" s="53">
        <f>output!H181</f>
        <v>16901</v>
      </c>
      <c r="V8" s="53">
        <f>output!I181</f>
        <v>0</v>
      </c>
      <c r="W8" s="53">
        <f>output!J181</f>
        <v>233018</v>
      </c>
      <c r="Y8" s="3" t="s">
        <v>213</v>
      </c>
      <c r="Z8" s="7">
        <f si="0" t="shared"/>
        <v>9879.1101290000006</v>
      </c>
      <c r="AA8" s="7">
        <f si="1" t="shared"/>
        <v>-6486.9405210000004</v>
      </c>
      <c r="AB8" s="7">
        <f si="2" t="shared"/>
        <v>18163.878705000003</v>
      </c>
      <c r="AC8" s="7">
        <f si="3" t="shared"/>
        <v>3598.2794120000035</v>
      </c>
      <c r="AD8" s="7">
        <f si="4" t="shared"/>
        <v>-814.80361400000038</v>
      </c>
      <c r="AE8" s="7">
        <f si="5" t="shared"/>
        <v>288.98394400000006</v>
      </c>
      <c r="AF8" s="7"/>
      <c r="AG8" s="7">
        <f si="6" t="shared"/>
        <v>-304.83014399999956</v>
      </c>
      <c r="AH8" s="7">
        <f si="7" t="shared"/>
        <v>0</v>
      </c>
      <c r="AI8" s="7">
        <f si="8" t="shared"/>
        <v>24323.677911000006</v>
      </c>
      <c r="AK8" s="3">
        <v>541880</v>
      </c>
      <c r="AM8" s="7">
        <f si="9" t="shared"/>
        <v>-308862</v>
      </c>
    </row>
    <row r="9" spans="1:39" x14ac:dyDescent="0.2">
      <c r="A9" s="3" t="s">
        <v>214</v>
      </c>
      <c r="B9" s="7">
        <f>output_NHTS!B182</f>
        <v>34724.510727000001</v>
      </c>
      <c r="C9" s="7">
        <f>output_NHTS!C182</f>
        <v>16667.668165999999</v>
      </c>
      <c r="D9" s="7">
        <f>output_NHTS!D182</f>
        <v>32818.324996000003</v>
      </c>
      <c r="E9" s="7">
        <f>output_NHTS!E182</f>
        <v>43532.588752999996</v>
      </c>
      <c r="F9" s="7">
        <f>output_NHTS!F182</f>
        <v>5614.5972819999997</v>
      </c>
      <c r="G9" s="7">
        <f>output_NHTS!G182</f>
        <v>933.60432900000001</v>
      </c>
      <c r="H9" s="7"/>
      <c r="I9" s="7">
        <f>output_NHTS!H182</f>
        <v>7508.9226340000005</v>
      </c>
      <c r="J9" s="7">
        <f>output_NHTS!I182</f>
        <v>0</v>
      </c>
      <c r="K9" s="7">
        <f>output_NHTS!J182</f>
        <v>141800.21688699999</v>
      </c>
      <c r="L9"/>
      <c r="M9" s="3" t="s">
        <v>214</v>
      </c>
      <c r="N9" s="53">
        <f>output!B182</f>
        <v>41217</v>
      </c>
      <c r="O9" s="53">
        <f>output!C182</f>
        <v>12180</v>
      </c>
      <c r="P9" s="53">
        <f>output!D182</f>
        <v>43108</v>
      </c>
      <c r="Q9" s="53">
        <f>output!E182</f>
        <v>47807</v>
      </c>
      <c r="R9" s="53">
        <f>output!F182</f>
        <v>5024</v>
      </c>
      <c r="S9" s="53">
        <f>output!G182</f>
        <v>1040</v>
      </c>
      <c r="T9" s="53"/>
      <c r="U9" s="53">
        <f>output!H182</f>
        <v>7631</v>
      </c>
      <c r="V9" s="53">
        <f>output!I182</f>
        <v>0</v>
      </c>
      <c r="W9" s="53">
        <f>output!J182</f>
        <v>158007</v>
      </c>
      <c r="Y9" s="3" t="s">
        <v>214</v>
      </c>
      <c r="Z9" s="7">
        <f si="0" t="shared"/>
        <v>6492.4892729999992</v>
      </c>
      <c r="AA9" s="7">
        <f si="1" t="shared"/>
        <v>-4487.6681659999995</v>
      </c>
      <c r="AB9" s="7">
        <f si="2" t="shared"/>
        <v>10289.675003999997</v>
      </c>
      <c r="AC9" s="7">
        <f si="3" t="shared"/>
        <v>4274.4112470000036</v>
      </c>
      <c r="AD9" s="7">
        <f si="4" t="shared"/>
        <v>-590.59728199999972</v>
      </c>
      <c r="AE9" s="7">
        <f si="5" t="shared"/>
        <v>106.39567099999999</v>
      </c>
      <c r="AF9" s="7"/>
      <c r="AG9" s="7">
        <f si="6" t="shared"/>
        <v>122.07736599999953</v>
      </c>
      <c r="AH9" s="7">
        <f si="7" t="shared"/>
        <v>0</v>
      </c>
      <c r="AI9" s="7">
        <f si="8" t="shared"/>
        <v>16206.783113000012</v>
      </c>
      <c r="AK9" s="3">
        <v>394190</v>
      </c>
      <c r="AM9" s="7">
        <f si="9" t="shared"/>
        <v>-236183</v>
      </c>
    </row>
    <row r="10" spans="1:39" x14ac:dyDescent="0.2">
      <c r="A10" s="3" t="s">
        <v>129</v>
      </c>
      <c r="B10" s="7">
        <f>output_NHTS!B183</f>
        <v>32329.160050999999</v>
      </c>
      <c r="C10" s="7">
        <f>output_NHTS!C183</f>
        <v>7967.4672289999999</v>
      </c>
      <c r="D10" s="7">
        <f>output_NHTS!D183</f>
        <v>17532.570283000001</v>
      </c>
      <c r="E10" s="7">
        <f>output_NHTS!E183</f>
        <v>12326.660142999999</v>
      </c>
      <c r="F10" s="7">
        <f>output_NHTS!F183</f>
        <v>4549.9772439999997</v>
      </c>
      <c r="G10" s="7">
        <f>output_NHTS!G183</f>
        <v>642.99130400000001</v>
      </c>
      <c r="H10" s="7"/>
      <c r="I10" s="7">
        <f>output_NHTS!H183</f>
        <v>5814.3958009999997</v>
      </c>
      <c r="J10" s="7">
        <f>output_NHTS!I183</f>
        <v>0</v>
      </c>
      <c r="K10" s="7">
        <f>output_NHTS!J183</f>
        <v>81163.222054999991</v>
      </c>
      <c r="L10"/>
      <c r="M10" s="3" t="s">
        <v>129</v>
      </c>
      <c r="N10" s="53">
        <f>output!B183</f>
        <v>37276</v>
      </c>
      <c r="O10" s="53">
        <f>output!C183</f>
        <v>7220</v>
      </c>
      <c r="P10" s="53">
        <f>output!D183</f>
        <v>22427</v>
      </c>
      <c r="Q10" s="53">
        <f>output!E183</f>
        <v>13827</v>
      </c>
      <c r="R10" s="53">
        <f>output!F183</f>
        <v>3827</v>
      </c>
      <c r="S10" s="53">
        <f>output!G183</f>
        <v>772</v>
      </c>
      <c r="T10" s="53"/>
      <c r="U10" s="53">
        <f>output!H183</f>
        <v>5970</v>
      </c>
      <c r="V10" s="53">
        <f>output!I183</f>
        <v>0</v>
      </c>
      <c r="W10" s="53">
        <f>output!J183</f>
        <v>91319</v>
      </c>
      <c r="Y10" s="3" t="s">
        <v>129</v>
      </c>
      <c r="Z10" s="7">
        <f si="0" t="shared"/>
        <v>4946.8399490000011</v>
      </c>
      <c r="AA10" s="7">
        <f si="1" t="shared"/>
        <v>-747.46722899999986</v>
      </c>
      <c r="AB10" s="7">
        <f si="2" t="shared"/>
        <v>4894.4297169999991</v>
      </c>
      <c r="AC10" s="7">
        <f si="3" t="shared"/>
        <v>1500.3398570000008</v>
      </c>
      <c r="AD10" s="7">
        <f si="4" t="shared"/>
        <v>-722.9772439999997</v>
      </c>
      <c r="AE10" s="7">
        <f si="5" t="shared"/>
        <v>129.00869599999999</v>
      </c>
      <c r="AF10" s="7"/>
      <c r="AG10" s="7">
        <f si="6" t="shared"/>
        <v>155.60419900000034</v>
      </c>
      <c r="AH10" s="7">
        <f si="7" t="shared"/>
        <v>0</v>
      </c>
      <c r="AI10" s="7">
        <f si="8" t="shared"/>
        <v>10155.777945000009</v>
      </c>
      <c r="AK10" s="3">
        <v>166390</v>
      </c>
      <c r="AM10" s="7">
        <f si="9" t="shared"/>
        <v>-75071</v>
      </c>
    </row>
    <row r="11" spans="1:39" x14ac:dyDescent="0.2">
      <c r="A11" s="25" t="s">
        <v>130</v>
      </c>
      <c r="B11" s="7">
        <f>output_NHTS!B184</f>
        <v>53701.131234</v>
      </c>
      <c r="C11" s="7">
        <f>output_NHTS!C184</f>
        <v>17902.049382000001</v>
      </c>
      <c r="D11" s="7">
        <f>output_NHTS!D184</f>
        <v>26342.351590999999</v>
      </c>
      <c r="E11" s="7">
        <f>output_NHTS!E184</f>
        <v>37837.311554</v>
      </c>
      <c r="F11" s="7">
        <f>output_NHTS!F184</f>
        <v>5117.7900490000002</v>
      </c>
      <c r="G11" s="7">
        <f>output_NHTS!G184</f>
        <v>6023.8060830000004</v>
      </c>
      <c r="H11" s="7"/>
      <c r="I11" s="7">
        <f>output_NHTS!H184</f>
        <v>48231.69184</v>
      </c>
      <c r="J11" s="7">
        <f>output_NHTS!I184</f>
        <v>0</v>
      </c>
      <c r="K11" s="7">
        <f>output_NHTS!J184</f>
        <v>195156.13173299999</v>
      </c>
      <c r="L11"/>
      <c r="M11" s="25" t="s">
        <v>130</v>
      </c>
      <c r="N11" s="54">
        <f>output!B184</f>
        <v>63888</v>
      </c>
      <c r="O11" s="54">
        <f>output!C184</f>
        <v>16446</v>
      </c>
      <c r="P11" s="54">
        <f>output!D184</f>
        <v>34177</v>
      </c>
      <c r="Q11" s="54">
        <f>output!E184</f>
        <v>40110</v>
      </c>
      <c r="R11" s="54">
        <f>output!F184</f>
        <v>4334</v>
      </c>
      <c r="S11" s="54">
        <f>output!G184</f>
        <v>6891</v>
      </c>
      <c r="T11" s="53"/>
      <c r="U11" s="54">
        <f>output!H184</f>
        <v>47356</v>
      </c>
      <c r="V11" s="54">
        <f>output!I184</f>
        <v>0</v>
      </c>
      <c r="W11" s="54">
        <f>output!J184</f>
        <v>213202</v>
      </c>
      <c r="Y11" s="25" t="s">
        <v>130</v>
      </c>
      <c r="Z11" s="33">
        <f si="0" t="shared"/>
        <v>10186.868766</v>
      </c>
      <c r="AA11" s="33">
        <f si="1" t="shared"/>
        <v>-1456.0493820000011</v>
      </c>
      <c r="AB11" s="33">
        <f si="2" t="shared"/>
        <v>7834.6484090000013</v>
      </c>
      <c r="AC11" s="33">
        <f si="3" t="shared"/>
        <v>2272.6884460000001</v>
      </c>
      <c r="AD11" s="33">
        <f si="4" t="shared"/>
        <v>-783.79004900000018</v>
      </c>
      <c r="AE11" s="33">
        <f si="5" t="shared"/>
        <v>867.1939169999996</v>
      </c>
      <c r="AF11" s="33"/>
      <c r="AG11" s="33">
        <f si="6" t="shared"/>
        <v>-875.6918399999995</v>
      </c>
      <c r="AH11" s="33">
        <f si="7" t="shared"/>
        <v>0</v>
      </c>
      <c r="AI11" s="33">
        <f si="8" t="shared"/>
        <v>18045.868267000013</v>
      </c>
      <c r="AK11" s="3">
        <v>630330</v>
      </c>
      <c r="AM11" s="7">
        <f si="9" t="shared"/>
        <v>-417128</v>
      </c>
    </row>
    <row r="12" spans="1:39" x14ac:dyDescent="0.2">
      <c r="A12" s="25" t="s">
        <v>246</v>
      </c>
      <c r="B12" s="7">
        <f>output_NHTS!B185</f>
        <v>76306.854584000001</v>
      </c>
      <c r="C12" s="7">
        <f>output_NHTS!C185</f>
        <v>6714.1332839999995</v>
      </c>
      <c r="D12" s="7">
        <f>output_NHTS!D185</f>
        <v>0</v>
      </c>
      <c r="E12" s="7">
        <f>output_NHTS!E185</f>
        <v>143.80684299999999</v>
      </c>
      <c r="F12" s="7">
        <f>output_NHTS!F185</f>
        <v>123.48774399999999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83288.282454999993</v>
      </c>
      <c r="L12"/>
      <c r="M12" s="25" t="s">
        <v>246</v>
      </c>
      <c r="N12" s="54">
        <f>output!B185</f>
        <v>81613</v>
      </c>
      <c r="O12" s="54">
        <f>output!C185</f>
        <v>14053</v>
      </c>
      <c r="P12" s="54">
        <f>output!D185</f>
        <v>0</v>
      </c>
      <c r="Q12" s="54">
        <f>output!E185</f>
        <v>0</v>
      </c>
      <c r="R12" s="54">
        <f>output!F185</f>
        <v>1051</v>
      </c>
      <c r="S12" s="54">
        <f>output!G185</f>
        <v>124</v>
      </c>
      <c r="T12" s="53"/>
      <c r="U12" s="54">
        <f>output!H185</f>
        <v>0</v>
      </c>
      <c r="V12" s="54">
        <f>output!I185</f>
        <v>0</v>
      </c>
      <c r="W12" s="54">
        <f>output!J185</f>
        <v>96841</v>
      </c>
      <c r="Y12" s="25" t="s">
        <v>246</v>
      </c>
      <c r="Z12" s="33">
        <f si="0" t="shared"/>
        <v>5306.1454159999994</v>
      </c>
      <c r="AA12" s="33">
        <f si="1" t="shared"/>
        <v>7338.8667160000005</v>
      </c>
      <c r="AB12" s="33">
        <f si="2" t="shared"/>
        <v>0</v>
      </c>
      <c r="AC12" s="33">
        <f si="3" t="shared"/>
        <v>-143.80684299999999</v>
      </c>
      <c r="AD12" s="33">
        <f si="4" t="shared"/>
        <v>927.51225599999998</v>
      </c>
      <c r="AE12" s="33">
        <f si="5" t="shared"/>
        <v>124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13552.717545000007</v>
      </c>
      <c r="AK12" s="3">
        <v>147120</v>
      </c>
      <c r="AM12" s="7">
        <f si="9" t="shared"/>
        <v>-50279</v>
      </c>
    </row>
    <row ht="13.5" r="13" spans="1:39" thickBot="1" x14ac:dyDescent="0.25">
      <c r="A13" s="10" t="s">
        <v>220</v>
      </c>
      <c r="B13" s="55">
        <f>SUM(B5:B12)</f>
        <v>763520.57514099975</v>
      </c>
      <c r="C13" s="55">
        <f ref="C13:K13" si="10" t="shared">SUM(C5:C12)</f>
        <v>163217.94218300001</v>
      </c>
      <c r="D13" s="55">
        <f si="10" t="shared"/>
        <v>149201.340754</v>
      </c>
      <c r="E13" s="55">
        <f si="10" t="shared"/>
        <v>230106.99850099999</v>
      </c>
      <c r="F13" s="55">
        <f si="10" t="shared"/>
        <v>53423.176681000004</v>
      </c>
      <c r="G13" s="55">
        <f si="10" t="shared"/>
        <v>35069.280928</v>
      </c>
      <c r="H13" s="55"/>
      <c r="I13" s="55">
        <f si="10" t="shared"/>
        <v>264977.40253000002</v>
      </c>
      <c r="J13" s="55">
        <f si="10" t="shared"/>
        <v>0</v>
      </c>
      <c r="K13" s="55">
        <f si="10" t="shared"/>
        <v>1659516.7167180001</v>
      </c>
      <c r="L13"/>
      <c r="M13" s="10" t="s">
        <v>220</v>
      </c>
      <c r="N13" s="55">
        <f>SUM(N5:N12)</f>
        <v>896891</v>
      </c>
      <c r="O13" s="55">
        <f ref="O13:W13" si="11" t="shared">SUM(O5:O12)</f>
        <v>149819</v>
      </c>
      <c r="P13" s="55">
        <f si="11" t="shared"/>
        <v>191098</v>
      </c>
      <c r="Q13" s="55">
        <f si="11" t="shared"/>
        <v>231050</v>
      </c>
      <c r="R13" s="55">
        <f si="11" t="shared"/>
        <v>48452</v>
      </c>
      <c r="S13" s="55">
        <f si="11" t="shared"/>
        <v>40757</v>
      </c>
      <c r="T13" s="55"/>
      <c r="U13" s="55">
        <f si="11" t="shared"/>
        <v>253844</v>
      </c>
      <c r="V13" s="55">
        <f si="11" t="shared"/>
        <v>0</v>
      </c>
      <c r="W13" s="55">
        <f si="11" t="shared"/>
        <v>1811911</v>
      </c>
      <c r="Y13" s="10" t="s">
        <v>220</v>
      </c>
      <c r="Z13" s="11">
        <f si="0" t="shared"/>
        <v>133370.42485900025</v>
      </c>
      <c r="AA13" s="11">
        <f si="1" t="shared"/>
        <v>-13398.942183000006</v>
      </c>
      <c r="AB13" s="11">
        <f si="2" t="shared"/>
        <v>41896.659245999996</v>
      </c>
      <c r="AC13" s="11">
        <f si="3" t="shared"/>
        <v>943.00149900000542</v>
      </c>
      <c r="AD13" s="11">
        <f si="4" t="shared"/>
        <v>-4971.1766810000045</v>
      </c>
      <c r="AE13" s="11">
        <f si="5" t="shared"/>
        <v>5687.7190719999999</v>
      </c>
      <c r="AF13" s="11"/>
      <c r="AG13" s="11">
        <f si="6" t="shared"/>
        <v>-11133.402530000021</v>
      </c>
      <c r="AH13" s="11">
        <f si="7" t="shared"/>
        <v>0</v>
      </c>
      <c r="AI13" s="11">
        <f si="8" t="shared"/>
        <v>152394.28328199987</v>
      </c>
      <c r="AK13" s="3">
        <v>4970170</v>
      </c>
      <c r="AM13" s="7">
        <f si="9" t="shared"/>
        <v>-3158259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682545</v>
      </c>
      <c r="O15" s="33">
        <f>output!B307</f>
        <v>84137</v>
      </c>
      <c r="P15" s="33">
        <f>output!B308</f>
        <v>164943</v>
      </c>
      <c r="Q15" s="33">
        <f>output!B309</f>
        <v>240520</v>
      </c>
      <c r="R15" s="33">
        <f>output!B310</f>
        <v>60810</v>
      </c>
      <c r="S15" s="33">
        <f>output!B311</f>
        <v>56338</v>
      </c>
      <c r="T15" s="33"/>
      <c r="U15" s="33">
        <f>output!B312</f>
        <v>212937</v>
      </c>
      <c r="V15" s="33">
        <f>output!B313</f>
        <v>0</v>
      </c>
      <c r="W15" s="33">
        <f>SUM(N15:V15)</f>
        <v>1502230</v>
      </c>
      <c r="Y15" s="25" t="s">
        <v>88</v>
      </c>
      <c r="Z15" s="33">
        <f ref="Z15:AE16" si="12" t="shared">N15-B15</f>
        <v>93796</v>
      </c>
      <c r="AA15" s="33">
        <f si="12" t="shared"/>
        <v>2519</v>
      </c>
      <c r="AB15" s="33">
        <f si="12" t="shared"/>
        <v>36456.000000000044</v>
      </c>
      <c r="AC15" s="33">
        <f si="12" t="shared"/>
        <v>11871</v>
      </c>
      <c r="AD15" s="33">
        <f si="12" t="shared"/>
        <v>-11845</v>
      </c>
      <c r="AE15" s="33">
        <f si="12" t="shared"/>
        <v>6921</v>
      </c>
      <c r="AF15" s="33"/>
      <c r="AG15" s="33">
        <f ref="AG15:AI16" si="13" t="shared">U15-I15</f>
        <v>-6693</v>
      </c>
      <c r="AH15" s="33">
        <f si="13" t="shared"/>
        <v>0</v>
      </c>
      <c r="AI15" s="33">
        <f si="13" t="shared"/>
        <v>133025</v>
      </c>
    </row>
    <row r="16" spans="1:39" x14ac:dyDescent="0.2">
      <c r="A16" s="25" t="s">
        <v>89</v>
      </c>
      <c r="B16" s="37">
        <f>B13/B15</f>
        <v>1.2968524365068981</v>
      </c>
      <c r="C16" s="37">
        <f ref="C16:K16" si="14" t="shared">C13/C15</f>
        <v>1.999778752027739</v>
      </c>
      <c r="D16" s="37">
        <f si="14" t="shared"/>
        <v>1.1612174052939213</v>
      </c>
      <c r="E16" s="37">
        <f si="14" t="shared"/>
        <v>1.0063765793902444</v>
      </c>
      <c r="F16" s="37">
        <f si="14" t="shared"/>
        <v>0.73529938312573129</v>
      </c>
      <c r="G16" s="37">
        <f si="14" t="shared"/>
        <v>0.7096602571584677</v>
      </c>
      <c r="H16" s="37"/>
      <c r="I16" s="37">
        <f si="14" t="shared"/>
        <v>1.206471804990211</v>
      </c>
      <c r="J16" s="37" t="e">
        <f si="14" t="shared"/>
        <v>#DIV/0!</v>
      </c>
      <c r="K16" s="37">
        <f si="14" t="shared"/>
        <v>1.2120294015271638</v>
      </c>
      <c r="L16"/>
      <c r="M16" s="25" t="s">
        <v>89</v>
      </c>
      <c r="N16" s="37">
        <f ref="N16:W16" si="15" t="shared">N13/N15</f>
        <v>1.3140393673677193</v>
      </c>
      <c r="O16" s="37">
        <f si="15" t="shared"/>
        <v>1.7806553597109476</v>
      </c>
      <c r="P16" s="37">
        <f si="15" t="shared"/>
        <v>1.1585699302183179</v>
      </c>
      <c r="Q16" s="37">
        <f si="15" t="shared"/>
        <v>0.96062697488774318</v>
      </c>
      <c r="R16" s="37">
        <f si="15" t="shared"/>
        <v>0.79677684591350106</v>
      </c>
      <c r="S16" s="37">
        <f si="15" t="shared"/>
        <v>0.72343711171855585</v>
      </c>
      <c r="T16" s="37"/>
      <c r="U16" s="37">
        <f si="15" t="shared"/>
        <v>1.1921084640057857</v>
      </c>
      <c r="V16" s="37" t="e">
        <f si="15" t="shared"/>
        <v>#DIV/0!</v>
      </c>
      <c r="W16" s="37">
        <f si="15" t="shared"/>
        <v>1.2061475273426838</v>
      </c>
      <c r="Y16" s="25" t="s">
        <v>89</v>
      </c>
      <c r="Z16" s="37">
        <f si="12" t="shared"/>
        <v>1.7186930860821237E-2</v>
      </c>
      <c r="AA16" s="37">
        <f si="12" t="shared"/>
        <v>-0.21912339231679145</v>
      </c>
      <c r="AB16" s="37">
        <f si="12" t="shared"/>
        <v>-2.6474750756033671E-3</v>
      </c>
      <c r="AC16" s="37">
        <f si="12" t="shared"/>
        <v>-4.5749604502501207E-2</v>
      </c>
      <c r="AD16" s="37">
        <f si="12" t="shared"/>
        <v>6.1477462787769777E-2</v>
      </c>
      <c r="AE16" s="37">
        <f si="12" t="shared"/>
        <v>1.3776854560088148E-2</v>
      </c>
      <c r="AF16" s="37"/>
      <c r="AG16" s="37">
        <f si="13" t="shared"/>
        <v>-1.4363340984425266E-2</v>
      </c>
      <c r="AH16" s="37" t="e">
        <f si="13" t="shared"/>
        <v>#DIV/0!</v>
      </c>
      <c r="AI16" s="37">
        <f si="13" t="shared"/>
        <v>-5.8818741844799405E-3</v>
      </c>
    </row>
    <row r="17" spans="1:35" x14ac:dyDescent="0.2">
      <c r="B17" s="152">
        <f>K5/(Summary!B16+Summary!B17)</f>
        <v>0.82233649587912283</v>
      </c>
      <c r="L17"/>
      <c r="M17" s="3" t="s">
        <v>1212</v>
      </c>
      <c r="N17" s="227">
        <f>W5/(Summary!C16+Summary!C17)</f>
        <v>0.80501303017417913</v>
      </c>
    </row>
    <row r="18" spans="1:35" x14ac:dyDescent="0.2">
      <c r="L18"/>
      <c r="N18" s="39">
        <f>B17/N17</f>
        <v>1.0215194848475875</v>
      </c>
      <c r="O18" s="39">
        <f>LN(B17/N17)</f>
        <v>2.1291209834282364E-2</v>
      </c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266</v>
      </c>
      <c r="Y20" s="2" t="s">
        <v>258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242</v>
      </c>
      <c r="F22" s="6" t="s">
        <v>243</v>
      </c>
      <c r="G22" s="6" t="s">
        <v>244</v>
      </c>
      <c r="H22" s="6"/>
      <c r="I22" s="6" t="s">
        <v>245</v>
      </c>
      <c r="J22" s="6" t="s">
        <v>170</v>
      </c>
      <c r="K22" s="6" t="s">
        <v>220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242</v>
      </c>
      <c r="R22" s="41" t="s">
        <v>243</v>
      </c>
      <c r="S22" s="41" t="s">
        <v>244</v>
      </c>
      <c r="T22" s="41"/>
      <c r="U22" s="41" t="s">
        <v>245</v>
      </c>
      <c r="V22" s="41" t="s">
        <v>170</v>
      </c>
      <c r="W22" s="41" t="s">
        <v>220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242</v>
      </c>
      <c r="AD22" s="6" t="s">
        <v>243</v>
      </c>
      <c r="AE22" s="6" t="s">
        <v>244</v>
      </c>
      <c r="AF22" s="6"/>
      <c r="AG22" s="6" t="s">
        <v>245</v>
      </c>
      <c r="AH22" s="6" t="s">
        <v>170</v>
      </c>
      <c r="AI22" s="6" t="s">
        <v>220</v>
      </c>
    </row>
    <row r="23" spans="1:35" x14ac:dyDescent="0.2">
      <c r="A23" s="3" t="s">
        <v>210</v>
      </c>
      <c r="B23" s="12">
        <f ref="B23:J23" si="16" t="shared">B5/B$13</f>
        <v>0.60053903746120285</v>
      </c>
      <c r="C23" s="12">
        <f si="16" t="shared"/>
        <v>0.38635973843669813</v>
      </c>
      <c r="D23" s="12">
        <f si="16" t="shared"/>
        <v>2.0463424367171086E-2</v>
      </c>
      <c r="E23" s="12">
        <f si="16" t="shared"/>
        <v>5.617038914591653E-2</v>
      </c>
      <c r="F23" s="12">
        <f si="16" t="shared"/>
        <v>0.22231092609706052</v>
      </c>
      <c r="G23" s="12">
        <f si="16" t="shared"/>
        <v>3.8598407785408698E-2</v>
      </c>
      <c r="H23" s="12"/>
      <c r="I23" s="12">
        <f si="16" t="shared"/>
        <v>1.788653332226473E-3</v>
      </c>
      <c r="J23" s="12" t="e">
        <f si="16" t="shared"/>
        <v>#DIV/0!</v>
      </c>
      <c r="K23" s="12">
        <f>K5/K$13</f>
        <v>0.3321854152956244</v>
      </c>
      <c r="L23"/>
      <c r="M23" s="3" t="s">
        <v>210</v>
      </c>
      <c r="N23" s="42">
        <f ref="N23:V23" si="17" t="shared">N5/N$13</f>
        <v>0.60762567580675908</v>
      </c>
      <c r="O23" s="42">
        <f si="17" t="shared"/>
        <v>0.40063676836716305</v>
      </c>
      <c r="P23" s="42">
        <f si="17" t="shared"/>
        <v>0</v>
      </c>
      <c r="Q23" s="42">
        <f si="17" t="shared"/>
        <v>0</v>
      </c>
      <c r="R23" s="42">
        <f si="17" t="shared"/>
        <v>0.21528523074382894</v>
      </c>
      <c r="S23" s="42">
        <f si="17" t="shared"/>
        <v>4.3207301813185467E-2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0.34062876156720723</v>
      </c>
      <c r="Y23" s="3" t="s">
        <v>210</v>
      </c>
      <c r="Z23" s="12">
        <f ref="Z23:Z31" si="18" t="shared">N23-B23</f>
        <v>7.0866383455562287E-3</v>
      </c>
      <c r="AA23" s="12">
        <f ref="AA23:AA31" si="19" t="shared">O23-C23</f>
        <v>1.4277029930464924E-2</v>
      </c>
      <c r="AB23" s="12">
        <f ref="AB23:AB31" si="20" t="shared">P23-D23</f>
        <v>-2.0463424367171086E-2</v>
      </c>
      <c r="AC23" s="12">
        <f ref="AC23:AC31" si="21" t="shared">Q23-E23</f>
        <v>-5.617038914591653E-2</v>
      </c>
      <c r="AD23" s="12">
        <f ref="AD23:AD31" si="22" t="shared">R23-F23</f>
        <v>-7.0256953532315813E-3</v>
      </c>
      <c r="AE23" s="12">
        <f ref="AE23:AE31" si="23" t="shared">S23-G23</f>
        <v>4.6088940277767693E-3</v>
      </c>
      <c r="AF23" s="12"/>
      <c r="AG23" s="12">
        <f ref="AG23:AG31" si="24" t="shared">U23-I23</f>
        <v>-1.788653332226473E-3</v>
      </c>
      <c r="AH23" s="12" t="e">
        <f ref="AH23:AH31" si="25" t="shared">V23-J23</f>
        <v>#DIV/0!</v>
      </c>
      <c r="AI23" s="12">
        <f ref="AI23:AI31" si="26" t="shared">W23-K23</f>
        <v>8.44334627158283E-3</v>
      </c>
    </row>
    <row r="24" spans="1:35" x14ac:dyDescent="0.2">
      <c r="A24" s="3" t="s">
        <v>211</v>
      </c>
      <c r="B24" s="12">
        <f ref="B24:K24" si="27" t="shared">B6/B$13</f>
        <v>6.6673543081139696E-3</v>
      </c>
      <c r="C24" s="12">
        <f si="27" t="shared"/>
        <v>7.948562882537832E-3</v>
      </c>
      <c r="D24" s="12">
        <f si="27" t="shared"/>
        <v>2.0803004412122137E-3</v>
      </c>
      <c r="E24" s="12">
        <f si="27" t="shared"/>
        <v>1.1282096702455219E-2</v>
      </c>
      <c r="F24" s="12">
        <f si="27" t="shared"/>
        <v>0.27539178244397516</v>
      </c>
      <c r="G24" s="12">
        <f si="27" t="shared"/>
        <v>0.60701929950332856</v>
      </c>
      <c r="H24" s="12"/>
      <c r="I24" s="12">
        <f si="27" t="shared"/>
        <v>0.66286091534584402</v>
      </c>
      <c r="J24" s="12" t="e">
        <f si="27" t="shared"/>
        <v>#DIV/0!</v>
      </c>
      <c r="K24" s="12">
        <f si="27" t="shared"/>
        <v>0.13313374842884676</v>
      </c>
      <c r="L24"/>
      <c r="M24" s="3" t="s">
        <v>211</v>
      </c>
      <c r="N24" s="42">
        <f ref="N24:W24" si="28" t="shared">N6/N$13</f>
        <v>6.7733983282249463E-3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0.28925534549657395</v>
      </c>
      <c r="S24" s="42">
        <f si="28" t="shared"/>
        <v>0.60509851068528109</v>
      </c>
      <c r="T24" s="42"/>
      <c r="U24" s="42">
        <f si="28" t="shared"/>
        <v>0.65545374324388206</v>
      </c>
      <c r="V24" s="42" t="e">
        <f si="28" t="shared"/>
        <v>#DIV/0!</v>
      </c>
      <c r="W24" s="42">
        <f si="28" t="shared"/>
        <v>0.11652614284034922</v>
      </c>
      <c r="Y24" s="3" t="s">
        <v>211</v>
      </c>
      <c r="Z24" s="12">
        <f si="18" t="shared"/>
        <v>1.060440201109767E-4</v>
      </c>
      <c r="AA24" s="12">
        <f si="19" t="shared"/>
        <v>-7.948562882537832E-3</v>
      </c>
      <c r="AB24" s="12">
        <f si="20" t="shared"/>
        <v>-2.0803004412122137E-3</v>
      </c>
      <c r="AC24" s="12">
        <f si="21" t="shared"/>
        <v>-1.1282096702455219E-2</v>
      </c>
      <c r="AD24" s="12">
        <f si="22" t="shared"/>
        <v>1.3863563052598782E-2</v>
      </c>
      <c r="AE24" s="12">
        <f si="23" t="shared"/>
        <v>-1.9207888180474697E-3</v>
      </c>
      <c r="AF24" s="12"/>
      <c r="AG24" s="12">
        <f si="24" t="shared"/>
        <v>-7.4071721019619563E-3</v>
      </c>
      <c r="AH24" s="12" t="e">
        <f si="25" t="shared"/>
        <v>#DIV/0!</v>
      </c>
      <c r="AI24" s="12">
        <f si="26" t="shared"/>
        <v>-1.660760558849754E-2</v>
      </c>
    </row>
    <row r="25" spans="1:35" x14ac:dyDescent="0.2">
      <c r="A25" s="3" t="s">
        <v>212</v>
      </c>
      <c r="B25" s="12">
        <f ref="B25:K25" si="29" t="shared">B7/B$13</f>
        <v>6.4436318814217269E-2</v>
      </c>
      <c r="C25" s="12">
        <f si="29" t="shared"/>
        <v>0.17108715929460161</v>
      </c>
      <c r="D25" s="12">
        <f si="29" t="shared"/>
        <v>8.9626665245911952E-2</v>
      </c>
      <c r="E25" s="12">
        <f si="29" t="shared"/>
        <v>0.29728179501547286</v>
      </c>
      <c r="F25" s="12">
        <f si="29" t="shared"/>
        <v>0.11945491472935271</v>
      </c>
      <c r="G25" s="12">
        <f si="29" t="shared"/>
        <v>5.2083029895878902E-2</v>
      </c>
      <c r="H25" s="12"/>
      <c r="I25" s="12">
        <f si="29" t="shared"/>
        <v>3.8114366408496164E-2</v>
      </c>
      <c r="J25" s="12" t="e">
        <f si="29" t="shared"/>
        <v>#DIV/0!</v>
      </c>
      <c r="K25" s="12">
        <f si="29" t="shared"/>
        <v>0.10678386599169945</v>
      </c>
      <c r="L25"/>
      <c r="M25" s="3" t="s">
        <v>212</v>
      </c>
      <c r="N25" s="42">
        <f ref="N25:W25" si="30" t="shared">N7/N$13</f>
        <v>6.5027968839022801E-2</v>
      </c>
      <c r="O25" s="42">
        <f si="30" t="shared"/>
        <v>0.16486560449609194</v>
      </c>
      <c r="P25" s="42">
        <f si="30" t="shared"/>
        <v>9.1314404127725041E-2</v>
      </c>
      <c r="Q25" s="42">
        <f si="30" t="shared"/>
        <v>0.31754598571737719</v>
      </c>
      <c r="R25" s="42">
        <f si="30" t="shared"/>
        <v>0.11429868736068687</v>
      </c>
      <c r="S25" s="42">
        <f si="30" t="shared"/>
        <v>5.4395563952204531E-2</v>
      </c>
      <c r="T25" s="42"/>
      <c r="U25" s="42">
        <f si="30" t="shared"/>
        <v>3.7830320984541685E-2</v>
      </c>
      <c r="V25" s="42" t="e">
        <f si="30" t="shared"/>
        <v>#DIV/0!</v>
      </c>
      <c r="W25" s="42">
        <f si="30" t="shared"/>
        <v>0.10552394681637232</v>
      </c>
      <c r="Y25" s="3" t="s">
        <v>212</v>
      </c>
      <c r="Z25" s="12">
        <f si="18" t="shared"/>
        <v>5.9165002480553175E-4</v>
      </c>
      <c r="AA25" s="12">
        <f si="19" t="shared"/>
        <v>-6.2215547985096653E-3</v>
      </c>
      <c r="AB25" s="12">
        <f si="20" t="shared"/>
        <v>1.687738881813089E-3</v>
      </c>
      <c r="AC25" s="12">
        <f si="21" t="shared"/>
        <v>2.0264190701904328E-2</v>
      </c>
      <c r="AD25" s="12">
        <f si="22" t="shared"/>
        <v>-5.1562273686658472E-3</v>
      </c>
      <c r="AE25" s="12">
        <f si="23" t="shared"/>
        <v>2.3125340563256297E-3</v>
      </c>
      <c r="AF25" s="12"/>
      <c r="AG25" s="12">
        <f si="24" t="shared"/>
        <v>-2.8404542395447929E-4</v>
      </c>
      <c r="AH25" s="12" t="e">
        <f si="25" t="shared"/>
        <v>#DIV/0!</v>
      </c>
      <c r="AI25" s="12">
        <f si="26" t="shared"/>
        <v>-1.2599191753271261E-3</v>
      </c>
    </row>
    <row r="26" spans="1:35" x14ac:dyDescent="0.2">
      <c r="A26" s="3" t="s">
        <v>213</v>
      </c>
      <c r="B26" s="12">
        <f ref="B26:K26" si="31" t="shared">B8/B$13</f>
        <v>7.026122362333613E-2</v>
      </c>
      <c r="C26" s="12">
        <f si="31" t="shared"/>
        <v>0.13285267680123033</v>
      </c>
      <c r="D26" s="12">
        <f si="31" t="shared"/>
        <v>0.37380442436476413</v>
      </c>
      <c r="E26" s="12">
        <f si="31" t="shared"/>
        <v>0.22745384073041369</v>
      </c>
      <c r="F26" s="12">
        <f si="31" t="shared"/>
        <v>9.4468429762899139E-2</v>
      </c>
      <c r="G26" s="12">
        <f si="31" t="shared"/>
        <v>8.557392614240715E-2</v>
      </c>
      <c r="H26" s="12"/>
      <c r="I26" s="12">
        <f si="31" t="shared"/>
        <v>6.4933197999976627E-2</v>
      </c>
      <c r="J26" s="12" t="e">
        <f si="31" t="shared"/>
        <v>#DIV/0!</v>
      </c>
      <c r="K26" s="12">
        <f si="31" t="shared"/>
        <v>0.12575608307322836</v>
      </c>
      <c r="L26"/>
      <c r="M26" s="3" t="s">
        <v>213</v>
      </c>
      <c r="N26" s="42">
        <f ref="N26:W26" si="32" t="shared">N8/N$13</f>
        <v>7.0828004740821349E-2</v>
      </c>
      <c r="O26" s="42">
        <f si="32" t="shared"/>
        <v>0.10143573245049026</v>
      </c>
      <c r="P26" s="42">
        <f si="32" t="shared"/>
        <v>0.3869009618101707</v>
      </c>
      <c r="Q26" s="42">
        <f si="32" t="shared"/>
        <v>0.24209911274615883</v>
      </c>
      <c r="R26" s="42">
        <f si="32" t="shared"/>
        <v>8.7344175679022543E-2</v>
      </c>
      <c r="S26" s="42">
        <f si="32" t="shared"/>
        <v>8.0722329906519119E-2</v>
      </c>
      <c r="T26" s="42"/>
      <c r="U26" s="42">
        <f si="32" t="shared"/>
        <v>6.658026189313121E-2</v>
      </c>
      <c r="V26" s="42" t="e">
        <f si="32" t="shared"/>
        <v>#DIV/0!</v>
      </c>
      <c r="W26" s="42">
        <f si="32" t="shared"/>
        <v>0.12860344685804104</v>
      </c>
      <c r="Y26" s="3" t="s">
        <v>213</v>
      </c>
      <c r="Z26" s="12">
        <f si="18" t="shared"/>
        <v>5.6678111748521831E-4</v>
      </c>
      <c r="AA26" s="12">
        <f si="19" t="shared"/>
        <v>-3.1416944350740078E-2</v>
      </c>
      <c r="AB26" s="12">
        <f si="20" t="shared"/>
        <v>1.3096537445406564E-2</v>
      </c>
      <c r="AC26" s="12">
        <f si="21" t="shared"/>
        <v>1.4645272015745142E-2</v>
      </c>
      <c r="AD26" s="12">
        <f si="22" t="shared"/>
        <v>-7.1242540838765966E-3</v>
      </c>
      <c r="AE26" s="12">
        <f si="23" t="shared"/>
        <v>-4.851596235888031E-3</v>
      </c>
      <c r="AF26" s="12"/>
      <c r="AG26" s="12">
        <f si="24" t="shared"/>
        <v>1.6470638931545822E-3</v>
      </c>
      <c r="AH26" s="12" t="e">
        <f si="25" t="shared"/>
        <v>#DIV/0!</v>
      </c>
      <c r="AI26" s="12">
        <f si="26" t="shared"/>
        <v>2.8473637848126787E-3</v>
      </c>
    </row>
    <row r="27" spans="1:35" x14ac:dyDescent="0.2">
      <c r="A27" s="3" t="s">
        <v>214</v>
      </c>
      <c r="B27" s="12">
        <f ref="B27:K27" si="33" t="shared">B9/B$13</f>
        <v>4.5479469522595913E-2</v>
      </c>
      <c r="C27" s="12">
        <f si="33" t="shared"/>
        <v>0.10211909268720105</v>
      </c>
      <c r="D27" s="12">
        <f si="33" t="shared"/>
        <v>0.21995998715661785</v>
      </c>
      <c r="E27" s="12">
        <f si="33" t="shared"/>
        <v>0.18918411450580375</v>
      </c>
      <c r="F27" s="12">
        <f si="33" t="shared"/>
        <v>0.10509665712179253</v>
      </c>
      <c r="G27" s="12">
        <f si="33" t="shared"/>
        <v>2.6621712914980018E-2</v>
      </c>
      <c r="H27" s="12"/>
      <c r="I27" s="12">
        <f si="33" t="shared"/>
        <v>2.83379735868226E-2</v>
      </c>
      <c r="J27" s="12" t="e">
        <f si="33" t="shared"/>
        <v>#DIV/0!</v>
      </c>
      <c r="K27" s="12">
        <f si="33" t="shared"/>
        <v>8.5446693882925154E-2</v>
      </c>
      <c r="L27"/>
      <c r="M27" s="3" t="s">
        <v>214</v>
      </c>
      <c r="N27" s="42">
        <f ref="N27:W27" si="34" t="shared">N9/N$13</f>
        <v>4.5955417101966684E-2</v>
      </c>
      <c r="O27" s="42">
        <f si="34" t="shared"/>
        <v>8.1298099706979751E-2</v>
      </c>
      <c r="P27" s="42">
        <f si="34" t="shared"/>
        <v>0.22558059215690379</v>
      </c>
      <c r="Q27" s="42">
        <f si="34" t="shared"/>
        <v>0.20691192382601167</v>
      </c>
      <c r="R27" s="42">
        <f si="34" t="shared"/>
        <v>0.10369025014447288</v>
      </c>
      <c r="S27" s="42">
        <f si="34" t="shared"/>
        <v>2.5517089088990849E-2</v>
      </c>
      <c r="T27" s="42"/>
      <c r="U27" s="42">
        <f si="34" t="shared"/>
        <v>3.0061770221080662E-2</v>
      </c>
      <c r="V27" s="42" t="e">
        <f si="34" t="shared"/>
        <v>#DIV/0!</v>
      </c>
      <c r="W27" s="42">
        <f si="34" t="shared"/>
        <v>8.7204614354678564E-2</v>
      </c>
      <c r="Y27" s="3" t="s">
        <v>214</v>
      </c>
      <c r="Z27" s="12">
        <f si="18" t="shared"/>
        <v>4.7594757937077098E-4</v>
      </c>
      <c r="AA27" s="12">
        <f si="19" t="shared"/>
        <v>-2.0820992980221303E-2</v>
      </c>
      <c r="AB27" s="12">
        <f si="20" t="shared"/>
        <v>5.6206050002859387E-3</v>
      </c>
      <c r="AC27" s="12">
        <f si="21" t="shared"/>
        <v>1.7727809320207927E-2</v>
      </c>
      <c r="AD27" s="12">
        <f si="22" t="shared"/>
        <v>-1.4064069773196547E-3</v>
      </c>
      <c r="AE27" s="12">
        <f si="23" t="shared"/>
        <v>-1.1046238259891684E-3</v>
      </c>
      <c r="AF27" s="12"/>
      <c r="AG27" s="12">
        <f si="24" t="shared"/>
        <v>1.7237966342580624E-3</v>
      </c>
      <c r="AH27" s="12" t="e">
        <f si="25" t="shared"/>
        <v>#DIV/0!</v>
      </c>
      <c r="AI27" s="12">
        <f si="26" t="shared"/>
        <v>1.7579204717534103E-3</v>
      </c>
    </row>
    <row r="28" spans="1:35" x14ac:dyDescent="0.2">
      <c r="A28" s="3" t="s">
        <v>129</v>
      </c>
      <c r="B28" s="12">
        <f ref="B28:K28" si="35" t="shared">B10/B$13</f>
        <v>4.234222508676961E-2</v>
      </c>
      <c r="C28" s="12">
        <f si="35" t="shared"/>
        <v>4.8814898181150167E-2</v>
      </c>
      <c r="D28" s="12">
        <f si="35" t="shared"/>
        <v>0.11750946871119161</v>
      </c>
      <c r="E28" s="12">
        <f si="35" t="shared"/>
        <v>5.3569253535530471E-2</v>
      </c>
      <c r="F28" s="12">
        <f si="35" t="shared"/>
        <v>8.5168601469897298E-2</v>
      </c>
      <c r="G28" s="12">
        <f si="35" t="shared"/>
        <v>1.8334887028910341E-2</v>
      </c>
      <c r="H28" s="12"/>
      <c r="I28" s="12">
        <f si="35" t="shared"/>
        <v>2.1942987384902416E-2</v>
      </c>
      <c r="J28" s="12" t="e">
        <f si="35" t="shared"/>
        <v>#DIV/0!</v>
      </c>
      <c r="K28" s="12">
        <f si="35" t="shared"/>
        <v>4.8907745994577992E-2</v>
      </c>
      <c r="L28"/>
      <c r="M28" s="3" t="s">
        <v>129</v>
      </c>
      <c r="N28" s="42">
        <f ref="N28:W28" si="36" t="shared">N10/N$13</f>
        <v>4.1561349149450713E-2</v>
      </c>
      <c r="O28" s="42">
        <f si="36" t="shared"/>
        <v>4.8191484391165343E-2</v>
      </c>
      <c r="P28" s="42">
        <f si="36" t="shared"/>
        <v>0.11735863274340914</v>
      </c>
      <c r="Q28" s="42">
        <f si="36" t="shared"/>
        <v>5.9844189569357283E-2</v>
      </c>
      <c r="R28" s="42">
        <f si="36" t="shared"/>
        <v>7.8985387600099072E-2</v>
      </c>
      <c r="S28" s="42">
        <f si="36" t="shared"/>
        <v>1.8941531516058593E-2</v>
      </c>
      <c r="T28" s="42"/>
      <c r="U28" s="42">
        <f si="36" t="shared"/>
        <v>2.3518381368084335E-2</v>
      </c>
      <c r="V28" s="42" t="e">
        <f si="36" t="shared"/>
        <v>#DIV/0!</v>
      </c>
      <c r="W28" s="42">
        <f si="36" t="shared"/>
        <v>5.0399274578055986E-2</v>
      </c>
      <c r="Y28" s="3" t="s">
        <v>129</v>
      </c>
      <c r="Z28" s="12">
        <f si="18" t="shared"/>
        <v>-7.8087593731889643E-4</v>
      </c>
      <c r="AA28" s="12">
        <f si="19" t="shared"/>
        <v>-6.2341378998482383E-4</v>
      </c>
      <c r="AB28" s="12">
        <f si="20" t="shared"/>
        <v>-1.5083596778246722E-4</v>
      </c>
      <c r="AC28" s="12">
        <f si="21" t="shared"/>
        <v>6.2749360338268112E-3</v>
      </c>
      <c r="AD28" s="12">
        <f si="22" t="shared"/>
        <v>-6.1832138697982264E-3</v>
      </c>
      <c r="AE28" s="12">
        <f si="23" t="shared"/>
        <v>6.0664448714825223E-4</v>
      </c>
      <c r="AF28" s="12"/>
      <c r="AG28" s="12">
        <f si="24" t="shared"/>
        <v>1.5753939831819191E-3</v>
      </c>
      <c r="AH28" s="12" t="e">
        <f si="25" t="shared"/>
        <v>#DIV/0!</v>
      </c>
      <c r="AI28" s="12">
        <f si="26" t="shared"/>
        <v>1.491528583477994E-3</v>
      </c>
    </row>
    <row r="29" spans="1:35" x14ac:dyDescent="0.2">
      <c r="A29" s="25" t="s">
        <v>130</v>
      </c>
      <c r="B29" s="34">
        <f ref="B29:K30" si="37" t="shared">B11/B$13</f>
        <v>7.0333574473854854E-2</v>
      </c>
      <c r="C29" s="34">
        <f si="37" t="shared"/>
        <v>0.10968187162859962</v>
      </c>
      <c r="D29" s="34">
        <f si="37" t="shared"/>
        <v>0.1765557297131311</v>
      </c>
      <c r="E29" s="34">
        <f si="37" t="shared"/>
        <v>0.16443355395744544</v>
      </c>
      <c r="F29" s="34">
        <f si="37" t="shared"/>
        <v>9.5797187044104518E-2</v>
      </c>
      <c r="G29" s="34">
        <f si="37" t="shared"/>
        <v>0.17176873672908632</v>
      </c>
      <c r="H29" s="34"/>
      <c r="I29" s="34">
        <f si="37" t="shared"/>
        <v>0.18202190594173154</v>
      </c>
      <c r="J29" s="34" t="e">
        <f si="37" t="shared"/>
        <v>#DIV/0!</v>
      </c>
      <c r="K29" s="34">
        <f si="37" t="shared"/>
        <v>0.11759817166467426</v>
      </c>
      <c r="L29"/>
      <c r="M29" s="25" t="s">
        <v>130</v>
      </c>
      <c r="N29" s="56">
        <f ref="N29:W29" si="38" t="shared">N11/N$13</f>
        <v>7.1232736196483182E-2</v>
      </c>
      <c r="O29" s="56">
        <f si="38" t="shared"/>
        <v>0.10977245876691208</v>
      </c>
      <c r="P29" s="56">
        <f si="38" t="shared"/>
        <v>0.17884540916179134</v>
      </c>
      <c r="Q29" s="56">
        <f si="38" t="shared"/>
        <v>0.173598788141095</v>
      </c>
      <c r="R29" s="56">
        <f si="38" t="shared"/>
        <v>8.9449351935936602E-2</v>
      </c>
      <c r="S29" s="56">
        <f si="38" t="shared"/>
        <v>0.16907525087714995</v>
      </c>
      <c r="T29" s="56"/>
      <c r="U29" s="56">
        <f si="38" t="shared"/>
        <v>0.18655552228928002</v>
      </c>
      <c r="V29" s="56" t="e">
        <f si="38" t="shared"/>
        <v>#DIV/0!</v>
      </c>
      <c r="W29" s="56">
        <f si="38" t="shared"/>
        <v>0.11766692734908062</v>
      </c>
      <c r="Y29" s="25" t="s">
        <v>130</v>
      </c>
      <c r="Z29" s="12">
        <f si="18" t="shared"/>
        <v>8.9916172262832772E-4</v>
      </c>
      <c r="AA29" s="12">
        <f si="19" t="shared"/>
        <v>9.058713831246179E-5</v>
      </c>
      <c r="AB29" s="12">
        <f si="20" t="shared"/>
        <v>2.2896794486602368E-3</v>
      </c>
      <c r="AC29" s="12">
        <f si="21" t="shared"/>
        <v>9.1652341836495621E-3</v>
      </c>
      <c r="AD29" s="12">
        <f si="22" t="shared"/>
        <v>-6.3478351081679152E-3</v>
      </c>
      <c r="AE29" s="12">
        <f si="23" t="shared"/>
        <v>-2.693485851936378E-3</v>
      </c>
      <c r="AF29" s="12"/>
      <c r="AG29" s="12">
        <f si="24" t="shared"/>
        <v>4.5336163475484803E-3</v>
      </c>
      <c r="AH29" s="12" t="e">
        <f si="25" t="shared"/>
        <v>#DIV/0!</v>
      </c>
      <c r="AI29" s="12">
        <f si="26" t="shared"/>
        <v>6.8755684406354711E-5</v>
      </c>
    </row>
    <row r="30" spans="1:35" x14ac:dyDescent="0.2">
      <c r="A30" s="25" t="s">
        <v>246</v>
      </c>
      <c r="B30" s="13">
        <f si="37" t="shared"/>
        <v>9.9940796709909713E-2</v>
      </c>
      <c r="C30" s="13">
        <f si="37" t="shared"/>
        <v>4.1136000087981205E-2</v>
      </c>
      <c r="D30" s="13">
        <f si="37" t="shared"/>
        <v>0</v>
      </c>
      <c r="E30" s="13">
        <f si="37" t="shared"/>
        <v>6.2495640696202048E-4</v>
      </c>
      <c r="F30" s="13">
        <f si="37" t="shared"/>
        <v>2.3115013309180192E-3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5.018827566842346E-2</v>
      </c>
      <c r="L30"/>
      <c r="M30" s="25" t="s">
        <v>246</v>
      </c>
      <c r="N30" s="43">
        <f ref="N30:W30" si="39" t="shared">N12/N$13</f>
        <v>9.0995449837271189E-2</v>
      </c>
      <c r="O30" s="43">
        <f si="39" t="shared"/>
        <v>9.3799851821197572E-2</v>
      </c>
      <c r="P30" s="43">
        <f si="39" t="shared"/>
        <v>0</v>
      </c>
      <c r="Q30" s="43">
        <f si="39" t="shared"/>
        <v>0</v>
      </c>
      <c r="R30" s="43">
        <f si="39" t="shared"/>
        <v>2.169157103937918E-2</v>
      </c>
      <c r="S30" s="43">
        <f si="39" t="shared"/>
        <v>3.0424221606104472E-3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5.3446885636215025E-2</v>
      </c>
      <c r="Y30" s="25" t="s">
        <v>246</v>
      </c>
      <c r="Z30" s="12">
        <f si="18" t="shared"/>
        <v>-8.9453468726385238E-3</v>
      </c>
      <c r="AA30" s="12">
        <f si="19" t="shared"/>
        <v>5.2663851733216367E-2</v>
      </c>
      <c r="AB30" s="12">
        <f si="20" t="shared"/>
        <v>0</v>
      </c>
      <c r="AC30" s="12">
        <f si="21" t="shared"/>
        <v>-6.2495640696202048E-4</v>
      </c>
      <c r="AD30" s="12">
        <f si="22" t="shared"/>
        <v>1.9380069708461161E-2</v>
      </c>
      <c r="AE30" s="12">
        <f si="23" t="shared"/>
        <v>3.0424221606104472E-3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3.2586099677915648E-3</v>
      </c>
    </row>
    <row ht="13.5" r="31" spans="1:35" thickBot="1" x14ac:dyDescent="0.25">
      <c r="A31" s="10" t="s">
        <v>220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220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220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272</v>
      </c>
      <c r="B37"/>
      <c r="C37"/>
      <c r="D37"/>
      <c r="E37"/>
      <c r="F37"/>
      <c r="G37"/>
      <c r="H37"/>
      <c r="I37"/>
      <c r="J37"/>
      <c r="K37"/>
      <c r="L37"/>
      <c r="M37" s="2" t="s">
        <v>267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237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295</v>
      </c>
      <c r="C39" s="6" t="s">
        <v>296</v>
      </c>
      <c r="D39" s="6" t="s">
        <v>297</v>
      </c>
      <c r="E39" s="6" t="s">
        <v>300</v>
      </c>
      <c r="F39" s="6" t="s">
        <v>172</v>
      </c>
      <c r="G39" s="6" t="s">
        <v>220</v>
      </c>
      <c r="H39" s="89"/>
      <c r="I39"/>
      <c r="K39"/>
      <c r="L39"/>
      <c r="M39" s="5" t="s">
        <v>159</v>
      </c>
      <c r="N39" s="6" t="s">
        <v>295</v>
      </c>
      <c r="O39" s="6" t="s">
        <v>296</v>
      </c>
      <c r="P39" s="6" t="s">
        <v>297</v>
      </c>
      <c r="Q39" s="6" t="s">
        <v>300</v>
      </c>
      <c r="R39" s="41" t="s">
        <v>172</v>
      </c>
      <c r="S39" s="41" t="s">
        <v>220</v>
      </c>
      <c r="T39" s="101"/>
      <c r="W39" s="57"/>
      <c r="Y39" s="5" t="s">
        <v>159</v>
      </c>
      <c r="Z39" s="6" t="s">
        <v>295</v>
      </c>
      <c r="AA39" s="6" t="s">
        <v>296</v>
      </c>
      <c r="AB39" s="6" t="s">
        <v>297</v>
      </c>
      <c r="AC39" s="6" t="s">
        <v>300</v>
      </c>
      <c r="AD39" s="41" t="s">
        <v>172</v>
      </c>
      <c r="AE39" s="41" t="s">
        <v>220</v>
      </c>
      <c r="AF39" s="101"/>
      <c r="AG39"/>
    </row>
    <row r="40" spans="1:35" x14ac:dyDescent="0.2">
      <c r="A40" s="3" t="s">
        <v>210</v>
      </c>
      <c r="B40" s="7">
        <f>output_NHTS!B189</f>
        <v>7920.1091450000004</v>
      </c>
      <c r="C40" s="7">
        <f>output_NHTS!C189</f>
        <v>135324.39270299999</v>
      </c>
      <c r="D40" s="7">
        <f>output_NHTS!D189</f>
        <v>121776.435314</v>
      </c>
      <c r="E40" s="7">
        <f>output_NHTS!E189</f>
        <v>225281.71471500001</v>
      </c>
      <c r="F40" s="7"/>
      <c r="G40" s="53">
        <f>SUM(B40:E40)</f>
        <v>490302.651877</v>
      </c>
      <c r="H40" s="53"/>
      <c r="I40"/>
      <c r="K40"/>
      <c r="L40"/>
      <c r="M40" s="3" t="s">
        <v>210</v>
      </c>
      <c r="N40" s="53">
        <f>output!B189</f>
        <v>13291</v>
      </c>
      <c r="O40" s="53">
        <f>output!C189</f>
        <v>123742</v>
      </c>
      <c r="P40" s="53">
        <f>output!D189</f>
        <v>125733</v>
      </c>
      <c r="Q40" s="53">
        <f>output!E189</f>
        <v>354366</v>
      </c>
      <c r="R40" s="53"/>
      <c r="S40" s="53">
        <f>SUM(N40:Q40)</f>
        <v>617132</v>
      </c>
      <c r="T40" s="53"/>
      <c r="W40" s="57"/>
      <c r="Y40" s="3" t="s">
        <v>210</v>
      </c>
      <c r="Z40" s="7">
        <f ref="Z40:Z48" si="42" t="shared">N40-B40</f>
        <v>5370.8908549999996</v>
      </c>
      <c r="AA40" s="7">
        <f ref="AA40:AA48" si="43" t="shared">O40-C40</f>
        <v>-11582.39270299999</v>
      </c>
      <c r="AB40" s="7">
        <f ref="AB40:AB48" si="44" t="shared">P40-D40</f>
        <v>3956.5646859999979</v>
      </c>
      <c r="AC40" s="7">
        <f ref="AC40:AC48" si="45" t="shared">Q40-E40</f>
        <v>129084.28528499999</v>
      </c>
      <c r="AD40" s="7">
        <f ref="AD40:AD48" si="46" t="shared">R40-F40</f>
        <v>0</v>
      </c>
      <c r="AE40" s="7">
        <f ref="AE40:AE48" si="47" t="shared">S40-G40</f>
        <v>126829.348123</v>
      </c>
      <c r="AF40" s="7"/>
      <c r="AG40"/>
    </row>
    <row r="41" spans="1:35" x14ac:dyDescent="0.2">
      <c r="A41" s="3" t="s">
        <v>211</v>
      </c>
      <c r="B41" s="7">
        <f>output_NHTS!B190</f>
        <v>11840.618328999999</v>
      </c>
      <c r="C41" s="7">
        <f>output_NHTS!C190</f>
        <v>49354.890993000001</v>
      </c>
      <c r="D41" s="7">
        <f>output_NHTS!D190</f>
        <v>45446.011848000002</v>
      </c>
      <c r="E41" s="7">
        <f>output_NHTS!E190</f>
        <v>90406.188445000007</v>
      </c>
      <c r="F41" s="7"/>
      <c r="G41" s="53">
        <f ref="G41:G47" si="48" t="shared">SUM(B41:E41)</f>
        <v>197047.709615</v>
      </c>
      <c r="H41" s="53"/>
      <c r="I41"/>
      <c r="K41"/>
      <c r="L41"/>
      <c r="M41" s="3" t="s">
        <v>211</v>
      </c>
      <c r="N41" s="53">
        <f>output!B190</f>
        <v>14280</v>
      </c>
      <c r="O41" s="53">
        <f>output!C190</f>
        <v>53558</v>
      </c>
      <c r="P41" s="53">
        <f>output!D190</f>
        <v>35884</v>
      </c>
      <c r="Q41" s="53">
        <f>output!E190</f>
        <v>107406</v>
      </c>
      <c r="R41" s="53"/>
      <c r="S41" s="53">
        <f ref="S41:S50" si="49" t="shared">SUM(N41:Q41)</f>
        <v>211128</v>
      </c>
      <c r="T41" s="53"/>
      <c r="W41" s="57"/>
      <c r="Y41" s="3" t="s">
        <v>211</v>
      </c>
      <c r="Z41" s="7">
        <f si="42" t="shared"/>
        <v>2439.381671000001</v>
      </c>
      <c r="AA41" s="7">
        <f si="43" t="shared"/>
        <v>4203.1090069999991</v>
      </c>
      <c r="AB41" s="7">
        <f si="44" t="shared"/>
        <v>-9562.0118480000019</v>
      </c>
      <c r="AC41" s="7">
        <f si="45" t="shared"/>
        <v>16999.811554999993</v>
      </c>
      <c r="AD41" s="7">
        <f si="46" t="shared"/>
        <v>0</v>
      </c>
      <c r="AE41" s="7">
        <f si="47" t="shared"/>
        <v>14080.290385</v>
      </c>
      <c r="AF41" s="7"/>
      <c r="AG41"/>
    </row>
    <row r="42" spans="1:35" x14ac:dyDescent="0.2">
      <c r="A42" s="3" t="s">
        <v>212</v>
      </c>
      <c r="B42" s="7">
        <f>output_NHTS!B191</f>
        <v>3517.4044840000001</v>
      </c>
      <c r="C42" s="7">
        <f>output_NHTS!C191</f>
        <v>39963.887383000001</v>
      </c>
      <c r="D42" s="7">
        <f>output_NHTS!D191</f>
        <v>41400.493941000001</v>
      </c>
      <c r="E42" s="7">
        <f>output_NHTS!E191</f>
        <v>68984.822239000001</v>
      </c>
      <c r="F42" s="7"/>
      <c r="G42" s="53">
        <f si="48" t="shared"/>
        <v>153866.60804700002</v>
      </c>
      <c r="H42" s="53"/>
      <c r="I42"/>
      <c r="K42"/>
      <c r="L42"/>
      <c r="M42" s="3" t="s">
        <v>212</v>
      </c>
      <c r="N42" s="53">
        <f>output!B191</f>
        <v>14505</v>
      </c>
      <c r="O42" s="53">
        <f>output!C191</f>
        <v>47179</v>
      </c>
      <c r="P42" s="53">
        <f>output!D191</f>
        <v>33228</v>
      </c>
      <c r="Q42" s="53">
        <f>output!E191</f>
        <v>96272</v>
      </c>
      <c r="R42" s="53"/>
      <c r="S42" s="53">
        <f si="49" t="shared"/>
        <v>191184</v>
      </c>
      <c r="T42" s="53"/>
      <c r="W42" s="57"/>
      <c r="Y42" s="3" t="s">
        <v>212</v>
      </c>
      <c r="Z42" s="7">
        <f si="42" t="shared"/>
        <v>10987.595515999999</v>
      </c>
      <c r="AA42" s="7">
        <f si="43" t="shared"/>
        <v>7215.1126169999989</v>
      </c>
      <c r="AB42" s="7">
        <f si="44" t="shared"/>
        <v>-8172.4939410000006</v>
      </c>
      <c r="AC42" s="7">
        <f si="45" t="shared"/>
        <v>27287.177760999999</v>
      </c>
      <c r="AD42" s="7">
        <f si="46" t="shared"/>
        <v>0</v>
      </c>
      <c r="AE42" s="7">
        <f si="47" t="shared"/>
        <v>37317.391952999984</v>
      </c>
      <c r="AF42" s="7"/>
      <c r="AG42"/>
    </row>
    <row r="43" spans="1:35" x14ac:dyDescent="0.2">
      <c r="A43" s="3" t="s">
        <v>213</v>
      </c>
      <c r="B43" s="7">
        <f>output_NHTS!B192</f>
        <v>10127.371972000001</v>
      </c>
      <c r="C43" s="7">
        <f>output_NHTS!C192</f>
        <v>64513.581447999997</v>
      </c>
      <c r="D43" s="7">
        <f>output_NHTS!D192</f>
        <v>35600.097851999999</v>
      </c>
      <c r="E43" s="7">
        <f>output_NHTS!E192</f>
        <v>64330.115269000002</v>
      </c>
      <c r="F43" s="7"/>
      <c r="G43" s="53">
        <f si="48" t="shared"/>
        <v>174571.16654100001</v>
      </c>
      <c r="H43" s="53"/>
      <c r="I43"/>
      <c r="K43"/>
      <c r="L43"/>
      <c r="M43" s="3" t="s">
        <v>213</v>
      </c>
      <c r="N43" s="53">
        <f>output!B192</f>
        <v>19457</v>
      </c>
      <c r="O43" s="53">
        <f>output!C192</f>
        <v>70616</v>
      </c>
      <c r="P43" s="53">
        <f>output!D192</f>
        <v>44604</v>
      </c>
      <c r="Q43" s="53">
        <f>output!E192</f>
        <v>98312</v>
      </c>
      <c r="R43" s="53"/>
      <c r="S43" s="53">
        <f si="49" t="shared"/>
        <v>232989</v>
      </c>
      <c r="T43" s="53"/>
      <c r="W43" s="57"/>
      <c r="Y43" s="3" t="s">
        <v>213</v>
      </c>
      <c r="Z43" s="7">
        <f si="42" t="shared"/>
        <v>9329.6280279999992</v>
      </c>
      <c r="AA43" s="7">
        <f si="43" t="shared"/>
        <v>6102.4185520000028</v>
      </c>
      <c r="AB43" s="7">
        <f si="44" t="shared"/>
        <v>9003.902148000001</v>
      </c>
      <c r="AC43" s="7">
        <f si="45" t="shared"/>
        <v>33981.884730999998</v>
      </c>
      <c r="AD43" s="7">
        <f si="46" t="shared"/>
        <v>0</v>
      </c>
      <c r="AE43" s="7">
        <f si="47" t="shared"/>
        <v>58417.833458999987</v>
      </c>
      <c r="AF43" s="7"/>
      <c r="AG43"/>
    </row>
    <row r="44" spans="1:35" x14ac:dyDescent="0.2">
      <c r="A44" s="3" t="s">
        <v>214</v>
      </c>
      <c r="B44" s="7">
        <f>output_NHTS!B193</f>
        <v>9808.965936999999</v>
      </c>
      <c r="C44" s="7">
        <f>output_NHTS!C193</f>
        <v>46872.573280999997</v>
      </c>
      <c r="D44" s="7">
        <f>output_NHTS!D193</f>
        <v>26160.461164</v>
      </c>
      <c r="E44" s="7">
        <f>output_NHTS!E193</f>
        <v>39081.119186000004</v>
      </c>
      <c r="F44" s="7"/>
      <c r="G44" s="53">
        <f si="48" t="shared"/>
        <v>121923.11956799999</v>
      </c>
      <c r="H44" s="53"/>
      <c r="I44"/>
      <c r="K44"/>
      <c r="L44"/>
      <c r="M44" s="3" t="s">
        <v>214</v>
      </c>
      <c r="N44" s="53">
        <f>output!B193</f>
        <v>15448</v>
      </c>
      <c r="O44" s="53">
        <f>output!C193</f>
        <v>48409</v>
      </c>
      <c r="P44" s="53">
        <f>output!D193</f>
        <v>30016</v>
      </c>
      <c r="Q44" s="53">
        <f>output!E193</f>
        <v>64115</v>
      </c>
      <c r="R44" s="53"/>
      <c r="S44" s="53">
        <f si="49" t="shared"/>
        <v>157988</v>
      </c>
      <c r="T44" s="53"/>
      <c r="W44" s="57"/>
      <c r="Y44" s="3" t="s">
        <v>214</v>
      </c>
      <c r="Z44" s="7">
        <f si="42" t="shared"/>
        <v>5639.034063000001</v>
      </c>
      <c r="AA44" s="7">
        <f si="43" t="shared"/>
        <v>1536.4267190000028</v>
      </c>
      <c r="AB44" s="7">
        <f si="44" t="shared"/>
        <v>3855.5388359999997</v>
      </c>
      <c r="AC44" s="7">
        <f si="45" t="shared"/>
        <v>25033.880813999996</v>
      </c>
      <c r="AD44" s="7">
        <f si="46" t="shared"/>
        <v>0</v>
      </c>
      <c r="AE44" s="7">
        <f si="47" t="shared"/>
        <v>36064.880432000005</v>
      </c>
      <c r="AF44" s="7"/>
      <c r="AG44"/>
    </row>
    <row r="45" spans="1:35" x14ac:dyDescent="0.2">
      <c r="A45" s="3" t="s">
        <v>129</v>
      </c>
      <c r="B45" s="7">
        <f>output_NHTS!B194</f>
        <v>1307.2024859999999</v>
      </c>
      <c r="C45" s="7">
        <f>output_NHTS!C194</f>
        <v>19085.017066</v>
      </c>
      <c r="D45" s="7">
        <f>output_NHTS!D194</f>
        <v>18263.599956999999</v>
      </c>
      <c r="E45" s="7">
        <f>output_NHTS!E194</f>
        <v>28763.633116000001</v>
      </c>
      <c r="F45" s="7"/>
      <c r="G45" s="53">
        <f si="48" t="shared"/>
        <v>67419.452624999991</v>
      </c>
      <c r="H45" s="53"/>
      <c r="I45"/>
      <c r="K45"/>
      <c r="L45"/>
      <c r="M45" s="3" t="s">
        <v>129</v>
      </c>
      <c r="N45" s="53">
        <f>output!B194</f>
        <v>6841</v>
      </c>
      <c r="O45" s="53">
        <f>output!C194</f>
        <v>25105</v>
      </c>
      <c r="P45" s="53">
        <f>output!D194</f>
        <v>18264</v>
      </c>
      <c r="Q45" s="53">
        <f>output!E194</f>
        <v>41097</v>
      </c>
      <c r="R45" s="53"/>
      <c r="S45" s="53">
        <f si="49" t="shared"/>
        <v>91307</v>
      </c>
      <c r="T45" s="53"/>
      <c r="W45" s="57"/>
      <c r="Y45" s="3" t="s">
        <v>129</v>
      </c>
      <c r="Z45" s="7">
        <f si="42" t="shared"/>
        <v>5533.7975139999999</v>
      </c>
      <c r="AA45" s="7">
        <f si="43" t="shared"/>
        <v>6019.9829339999997</v>
      </c>
      <c r="AB45" s="7">
        <f si="44" t="shared"/>
        <v>0.40004300000146031</v>
      </c>
      <c r="AC45" s="7">
        <f si="45" t="shared"/>
        <v>12333.366883999999</v>
      </c>
      <c r="AD45" s="7">
        <f si="46" t="shared"/>
        <v>0</v>
      </c>
      <c r="AE45" s="7">
        <f si="47" t="shared"/>
        <v>23887.547375000009</v>
      </c>
      <c r="AF45" s="7"/>
      <c r="AG45"/>
    </row>
    <row r="46" spans="1:35" x14ac:dyDescent="0.2">
      <c r="A46" s="25" t="s">
        <v>130</v>
      </c>
      <c r="B46" s="7">
        <f>output_NHTS!B195</f>
        <v>5174.0103170000002</v>
      </c>
      <c r="C46" s="7">
        <f>output_NHTS!C195</f>
        <v>48332.630697000001</v>
      </c>
      <c r="D46" s="7">
        <f>output_NHTS!D195</f>
        <v>40882.639167000001</v>
      </c>
      <c r="E46" s="7">
        <f>output_NHTS!E195</f>
        <v>77794.030861000007</v>
      </c>
      <c r="F46" s="33"/>
      <c r="G46" s="54">
        <f si="48" t="shared"/>
        <v>172183.31104200002</v>
      </c>
      <c r="H46" s="54"/>
      <c r="I46"/>
      <c r="K46"/>
      <c r="L46"/>
      <c r="M46" s="25" t="s">
        <v>130</v>
      </c>
      <c r="N46" s="54">
        <f>output!B195</f>
        <v>14007</v>
      </c>
      <c r="O46" s="54">
        <f>output!C195</f>
        <v>51698</v>
      </c>
      <c r="P46" s="54">
        <f>output!D195</f>
        <v>39601</v>
      </c>
      <c r="Q46" s="54">
        <f>output!E195</f>
        <v>107872</v>
      </c>
      <c r="R46" s="54"/>
      <c r="S46" s="54">
        <f si="49" t="shared"/>
        <v>213178</v>
      </c>
      <c r="T46" s="54"/>
      <c r="W46" s="57"/>
      <c r="Y46" s="25" t="s">
        <v>130</v>
      </c>
      <c r="Z46" s="33">
        <f si="42" t="shared"/>
        <v>8832.9896829999998</v>
      </c>
      <c r="AA46" s="33">
        <f si="43" t="shared"/>
        <v>3365.3693029999995</v>
      </c>
      <c r="AB46" s="33">
        <f si="44" t="shared"/>
        <v>-1281.6391670000012</v>
      </c>
      <c r="AC46" s="33">
        <f si="45" t="shared"/>
        <v>30077.969138999993</v>
      </c>
      <c r="AD46" s="33">
        <f si="46" t="shared"/>
        <v>0</v>
      </c>
      <c r="AE46" s="33">
        <f si="47" t="shared"/>
        <v>40994.688957999984</v>
      </c>
      <c r="AF46" s="33"/>
      <c r="AG46"/>
    </row>
    <row r="47" spans="1:35" x14ac:dyDescent="0.2">
      <c r="A47" s="25" t="s">
        <v>246</v>
      </c>
      <c r="B47" s="9">
        <f>output_NHTS!B196</f>
        <v>370.08061199999997</v>
      </c>
      <c r="C47" s="9">
        <f>output_NHTS!C196</f>
        <v>15613.328216</v>
      </c>
      <c r="D47" s="9">
        <f>output_NHTS!D196</f>
        <v>16038.959298</v>
      </c>
      <c r="E47" s="9">
        <f>output_NHTS!E196</f>
        <v>41660.165836</v>
      </c>
      <c r="F47" s="9"/>
      <c r="G47" s="59">
        <f si="48" t="shared"/>
        <v>73682.533962000001</v>
      </c>
      <c r="H47" s="54"/>
      <c r="I47"/>
      <c r="K47"/>
      <c r="L47"/>
      <c r="M47" s="25" t="s">
        <v>246</v>
      </c>
      <c r="N47" s="59">
        <f>output!B196</f>
        <v>2052</v>
      </c>
      <c r="O47" s="59">
        <f>output!C196</f>
        <v>18452</v>
      </c>
      <c r="P47" s="59">
        <f>output!D196</f>
        <v>19620</v>
      </c>
      <c r="Q47" s="59">
        <f>output!E196</f>
        <v>56706</v>
      </c>
      <c r="R47" s="59"/>
      <c r="S47" s="59">
        <f si="49" t="shared"/>
        <v>96830</v>
      </c>
      <c r="T47" s="54"/>
      <c r="W47" s="57"/>
      <c r="Y47" s="25" t="s">
        <v>246</v>
      </c>
      <c r="Z47" s="9">
        <f si="42" t="shared"/>
        <v>1681.919388</v>
      </c>
      <c r="AA47" s="9">
        <f si="43" t="shared"/>
        <v>2838.6717840000001</v>
      </c>
      <c r="AB47" s="9">
        <f si="44" t="shared"/>
        <v>3581.0407020000002</v>
      </c>
      <c r="AC47" s="9">
        <f si="45" t="shared"/>
        <v>15045.834164</v>
      </c>
      <c r="AD47" s="9">
        <f si="46" t="shared"/>
        <v>0</v>
      </c>
      <c r="AE47" s="9">
        <f si="47" t="shared"/>
        <v>23147.466037999999</v>
      </c>
      <c r="AF47" s="33"/>
      <c r="AG47"/>
    </row>
    <row ht="13.5" r="48" spans="1:35" thickBot="1" x14ac:dyDescent="0.25">
      <c r="A48" s="10" t="s">
        <v>220</v>
      </c>
      <c r="B48" s="60">
        <f ref="B48:G48" si="50" t="shared">SUM(B40:B47)</f>
        <v>50065.763282</v>
      </c>
      <c r="C48" s="60">
        <f si="50" t="shared"/>
        <v>419060.30178699997</v>
      </c>
      <c r="D48" s="60">
        <f si="50" t="shared"/>
        <v>345568.69854099996</v>
      </c>
      <c r="E48" s="60">
        <f si="50" t="shared"/>
        <v>636301.78966699995</v>
      </c>
      <c r="F48" s="60">
        <f si="50" t="shared"/>
        <v>0</v>
      </c>
      <c r="G48" s="60">
        <f si="50" t="shared"/>
        <v>1450996.5532770001</v>
      </c>
      <c r="H48" s="54"/>
      <c r="I48"/>
      <c r="K48"/>
      <c r="L48"/>
      <c r="M48" s="10" t="s">
        <v>220</v>
      </c>
      <c r="N48" s="60">
        <f>SUM(N40:N47)</f>
        <v>99881</v>
      </c>
      <c r="O48" s="60">
        <f>SUM(O40:O47)</f>
        <v>438759</v>
      </c>
      <c r="P48" s="60">
        <f>SUM(P40:P47)</f>
        <v>346950</v>
      </c>
      <c r="Q48" s="60">
        <f>SUM(Q40:Q47)</f>
        <v>926146</v>
      </c>
      <c r="R48" s="60"/>
      <c r="S48" s="60">
        <f>SUM(S40:S47)</f>
        <v>1811736</v>
      </c>
      <c r="T48" s="54"/>
      <c r="W48" s="57"/>
      <c r="Y48" s="10" t="s">
        <v>220</v>
      </c>
      <c r="Z48" s="22">
        <f si="42" t="shared"/>
        <v>49815.236718</v>
      </c>
      <c r="AA48" s="22">
        <f si="43" t="shared"/>
        <v>19698.698213000025</v>
      </c>
      <c r="AB48" s="22">
        <f si="44" t="shared"/>
        <v>1381.3014590000384</v>
      </c>
      <c r="AC48" s="22">
        <f si="45" t="shared"/>
        <v>289844.21033300005</v>
      </c>
      <c r="AD48" s="22">
        <f si="46" t="shared"/>
        <v>0</v>
      </c>
      <c r="AE48" s="22">
        <f si="47" t="shared"/>
        <v>360739.44672299991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101248</v>
      </c>
      <c r="O50" s="53">
        <f>output!B318</f>
        <v>383041</v>
      </c>
      <c r="P50" s="53">
        <f>output!B319</f>
        <v>286869</v>
      </c>
      <c r="Q50" s="53">
        <f>output!B320</f>
        <v>730913</v>
      </c>
      <c r="R50" s="53"/>
      <c r="S50" s="54">
        <f si="49" t="shared"/>
        <v>1502071</v>
      </c>
      <c r="T50" s="54"/>
      <c r="W50" s="57"/>
      <c r="Y50" s="25" t="s">
        <v>88</v>
      </c>
      <c r="Z50" s="7">
        <f ref="Z50:AE51" si="51" t="shared">N50-B50</f>
        <v>52206.564857669233</v>
      </c>
      <c r="AA50" s="7">
        <f si="51" t="shared"/>
        <v>17131.790197783266</v>
      </c>
      <c r="AB50" s="7">
        <f si="51" t="shared"/>
        <v>12875.504374050885</v>
      </c>
      <c r="AC50" s="7">
        <f si="51" t="shared"/>
        <v>241871.08238132839</v>
      </c>
      <c r="AD50" s="7">
        <f si="51" t="shared"/>
        <v>0</v>
      </c>
      <c r="AE50" s="7">
        <f si="51" t="shared"/>
        <v>324084.94181083166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1.0208869935534384</v>
      </c>
      <c r="C51" s="37">
        <f si="52" t="shared"/>
        <v>1.1452575954934634</v>
      </c>
      <c r="D51" s="37">
        <f si="52" t="shared"/>
        <v>1.2612295695251248</v>
      </c>
      <c r="E51" s="37">
        <f si="52" t="shared"/>
        <v>1.3011191203514656</v>
      </c>
      <c r="F51" s="37" t="e">
        <f si="52" t="shared"/>
        <v>#DIV/0!</v>
      </c>
      <c r="G51" s="37">
        <f si="52" t="shared"/>
        <v>1.2317603788176499</v>
      </c>
      <c r="H51" s="37"/>
      <c r="I51"/>
      <c r="K51"/>
      <c r="L51"/>
      <c r="M51" s="25" t="s">
        <v>89</v>
      </c>
      <c r="N51" s="37">
        <f ref="N51:S51" si="53" t="shared">N48/N50</f>
        <v>0.98649849873577755</v>
      </c>
      <c r="O51" s="37">
        <f si="53" t="shared"/>
        <v>1.1454622351132124</v>
      </c>
      <c r="P51" s="37">
        <f si="53" t="shared"/>
        <v>1.209437060121519</v>
      </c>
      <c r="Q51" s="37">
        <f si="53" t="shared"/>
        <v>1.2671083973058352</v>
      </c>
      <c r="R51" s="37"/>
      <c r="S51" s="37">
        <f si="53" t="shared"/>
        <v>1.2061586968924904</v>
      </c>
      <c r="T51" s="37"/>
      <c r="W51" s="57"/>
      <c r="Y51" s="25" t="s">
        <v>89</v>
      </c>
      <c r="Z51" s="38">
        <f si="51" t="shared"/>
        <v>-3.438849481766082E-2</v>
      </c>
      <c r="AA51" s="38">
        <f si="51" t="shared"/>
        <v>2.0463961974903633E-4</v>
      </c>
      <c r="AB51" s="38">
        <f si="51" t="shared"/>
        <v>-5.1792509403605802E-2</v>
      </c>
      <c r="AC51" s="38">
        <f si="51" t="shared"/>
        <v>-3.4010723045630353E-2</v>
      </c>
      <c r="AD51" s="38" t="e">
        <f si="51" t="shared"/>
        <v>#DIV/0!</v>
      </c>
      <c r="AE51" s="38">
        <f si="51" t="shared"/>
        <v>-2.5601681925159436E-2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277</v>
      </c>
      <c r="B54"/>
      <c r="C54"/>
      <c r="D54"/>
      <c r="E54"/>
      <c r="F54"/>
      <c r="G54"/>
      <c r="H54"/>
      <c r="I54"/>
      <c r="K54"/>
      <c r="L54"/>
      <c r="M54" s="2" t="s">
        <v>268</v>
      </c>
      <c r="N54" s="57"/>
      <c r="O54" s="57"/>
      <c r="P54" s="57"/>
      <c r="Q54" s="57"/>
      <c r="R54" s="57"/>
      <c r="S54" s="57"/>
      <c r="T54" s="57"/>
      <c r="W54" s="57"/>
      <c r="Y54" s="2" t="s">
        <v>238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295</v>
      </c>
      <c r="C56" s="6" t="s">
        <v>296</v>
      </c>
      <c r="D56" s="6" t="s">
        <v>297</v>
      </c>
      <c r="E56" s="6" t="s">
        <v>300</v>
      </c>
      <c r="F56" s="6" t="s">
        <v>172</v>
      </c>
      <c r="G56" s="6" t="s">
        <v>220</v>
      </c>
      <c r="H56" s="89"/>
      <c r="I56"/>
      <c r="L56"/>
      <c r="M56" s="5" t="s">
        <v>159</v>
      </c>
      <c r="N56" s="6" t="s">
        <v>295</v>
      </c>
      <c r="O56" s="6" t="s">
        <v>296</v>
      </c>
      <c r="P56" s="6" t="s">
        <v>297</v>
      </c>
      <c r="Q56" s="6" t="s">
        <v>300</v>
      </c>
      <c r="R56" s="41" t="s">
        <v>172</v>
      </c>
      <c r="S56" s="41" t="s">
        <v>220</v>
      </c>
      <c r="T56" s="101"/>
      <c r="Y56" s="5" t="s">
        <v>159</v>
      </c>
      <c r="Z56" s="6" t="s">
        <v>295</v>
      </c>
      <c r="AA56" s="6" t="s">
        <v>296</v>
      </c>
      <c r="AB56" s="6" t="s">
        <v>297</v>
      </c>
      <c r="AC56" s="6" t="s">
        <v>300</v>
      </c>
      <c r="AD56" s="41" t="s">
        <v>172</v>
      </c>
      <c r="AE56" s="41" t="s">
        <v>220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0.15819411561528104</v>
      </c>
      <c r="C57" s="42">
        <f si="54" t="shared"/>
        <v>0.32292343637881188</v>
      </c>
      <c r="D57" s="42">
        <f si="54" t="shared"/>
        <v>0.35239428752703378</v>
      </c>
      <c r="E57" s="42">
        <f si="54" t="shared"/>
        <v>0.35404853227412447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0.13306835133809233</v>
      </c>
      <c r="O57" s="42">
        <f si="55" t="shared"/>
        <v>0.28202726325841748</v>
      </c>
      <c r="P57" s="42">
        <f si="55" t="shared"/>
        <v>0.36239515780371812</v>
      </c>
      <c r="Q57" s="42">
        <f si="55" t="shared"/>
        <v>0.38262433784738042</v>
      </c>
      <c r="R57" s="42" t="e">
        <f si="55" t="shared"/>
        <v>#DIV/0!</v>
      </c>
      <c r="S57" s="42">
        <f ref="S57:S65" si="56" t="shared">S40/S$48</f>
        <v>0.34063020219281398</v>
      </c>
      <c r="T57" s="42"/>
      <c r="Y57" s="3" t="s">
        <v>210</v>
      </c>
      <c r="Z57" s="12">
        <f ref="Z57:Z65" si="57" t="shared">N57-B57</f>
        <v>-2.5125764277188711E-2</v>
      </c>
      <c r="AA57" s="12">
        <f ref="AA57:AA65" si="58" t="shared">O57-C57</f>
        <v>-4.0896173120394397E-2</v>
      </c>
      <c r="AB57" s="12">
        <f ref="AB57:AB65" si="59" t="shared">P57-D57</f>
        <v>1.0000870276684337E-2</v>
      </c>
      <c r="AC57" s="12">
        <f ref="AC57:AC65" si="60" t="shared">Q57-E57</f>
        <v>2.8575805573255952E-2</v>
      </c>
      <c r="AD57" s="12" t="e">
        <f ref="AD57:AD65" si="61" t="shared">R57-F57</f>
        <v>#DIV/0!</v>
      </c>
      <c r="AE57" s="12">
        <f ref="AE57:AE65" si="62" t="shared">S57-G57</f>
        <v>3.1106215274118831E-2</v>
      </c>
      <c r="AF57" s="12"/>
      <c r="AG57"/>
    </row>
    <row r="58" spans="1:35" x14ac:dyDescent="0.2">
      <c r="A58" s="3" t="s">
        <v>211</v>
      </c>
      <c r="B58" s="42">
        <f si="54" t="shared"/>
        <v>0.23650130454032292</v>
      </c>
      <c r="C58" s="42">
        <f si="54" t="shared"/>
        <v>0.117775152603422</v>
      </c>
      <c r="D58" s="42">
        <f si="54" t="shared"/>
        <v>0.13151078798477481</v>
      </c>
      <c r="E58" s="42">
        <f si="54" t="shared"/>
        <v>0.14208067604573749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0.14297013446000742</v>
      </c>
      <c r="O58" s="42">
        <f si="55" t="shared"/>
        <v>0.1220670117308135</v>
      </c>
      <c r="P58" s="42">
        <f si="55" t="shared"/>
        <v>0.10342700677331028</v>
      </c>
      <c r="Q58" s="42">
        <f si="55" t="shared"/>
        <v>0.11597091603267735</v>
      </c>
      <c r="R58" s="42" t="e">
        <f si="55" t="shared"/>
        <v>#DIV/0!</v>
      </c>
      <c r="S58" s="42">
        <f si="56" t="shared"/>
        <v>0.11653353468717297</v>
      </c>
      <c r="T58" s="42"/>
      <c r="Y58" s="3" t="s">
        <v>211</v>
      </c>
      <c r="Z58" s="12">
        <f si="57" t="shared"/>
        <v>-9.3531170080315501E-2</v>
      </c>
      <c r="AA58" s="12">
        <f si="58" t="shared"/>
        <v>4.2918591273914952E-3</v>
      </c>
      <c r="AB58" s="12">
        <f si="59" t="shared"/>
        <v>-2.8083781211464529E-2</v>
      </c>
      <c r="AC58" s="12">
        <f si="60" t="shared"/>
        <v>-2.6109760013060132E-2</v>
      </c>
      <c r="AD58" s="12" t="e">
        <f si="61" t="shared"/>
        <v>#DIV/0!</v>
      </c>
      <c r="AE58" s="12">
        <f si="62" t="shared"/>
        <v>-3.9487247158010122E-2</v>
      </c>
      <c r="AF58" s="12"/>
      <c r="AG58"/>
    </row>
    <row r="59" spans="1:35" x14ac:dyDescent="0.2">
      <c r="A59" s="3" t="s">
        <v>212</v>
      </c>
      <c r="B59" s="42">
        <f si="54" t="shared"/>
        <v>7.0255684791778711E-2</v>
      </c>
      <c r="C59" s="42">
        <f si="54" t="shared"/>
        <v>9.5365481322334494E-2</v>
      </c>
      <c r="D59" s="42">
        <f si="54" t="shared"/>
        <v>0.11980394669943766</v>
      </c>
      <c r="E59" s="42">
        <f si="54" t="shared"/>
        <v>0.10841525728711573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0.14522281515002852</v>
      </c>
      <c r="O59" s="42">
        <f si="55" t="shared"/>
        <v>0.1075282786222049</v>
      </c>
      <c r="P59" s="42">
        <f si="55" t="shared"/>
        <v>9.5771725032425425E-2</v>
      </c>
      <c r="Q59" s="42">
        <f si="55" t="shared"/>
        <v>0.10394905338899051</v>
      </c>
      <c r="R59" s="42" t="e">
        <f si="55" t="shared"/>
        <v>#DIV/0!</v>
      </c>
      <c r="S59" s="42">
        <f si="56" t="shared"/>
        <v>0.10552530832306693</v>
      </c>
      <c r="T59" s="42"/>
      <c r="Y59" s="3" t="s">
        <v>212</v>
      </c>
      <c r="Z59" s="12">
        <f si="57" t="shared"/>
        <v>7.4967130358249812E-2</v>
      </c>
      <c r="AA59" s="12">
        <f si="58" t="shared"/>
        <v>1.2162797299870409E-2</v>
      </c>
      <c r="AB59" s="12">
        <f si="59" t="shared"/>
        <v>-2.403222166701223E-2</v>
      </c>
      <c r="AC59" s="12">
        <f si="60" t="shared"/>
        <v>-4.4662038981252289E-3</v>
      </c>
      <c r="AD59" s="12" t="e">
        <f si="61" t="shared"/>
        <v>#DIV/0!</v>
      </c>
      <c r="AE59" s="12">
        <f si="62" t="shared"/>
        <v>-6.8648223497060554E-2</v>
      </c>
      <c r="AF59" s="12"/>
      <c r="AG59"/>
    </row>
    <row r="60" spans="1:35" x14ac:dyDescent="0.2">
      <c r="A60" s="3" t="s">
        <v>213</v>
      </c>
      <c r="B60" s="42">
        <f si="54" t="shared"/>
        <v>0.20228138568379853</v>
      </c>
      <c r="C60" s="42">
        <f si="54" t="shared"/>
        <v>0.1539482054799621</v>
      </c>
      <c r="D60" s="42">
        <f si="54" t="shared"/>
        <v>0.10301887295436346</v>
      </c>
      <c r="E60" s="42">
        <f si="54" t="shared"/>
        <v>0.10110000681070896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0.19480181415884903</v>
      </c>
      <c r="O60" s="42">
        <f si="55" t="shared"/>
        <v>0.16094484671539502</v>
      </c>
      <c r="P60" s="42">
        <f si="55" t="shared"/>
        <v>0.12856031128404669</v>
      </c>
      <c r="Q60" s="42">
        <f si="55" t="shared"/>
        <v>0.10615172985684762</v>
      </c>
      <c r="R60" s="42" t="e">
        <f si="55" t="shared"/>
        <v>#DIV/0!</v>
      </c>
      <c r="S60" s="42">
        <f si="56" t="shared"/>
        <v>0.1285998622315834</v>
      </c>
      <c r="T60" s="42"/>
      <c r="Y60" s="3" t="s">
        <v>213</v>
      </c>
      <c r="Z60" s="12">
        <f si="57" t="shared"/>
        <v>-7.479571524949491E-3</v>
      </c>
      <c r="AA60" s="12">
        <f si="58" t="shared"/>
        <v>6.996641235432921E-3</v>
      </c>
      <c r="AB60" s="12">
        <f si="59" t="shared"/>
        <v>2.5541438329683225E-2</v>
      </c>
      <c r="AC60" s="12">
        <f si="60" t="shared"/>
        <v>5.0517230461386564E-3</v>
      </c>
      <c r="AD60" s="12" t="e">
        <f si="61" t="shared"/>
        <v>#DIV/0!</v>
      </c>
      <c r="AE60" s="12">
        <f si="62" t="shared"/>
        <v>2.2365573052260557E-2</v>
      </c>
      <c r="AF60" s="12"/>
      <c r="AG60"/>
    </row>
    <row r="61" spans="1:35" x14ac:dyDescent="0.2">
      <c r="A61" s="3" t="s">
        <v>214</v>
      </c>
      <c r="B61" s="42">
        <f si="54" t="shared"/>
        <v>0.19592162975225405</v>
      </c>
      <c r="C61" s="42">
        <f si="54" t="shared"/>
        <v>0.11185161916106383</v>
      </c>
      <c r="D61" s="42">
        <f si="54" t="shared"/>
        <v>7.5702635320994485E-2</v>
      </c>
      <c r="E61" s="42">
        <f si="54" t="shared"/>
        <v>6.1419156476760162E-2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0.15466405021976151</v>
      </c>
      <c r="O61" s="42">
        <f si="55" t="shared"/>
        <v>0.11033163992077655</v>
      </c>
      <c r="P61" s="42">
        <f si="55" t="shared"/>
        <v>8.6513906903011958E-2</v>
      </c>
      <c r="Q61" s="42">
        <f si="55" t="shared"/>
        <v>6.9227745949342764E-2</v>
      </c>
      <c r="R61" s="42" t="e">
        <f si="55" t="shared"/>
        <v>#DIV/0!</v>
      </c>
      <c r="S61" s="42">
        <f si="56" t="shared"/>
        <v>8.7202550481968677E-2</v>
      </c>
      <c r="T61" s="42"/>
      <c r="Y61" s="3" t="s">
        <v>214</v>
      </c>
      <c r="Z61" s="12">
        <f si="57" t="shared"/>
        <v>-4.1257579532492539E-2</v>
      </c>
      <c r="AA61" s="12">
        <f si="58" t="shared"/>
        <v>-1.5199792402872808E-3</v>
      </c>
      <c r="AB61" s="12">
        <f si="59" t="shared"/>
        <v>1.0811271582017473E-2</v>
      </c>
      <c r="AC61" s="12">
        <f si="60" t="shared"/>
        <v>7.8085894725826027E-3</v>
      </c>
      <c r="AD61" s="12" t="e">
        <f si="61" t="shared"/>
        <v>#DIV/0!</v>
      </c>
      <c r="AE61" s="12">
        <f si="62" t="shared"/>
        <v>1.0234640633088182E-2</v>
      </c>
      <c r="AF61" s="12"/>
      <c r="AG61"/>
    </row>
    <row r="62" spans="1:35" x14ac:dyDescent="0.2">
      <c r="A62" s="3" t="s">
        <v>129</v>
      </c>
      <c r="B62" s="42">
        <f si="54" t="shared"/>
        <v>2.6109708517516494E-2</v>
      </c>
      <c r="C62" s="42">
        <f si="54" t="shared"/>
        <v>4.5542412355968127E-2</v>
      </c>
      <c r="D62" s="42">
        <f si="54" t="shared"/>
        <v>5.2850851463426496E-2</v>
      </c>
      <c r="E62" s="42">
        <f si="54" t="shared"/>
        <v>4.5204388205560546E-2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6.8491504890820079E-2</v>
      </c>
      <c r="O62" s="42">
        <f si="55" t="shared"/>
        <v>5.7218199512716547E-2</v>
      </c>
      <c r="P62" s="42">
        <f si="55" t="shared"/>
        <v>5.2641591007349761E-2</v>
      </c>
      <c r="Q62" s="42">
        <f si="55" t="shared"/>
        <v>4.4374213137021591E-2</v>
      </c>
      <c r="R62" s="42" t="e">
        <f si="55" t="shared"/>
        <v>#DIV/0!</v>
      </c>
      <c r="S62" s="42">
        <f si="56" t="shared"/>
        <v>5.0397519285370493E-2</v>
      </c>
      <c r="T62" s="42"/>
      <c r="Y62" s="3" t="s">
        <v>129</v>
      </c>
      <c r="Z62" s="12">
        <f si="57" t="shared"/>
        <v>4.2381796373303582E-2</v>
      </c>
      <c r="AA62" s="12">
        <f si="58" t="shared"/>
        <v>1.167578715674842E-2</v>
      </c>
      <c r="AB62" s="12">
        <f si="59" t="shared"/>
        <v>-2.0926045607673471E-4</v>
      </c>
      <c r="AC62" s="12">
        <f si="60" t="shared"/>
        <v>-8.3017506853895473E-4</v>
      </c>
      <c r="AD62" s="12" t="e">
        <f si="61" t="shared"/>
        <v>#DIV/0!</v>
      </c>
      <c r="AE62" s="12">
        <f si="62" t="shared"/>
        <v>1.3595954566342876E-2</v>
      </c>
      <c r="AF62" s="12"/>
      <c r="AG62"/>
    </row>
    <row r="63" spans="1:35" x14ac:dyDescent="0.2">
      <c r="A63" s="25" t="s">
        <v>130</v>
      </c>
      <c r="B63" s="42">
        <f si="54" t="shared"/>
        <v>0.10334428115790252</v>
      </c>
      <c r="C63" s="42">
        <f si="54" t="shared"/>
        <v>0.11533574163645431</v>
      </c>
      <c r="D63" s="42">
        <f si="54" t="shared"/>
        <v>0.11830538859453292</v>
      </c>
      <c r="E63" s="42">
        <f si="54" t="shared"/>
        <v>0.12225964491112382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0.14023688188944844</v>
      </c>
      <c r="O63" s="56">
        <f si="55" t="shared"/>
        <v>0.1178277824500466</v>
      </c>
      <c r="P63" s="56">
        <f si="55" t="shared"/>
        <v>0.11414036604698083</v>
      </c>
      <c r="Q63" s="56">
        <f si="55" t="shared"/>
        <v>0.11647407644151138</v>
      </c>
      <c r="R63" s="56" t="e">
        <f si="55" t="shared"/>
        <v>#DIV/0!</v>
      </c>
      <c r="S63" s="56">
        <f si="56" t="shared"/>
        <v>0.11766504612150998</v>
      </c>
      <c r="T63" s="56"/>
      <c r="Y63" s="25" t="s">
        <v>130</v>
      </c>
      <c r="Z63" s="12">
        <f si="57" t="shared"/>
        <v>3.6892600731545919E-2</v>
      </c>
      <c r="AA63" s="12">
        <f si="58" t="shared"/>
        <v>2.4920408135922917E-3</v>
      </c>
      <c r="AB63" s="12">
        <f si="59" t="shared"/>
        <v>-4.1650225475520913E-3</v>
      </c>
      <c r="AC63" s="12">
        <f si="60" t="shared"/>
        <v>-5.7855684696124371E-3</v>
      </c>
      <c r="AD63" s="12" t="e">
        <f si="61" t="shared"/>
        <v>#DIV/0!</v>
      </c>
      <c r="AE63" s="12">
        <f si="62" t="shared"/>
        <v>1.7041381403229416E-3</v>
      </c>
      <c r="AF63" s="12"/>
      <c r="AG63"/>
    </row>
    <row r="64" spans="1:35" x14ac:dyDescent="0.2">
      <c r="A64" s="25" t="s">
        <v>246</v>
      </c>
      <c r="B64" s="42">
        <f si="54" t="shared"/>
        <v>7.3918899411457486E-3</v>
      </c>
      <c r="C64" s="42">
        <f si="54" t="shared"/>
        <v>3.7257951061983305E-2</v>
      </c>
      <c r="D64" s="42">
        <f si="54" t="shared"/>
        <v>4.6413229455436515E-2</v>
      </c>
      <c r="E64" s="42">
        <f si="54" t="shared"/>
        <v>6.5472337988868923E-2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246</v>
      </c>
      <c r="N64" s="56">
        <f si="55" t="shared"/>
        <v>2.0544447892992663E-2</v>
      </c>
      <c r="O64" s="56">
        <f si="55" t="shared"/>
        <v>4.205497778962939E-2</v>
      </c>
      <c r="P64" s="56">
        <f si="55" t="shared"/>
        <v>5.6549935149156939E-2</v>
      </c>
      <c r="Q64" s="56">
        <f si="55" t="shared"/>
        <v>6.1227927346228346E-2</v>
      </c>
      <c r="R64" s="56" t="e">
        <f si="55" t="shared"/>
        <v>#DIV/0!</v>
      </c>
      <c r="S64" s="56">
        <f si="56" t="shared"/>
        <v>5.3445976676513574E-2</v>
      </c>
      <c r="T64" s="56"/>
      <c r="Y64" s="25" t="s">
        <v>246</v>
      </c>
      <c r="Z64" s="12">
        <f si="57" t="shared"/>
        <v>1.3152557951846914E-2</v>
      </c>
      <c r="AA64" s="12">
        <f si="58" t="shared"/>
        <v>4.7970267276460851E-3</v>
      </c>
      <c r="AB64" s="12">
        <f si="59" t="shared"/>
        <v>1.0136705693720424E-2</v>
      </c>
      <c r="AC64" s="12">
        <f si="60" t="shared"/>
        <v>-4.2444106426405767E-3</v>
      </c>
      <c r="AD64" s="12" t="e">
        <f si="61" t="shared"/>
        <v>#DIV/0!</v>
      </c>
      <c r="AE64" s="12">
        <f si="62" t="shared"/>
        <v>2.9128948988937281E-2</v>
      </c>
      <c r="AF64" s="12"/>
      <c r="AG64"/>
    </row>
    <row ht="13.5" r="65" spans="1:41" thickBot="1" x14ac:dyDescent="0.25">
      <c r="A65" s="10" t="s">
        <v>220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220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220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217</v>
      </c>
      <c r="L71"/>
      <c r="M71" s="2" t="s">
        <v>166</v>
      </c>
      <c r="Y71" s="2" t="s">
        <v>239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220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220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220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6594.2559570000003</v>
      </c>
      <c r="C74" s="7">
        <f>output_NHTS!C200</f>
        <v>81411.412358999994</v>
      </c>
      <c r="D74" s="7">
        <f>output_NHTS!D200</f>
        <v>338722.83613200003</v>
      </c>
      <c r="E74" s="7">
        <f>output_NHTS!E200</f>
        <v>124538.745285</v>
      </c>
      <c r="F74" s="7">
        <f>output_NHTS!F200</f>
        <v>551267.24973299995</v>
      </c>
      <c r="L74"/>
      <c r="M74" s="3" t="s">
        <v>210</v>
      </c>
      <c r="N74" s="53">
        <f>output!B200</f>
        <v>4599</v>
      </c>
      <c r="O74" s="53">
        <f>output!C200</f>
        <v>98867</v>
      </c>
      <c r="P74" s="53">
        <f>output!D200</f>
        <v>394062</v>
      </c>
      <c r="Q74" s="53">
        <f>output!E200</f>
        <v>119661</v>
      </c>
      <c r="R74" s="53">
        <f>output!F200</f>
        <v>617189</v>
      </c>
      <c r="Y74" s="3" t="s">
        <v>210</v>
      </c>
      <c r="Z74" s="7">
        <f ref="Z74:Z82" si="63" t="shared">N74-B74</f>
        <v>-1995.2559570000003</v>
      </c>
      <c r="AA74" s="7">
        <f ref="AA74:AA82" si="64" t="shared">O74-C74</f>
        <v>17455.587641000006</v>
      </c>
      <c r="AB74" s="7">
        <f ref="AB74:AB82" si="65" t="shared">P74-D74</f>
        <v>55339.163867999974</v>
      </c>
      <c r="AC74" s="7">
        <f ref="AC74:AC82" si="66" t="shared">Q74-E74</f>
        <v>-4877.7452849999972</v>
      </c>
      <c r="AD74" s="7">
        <f ref="AD74:AD82" si="67" t="shared">R74-F74</f>
        <v>65921.750267000054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6109.4640579999996</v>
      </c>
      <c r="C75" s="7">
        <f>output_NHTS!C201</f>
        <v>43113.349822999997</v>
      </c>
      <c r="D75" s="7">
        <f>output_NHTS!D201</f>
        <v>128544.175334</v>
      </c>
      <c r="E75" s="7">
        <f>output_NHTS!E201</f>
        <v>43170.691862</v>
      </c>
      <c r="F75" s="7">
        <f>output_NHTS!F201</f>
        <v>220937.68107700002</v>
      </c>
      <c r="L75"/>
      <c r="M75" s="3" t="s">
        <v>211</v>
      </c>
      <c r="N75" s="53">
        <f>output!B201</f>
        <v>5409</v>
      </c>
      <c r="O75" s="53">
        <f>output!C201</f>
        <v>54902</v>
      </c>
      <c r="P75" s="53">
        <f>output!D201</f>
        <v>119641</v>
      </c>
      <c r="Q75" s="53">
        <f>output!E201</f>
        <v>31183</v>
      </c>
      <c r="R75" s="53">
        <f>output!F201</f>
        <v>211135</v>
      </c>
      <c r="Y75" s="3" t="s">
        <v>211</v>
      </c>
      <c r="Z75" s="7">
        <f si="63" t="shared"/>
        <v>-700.46405799999957</v>
      </c>
      <c r="AA75" s="7">
        <f si="64" t="shared"/>
        <v>11788.650177000003</v>
      </c>
      <c r="AB75" s="7">
        <f si="65" t="shared"/>
        <v>-8903.1753339999996</v>
      </c>
      <c r="AC75" s="7">
        <f si="66" t="shared"/>
        <v>-11987.691862</v>
      </c>
      <c r="AD75" s="7">
        <f si="67" t="shared"/>
        <v>-9802.6810770000156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1551.4453679999999</v>
      </c>
      <c r="C76" s="7">
        <f>output_NHTS!C202</f>
        <v>33631.342665999997</v>
      </c>
      <c r="D76" s="7">
        <f>output_NHTS!D202</f>
        <v>101139.385836</v>
      </c>
      <c r="E76" s="7">
        <f>output_NHTS!E202</f>
        <v>40887.436819000002</v>
      </c>
      <c r="F76" s="7">
        <f>output_NHTS!F202</f>
        <v>177209.61068899999</v>
      </c>
      <c r="L76"/>
      <c r="M76" s="3" t="s">
        <v>212</v>
      </c>
      <c r="N76" s="53">
        <f>output!B202</f>
        <v>6979</v>
      </c>
      <c r="O76" s="53">
        <f>output!C202</f>
        <v>54934</v>
      </c>
      <c r="P76" s="53">
        <f>output!D202</f>
        <v>103928</v>
      </c>
      <c r="Q76" s="53">
        <f>output!E202</f>
        <v>25359</v>
      </c>
      <c r="R76" s="53">
        <f>output!F202</f>
        <v>191200</v>
      </c>
      <c r="Y76" s="3" t="s">
        <v>212</v>
      </c>
      <c r="Z76" s="7">
        <f si="63" t="shared"/>
        <v>5427.5546320000003</v>
      </c>
      <c r="AA76" s="7">
        <f si="64" t="shared"/>
        <v>21302.657334000003</v>
      </c>
      <c r="AB76" s="7">
        <f si="65" t="shared"/>
        <v>2788.6141639999987</v>
      </c>
      <c r="AC76" s="7">
        <f si="66" t="shared"/>
        <v>-15528.436819000002</v>
      </c>
      <c r="AD76" s="7">
        <f si="67" t="shared"/>
        <v>13990.389311000006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10754.293965000001</v>
      </c>
      <c r="C77" s="7">
        <f>output_NHTS!C203</f>
        <v>37312.799746999997</v>
      </c>
      <c r="D77" s="7">
        <f>output_NHTS!D203</f>
        <v>117789.48593900001</v>
      </c>
      <c r="E77" s="7">
        <f>output_NHTS!E203</f>
        <v>42837.742438000001</v>
      </c>
      <c r="F77" s="7">
        <f>output_NHTS!F203</f>
        <v>208694.32208900002</v>
      </c>
      <c r="L77"/>
      <c r="M77" s="3" t="s">
        <v>213</v>
      </c>
      <c r="N77" s="53">
        <f>output!B203</f>
        <v>8557</v>
      </c>
      <c r="O77" s="53">
        <f>output!C203</f>
        <v>52250</v>
      </c>
      <c r="P77" s="53">
        <f>output!D203</f>
        <v>136441</v>
      </c>
      <c r="Q77" s="53">
        <f>output!E203</f>
        <v>35770</v>
      </c>
      <c r="R77" s="53">
        <f>output!F203</f>
        <v>233018</v>
      </c>
      <c r="Y77" s="3" t="s">
        <v>213</v>
      </c>
      <c r="Z77" s="7">
        <f si="63" t="shared"/>
        <v>-2197.2939650000008</v>
      </c>
      <c r="AA77" s="7">
        <f si="64" t="shared"/>
        <v>14937.200253000003</v>
      </c>
      <c r="AB77" s="7">
        <f si="65" t="shared"/>
        <v>18651.514060999994</v>
      </c>
      <c r="AC77" s="7">
        <f si="66" t="shared"/>
        <v>-7067.7424380000011</v>
      </c>
      <c r="AD77" s="7">
        <f si="67" t="shared"/>
        <v>24323.677910999977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7904.4838769999997</v>
      </c>
      <c r="C78" s="7">
        <f>output_NHTS!C204</f>
        <v>31675.208554000001</v>
      </c>
      <c r="D78" s="7">
        <f>output_NHTS!D204</f>
        <v>80239.384009000001</v>
      </c>
      <c r="E78" s="7">
        <f>output_NHTS!E204</f>
        <v>21981.140447000002</v>
      </c>
      <c r="F78" s="7">
        <f>output_NHTS!F204</f>
        <v>141800.21688700002</v>
      </c>
      <c r="L78"/>
      <c r="M78" s="3" t="s">
        <v>214</v>
      </c>
      <c r="N78" s="53">
        <f>output!B204</f>
        <v>6564</v>
      </c>
      <c r="O78" s="53">
        <f>output!C204</f>
        <v>36119</v>
      </c>
      <c r="P78" s="53">
        <f>output!D204</f>
        <v>91583</v>
      </c>
      <c r="Q78" s="53">
        <f>output!E204</f>
        <v>23741</v>
      </c>
      <c r="R78" s="53">
        <f>output!F204</f>
        <v>158007</v>
      </c>
      <c r="Y78" s="3" t="s">
        <v>214</v>
      </c>
      <c r="Z78" s="7">
        <f si="63" t="shared"/>
        <v>-1340.4838769999997</v>
      </c>
      <c r="AA78" s="7">
        <f si="64" t="shared"/>
        <v>4443.7914459999993</v>
      </c>
      <c r="AB78" s="7">
        <f si="65" t="shared"/>
        <v>11343.615990999999</v>
      </c>
      <c r="AC78" s="7">
        <f si="66" t="shared"/>
        <v>1759.8595529999984</v>
      </c>
      <c r="AD78" s="7">
        <f si="67" t="shared"/>
        <v>16206.783112999983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1359.5842380000001</v>
      </c>
      <c r="C79" s="7">
        <f>output_NHTS!C205</f>
        <v>16788.377015999999</v>
      </c>
      <c r="D79" s="7">
        <f>output_NHTS!D205</f>
        <v>45066.694618000001</v>
      </c>
      <c r="E79" s="7">
        <f>output_NHTS!E205</f>
        <v>17948.566182999999</v>
      </c>
      <c r="F79" s="7">
        <f>output_NHTS!F205</f>
        <v>81163.222055000006</v>
      </c>
      <c r="L79"/>
      <c r="M79" s="3" t="s">
        <v>129</v>
      </c>
      <c r="N79" s="53">
        <f>output!B205</f>
        <v>2970</v>
      </c>
      <c r="O79" s="53">
        <f>output!C205</f>
        <v>18544</v>
      </c>
      <c r="P79" s="53">
        <f>output!D205</f>
        <v>54868</v>
      </c>
      <c r="Q79" s="53">
        <f>output!E205</f>
        <v>14937</v>
      </c>
      <c r="R79" s="53">
        <f>output!F205</f>
        <v>91319</v>
      </c>
      <c r="Y79" s="3" t="s">
        <v>129</v>
      </c>
      <c r="Z79" s="7">
        <f si="63" t="shared"/>
        <v>1610.4157619999999</v>
      </c>
      <c r="AA79" s="7">
        <f si="64" t="shared"/>
        <v>1755.6229840000015</v>
      </c>
      <c r="AB79" s="7">
        <f si="65" t="shared"/>
        <v>9801.3053819999986</v>
      </c>
      <c r="AC79" s="7">
        <f si="66" t="shared"/>
        <v>-3011.566182999999</v>
      </c>
      <c r="AD79" s="7">
        <f si="67" t="shared"/>
        <v>10155.777944999994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4973.3702839999996</v>
      </c>
      <c r="C80" s="7">
        <f>output_NHTS!C206</f>
        <v>25371.057274999999</v>
      </c>
      <c r="D80" s="7">
        <f>output_NHTS!D206</f>
        <v>119917.852506</v>
      </c>
      <c r="E80" s="7">
        <f>output_NHTS!E206</f>
        <v>44893.851668000003</v>
      </c>
      <c r="F80" s="7">
        <f>output_NHTS!F206</f>
        <v>195156.13173299999</v>
      </c>
      <c r="L80"/>
      <c r="M80" s="25" t="s">
        <v>130</v>
      </c>
      <c r="N80" s="54">
        <f>output!B206</f>
        <v>6162</v>
      </c>
      <c r="O80" s="54">
        <f>output!C206</f>
        <v>46371</v>
      </c>
      <c r="P80" s="54">
        <f>output!D206</f>
        <v>126592</v>
      </c>
      <c r="Q80" s="54">
        <f>output!E206</f>
        <v>34077</v>
      </c>
      <c r="R80" s="54">
        <f>output!F206</f>
        <v>213202</v>
      </c>
      <c r="Y80" s="25" t="s">
        <v>130</v>
      </c>
      <c r="Z80" s="33">
        <f si="63" t="shared"/>
        <v>1188.6297160000004</v>
      </c>
      <c r="AA80" s="33">
        <f si="64" t="shared"/>
        <v>20999.942725000001</v>
      </c>
      <c r="AB80" s="33">
        <f si="65" t="shared"/>
        <v>6674.1474940000044</v>
      </c>
      <c r="AC80" s="33">
        <f si="66" t="shared"/>
        <v>-10816.851668000003</v>
      </c>
      <c r="AD80" s="33">
        <f si="67" t="shared"/>
        <v>18045.868267000013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246</v>
      </c>
      <c r="B81" s="9">
        <f>output_NHTS!B207</f>
        <v>691.94419099999993</v>
      </c>
      <c r="C81" s="9">
        <f>output_NHTS!C207</f>
        <v>8218.0230119999997</v>
      </c>
      <c r="D81" s="9">
        <f>output_NHTS!D207</f>
        <v>49758.589950000001</v>
      </c>
      <c r="E81" s="9">
        <f>output_NHTS!E207</f>
        <v>24619.725301999999</v>
      </c>
      <c r="F81" s="9">
        <f>output_NHTS!F207</f>
        <v>83288.282455000008</v>
      </c>
      <c r="L81"/>
      <c r="M81" s="25" t="s">
        <v>246</v>
      </c>
      <c r="N81" s="59">
        <f>output!B207</f>
        <v>376</v>
      </c>
      <c r="O81" s="59">
        <f>output!C207</f>
        <v>13156</v>
      </c>
      <c r="P81" s="59">
        <f>output!D207</f>
        <v>63898</v>
      </c>
      <c r="Q81" s="59">
        <f>output!E207</f>
        <v>19411</v>
      </c>
      <c r="R81" s="59">
        <f>output!F207</f>
        <v>96841</v>
      </c>
      <c r="Y81" s="25" t="s">
        <v>246</v>
      </c>
      <c r="Z81" s="9">
        <f si="63" t="shared"/>
        <v>-315.94419099999993</v>
      </c>
      <c r="AA81" s="9">
        <f si="64" t="shared"/>
        <v>4937.9769880000003</v>
      </c>
      <c r="AB81" s="9">
        <f si="65" t="shared"/>
        <v>14139.410049999999</v>
      </c>
      <c r="AC81" s="9">
        <f si="66" t="shared"/>
        <v>-5208.7253019999989</v>
      </c>
      <c r="AD81" s="9">
        <f si="67" t="shared"/>
        <v>13552.717544999992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220</v>
      </c>
      <c r="B82" s="60">
        <f>SUM(B74:B81)</f>
        <v>39938.841938000005</v>
      </c>
      <c r="C82" s="60">
        <f>SUM(C74:C81)</f>
        <v>277521.57045200001</v>
      </c>
      <c r="D82" s="60">
        <f>SUM(D74:D81)</f>
        <v>981178.404324</v>
      </c>
      <c r="E82" s="60">
        <f>SUM(E74:E81)</f>
        <v>360877.90000399994</v>
      </c>
      <c r="F82" s="60">
        <f>SUM(F74:F81)</f>
        <v>1659516.7167180001</v>
      </c>
      <c r="L82"/>
      <c r="M82" s="10" t="s">
        <v>220</v>
      </c>
      <c r="N82" s="60">
        <f>SUM(N74:N81)</f>
        <v>41616</v>
      </c>
      <c r="O82" s="60">
        <f>SUM(O74:O81)</f>
        <v>375143</v>
      </c>
      <c r="P82" s="60">
        <f>SUM(P74:P81)</f>
        <v>1091013</v>
      </c>
      <c r="Q82" s="60">
        <f>SUM(Q74:Q81)</f>
        <v>304139</v>
      </c>
      <c r="R82" s="60">
        <f>SUM(R74:R81)</f>
        <v>1811911</v>
      </c>
      <c r="Y82" s="10" t="s">
        <v>220</v>
      </c>
      <c r="Z82" s="22">
        <f si="63" t="shared"/>
        <v>1677.158061999995</v>
      </c>
      <c r="AA82" s="22">
        <f si="64" t="shared"/>
        <v>97621.429547999986</v>
      </c>
      <c r="AB82" s="22">
        <f si="65" t="shared"/>
        <v>109834.595676</v>
      </c>
      <c r="AC82" s="22">
        <f si="66" t="shared"/>
        <v>-56738.900003999937</v>
      </c>
      <c r="AD82" s="22">
        <f si="67" t="shared"/>
        <v>152394.28328199987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46567</v>
      </c>
      <c r="O84" s="53">
        <f>output!B325</f>
        <v>344772</v>
      </c>
      <c r="P84" s="53">
        <f>output!B326</f>
        <v>872165</v>
      </c>
      <c r="Q84" s="53">
        <f>output!B327</f>
        <v>238726</v>
      </c>
      <c r="R84" s="53">
        <f>SUM(N84:Q84)</f>
        <v>1502230</v>
      </c>
      <c r="Y84" s="25" t="s">
        <v>88</v>
      </c>
      <c r="Z84" s="7">
        <f ref="Z84:AD85" si="68" t="shared">N84-B84</f>
        <v>-3142.2615173259182</v>
      </c>
      <c r="AA84" s="7">
        <f si="68" t="shared"/>
        <v>81987.96811901714</v>
      </c>
      <c r="AB84" s="7">
        <f si="68" t="shared"/>
        <v>92213.961890724371</v>
      </c>
      <c r="AC84" s="7">
        <f si="68" t="shared"/>
        <v>-38034.668492415512</v>
      </c>
      <c r="AD84" s="7">
        <f si="68" t="shared"/>
        <v>133025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0.80344870792497125</v>
      </c>
      <c r="C85" s="37">
        <f>C82/C84</f>
        <v>1.0560823215380601</v>
      </c>
      <c r="D85" s="37">
        <f>D82/D84</f>
        <v>1.257999997926192</v>
      </c>
      <c r="E85" s="37">
        <f>E82/E84</f>
        <v>1.3039349195454397</v>
      </c>
      <c r="F85" s="37">
        <f>F82/F84</f>
        <v>1.2120294015271638</v>
      </c>
      <c r="L85"/>
      <c r="M85" s="25" t="s">
        <v>89</v>
      </c>
      <c r="N85" s="37">
        <f>N82/N84</f>
        <v>0.89368007387205528</v>
      </c>
      <c r="O85" s="37">
        <f>O82/O84</f>
        <v>1.0880901001241401</v>
      </c>
      <c r="P85" s="37">
        <f>P82/P84</f>
        <v>1.2509249969902485</v>
      </c>
      <c r="Q85" s="37">
        <f>Q82/Q84</f>
        <v>1.2740086961621273</v>
      </c>
      <c r="R85" s="37">
        <f>R82/R84</f>
        <v>1.2061475273426838</v>
      </c>
      <c r="Y85" s="25" t="s">
        <v>89</v>
      </c>
      <c r="Z85" s="38">
        <f si="68" t="shared"/>
        <v>9.023136594708403E-2</v>
      </c>
      <c r="AA85" s="38">
        <f si="68" t="shared"/>
        <v>3.2007778586079949E-2</v>
      </c>
      <c r="AB85" s="38">
        <f si="68" t="shared"/>
        <v>-7.0750009359434873E-3</v>
      </c>
      <c r="AC85" s="38">
        <f si="68" t="shared"/>
        <v>-2.9926223383312411E-2</v>
      </c>
      <c r="AD85" s="38">
        <f si="68" t="shared"/>
        <v>-5.8818741844799405E-3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301</v>
      </c>
      <c r="L88"/>
      <c r="M88" s="2" t="s">
        <v>268</v>
      </c>
      <c r="Y88" s="2" t="s">
        <v>238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220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220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220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0.16510884234542272</v>
      </c>
      <c r="C91" s="12">
        <f si="69" t="shared"/>
        <v>0.29335165632856947</v>
      </c>
      <c r="D91" s="12">
        <f si="69" t="shared"/>
        <v>0.34522043558976317</v>
      </c>
      <c r="E91" s="12">
        <f si="69" t="shared"/>
        <v>0.34509939589988642</v>
      </c>
      <c r="F91" s="12">
        <f si="69" t="shared"/>
        <v>0.3321854152956244</v>
      </c>
      <c r="L91"/>
      <c r="M91" s="3" t="s">
        <v>210</v>
      </c>
      <c r="N91" s="42">
        <f ref="N91:R99" si="70" t="shared">N74/N$82</f>
        <v>0.11051038062283737</v>
      </c>
      <c r="O91" s="42">
        <f si="70" t="shared"/>
        <v>0.26354483490295699</v>
      </c>
      <c r="P91" s="42">
        <f si="70" t="shared"/>
        <v>0.36118909673853566</v>
      </c>
      <c r="Q91" s="42">
        <f si="70" t="shared"/>
        <v>0.39344181443353204</v>
      </c>
      <c r="R91" s="42">
        <f si="70" t="shared"/>
        <v>0.34062876156720723</v>
      </c>
      <c r="Y91" s="3" t="s">
        <v>210</v>
      </c>
      <c r="Z91" s="12">
        <f ref="Z91:Z99" si="71" t="shared">N91-B91</f>
        <v>-5.4598461722585354E-2</v>
      </c>
      <c r="AA91" s="12">
        <f ref="AA91:AA99" si="72" t="shared">O91-C91</f>
        <v>-2.9806821425612473E-2</v>
      </c>
      <c r="AB91" s="12">
        <f ref="AB91:AB99" si="73" t="shared">P91-D91</f>
        <v>1.5968661148772489E-2</v>
      </c>
      <c r="AC91" s="12">
        <f ref="AC91:AC99" si="74" t="shared">Q91-E91</f>
        <v>4.8342418533645626E-2</v>
      </c>
      <c r="AD91" s="12">
        <f ref="AD91:AD99" si="75" t="shared">R91-F91</f>
        <v>8.44334627158283E-3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0.15297048591153867</v>
      </c>
      <c r="C92" s="12">
        <f si="69" t="shared"/>
        <v>0.15535134711432047</v>
      </c>
      <c r="D92" s="12">
        <f si="69" t="shared"/>
        <v>0.13100999244124492</v>
      </c>
      <c r="E92" s="12">
        <f si="69" t="shared"/>
        <v>0.11962686510180175</v>
      </c>
      <c r="F92" s="12">
        <f si="69" t="shared"/>
        <v>0.13313374842884679</v>
      </c>
      <c r="L92"/>
      <c r="M92" s="3" t="s">
        <v>211</v>
      </c>
      <c r="N92" s="42">
        <f si="70" t="shared"/>
        <v>0.12997404844290658</v>
      </c>
      <c r="O92" s="42">
        <f si="70" t="shared"/>
        <v>0.14634952538098805</v>
      </c>
      <c r="P92" s="42">
        <f si="70" t="shared"/>
        <v>0.10966047150675565</v>
      </c>
      <c r="Q92" s="42">
        <f si="70" t="shared"/>
        <v>0.10252877796007746</v>
      </c>
      <c r="R92" s="42">
        <f si="70" t="shared"/>
        <v>0.11652614284034922</v>
      </c>
      <c r="Y92" s="3" t="s">
        <v>211</v>
      </c>
      <c r="Z92" s="12">
        <f si="71" t="shared"/>
        <v>-2.2996437468632086E-2</v>
      </c>
      <c r="AA92" s="12">
        <f si="72" t="shared"/>
        <v>-9.0018217333324158E-3</v>
      </c>
      <c r="AB92" s="12">
        <f si="73" t="shared"/>
        <v>-2.1349520934489274E-2</v>
      </c>
      <c r="AC92" s="12">
        <f si="74" t="shared"/>
        <v>-1.7098087141724283E-2</v>
      </c>
      <c r="AD92" s="12">
        <f si="75" t="shared"/>
        <v>-1.6607605588497568E-2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3.8845527128914314E-2</v>
      </c>
      <c r="C93" s="12">
        <f si="69" t="shared"/>
        <v>0.12118460778102601</v>
      </c>
      <c r="D93" s="12">
        <f si="69" t="shared"/>
        <v>0.10307950663231499</v>
      </c>
      <c r="E93" s="12">
        <f si="69" t="shared"/>
        <v>0.11329991894362833</v>
      </c>
      <c r="F93" s="12">
        <f si="69" t="shared"/>
        <v>0.10678386599169945</v>
      </c>
      <c r="L93"/>
      <c r="M93" s="3" t="s">
        <v>212</v>
      </c>
      <c r="N93" s="42">
        <f si="70" t="shared"/>
        <v>0.16769992310649751</v>
      </c>
      <c r="O93" s="42">
        <f si="70" t="shared"/>
        <v>0.14643482618628095</v>
      </c>
      <c r="P93" s="42">
        <f si="70" t="shared"/>
        <v>9.5258259984069851E-2</v>
      </c>
      <c r="Q93" s="42">
        <f si="70" t="shared"/>
        <v>8.337963891510132E-2</v>
      </c>
      <c r="R93" s="42">
        <f si="70" t="shared"/>
        <v>0.10552394681637232</v>
      </c>
      <c r="Y93" s="3" t="s">
        <v>212</v>
      </c>
      <c r="Z93" s="12">
        <f si="71" t="shared"/>
        <v>0.12885439597758319</v>
      </c>
      <c r="AA93" s="12">
        <f si="72" t="shared"/>
        <v>2.5250218405254946E-2</v>
      </c>
      <c r="AB93" s="12">
        <f si="73" t="shared"/>
        <v>-7.821246648245142E-3</v>
      </c>
      <c r="AC93" s="12">
        <f si="74" t="shared"/>
        <v>-2.9920280028527008E-2</v>
      </c>
      <c r="AD93" s="12">
        <f si="75" t="shared"/>
        <v>-1.2599191753271261E-3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0.26926904845400074</v>
      </c>
      <c r="C94" s="12">
        <f si="69" t="shared"/>
        <v>0.13445008864078045</v>
      </c>
      <c r="D94" s="12">
        <f si="69" t="shared"/>
        <v>0.12004899967213722</v>
      </c>
      <c r="E94" s="12">
        <f si="69" t="shared"/>
        <v>0.11870425547678368</v>
      </c>
      <c r="F94" s="12">
        <f si="69" t="shared"/>
        <v>0.12575608307322839</v>
      </c>
      <c r="L94"/>
      <c r="M94" s="3" t="s">
        <v>213</v>
      </c>
      <c r="N94" s="42">
        <f si="70" t="shared"/>
        <v>0.20561803152633604</v>
      </c>
      <c r="O94" s="42">
        <f si="70" t="shared"/>
        <v>0.13928022114233773</v>
      </c>
      <c r="P94" s="42">
        <f si="70" t="shared"/>
        <v>0.12505900479645982</v>
      </c>
      <c r="Q94" s="42">
        <f si="70" t="shared"/>
        <v>0.11761069774017802</v>
      </c>
      <c r="R94" s="42">
        <f si="70" t="shared"/>
        <v>0.12860344685804104</v>
      </c>
      <c r="Y94" s="3" t="s">
        <v>213</v>
      </c>
      <c r="Z94" s="12">
        <f si="71" t="shared"/>
        <v>-6.36510169276647E-2</v>
      </c>
      <c r="AA94" s="12">
        <f si="72" t="shared"/>
        <v>4.8301325015572827E-3</v>
      </c>
      <c r="AB94" s="12">
        <f si="73" t="shared"/>
        <v>5.0100051243225918E-3</v>
      </c>
      <c r="AC94" s="12">
        <f si="74" t="shared"/>
        <v>-1.0935577366056604E-3</v>
      </c>
      <c r="AD94" s="12">
        <f si="75" t="shared"/>
        <v>2.847363784812651E-3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0.19791469891066721</v>
      </c>
      <c r="C95" s="12">
        <f si="69" t="shared"/>
        <v>0.11413602374190415</v>
      </c>
      <c r="D95" s="12">
        <f si="69" t="shared"/>
        <v>8.1778587518222368E-2</v>
      </c>
      <c r="E95" s="12">
        <f si="69" t="shared"/>
        <v>6.0910187203916798E-2</v>
      </c>
      <c r="F95" s="12">
        <f si="69" t="shared"/>
        <v>8.5446693882925182E-2</v>
      </c>
      <c r="L95"/>
      <c r="M95" s="3" t="s">
        <v>214</v>
      </c>
      <c r="N95" s="42">
        <f si="70" t="shared"/>
        <v>0.15772779700115341</v>
      </c>
      <c r="O95" s="42">
        <f si="70" t="shared"/>
        <v>9.6280618324212364E-2</v>
      </c>
      <c r="P95" s="42">
        <f si="70" t="shared"/>
        <v>8.3943087754224738E-2</v>
      </c>
      <c r="Q95" s="42">
        <f si="70" t="shared"/>
        <v>7.805970296476282E-2</v>
      </c>
      <c r="R95" s="42">
        <f si="70" t="shared"/>
        <v>8.7204614354678564E-2</v>
      </c>
      <c r="Y95" s="3" t="s">
        <v>214</v>
      </c>
      <c r="Z95" s="12">
        <f si="71" t="shared"/>
        <v>-4.0186901909513795E-2</v>
      </c>
      <c r="AA95" s="12">
        <f si="72" t="shared"/>
        <v>-1.7855405417691789E-2</v>
      </c>
      <c r="AB95" s="12">
        <f si="73" t="shared"/>
        <v>2.1645002360023702E-3</v>
      </c>
      <c r="AC95" s="12">
        <f si="74" t="shared"/>
        <v>1.7149515760846022E-2</v>
      </c>
      <c r="AD95" s="12">
        <f si="75" t="shared"/>
        <v>1.7579204717533825E-3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3.4041653989632013E-2</v>
      </c>
      <c r="C96" s="12">
        <f si="69" t="shared"/>
        <v>6.0493953636312776E-2</v>
      </c>
      <c r="D96" s="12">
        <f si="69" t="shared"/>
        <v>4.5931192960824985E-2</v>
      </c>
      <c r="E96" s="12">
        <f si="69" t="shared"/>
        <v>4.9735841908859088E-2</v>
      </c>
      <c r="F96" s="12">
        <f si="69" t="shared"/>
        <v>4.8907745994577999E-2</v>
      </c>
      <c r="L96"/>
      <c r="M96" s="3" t="s">
        <v>129</v>
      </c>
      <c r="N96" s="42">
        <f si="70" t="shared"/>
        <v>7.1366782006920412E-2</v>
      </c>
      <c r="O96" s="42">
        <f si="70" t="shared"/>
        <v>4.9431816667244222E-2</v>
      </c>
      <c r="P96" s="42">
        <f si="70" t="shared"/>
        <v>5.0290876460683788E-2</v>
      </c>
      <c r="Q96" s="42">
        <f si="70" t="shared"/>
        <v>4.9112412416691051E-2</v>
      </c>
      <c r="R96" s="42">
        <f si="70" t="shared"/>
        <v>5.0399274578055986E-2</v>
      </c>
      <c r="Y96" s="3" t="s">
        <v>129</v>
      </c>
      <c r="Z96" s="12">
        <f si="71" t="shared"/>
        <v>3.7325128017288399E-2</v>
      </c>
      <c r="AA96" s="12">
        <f si="72" t="shared"/>
        <v>-1.1062136969068555E-2</v>
      </c>
      <c r="AB96" s="12">
        <f si="73" t="shared"/>
        <v>4.3596834998588033E-3</v>
      </c>
      <c r="AC96" s="12">
        <f si="74" t="shared"/>
        <v>-6.2342949216803722E-4</v>
      </c>
      <c r="AD96" s="12">
        <f si="75" t="shared"/>
        <v>1.4915285834779871E-3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0.12452464925549236</v>
      </c>
      <c r="C97" s="34">
        <f si="76" t="shared"/>
        <v>9.1420127212735569E-2</v>
      </c>
      <c r="D97" s="34">
        <f si="76" t="shared"/>
        <v>0.12221819393652421</v>
      </c>
      <c r="E97" s="34">
        <f si="76" t="shared"/>
        <v>0.12440177596772317</v>
      </c>
      <c r="F97" s="34">
        <f si="76" t="shared"/>
        <v>0.11759817166467426</v>
      </c>
      <c r="L97"/>
      <c r="M97" s="25" t="s">
        <v>130</v>
      </c>
      <c r="N97" s="56">
        <f si="70" t="shared"/>
        <v>0.14806805074971166</v>
      </c>
      <c r="O97" s="56">
        <f si="70" t="shared"/>
        <v>0.12360886381993</v>
      </c>
      <c r="P97" s="56">
        <f si="70" t="shared"/>
        <v>0.11603161465537075</v>
      </c>
      <c r="Q97" s="56">
        <f si="70" t="shared"/>
        <v>0.11204416401711059</v>
      </c>
      <c r="R97" s="56">
        <f si="70" t="shared"/>
        <v>0.11766692734908062</v>
      </c>
      <c r="Y97" s="25" t="s">
        <v>130</v>
      </c>
      <c r="Z97" s="12">
        <f si="71" t="shared"/>
        <v>2.3543401494219296E-2</v>
      </c>
      <c r="AA97" s="12">
        <f si="72" t="shared"/>
        <v>3.2188736607194429E-2</v>
      </c>
      <c r="AB97" s="12">
        <f si="73" t="shared"/>
        <v>-6.1865792811534592E-3</v>
      </c>
      <c r="AC97" s="12">
        <f si="74" t="shared"/>
        <v>-1.2357611950612579E-2</v>
      </c>
      <c r="AD97" s="12">
        <f si="75" t="shared"/>
        <v>6.8755684406354711E-5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246</v>
      </c>
      <c r="B98" s="34">
        <f si="76" t="shared"/>
        <v>1.7325094004331815E-2</v>
      </c>
      <c r="C98" s="34">
        <f si="76" t="shared"/>
        <v>2.9612195544350975E-2</v>
      </c>
      <c r="D98" s="34">
        <f si="76" t="shared"/>
        <v>5.0713091248968174E-2</v>
      </c>
      <c r="E98" s="34">
        <f si="76" t="shared"/>
        <v>6.8221759497400961E-2</v>
      </c>
      <c r="F98" s="34">
        <f si="76" t="shared"/>
        <v>5.0188275668423467E-2</v>
      </c>
      <c r="L98"/>
      <c r="M98" s="25" t="s">
        <v>246</v>
      </c>
      <c r="N98" s="56">
        <f si="70" t="shared"/>
        <v>9.0349865436370625E-3</v>
      </c>
      <c r="O98" s="56">
        <f si="70" t="shared"/>
        <v>3.5069293576049668E-2</v>
      </c>
      <c r="P98" s="56">
        <f si="70" t="shared"/>
        <v>5.8567588103899768E-2</v>
      </c>
      <c r="Q98" s="56">
        <f si="70" t="shared"/>
        <v>6.3822791552546693E-2</v>
      </c>
      <c r="R98" s="56">
        <f si="70" t="shared"/>
        <v>5.3446885636215025E-2</v>
      </c>
      <c r="Y98" s="25" t="s">
        <v>246</v>
      </c>
      <c r="Z98" s="12">
        <f si="71" t="shared"/>
        <v>-8.2901074606947529E-3</v>
      </c>
      <c r="AA98" s="12">
        <f si="72" t="shared"/>
        <v>5.4570980316986928E-3</v>
      </c>
      <c r="AB98" s="12">
        <f si="73" t="shared"/>
        <v>7.8544968549315933E-3</v>
      </c>
      <c r="AC98" s="12">
        <f si="74" t="shared"/>
        <v>-4.3989679448542679E-3</v>
      </c>
      <c r="AD98" s="12">
        <f si="75" t="shared"/>
        <v>3.2586099677915578E-3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220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220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220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302</v>
      </c>
      <c r="E105"/>
      <c r="F105" s="99"/>
      <c r="G105" s="99"/>
      <c r="H105" s="99"/>
      <c r="I105" s="99"/>
      <c r="J105" s="99"/>
      <c r="K105"/>
      <c r="L105"/>
      <c r="M105" s="2" t="s">
        <v>305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1"/>
      <c r="J106" s="1"/>
      <c r="K106" s="1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9">
        <v>1</v>
      </c>
      <c r="C107" s="159">
        <v>2</v>
      </c>
      <c r="D107" s="159">
        <v>3</v>
      </c>
      <c r="E107" s="159">
        <v>4</v>
      </c>
      <c r="F107" s="159">
        <v>5</v>
      </c>
      <c r="G107" s="159">
        <v>6</v>
      </c>
      <c r="H107" s="6">
        <v>7</v>
      </c>
      <c r="I107" s="8">
        <v>8</v>
      </c>
      <c r="J107" s="32">
        <v>9</v>
      </c>
      <c r="K107" s="8">
        <v>10</v>
      </c>
      <c r="L107" s="6" t="s">
        <v>220</v>
      </c>
      <c r="M107" s="5" t="s">
        <v>159</v>
      </c>
      <c r="N107" s="6">
        <f>B107</f>
        <v>1</v>
      </c>
      <c r="O107" s="6">
        <f ref="O107:S107" si="77" t="shared">C107</f>
        <v>2</v>
      </c>
      <c r="P107" s="6">
        <f si="77" t="shared"/>
        <v>3</v>
      </c>
      <c r="Q107" s="6">
        <f si="77" t="shared"/>
        <v>4</v>
      </c>
      <c r="R107" s="6">
        <f si="77" t="shared"/>
        <v>5</v>
      </c>
      <c r="S107" s="6">
        <f si="77" t="shared"/>
        <v>6</v>
      </c>
      <c r="T107" s="6">
        <f>H107</f>
        <v>7</v>
      </c>
      <c r="U107" s="6">
        <f ref="U107:W107" si="78" t="shared">I107</f>
        <v>8</v>
      </c>
      <c r="V107" s="6">
        <f si="78" t="shared"/>
        <v>9</v>
      </c>
      <c r="W107" s="6">
        <f si="78" t="shared"/>
        <v>10</v>
      </c>
      <c r="X107" s="6" t="s">
        <v>220</v>
      </c>
      <c r="Y107" s="5" t="s">
        <v>159</v>
      </c>
      <c r="Z107" s="6">
        <f>B107</f>
        <v>1</v>
      </c>
      <c r="AA107" s="6">
        <f ref="AA107:AF107" si="79" t="shared">C107</f>
        <v>2</v>
      </c>
      <c r="AB107" s="6">
        <f si="79" t="shared"/>
        <v>3</v>
      </c>
      <c r="AC107" s="6">
        <f si="79" t="shared"/>
        <v>4</v>
      </c>
      <c r="AD107" s="6">
        <f si="79" t="shared"/>
        <v>5</v>
      </c>
      <c r="AE107" s="6">
        <f si="79" t="shared"/>
        <v>6</v>
      </c>
      <c r="AF107" s="6">
        <f si="79" t="shared"/>
        <v>7</v>
      </c>
      <c r="AG107" s="6">
        <f ref="AG107" si="80" t="shared">I107</f>
        <v>8</v>
      </c>
      <c r="AH107" s="6">
        <f ref="AH107" si="81" t="shared">J107</f>
        <v>9</v>
      </c>
      <c r="AI107" s="6">
        <f ref="AI107" si="82" t="shared">K107</f>
        <v>10</v>
      </c>
      <c r="AJ107" s="6" t="s">
        <v>220</v>
      </c>
    </row>
    <row r="108" spans="1:41" x14ac:dyDescent="0.2">
      <c r="A108" s="3" t="s">
        <v>210</v>
      </c>
      <c r="B108" s="7">
        <f>output_NHTS!B211</f>
        <v>241130.384127</v>
      </c>
      <c r="C108" s="7">
        <f>output_NHTS!C211</f>
        <v>26293.159509000001</v>
      </c>
      <c r="D108" s="7">
        <f>output_NHTS!D211</f>
        <v>23036.292729000001</v>
      </c>
      <c r="E108" s="7">
        <f>output_NHTS!E211</f>
        <v>98306.747581999996</v>
      </c>
      <c r="F108" s="7">
        <f>output_NHTS!F211</f>
        <v>60244.903614000003</v>
      </c>
      <c r="G108" s="7">
        <f>output_NHTS!G211</f>
        <v>60163.613280999998</v>
      </c>
      <c r="H108" s="7">
        <f>output_NHTS!H211</f>
        <v>42092.148890999997</v>
      </c>
      <c r="I108" s="7">
        <f>output_NHTS!I211</f>
        <v>0</v>
      </c>
      <c r="J108" s="7">
        <f>output_NHTS!J211</f>
        <v>0</v>
      </c>
      <c r="K108" s="7">
        <f>output_NHTS!K211</f>
        <v>0</v>
      </c>
      <c r="L108" s="7">
        <f>SUM(B108:K108)</f>
        <v>551267.24973299995</v>
      </c>
      <c r="M108" s="3" t="s">
        <v>210</v>
      </c>
      <c r="N108" s="53">
        <f>output!B211</f>
        <v>266252</v>
      </c>
      <c r="O108" s="53">
        <f>output!C211</f>
        <v>28621</v>
      </c>
      <c r="P108" s="53">
        <f>output!D211</f>
        <v>23216</v>
      </c>
      <c r="Q108" s="53">
        <f>output!E211</f>
        <v>110438</v>
      </c>
      <c r="R108" s="53">
        <f>output!F211</f>
        <v>62394</v>
      </c>
      <c r="S108" s="53">
        <f>output!G211</f>
        <v>80739</v>
      </c>
      <c r="T108" s="53">
        <f>output!H211</f>
        <v>45529</v>
      </c>
      <c r="U108" s="53">
        <f>output!I211</f>
        <v>0</v>
      </c>
      <c r="V108" s="53">
        <f>output!J211</f>
        <v>0</v>
      </c>
      <c r="W108" s="53">
        <f>output!K211</f>
        <v>0</v>
      </c>
      <c r="X108" s="225">
        <f>SUM(N108:W108)</f>
        <v>617189</v>
      </c>
      <c r="Y108" s="3" t="s">
        <v>210</v>
      </c>
      <c r="Z108" s="7">
        <f ref="Z108:Z116" si="83" t="shared">N108-B108</f>
        <v>25121.615873000002</v>
      </c>
      <c r="AA108" s="7">
        <f ref="AA108:AA116" si="84" t="shared">O108-C108</f>
        <v>2327.840490999999</v>
      </c>
      <c r="AB108" s="7">
        <f ref="AB108:AB116" si="85" t="shared">P108-D108</f>
        <v>179.70727099999931</v>
      </c>
      <c r="AC108" s="7">
        <f ref="AC108:AC116" si="86" t="shared">Q108-E108</f>
        <v>12131.252418000004</v>
      </c>
      <c r="AD108" s="7">
        <f ref="AD108:AD116" si="87" t="shared">R108-F108</f>
        <v>2149.0963859999974</v>
      </c>
      <c r="AE108" s="7">
        <f ref="AE108:AF116" si="88" t="shared">S108-G108</f>
        <v>20575.386719000002</v>
      </c>
      <c r="AF108" s="7">
        <f si="88" t="shared"/>
        <v>3436.8511090000029</v>
      </c>
      <c r="AG108" s="7">
        <f ref="AG108:AG116" si="89" t="shared">U108-I108</f>
        <v>0</v>
      </c>
      <c r="AH108" s="7">
        <f ref="AH108:AH116" si="90" t="shared">V108-J108</f>
        <v>0</v>
      </c>
      <c r="AI108" s="7">
        <f ref="AI108:AI116" si="91" t="shared">W108-K108</f>
        <v>0</v>
      </c>
      <c r="AJ108" s="7">
        <f ref="AJ108:AJ116" si="92" t="shared">X108-L108</f>
        <v>65921.750267000054</v>
      </c>
    </row>
    <row r="109" spans="1:41" x14ac:dyDescent="0.2">
      <c r="A109" s="3" t="s">
        <v>211</v>
      </c>
      <c r="B109" s="7">
        <f>output_NHTS!B212</f>
        <v>84207.900141999999</v>
      </c>
      <c r="C109" s="7">
        <f>output_NHTS!C212</f>
        <v>11302.913423</v>
      </c>
      <c r="D109" s="7">
        <f>output_NHTS!D212</f>
        <v>9048.4341139999997</v>
      </c>
      <c r="E109" s="7">
        <f>output_NHTS!E212</f>
        <v>46528.647613000001</v>
      </c>
      <c r="F109" s="7">
        <f>output_NHTS!F212</f>
        <v>20987.096251999999</v>
      </c>
      <c r="G109" s="7">
        <f>output_NHTS!G212</f>
        <v>34762.275811</v>
      </c>
      <c r="H109" s="7">
        <f>output_NHTS!H212</f>
        <v>14100.413721999999</v>
      </c>
      <c r="I109" s="7">
        <f>output_NHTS!I212</f>
        <v>0</v>
      </c>
      <c r="J109" s="7">
        <f>output_NHTS!J212</f>
        <v>0</v>
      </c>
      <c r="K109" s="7">
        <f>output_NHTS!K212</f>
        <v>0</v>
      </c>
      <c r="L109" s="7">
        <f ref="L109:L115" si="93" t="shared">SUM(B109:K109)</f>
        <v>220937.68107699999</v>
      </c>
      <c r="M109" s="3" t="s">
        <v>211</v>
      </c>
      <c r="N109" s="53">
        <f>output!B212</f>
        <v>76234</v>
      </c>
      <c r="O109" s="53">
        <f>output!C212</f>
        <v>10992</v>
      </c>
      <c r="P109" s="53">
        <f>output!D212</f>
        <v>8173</v>
      </c>
      <c r="Q109" s="53">
        <f>output!E212</f>
        <v>43620</v>
      </c>
      <c r="R109" s="53">
        <f>output!F212</f>
        <v>23639</v>
      </c>
      <c r="S109" s="53">
        <f>output!G212</f>
        <v>32137</v>
      </c>
      <c r="T109" s="53">
        <f>output!H212</f>
        <v>16340</v>
      </c>
      <c r="U109" s="53">
        <f>output!I212</f>
        <v>0</v>
      </c>
      <c r="V109" s="53">
        <f>output!J212</f>
        <v>0</v>
      </c>
      <c r="W109" s="53">
        <f>output!K212</f>
        <v>0</v>
      </c>
      <c r="X109" s="54">
        <f ref="X109:X115" si="94" t="shared">SUM(N109:W109)</f>
        <v>211135</v>
      </c>
      <c r="Y109" s="3" t="s">
        <v>211</v>
      </c>
      <c r="Z109" s="7">
        <f si="83" t="shared"/>
        <v>-7973.9001419999986</v>
      </c>
      <c r="AA109" s="7">
        <f si="84" t="shared"/>
        <v>-310.91342299999997</v>
      </c>
      <c r="AB109" s="7">
        <f si="85" t="shared"/>
        <v>-875.43411399999968</v>
      </c>
      <c r="AC109" s="7">
        <f si="86" t="shared"/>
        <v>-2908.647613000001</v>
      </c>
      <c r="AD109" s="7">
        <f si="87" t="shared"/>
        <v>2651.9037480000006</v>
      </c>
      <c r="AE109" s="7">
        <f si="88" t="shared"/>
        <v>-2625.2758109999995</v>
      </c>
      <c r="AF109" s="7">
        <f si="88" t="shared"/>
        <v>2239.5862780000007</v>
      </c>
      <c r="AG109" s="7">
        <f si="89" t="shared"/>
        <v>0</v>
      </c>
      <c r="AH109" s="7">
        <f si="90" t="shared"/>
        <v>0</v>
      </c>
      <c r="AI109" s="7">
        <f si="91" t="shared"/>
        <v>0</v>
      </c>
      <c r="AJ109" s="7">
        <f si="92" t="shared"/>
        <v>-9802.6810769999865</v>
      </c>
    </row>
    <row r="110" spans="1:41" x14ac:dyDescent="0.2">
      <c r="A110" s="3" t="s">
        <v>212</v>
      </c>
      <c r="B110" s="7">
        <f>output_NHTS!B213</f>
        <v>69922.468512000007</v>
      </c>
      <c r="C110" s="7">
        <f>output_NHTS!C213</f>
        <v>11538.712068999999</v>
      </c>
      <c r="D110" s="7">
        <f>output_NHTS!D213</f>
        <v>7910.2128569999995</v>
      </c>
      <c r="E110" s="7">
        <f>output_NHTS!E213</f>
        <v>28910.281835000002</v>
      </c>
      <c r="F110" s="7">
        <f>output_NHTS!F213</f>
        <v>18660.838519000001</v>
      </c>
      <c r="G110" s="7">
        <f>output_NHTS!G213</f>
        <v>27403.281824999998</v>
      </c>
      <c r="H110" s="7">
        <f>output_NHTS!H213</f>
        <v>12863.815071999999</v>
      </c>
      <c r="I110" s="7">
        <f>output_NHTS!I213</f>
        <v>0</v>
      </c>
      <c r="J110" s="7">
        <f>output_NHTS!J213</f>
        <v>0</v>
      </c>
      <c r="K110" s="7">
        <f>output_NHTS!K213</f>
        <v>0</v>
      </c>
      <c r="L110" s="7">
        <f si="93" t="shared"/>
        <v>177209.61068900002</v>
      </c>
      <c r="M110" s="3" t="s">
        <v>212</v>
      </c>
      <c r="N110" s="53">
        <f>output!B213</f>
        <v>75737</v>
      </c>
      <c r="O110" s="53">
        <f>output!C213</f>
        <v>9866</v>
      </c>
      <c r="P110" s="53">
        <f>output!D213</f>
        <v>6904</v>
      </c>
      <c r="Q110" s="53">
        <f>output!E213</f>
        <v>36617</v>
      </c>
      <c r="R110" s="53">
        <f>output!F213</f>
        <v>20265</v>
      </c>
      <c r="S110" s="53">
        <f>output!G213</f>
        <v>28086</v>
      </c>
      <c r="T110" s="53">
        <f>output!H213</f>
        <v>13725</v>
      </c>
      <c r="U110" s="53">
        <f>output!I213</f>
        <v>0</v>
      </c>
      <c r="V110" s="53">
        <f>output!J213</f>
        <v>0</v>
      </c>
      <c r="W110" s="53">
        <f>output!K213</f>
        <v>0</v>
      </c>
      <c r="X110" s="54">
        <f si="94" t="shared"/>
        <v>191200</v>
      </c>
      <c r="Y110" s="3" t="s">
        <v>212</v>
      </c>
      <c r="Z110" s="7">
        <f si="83" t="shared"/>
        <v>5814.5314879999933</v>
      </c>
      <c r="AA110" s="7">
        <f si="84" t="shared"/>
        <v>-1672.7120689999992</v>
      </c>
      <c r="AB110" s="7">
        <f si="85" t="shared"/>
        <v>-1006.2128569999995</v>
      </c>
      <c r="AC110" s="7">
        <f si="86" t="shared"/>
        <v>7706.7181649999984</v>
      </c>
      <c r="AD110" s="7">
        <f si="87" t="shared"/>
        <v>1604.1614809999992</v>
      </c>
      <c r="AE110" s="7">
        <f si="88" t="shared"/>
        <v>682.71817500000179</v>
      </c>
      <c r="AF110" s="7">
        <f si="88" t="shared"/>
        <v>861.18492800000058</v>
      </c>
      <c r="AG110" s="7">
        <f si="89" t="shared"/>
        <v>0</v>
      </c>
      <c r="AH110" s="7">
        <f si="90" t="shared"/>
        <v>0</v>
      </c>
      <c r="AI110" s="7">
        <f si="91" t="shared"/>
        <v>0</v>
      </c>
      <c r="AJ110" s="7">
        <f si="92" t="shared"/>
        <v>13990.389310999977</v>
      </c>
    </row>
    <row r="111" spans="1:41" x14ac:dyDescent="0.2">
      <c r="A111" s="3" t="s">
        <v>213</v>
      </c>
      <c r="B111" s="7">
        <f>output_NHTS!B214</f>
        <v>84115.137459999998</v>
      </c>
      <c r="C111" s="7">
        <f>output_NHTS!C214</f>
        <v>12410.739659999999</v>
      </c>
      <c r="D111" s="7">
        <f>output_NHTS!D214</f>
        <v>10850.907615</v>
      </c>
      <c r="E111" s="7">
        <f>output_NHTS!E214</f>
        <v>37139.297915000003</v>
      </c>
      <c r="F111" s="7">
        <f>output_NHTS!F214</f>
        <v>23984.076005999999</v>
      </c>
      <c r="G111" s="7">
        <f>output_NHTS!G214</f>
        <v>20856.755044000001</v>
      </c>
      <c r="H111" s="7">
        <f>output_NHTS!H214</f>
        <v>19337.408389</v>
      </c>
      <c r="I111" s="7">
        <f>output_NHTS!I214</f>
        <v>0</v>
      </c>
      <c r="J111" s="7">
        <f>output_NHTS!J214</f>
        <v>0</v>
      </c>
      <c r="K111" s="7">
        <f>output_NHTS!K214</f>
        <v>0</v>
      </c>
      <c r="L111" s="7">
        <f si="93" t="shared"/>
        <v>208694.32208899996</v>
      </c>
      <c r="M111" s="3" t="s">
        <v>213</v>
      </c>
      <c r="N111" s="53">
        <f>output!B214</f>
        <v>94217</v>
      </c>
      <c r="O111" s="53">
        <f>output!C214</f>
        <v>13539</v>
      </c>
      <c r="P111" s="53">
        <f>output!D214</f>
        <v>9936</v>
      </c>
      <c r="Q111" s="53">
        <f>output!E214</f>
        <v>39532</v>
      </c>
      <c r="R111" s="53">
        <f>output!F214</f>
        <v>25665</v>
      </c>
      <c r="S111" s="53">
        <f>output!G214</f>
        <v>31197</v>
      </c>
      <c r="T111" s="53">
        <f>output!H214</f>
        <v>18932</v>
      </c>
      <c r="U111" s="53">
        <f>output!I214</f>
        <v>0</v>
      </c>
      <c r="V111" s="53">
        <f>output!J214</f>
        <v>0</v>
      </c>
      <c r="W111" s="53">
        <f>output!K214</f>
        <v>0</v>
      </c>
      <c r="X111" s="54">
        <f si="94" t="shared"/>
        <v>233018</v>
      </c>
      <c r="Y111" s="3" t="s">
        <v>213</v>
      </c>
      <c r="Z111" s="7">
        <f si="83" t="shared"/>
        <v>10101.862540000002</v>
      </c>
      <c r="AA111" s="7">
        <f si="84" t="shared"/>
        <v>1128.2603400000007</v>
      </c>
      <c r="AB111" s="7">
        <f si="85" t="shared"/>
        <v>-914.90761500000008</v>
      </c>
      <c r="AC111" s="7">
        <f si="86" t="shared"/>
        <v>2392.7020849999972</v>
      </c>
      <c r="AD111" s="7">
        <f si="87" t="shared"/>
        <v>1680.9239940000007</v>
      </c>
      <c r="AE111" s="7">
        <f si="88" t="shared"/>
        <v>10340.244955999999</v>
      </c>
      <c r="AF111" s="7">
        <f si="88" t="shared"/>
        <v>-405.40838900000017</v>
      </c>
      <c r="AG111" s="7">
        <f si="89" t="shared"/>
        <v>0</v>
      </c>
      <c r="AH111" s="7">
        <f si="90" t="shared"/>
        <v>0</v>
      </c>
      <c r="AI111" s="7">
        <f si="91" t="shared"/>
        <v>0</v>
      </c>
      <c r="AJ111" s="7">
        <f si="92" t="shared"/>
        <v>24323.677911000035</v>
      </c>
    </row>
    <row r="112" spans="1:41" x14ac:dyDescent="0.2">
      <c r="A112" s="3" t="s">
        <v>214</v>
      </c>
      <c r="B112" s="7">
        <f>output_NHTS!B215</f>
        <v>56970.383615999999</v>
      </c>
      <c r="C112" s="7">
        <f>output_NHTS!C215</f>
        <v>8353.6825140000001</v>
      </c>
      <c r="D112" s="7">
        <f>output_NHTS!D215</f>
        <v>5127.113636</v>
      </c>
      <c r="E112" s="7">
        <f>output_NHTS!E215</f>
        <v>24679.960255999998</v>
      </c>
      <c r="F112" s="7">
        <f>output_NHTS!F215</f>
        <v>18463.930344</v>
      </c>
      <c r="G112" s="7">
        <f>output_NHTS!G215</f>
        <v>15066.866566000001</v>
      </c>
      <c r="H112" s="7">
        <f>output_NHTS!H215</f>
        <v>13138.279955</v>
      </c>
      <c r="I112" s="7">
        <f>output_NHTS!I215</f>
        <v>0</v>
      </c>
      <c r="J112" s="7">
        <f>output_NHTS!J215</f>
        <v>0</v>
      </c>
      <c r="K112" s="7">
        <f>output_NHTS!K215</f>
        <v>0</v>
      </c>
      <c r="L112" s="7">
        <f si="93" t="shared"/>
        <v>141800.21688699999</v>
      </c>
      <c r="M112" s="3" t="s">
        <v>214</v>
      </c>
      <c r="N112" s="53">
        <f>output!B215</f>
        <v>64730</v>
      </c>
      <c r="O112" s="53">
        <f>output!C215</f>
        <v>8966</v>
      </c>
      <c r="P112" s="53">
        <f>output!D215</f>
        <v>6616</v>
      </c>
      <c r="Q112" s="53">
        <f>output!E215</f>
        <v>27134</v>
      </c>
      <c r="R112" s="53">
        <f>output!F215</f>
        <v>17139</v>
      </c>
      <c r="S112" s="53">
        <f>output!G215</f>
        <v>20936</v>
      </c>
      <c r="T112" s="53">
        <f>output!H215</f>
        <v>12486</v>
      </c>
      <c r="U112" s="53">
        <f>output!I215</f>
        <v>0</v>
      </c>
      <c r="V112" s="53">
        <f>output!J215</f>
        <v>0</v>
      </c>
      <c r="W112" s="53">
        <f>output!K215</f>
        <v>0</v>
      </c>
      <c r="X112" s="54">
        <f si="94" t="shared"/>
        <v>158007</v>
      </c>
      <c r="Y112" s="3" t="s">
        <v>214</v>
      </c>
      <c r="Z112" s="7">
        <f si="83" t="shared"/>
        <v>7759.6163840000008</v>
      </c>
      <c r="AA112" s="7">
        <f si="84" t="shared"/>
        <v>612.31748599999992</v>
      </c>
      <c r="AB112" s="7">
        <f si="85" t="shared"/>
        <v>1488.886364</v>
      </c>
      <c r="AC112" s="7">
        <f si="86" t="shared"/>
        <v>2454.0397440000015</v>
      </c>
      <c r="AD112" s="7">
        <f si="87" t="shared"/>
        <v>-1324.9303440000003</v>
      </c>
      <c r="AE112" s="7">
        <f si="88" t="shared"/>
        <v>5869.1334339999994</v>
      </c>
      <c r="AF112" s="7">
        <f si="88" t="shared"/>
        <v>-652.27995499999997</v>
      </c>
      <c r="AG112" s="7">
        <f si="89" t="shared"/>
        <v>0</v>
      </c>
      <c r="AH112" s="7">
        <f si="90" t="shared"/>
        <v>0</v>
      </c>
      <c r="AI112" s="7">
        <f si="91" t="shared"/>
        <v>0</v>
      </c>
      <c r="AJ112" s="7">
        <f si="92" t="shared"/>
        <v>16206.783113000012</v>
      </c>
    </row>
    <row r="113" spans="1:36" x14ac:dyDescent="0.2">
      <c r="A113" s="3" t="s">
        <v>129</v>
      </c>
      <c r="B113" s="7">
        <f>output_NHTS!B216</f>
        <v>32347.867469000001</v>
      </c>
      <c r="C113" s="7">
        <f>output_NHTS!C216</f>
        <v>3882.7004809999999</v>
      </c>
      <c r="D113" s="7">
        <f>output_NHTS!D216</f>
        <v>2530.098215</v>
      </c>
      <c r="E113" s="7">
        <f>output_NHTS!E216</f>
        <v>12974.089513999999</v>
      </c>
      <c r="F113" s="7">
        <f>output_NHTS!F216</f>
        <v>9939.0934770000003</v>
      </c>
      <c r="G113" s="7">
        <f>output_NHTS!G216</f>
        <v>11213.735323000001</v>
      </c>
      <c r="H113" s="7">
        <f>output_NHTS!H216</f>
        <v>8275.6375759999992</v>
      </c>
      <c r="I113" s="7">
        <f>output_NHTS!I216</f>
        <v>0</v>
      </c>
      <c r="J113" s="7">
        <f>output_NHTS!J216</f>
        <v>0</v>
      </c>
      <c r="K113" s="7">
        <f>output_NHTS!K216</f>
        <v>0</v>
      </c>
      <c r="L113" s="7">
        <f si="93" t="shared"/>
        <v>81163.222054999991</v>
      </c>
      <c r="M113" s="3" t="s">
        <v>129</v>
      </c>
      <c r="N113" s="53">
        <f>output!B216</f>
        <v>38656</v>
      </c>
      <c r="O113" s="53">
        <f>output!C216</f>
        <v>5115</v>
      </c>
      <c r="P113" s="53">
        <f>output!D216</f>
        <v>3800</v>
      </c>
      <c r="Q113" s="53">
        <f>output!E216</f>
        <v>15330</v>
      </c>
      <c r="R113" s="53">
        <f>output!F216</f>
        <v>9596</v>
      </c>
      <c r="S113" s="53">
        <f>output!G216</f>
        <v>11635</v>
      </c>
      <c r="T113" s="53">
        <f>output!H216</f>
        <v>7187</v>
      </c>
      <c r="U113" s="53">
        <f>output!I216</f>
        <v>0</v>
      </c>
      <c r="V113" s="53">
        <f>output!J216</f>
        <v>0</v>
      </c>
      <c r="W113" s="53">
        <f>output!K216</f>
        <v>0</v>
      </c>
      <c r="X113" s="54">
        <f si="94" t="shared"/>
        <v>91319</v>
      </c>
      <c r="Y113" s="3" t="s">
        <v>129</v>
      </c>
      <c r="Z113" s="7">
        <f si="83" t="shared"/>
        <v>6308.1325309999993</v>
      </c>
      <c r="AA113" s="7">
        <f si="84" t="shared"/>
        <v>1232.2995190000001</v>
      </c>
      <c r="AB113" s="7">
        <f si="85" t="shared"/>
        <v>1269.901785</v>
      </c>
      <c r="AC113" s="7">
        <f si="86" t="shared"/>
        <v>2355.9104860000007</v>
      </c>
      <c r="AD113" s="7">
        <f si="87" t="shared"/>
        <v>-343.09347700000035</v>
      </c>
      <c r="AE113" s="7">
        <f si="88" t="shared"/>
        <v>421.26467699999921</v>
      </c>
      <c r="AF113" s="7">
        <f si="88" t="shared"/>
        <v>-1088.6375759999992</v>
      </c>
      <c r="AG113" s="7">
        <f si="89" t="shared"/>
        <v>0</v>
      </c>
      <c r="AH113" s="7">
        <f si="90" t="shared"/>
        <v>0</v>
      </c>
      <c r="AI113" s="7">
        <f si="91" t="shared"/>
        <v>0</v>
      </c>
      <c r="AJ113" s="7">
        <f si="92" t="shared"/>
        <v>10155.777945000009</v>
      </c>
    </row>
    <row r="114" spans="1:36" x14ac:dyDescent="0.2">
      <c r="A114" s="25" t="s">
        <v>130</v>
      </c>
      <c r="B114" s="7">
        <f>output_NHTS!B217</f>
        <v>75478.591650000002</v>
      </c>
      <c r="C114" s="7">
        <f>output_NHTS!C217</f>
        <v>9049.5176499999998</v>
      </c>
      <c r="D114" s="7">
        <f>output_NHTS!D217</f>
        <v>5989.1736659999997</v>
      </c>
      <c r="E114" s="7">
        <f>output_NHTS!E217</f>
        <v>35655.318317999998</v>
      </c>
      <c r="F114" s="7">
        <f>output_NHTS!F217</f>
        <v>28681.517813999999</v>
      </c>
      <c r="G114" s="7">
        <f>output_NHTS!G217</f>
        <v>27255.711286000002</v>
      </c>
      <c r="H114" s="7">
        <f>output_NHTS!H217</f>
        <v>13046.301348999999</v>
      </c>
      <c r="I114" s="7">
        <f>output_NHTS!I217</f>
        <v>0</v>
      </c>
      <c r="J114" s="7">
        <f>output_NHTS!J217</f>
        <v>0</v>
      </c>
      <c r="K114" s="7">
        <f>output_NHTS!K217</f>
        <v>0</v>
      </c>
      <c r="L114" s="7">
        <f si="93" t="shared"/>
        <v>195156.13173299999</v>
      </c>
      <c r="M114" s="25" t="s">
        <v>130</v>
      </c>
      <c r="N114" s="54">
        <f>output!B217</f>
        <v>84072</v>
      </c>
      <c r="O114" s="54">
        <f>output!C217</f>
        <v>11762</v>
      </c>
      <c r="P114" s="54">
        <f>output!D217</f>
        <v>9022</v>
      </c>
      <c r="Q114" s="54">
        <f>output!E217</f>
        <v>38284</v>
      </c>
      <c r="R114" s="54">
        <f>output!F217</f>
        <v>22616</v>
      </c>
      <c r="S114" s="54">
        <f>output!G217</f>
        <v>30848</v>
      </c>
      <c r="T114" s="54">
        <f>output!H217</f>
        <v>16598</v>
      </c>
      <c r="U114" s="54">
        <f>output!I217</f>
        <v>0</v>
      </c>
      <c r="V114" s="54">
        <f>output!J217</f>
        <v>0</v>
      </c>
      <c r="W114" s="54">
        <f>output!K217</f>
        <v>0</v>
      </c>
      <c r="X114" s="54">
        <f si="94" t="shared"/>
        <v>213202</v>
      </c>
      <c r="Y114" s="25" t="s">
        <v>130</v>
      </c>
      <c r="Z114" s="33">
        <f si="83" t="shared"/>
        <v>8593.4083499999979</v>
      </c>
      <c r="AA114" s="33">
        <f si="84" t="shared"/>
        <v>2712.4823500000002</v>
      </c>
      <c r="AB114" s="33">
        <f si="85" t="shared"/>
        <v>3032.8263340000003</v>
      </c>
      <c r="AC114" s="33">
        <f si="86" t="shared"/>
        <v>2628.6816820000022</v>
      </c>
      <c r="AD114" s="33">
        <f si="87" t="shared"/>
        <v>-6065.5178139999989</v>
      </c>
      <c r="AE114" s="33">
        <f si="88" t="shared"/>
        <v>3592.2887139999984</v>
      </c>
      <c r="AF114" s="7">
        <f si="88" t="shared"/>
        <v>3551.6986510000006</v>
      </c>
      <c r="AG114" s="7">
        <f si="89" t="shared"/>
        <v>0</v>
      </c>
      <c r="AH114" s="7">
        <f si="90" t="shared"/>
        <v>0</v>
      </c>
      <c r="AI114" s="7">
        <f si="91" t="shared"/>
        <v>0</v>
      </c>
      <c r="AJ114" s="33">
        <f si="92" t="shared"/>
        <v>18045.868267000013</v>
      </c>
    </row>
    <row r="115" spans="1:36" x14ac:dyDescent="0.2">
      <c r="A115" s="25" t="s">
        <v>246</v>
      </c>
      <c r="B115" s="9">
        <f>output_NHTS!B218</f>
        <v>38102.852076000003</v>
      </c>
      <c r="C115" s="9">
        <f>output_NHTS!C218</f>
        <v>4669.0263409999998</v>
      </c>
      <c r="D115" s="9">
        <f>output_NHTS!D218</f>
        <v>3691.6935629999998</v>
      </c>
      <c r="E115" s="9">
        <f>output_NHTS!E218</f>
        <v>12427.145859</v>
      </c>
      <c r="F115" s="9">
        <f>output_NHTS!F218</f>
        <v>6431.3151010000001</v>
      </c>
      <c r="G115" s="9">
        <f>output_NHTS!G218</f>
        <v>11302.197762</v>
      </c>
      <c r="H115" s="9">
        <f>output_NHTS!H218</f>
        <v>6664.0517529999997</v>
      </c>
      <c r="I115" s="9">
        <f>output_NHTS!I218</f>
        <v>0</v>
      </c>
      <c r="J115" s="9">
        <f>output_NHTS!J218</f>
        <v>0</v>
      </c>
      <c r="K115" s="9">
        <f>output_NHTS!K218</f>
        <v>0</v>
      </c>
      <c r="L115" s="9">
        <f si="93" t="shared"/>
        <v>83288.282455000008</v>
      </c>
      <c r="M115" s="25" t="s">
        <v>246</v>
      </c>
      <c r="N115" s="59">
        <f>output!B218</f>
        <v>41693</v>
      </c>
      <c r="O115" s="59">
        <f>output!C218</f>
        <v>4550</v>
      </c>
      <c r="P115" s="59">
        <f>output!D218</f>
        <v>3793</v>
      </c>
      <c r="Q115" s="59">
        <f>output!E218</f>
        <v>16971</v>
      </c>
      <c r="R115" s="59">
        <f>output!F218</f>
        <v>9900</v>
      </c>
      <c r="S115" s="59">
        <f>output!G218</f>
        <v>12500</v>
      </c>
      <c r="T115" s="59">
        <f>output!H218</f>
        <v>7434</v>
      </c>
      <c r="U115" s="59">
        <f>output!I218</f>
        <v>0</v>
      </c>
      <c r="V115" s="59">
        <f>output!J218</f>
        <v>0</v>
      </c>
      <c r="W115" s="59">
        <f>output!K218</f>
        <v>0</v>
      </c>
      <c r="X115" s="59">
        <f si="94" t="shared"/>
        <v>96841</v>
      </c>
      <c r="Y115" s="25" t="s">
        <v>246</v>
      </c>
      <c r="Z115" s="9">
        <f si="83" t="shared"/>
        <v>3590.1479239999971</v>
      </c>
      <c r="AA115" s="9">
        <f si="84" t="shared"/>
        <v>-119.02634099999977</v>
      </c>
      <c r="AB115" s="9">
        <f si="85" t="shared"/>
        <v>101.30643700000019</v>
      </c>
      <c r="AC115" s="9">
        <f si="86" t="shared"/>
        <v>4543.8541409999998</v>
      </c>
      <c r="AD115" s="9">
        <f si="87" t="shared"/>
        <v>3468.6848989999999</v>
      </c>
      <c r="AE115" s="9">
        <f si="88" t="shared"/>
        <v>1197.8022380000002</v>
      </c>
      <c r="AF115" s="9">
        <f si="88" t="shared"/>
        <v>769.94824700000026</v>
      </c>
      <c r="AG115" s="9">
        <f si="89" t="shared"/>
        <v>0</v>
      </c>
      <c r="AH115" s="9">
        <f si="90" t="shared"/>
        <v>0</v>
      </c>
      <c r="AI115" s="9">
        <f si="91" t="shared"/>
        <v>0</v>
      </c>
      <c r="AJ115" s="9">
        <f si="92" t="shared"/>
        <v>13552.717544999992</v>
      </c>
    </row>
    <row ht="13.5" r="116" spans="1:36" thickBot="1" x14ac:dyDescent="0.25">
      <c r="A116" s="10" t="s">
        <v>220</v>
      </c>
      <c r="B116" s="60">
        <f>SUM(B108:B115)</f>
        <v>682275.58505199989</v>
      </c>
      <c r="C116" s="60">
        <f>SUM(C108:C115)</f>
        <v>87500.451646999994</v>
      </c>
      <c r="D116" s="60">
        <f>SUM(D108:D115)</f>
        <v>68183.926395000002</v>
      </c>
      <c r="E116" s="60">
        <f>SUM(E108:E115)</f>
        <v>296621.48889199994</v>
      </c>
      <c r="F116" s="60">
        <f ref="F116:H116" si="95" t="shared">SUM(F108:F115)</f>
        <v>187392.77112699999</v>
      </c>
      <c r="G116" s="60">
        <f si="95" t="shared"/>
        <v>208024.43689800001</v>
      </c>
      <c r="H116" s="60">
        <f si="95" t="shared"/>
        <v>129518.05670700001</v>
      </c>
      <c r="I116" s="60">
        <f ref="I116:K116" si="96" t="shared">SUM(I108:I115)</f>
        <v>0</v>
      </c>
      <c r="J116" s="60">
        <f si="96" t="shared"/>
        <v>0</v>
      </c>
      <c r="K116" s="60">
        <f si="96" t="shared"/>
        <v>0</v>
      </c>
      <c r="L116" s="60">
        <f>SUM(L108:L115)</f>
        <v>1659516.7167180001</v>
      </c>
      <c r="M116" s="10" t="s">
        <v>220</v>
      </c>
      <c r="N116" s="60">
        <f>SUM(N108:N115)</f>
        <v>741591</v>
      </c>
      <c r="O116" s="60">
        <f>SUM(O108:O115)</f>
        <v>93411</v>
      </c>
      <c r="P116" s="60">
        <f>SUM(P108:P115)</f>
        <v>71460</v>
      </c>
      <c r="Q116" s="60">
        <f>SUM(Q108:Q115)</f>
        <v>327926</v>
      </c>
      <c r="R116" s="60">
        <f ref="R116:S116" si="97" t="shared">SUM(R108:R115)</f>
        <v>191214</v>
      </c>
      <c r="S116" s="60">
        <f si="97" t="shared"/>
        <v>248078</v>
      </c>
      <c r="T116" s="60">
        <f ref="T116:W116" si="98" t="shared">SUM(T108:T115)</f>
        <v>138231</v>
      </c>
      <c r="U116" s="60">
        <f si="98" t="shared"/>
        <v>0</v>
      </c>
      <c r="V116" s="60">
        <f si="98" t="shared"/>
        <v>0</v>
      </c>
      <c r="W116" s="60">
        <f si="98" t="shared"/>
        <v>0</v>
      </c>
      <c r="X116" s="60">
        <f>SUM(X108:X115)</f>
        <v>1811911</v>
      </c>
      <c r="Y116" s="10" t="s">
        <v>220</v>
      </c>
      <c r="Z116" s="22">
        <f si="83" t="shared"/>
        <v>59315.414948000107</v>
      </c>
      <c r="AA116" s="22">
        <f si="84" t="shared"/>
        <v>5910.5483530000056</v>
      </c>
      <c r="AB116" s="22">
        <f si="85" t="shared"/>
        <v>3276.0736049999978</v>
      </c>
      <c r="AC116" s="22">
        <f si="86" t="shared"/>
        <v>31304.511108000064</v>
      </c>
      <c r="AD116" s="22">
        <f si="87" t="shared"/>
        <v>3821.2288730000146</v>
      </c>
      <c r="AE116" s="22">
        <f si="88" t="shared"/>
        <v>40053.563101999986</v>
      </c>
      <c r="AF116" s="22">
        <f si="88" t="shared"/>
        <v>8712.9432929999894</v>
      </c>
      <c r="AG116" s="22">
        <f si="89" t="shared"/>
        <v>0</v>
      </c>
      <c r="AH116" s="22">
        <f si="90" t="shared"/>
        <v>0</v>
      </c>
      <c r="AI116" s="22">
        <f si="91" t="shared"/>
        <v>0</v>
      </c>
      <c r="AJ116" s="22">
        <f si="92" t="shared"/>
        <v>152394.28328199987</v>
      </c>
    </row>
    <row r="117" spans="1:36" x14ac:dyDescent="0.2">
      <c r="G117" s="25"/>
      <c r="H117" s="25"/>
      <c r="I117" s="25"/>
      <c r="J117" s="25"/>
      <c r="K117" s="25"/>
      <c r="L117" s="25"/>
      <c r="S117" s="102"/>
      <c r="T117" s="102"/>
      <c r="U117" s="102"/>
      <c r="V117" s="102"/>
      <c r="W117" s="102"/>
      <c r="X117" s="102"/>
      <c r="AE117" s="25"/>
      <c r="AF117" s="25"/>
      <c r="AG117" s="25"/>
      <c r="AH117" s="25"/>
      <c r="AI117" s="25"/>
      <c r="AJ117" s="25"/>
    </row>
    <row r="118" spans="1:36" x14ac:dyDescent="0.2">
      <c r="A118" s="25" t="s">
        <v>88</v>
      </c>
      <c r="B118" s="7">
        <f>output_NHTS!B331</f>
        <v>571262.1889448663</v>
      </c>
      <c r="C118" s="7">
        <f>output_NHTS!B332</f>
        <v>74462</v>
      </c>
      <c r="D118" s="7">
        <f>output_NHTS!B333</f>
        <v>61201.999999999993</v>
      </c>
      <c r="E118" s="7">
        <f>output_NHTS!B334</f>
        <v>239449.81105513356</v>
      </c>
      <c r="F118" s="7">
        <f>output_NHTS!B335</f>
        <v>148325</v>
      </c>
      <c r="G118" s="7">
        <f>output_NHTS!B336</f>
        <v>168740.99999999997</v>
      </c>
      <c r="H118" s="7">
        <f>output_NHTS!B337</f>
        <v>105763</v>
      </c>
      <c r="I118" s="7">
        <f>output_NHTS!B338</f>
        <v>0</v>
      </c>
      <c r="J118" s="7">
        <f>output_NHTS!B339</f>
        <v>0</v>
      </c>
      <c r="K118" s="7">
        <f>output_NHTS!B340</f>
        <v>0</v>
      </c>
      <c r="L118" s="7">
        <f>SUM(B118:K118)</f>
        <v>1369205</v>
      </c>
      <c r="M118" s="25" t="s">
        <v>88</v>
      </c>
      <c r="N118" s="7">
        <f>output!B331</f>
        <v>610048</v>
      </c>
      <c r="O118" s="7">
        <f>output!B332</f>
        <v>79684</v>
      </c>
      <c r="P118" s="7">
        <f>output!B333</f>
        <v>62628</v>
      </c>
      <c r="Q118" s="7">
        <f>output!B334</f>
        <v>274057</v>
      </c>
      <c r="R118" s="7">
        <f>output!B335</f>
        <v>158939</v>
      </c>
      <c r="S118" s="7">
        <f>output!B336</f>
        <v>200422</v>
      </c>
      <c r="T118" s="7">
        <f>output!B337</f>
        <v>116452</v>
      </c>
      <c r="U118" s="7">
        <f>output!B338</f>
        <v>0</v>
      </c>
      <c r="V118" s="7">
        <f>output!B339</f>
        <v>0</v>
      </c>
      <c r="W118" s="7">
        <f>output!B340</f>
        <v>0</v>
      </c>
      <c r="X118" s="7">
        <f>SUM(N118:W118)</f>
        <v>1502230</v>
      </c>
      <c r="Y118" s="25" t="s">
        <v>88</v>
      </c>
      <c r="Z118" s="7">
        <f ref="Z118:AB119" si="99" t="shared">N118-B118</f>
        <v>38785.811055133701</v>
      </c>
      <c r="AA118" s="7">
        <f si="99" t="shared"/>
        <v>5222</v>
      </c>
      <c r="AB118" s="7">
        <f si="99" t="shared"/>
        <v>1426.0000000000073</v>
      </c>
      <c r="AC118" s="7">
        <f ref="AC118:AC119" si="100" t="shared">Q118-E118</f>
        <v>34607.188944866444</v>
      </c>
      <c r="AD118" s="7">
        <f ref="AD118:AD119" si="101" t="shared">R118-F118</f>
        <v>10614</v>
      </c>
      <c r="AE118" s="7">
        <f ref="AE118:AF119" si="102" t="shared">S118-G118</f>
        <v>31681.000000000029</v>
      </c>
      <c r="AF118" s="7">
        <f si="102" t="shared"/>
        <v>10689</v>
      </c>
      <c r="AG118" s="7">
        <f ref="AG118:AG119" si="103" t="shared">U118-I118</f>
        <v>0</v>
      </c>
      <c r="AH118" s="7">
        <f ref="AH118:AH119" si="104" t="shared">V118-J118</f>
        <v>0</v>
      </c>
      <c r="AI118" s="7">
        <f ref="AI118:AI119" si="105" t="shared">W118-K118</f>
        <v>0</v>
      </c>
      <c r="AJ118" s="7">
        <f>X118-L118</f>
        <v>133025</v>
      </c>
    </row>
    <row r="119" spans="1:36" x14ac:dyDescent="0.2">
      <c r="A119" s="25" t="s">
        <v>89</v>
      </c>
      <c r="B119" s="37">
        <f>B116/B118</f>
        <v>1.1943300261341956</v>
      </c>
      <c r="C119" s="37">
        <f>C116/C118</f>
        <v>1.1751020876017297</v>
      </c>
      <c r="D119" s="37">
        <f>D116/D118</f>
        <v>1.1140800365184147</v>
      </c>
      <c r="E119" s="37">
        <f>E116/E118</f>
        <v>1.2387626767586071</v>
      </c>
      <c r="F119" s="37">
        <f ref="F119" si="106" t="shared">F116/F118</f>
        <v>1.2633930296780718</v>
      </c>
      <c r="G119" s="37">
        <f>G116/G118</f>
        <v>1.2328031533415118</v>
      </c>
      <c r="H119" s="37">
        <f>H116/H118</f>
        <v>1.224606494776056</v>
      </c>
      <c r="I119" s="37" t="e">
        <f ref="I119:K119" si="107" t="shared">I116/I118</f>
        <v>#DIV/0!</v>
      </c>
      <c r="J119" s="37" t="e">
        <f si="107" t="shared"/>
        <v>#DIV/0!</v>
      </c>
      <c r="K119" s="37" t="e">
        <f si="107" t="shared"/>
        <v>#DIV/0!</v>
      </c>
      <c r="L119" s="37">
        <f>L116/L118</f>
        <v>1.2120294015271638</v>
      </c>
      <c r="M119" s="25" t="s">
        <v>89</v>
      </c>
      <c r="N119" s="37">
        <f>N116/N118</f>
        <v>1.2156272949013849</v>
      </c>
      <c r="O119" s="37">
        <f>O116/O118</f>
        <v>1.1722679584358215</v>
      </c>
      <c r="P119" s="37">
        <f>P116/P118</f>
        <v>1.1410231845181069</v>
      </c>
      <c r="Q119" s="37">
        <f>Q116/Q118</f>
        <v>1.1965612992917531</v>
      </c>
      <c r="R119" s="37">
        <f ref="R119:T119" si="108" t="shared">R116/R118</f>
        <v>1.2030653269493328</v>
      </c>
      <c r="S119" s="37">
        <f si="108" t="shared"/>
        <v>1.2377782878127153</v>
      </c>
      <c r="T119" s="37">
        <f si="108" t="shared"/>
        <v>1.1870212619791844</v>
      </c>
      <c r="U119" s="37" t="e">
        <f ref="U119:W119" si="109" t="shared">U116/U118</f>
        <v>#DIV/0!</v>
      </c>
      <c r="V119" s="37" t="e">
        <f si="109" t="shared"/>
        <v>#DIV/0!</v>
      </c>
      <c r="W119" s="37" t="e">
        <f si="109" t="shared"/>
        <v>#DIV/0!</v>
      </c>
      <c r="X119" s="37">
        <f>X116/X118</f>
        <v>1.2061475273426838</v>
      </c>
      <c r="Y119" s="25" t="s">
        <v>89</v>
      </c>
      <c r="Z119" s="38">
        <f si="99" t="shared"/>
        <v>2.1297268767189292E-2</v>
      </c>
      <c r="AA119" s="38">
        <f si="99" t="shared"/>
        <v>-2.8341291659081946E-3</v>
      </c>
      <c r="AB119" s="38">
        <f si="99" t="shared"/>
        <v>2.6943147999692219E-2</v>
      </c>
      <c r="AC119" s="38">
        <f si="100" t="shared"/>
        <v>-4.2201377466853929E-2</v>
      </c>
      <c r="AD119" s="38">
        <f si="101" t="shared"/>
        <v>-6.0327702728738997E-2</v>
      </c>
      <c r="AE119" s="38">
        <f si="102" t="shared"/>
        <v>4.9751344712034573E-3</v>
      </c>
      <c r="AF119" s="38">
        <f si="102" t="shared"/>
        <v>-3.7585232796871537E-2</v>
      </c>
      <c r="AG119" s="38" t="e">
        <f si="103" t="shared"/>
        <v>#DIV/0!</v>
      </c>
      <c r="AH119" s="38" t="e">
        <f si="104" t="shared"/>
        <v>#DIV/0!</v>
      </c>
      <c r="AI119" s="38" t="e">
        <f si="105" t="shared"/>
        <v>#DIV/0!</v>
      </c>
      <c r="AJ119" s="38">
        <f>X119-L119</f>
        <v>-5.8818741844799405E-3</v>
      </c>
    </row>
    <row r="120" spans="1:36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6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6" x14ac:dyDescent="0.2">
      <c r="A122" s="2" t="s">
        <v>303</v>
      </c>
      <c r="E122"/>
      <c r="F122"/>
      <c r="G122" s="99"/>
      <c r="H122" s="99"/>
      <c r="I122" s="99"/>
      <c r="J122" s="99"/>
      <c r="L122"/>
      <c r="M122" s="2" t="s">
        <v>304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6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6" x14ac:dyDescent="0.2">
      <c r="A124" s="5" t="s">
        <v>159</v>
      </c>
      <c r="B124" s="6">
        <f>B107</f>
        <v>1</v>
      </c>
      <c r="C124" s="6">
        <f ref="C124:H124" si="110" t="shared">C107</f>
        <v>2</v>
      </c>
      <c r="D124" s="6">
        <f si="110" t="shared"/>
        <v>3</v>
      </c>
      <c r="E124" s="6">
        <f si="110" t="shared"/>
        <v>4</v>
      </c>
      <c r="F124" s="6">
        <f si="110" t="shared"/>
        <v>5</v>
      </c>
      <c r="G124" s="6">
        <f si="110" t="shared"/>
        <v>6</v>
      </c>
      <c r="H124" s="6">
        <f si="110" t="shared"/>
        <v>7</v>
      </c>
      <c r="I124" s="6">
        <f ref="I124:K124" si="111" t="shared">I107</f>
        <v>8</v>
      </c>
      <c r="J124" s="6">
        <f si="111" t="shared"/>
        <v>9</v>
      </c>
      <c r="K124" s="6">
        <f si="111" t="shared"/>
        <v>10</v>
      </c>
      <c r="L124" s="6" t="s">
        <v>220</v>
      </c>
      <c r="M124" s="5" t="s">
        <v>159</v>
      </c>
      <c r="N124" s="6">
        <f>B107</f>
        <v>1</v>
      </c>
      <c r="O124" s="6">
        <f ref="O124:T124" si="112" t="shared">C107</f>
        <v>2</v>
      </c>
      <c r="P124" s="6">
        <f si="112" t="shared"/>
        <v>3</v>
      </c>
      <c r="Q124" s="6">
        <f si="112" t="shared"/>
        <v>4</v>
      </c>
      <c r="R124" s="6">
        <f si="112" t="shared"/>
        <v>5</v>
      </c>
      <c r="S124" s="6">
        <f si="112" t="shared"/>
        <v>6</v>
      </c>
      <c r="T124" s="6">
        <f si="112" t="shared"/>
        <v>7</v>
      </c>
      <c r="U124" s="6">
        <f ref="U124" si="113" t="shared">I107</f>
        <v>8</v>
      </c>
      <c r="V124" s="6">
        <f ref="V124" si="114" t="shared">J107</f>
        <v>9</v>
      </c>
      <c r="W124" s="6">
        <f ref="W124" si="115" t="shared">K107</f>
        <v>10</v>
      </c>
      <c r="X124" s="6" t="s">
        <v>220</v>
      </c>
      <c r="Y124" s="5" t="s">
        <v>159</v>
      </c>
      <c r="Z124" s="6">
        <f>B107</f>
        <v>1</v>
      </c>
      <c r="AA124" s="6">
        <f ref="AA124:AF124" si="116" t="shared">C107</f>
        <v>2</v>
      </c>
      <c r="AB124" s="6">
        <f si="116" t="shared"/>
        <v>3</v>
      </c>
      <c r="AC124" s="6">
        <f si="116" t="shared"/>
        <v>4</v>
      </c>
      <c r="AD124" s="6">
        <f si="116" t="shared"/>
        <v>5</v>
      </c>
      <c r="AE124" s="6">
        <f si="116" t="shared"/>
        <v>6</v>
      </c>
      <c r="AF124" s="6">
        <f si="116" t="shared"/>
        <v>7</v>
      </c>
      <c r="AG124" s="6">
        <f ref="AG124" si="117" t="shared">I107</f>
        <v>8</v>
      </c>
      <c r="AH124" s="6">
        <f ref="AH124" si="118" t="shared">J107</f>
        <v>9</v>
      </c>
      <c r="AI124" s="6">
        <f ref="AI124" si="119" t="shared">K107</f>
        <v>10</v>
      </c>
      <c r="AJ124" s="6" t="s">
        <v>220</v>
      </c>
    </row>
    <row r="125" spans="1:36" x14ac:dyDescent="0.2">
      <c r="A125" s="3" t="s">
        <v>210</v>
      </c>
      <c r="B125" s="12">
        <f ref="B125:E130" si="120" t="shared">B108/B$116</f>
        <v>0.35342080152057931</v>
      </c>
      <c r="C125" s="12">
        <f si="120" t="shared"/>
        <v>0.30049170048942803</v>
      </c>
      <c r="D125" s="12">
        <f si="120" t="shared"/>
        <v>0.33785518005441934</v>
      </c>
      <c r="E125" s="12">
        <f si="120" t="shared"/>
        <v>0.33142152967141753</v>
      </c>
      <c r="F125" s="12">
        <f ref="F125:H125" si="121" t="shared">F108/F$116</f>
        <v>0.32149000866832145</v>
      </c>
      <c r="G125" s="12">
        <f si="121" t="shared"/>
        <v>0.28921416242313802</v>
      </c>
      <c r="H125" s="12">
        <f si="121" t="shared"/>
        <v>0.32499058402506947</v>
      </c>
      <c r="I125" s="12" t="e">
        <f ref="I125:K125" si="122" t="shared">I108/I$116</f>
        <v>#DIV/0!</v>
      </c>
      <c r="J125" s="12" t="e">
        <f si="122" t="shared"/>
        <v>#DIV/0!</v>
      </c>
      <c r="K125" s="12" t="e">
        <f si="122" t="shared"/>
        <v>#DIV/0!</v>
      </c>
      <c r="L125" s="12">
        <f ref="L125:L133" si="123" t="shared">L108/L$116</f>
        <v>0.3321854152956244</v>
      </c>
      <c r="M125" s="3" t="s">
        <v>210</v>
      </c>
      <c r="N125" s="42">
        <f ref="N125:Q133" si="124" t="shared">N108/N$116</f>
        <v>0.35902808960734423</v>
      </c>
      <c r="O125" s="42">
        <f si="124" t="shared"/>
        <v>0.30639860401879865</v>
      </c>
      <c r="P125" s="42">
        <f si="124" t="shared"/>
        <v>0.32488105233697173</v>
      </c>
      <c r="Q125" s="42">
        <f si="124" t="shared"/>
        <v>0.33677719973408637</v>
      </c>
      <c r="R125" s="42">
        <f ref="R125:T125" si="125" t="shared">R108/R$116</f>
        <v>0.32630455928959179</v>
      </c>
      <c r="S125" s="42">
        <f si="125" t="shared"/>
        <v>0.32545812204226088</v>
      </c>
      <c r="T125" s="42">
        <f si="125" t="shared"/>
        <v>0.32936895486540646</v>
      </c>
      <c r="U125" s="42" t="e">
        <f ref="U125:W125" si="126" t="shared">U108/U$116</f>
        <v>#DIV/0!</v>
      </c>
      <c r="V125" s="42" t="e">
        <f si="126" t="shared"/>
        <v>#DIV/0!</v>
      </c>
      <c r="W125" s="42" t="e">
        <f si="126" t="shared"/>
        <v>#DIV/0!</v>
      </c>
      <c r="X125" s="42">
        <f ref="X125:X133" si="127" t="shared">X108/X$116</f>
        <v>0.34062876156720723</v>
      </c>
      <c r="Y125" s="3" t="s">
        <v>210</v>
      </c>
      <c r="Z125" s="12">
        <f ref="Z125:Z133" si="128" t="shared">N125-B125</f>
        <v>5.6072880867649166E-3</v>
      </c>
      <c r="AA125" s="12">
        <f ref="AA125:AA133" si="129" t="shared">O125-C125</f>
        <v>5.9069035293706218E-3</v>
      </c>
      <c r="AB125" s="12">
        <f ref="AB125:AB133" si="130" t="shared">P125-D125</f>
        <v>-1.2974127717447603E-2</v>
      </c>
      <c r="AC125" s="12">
        <f ref="AC125:AC133" si="131" t="shared">Q125-E125</f>
        <v>5.3556700626688492E-3</v>
      </c>
      <c r="AD125" s="12">
        <f ref="AD125:AD133" si="132" t="shared">R125-F125</f>
        <v>4.8145506212703415E-3</v>
      </c>
      <c r="AE125" s="12">
        <f ref="AE125:AF133" si="133" t="shared">S125-G125</f>
        <v>3.6243959619122856E-2</v>
      </c>
      <c r="AF125" s="12">
        <f si="133" t="shared"/>
        <v>4.378370840336987E-3</v>
      </c>
      <c r="AG125" s="12">
        <f ref="AG125:AG133" si="134" t="shared">X125-L125</f>
        <v>8.44334627158283E-3</v>
      </c>
      <c r="AH125" s="12" t="e">
        <f ref="AH125:AH133" si="135" t="shared">V125-J125</f>
        <v>#DIV/0!</v>
      </c>
      <c r="AI125" s="12" t="e">
        <f ref="AI125:AI133" si="136" t="shared">W125-K125</f>
        <v>#DIV/0!</v>
      </c>
      <c r="AJ125" s="12">
        <f ref="AJ125:AJ133" si="137" t="shared">X125-L125</f>
        <v>8.44334627158283E-3</v>
      </c>
    </row>
    <row r="126" spans="1:36" x14ac:dyDescent="0.2">
      <c r="A126" s="3" t="s">
        <v>211</v>
      </c>
      <c r="B126" s="12">
        <f si="120" t="shared"/>
        <v>0.123422121481281</v>
      </c>
      <c r="C126" s="12">
        <f si="120" t="shared"/>
        <v>0.1291754866431884</v>
      </c>
      <c r="D126" s="12">
        <f si="120" t="shared"/>
        <v>0.13270626366661586</v>
      </c>
      <c r="E126" s="12">
        <f si="120" t="shared"/>
        <v>0.15686202569747437</v>
      </c>
      <c r="F126" s="12">
        <f ref="F126:H126" si="138" t="shared">F109/F$116</f>
        <v>0.11199522866213771</v>
      </c>
      <c r="G126" s="12">
        <f si="138" t="shared"/>
        <v>0.16710669347007959</v>
      </c>
      <c r="H126" s="12">
        <f si="138" t="shared"/>
        <v>0.10886832369557874</v>
      </c>
      <c r="I126" s="12" t="e">
        <f ref="I126:K126" si="139" t="shared">I109/I$116</f>
        <v>#DIV/0!</v>
      </c>
      <c r="J126" s="12" t="e">
        <f si="139" t="shared"/>
        <v>#DIV/0!</v>
      </c>
      <c r="K126" s="12" t="e">
        <f si="139" t="shared"/>
        <v>#DIV/0!</v>
      </c>
      <c r="L126" s="12">
        <f si="123" t="shared"/>
        <v>0.13313374842884676</v>
      </c>
      <c r="M126" s="3" t="s">
        <v>211</v>
      </c>
      <c r="N126" s="42">
        <f si="124" t="shared"/>
        <v>0.10279790342655183</v>
      </c>
      <c r="O126" s="42">
        <f si="124" t="shared"/>
        <v>0.11767350740276841</v>
      </c>
      <c r="P126" s="42">
        <f si="124" t="shared"/>
        <v>0.11437167646235656</v>
      </c>
      <c r="Q126" s="42">
        <f si="124" t="shared"/>
        <v>0.13301781499484641</v>
      </c>
      <c r="R126" s="42">
        <f ref="R126:T126" si="140" t="shared">R109/R$116</f>
        <v>0.1236258851339337</v>
      </c>
      <c r="S126" s="42">
        <f si="140" t="shared"/>
        <v>0.12954393376276815</v>
      </c>
      <c r="T126" s="42">
        <f si="140" t="shared"/>
        <v>0.11820792731008239</v>
      </c>
      <c r="U126" s="42" t="e">
        <f ref="U126:W126" si="141" t="shared">U109/U$116</f>
        <v>#DIV/0!</v>
      </c>
      <c r="V126" s="42" t="e">
        <f si="141" t="shared"/>
        <v>#DIV/0!</v>
      </c>
      <c r="W126" s="42" t="e">
        <f si="141" t="shared"/>
        <v>#DIV/0!</v>
      </c>
      <c r="X126" s="42">
        <f si="127" t="shared"/>
        <v>0.11652614284034922</v>
      </c>
      <c r="Y126" s="3" t="s">
        <v>211</v>
      </c>
      <c r="Z126" s="12">
        <f si="128" t="shared"/>
        <v>-2.0624218054729165E-2</v>
      </c>
      <c r="AA126" s="12">
        <f si="129" t="shared"/>
        <v>-1.1501979240419985E-2</v>
      </c>
      <c r="AB126" s="12">
        <f si="130" t="shared"/>
        <v>-1.8334587204259303E-2</v>
      </c>
      <c r="AC126" s="12">
        <f si="131" t="shared"/>
        <v>-2.384421070262796E-2</v>
      </c>
      <c r="AD126" s="12">
        <f si="132" t="shared"/>
        <v>1.1630656471795994E-2</v>
      </c>
      <c r="AE126" s="12">
        <f si="133" t="shared"/>
        <v>-3.7562759707311433E-2</v>
      </c>
      <c r="AF126" s="12">
        <f si="133" t="shared"/>
        <v>9.3396036145036582E-3</v>
      </c>
      <c r="AG126" s="12">
        <f si="134" t="shared"/>
        <v>-1.660760558849754E-2</v>
      </c>
      <c r="AH126" s="12" t="e">
        <f si="135" t="shared"/>
        <v>#DIV/0!</v>
      </c>
      <c r="AI126" s="12" t="e">
        <f si="136" t="shared"/>
        <v>#DIV/0!</v>
      </c>
      <c r="AJ126" s="12">
        <f si="137" t="shared"/>
        <v>-1.660760558849754E-2</v>
      </c>
    </row>
    <row r="127" spans="1:36" x14ac:dyDescent="0.2">
      <c r="A127" s="3" t="s">
        <v>212</v>
      </c>
      <c r="B127" s="12">
        <f si="120" t="shared"/>
        <v>0.1024842014633586</v>
      </c>
      <c r="C127" s="12">
        <f si="120" t="shared"/>
        <v>0.13187031440192126</v>
      </c>
      <c r="D127" s="12">
        <f si="120" t="shared"/>
        <v>0.11601286806475351</v>
      </c>
      <c r="E127" s="12">
        <f si="120" t="shared"/>
        <v>9.7465230664816244E-2</v>
      </c>
      <c r="F127" s="12">
        <f ref="F127:H127" si="142" t="shared">F110/F$116</f>
        <v>9.9581421453835917E-2</v>
      </c>
      <c r="G127" s="12">
        <f si="142" t="shared"/>
        <v>0.13173107079932425</v>
      </c>
      <c r="H127" s="12">
        <f si="142" t="shared"/>
        <v>9.9320630644582186E-2</v>
      </c>
      <c r="I127" s="12" t="e">
        <f ref="I127:K127" si="143" t="shared">I110/I$116</f>
        <v>#DIV/0!</v>
      </c>
      <c r="J127" s="12" t="e">
        <f si="143" t="shared"/>
        <v>#DIV/0!</v>
      </c>
      <c r="K127" s="12" t="e">
        <f si="143" t="shared"/>
        <v>#DIV/0!</v>
      </c>
      <c r="L127" s="12">
        <f si="123" t="shared"/>
        <v>0.10678386599169948</v>
      </c>
      <c r="M127" s="3" t="s">
        <v>212</v>
      </c>
      <c r="N127" s="42">
        <f si="124" t="shared"/>
        <v>0.10212772269350626</v>
      </c>
      <c r="O127" s="42">
        <f si="124" t="shared"/>
        <v>0.10561925255055614</v>
      </c>
      <c r="P127" s="42">
        <f si="124" t="shared"/>
        <v>9.6613490064371671E-2</v>
      </c>
      <c r="Q127" s="42">
        <f si="124" t="shared"/>
        <v>0.11166238724590304</v>
      </c>
      <c r="R127" s="42">
        <f ref="R127:T127" si="144" t="shared">R110/R$116</f>
        <v>0.10598073362829082</v>
      </c>
      <c r="S127" s="42">
        <f si="144" t="shared"/>
        <v>0.11321439224759955</v>
      </c>
      <c r="T127" s="42">
        <f si="144" t="shared"/>
        <v>9.9290318380102868E-2</v>
      </c>
      <c r="U127" s="42" t="e">
        <f ref="U127:W127" si="145" t="shared">U110/U$116</f>
        <v>#DIV/0!</v>
      </c>
      <c r="V127" s="42" t="e">
        <f si="145" t="shared"/>
        <v>#DIV/0!</v>
      </c>
      <c r="W127" s="42" t="e">
        <f si="145" t="shared"/>
        <v>#DIV/0!</v>
      </c>
      <c r="X127" s="42">
        <f si="127" t="shared"/>
        <v>0.10552394681637232</v>
      </c>
      <c r="Y127" s="3" t="s">
        <v>212</v>
      </c>
      <c r="Z127" s="12">
        <f si="128" t="shared"/>
        <v>-3.5647876985234195E-4</v>
      </c>
      <c r="AA127" s="12">
        <f si="129" t="shared"/>
        <v>-2.6251061851365123E-2</v>
      </c>
      <c r="AB127" s="12">
        <f si="130" t="shared"/>
        <v>-1.9399378000381842E-2</v>
      </c>
      <c r="AC127" s="12">
        <f si="131" t="shared"/>
        <v>1.4197156581086792E-2</v>
      </c>
      <c r="AD127" s="12">
        <f si="132" t="shared"/>
        <v>6.3993121744548992E-3</v>
      </c>
      <c r="AE127" s="12">
        <f si="133" t="shared"/>
        <v>-1.8516678551724702E-2</v>
      </c>
      <c r="AF127" s="12">
        <f si="133" t="shared"/>
        <v>-3.0312264479318007E-5</v>
      </c>
      <c r="AG127" s="12">
        <f si="134" t="shared"/>
        <v>-1.2599191753271538E-3</v>
      </c>
      <c r="AH127" s="12" t="e">
        <f si="135" t="shared"/>
        <v>#DIV/0!</v>
      </c>
      <c r="AI127" s="12" t="e">
        <f si="136" t="shared"/>
        <v>#DIV/0!</v>
      </c>
      <c r="AJ127" s="12">
        <f si="137" t="shared"/>
        <v>-1.2599191753271538E-3</v>
      </c>
    </row>
    <row r="128" spans="1:36" x14ac:dyDescent="0.2">
      <c r="A128" s="3" t="s">
        <v>213</v>
      </c>
      <c r="B128" s="12">
        <f si="120" t="shared"/>
        <v>0.12328616075803024</v>
      </c>
      <c r="C128" s="12">
        <f si="120" t="shared"/>
        <v>0.14183629257215966</v>
      </c>
      <c r="D128" s="12">
        <f si="120" t="shared"/>
        <v>0.15914172428467993</v>
      </c>
      <c r="E128" s="12">
        <f si="120" t="shared"/>
        <v>0.1252077118678426</v>
      </c>
      <c r="F128" s="12">
        <f ref="F128:H128" si="146" t="shared">F111/F$116</f>
        <v>0.1279882668992898</v>
      </c>
      <c r="G128" s="12">
        <f si="146" t="shared"/>
        <v>0.10026108160661254</v>
      </c>
      <c r="H128" s="12">
        <f si="146" t="shared"/>
        <v>0.14930279901238572</v>
      </c>
      <c r="I128" s="12" t="e">
        <f ref="I128:K128" si="147" t="shared">I111/I$116</f>
        <v>#DIV/0!</v>
      </c>
      <c r="J128" s="12" t="e">
        <f si="147" t="shared"/>
        <v>#DIV/0!</v>
      </c>
      <c r="K128" s="12" t="e">
        <f si="147" t="shared"/>
        <v>#DIV/0!</v>
      </c>
      <c r="L128" s="12">
        <f si="123" t="shared"/>
        <v>0.12575608307322833</v>
      </c>
      <c r="M128" s="3" t="s">
        <v>213</v>
      </c>
      <c r="N128" s="42">
        <f si="124" t="shared"/>
        <v>0.12704711896449661</v>
      </c>
      <c r="O128" s="42">
        <f si="124" t="shared"/>
        <v>0.14494010341394484</v>
      </c>
      <c r="P128" s="42">
        <f si="124" t="shared"/>
        <v>0.13904282115869018</v>
      </c>
      <c r="Q128" s="42">
        <f si="124" t="shared"/>
        <v>0.1205515878582363</v>
      </c>
      <c r="R128" s="42">
        <f ref="R128:T128" si="148" t="shared">R111/R$116</f>
        <v>0.13422134362546675</v>
      </c>
      <c r="S128" s="42">
        <f si="148" t="shared"/>
        <v>0.12575480292488653</v>
      </c>
      <c r="T128" s="42">
        <f si="148" t="shared"/>
        <v>0.13695914809268545</v>
      </c>
      <c r="U128" s="42" t="e">
        <f ref="U128:W128" si="149" t="shared">U111/U$116</f>
        <v>#DIV/0!</v>
      </c>
      <c r="V128" s="42" t="e">
        <f si="149" t="shared"/>
        <v>#DIV/0!</v>
      </c>
      <c r="W128" s="42" t="e">
        <f si="149" t="shared"/>
        <v>#DIV/0!</v>
      </c>
      <c r="X128" s="42">
        <f si="127" t="shared"/>
        <v>0.12860344685804104</v>
      </c>
      <c r="Y128" s="3" t="s">
        <v>213</v>
      </c>
      <c r="Z128" s="12">
        <f si="128" t="shared"/>
        <v>3.7609582064663666E-3</v>
      </c>
      <c r="AA128" s="12">
        <f si="129" t="shared"/>
        <v>3.1038108417851817E-3</v>
      </c>
      <c r="AB128" s="12">
        <f si="130" t="shared"/>
        <v>-2.0098903125989748E-2</v>
      </c>
      <c r="AC128" s="12">
        <f si="131" t="shared"/>
        <v>-4.6561240096062995E-3</v>
      </c>
      <c r="AD128" s="12">
        <f si="132" t="shared"/>
        <v>6.233076726176956E-3</v>
      </c>
      <c r="AE128" s="12">
        <f si="133" t="shared"/>
        <v>2.5493721318273987E-2</v>
      </c>
      <c r="AF128" s="12">
        <f si="133" t="shared"/>
        <v>-1.2343650919700272E-2</v>
      </c>
      <c r="AG128" s="12">
        <f si="134" t="shared"/>
        <v>2.8473637848127065E-3</v>
      </c>
      <c r="AH128" s="12" t="e">
        <f si="135" t="shared"/>
        <v>#DIV/0!</v>
      </c>
      <c r="AI128" s="12" t="e">
        <f si="136" t="shared"/>
        <v>#DIV/0!</v>
      </c>
      <c r="AJ128" s="12">
        <f si="137" t="shared"/>
        <v>2.8473637848127065E-3</v>
      </c>
    </row>
    <row r="129" spans="1:36" x14ac:dyDescent="0.2">
      <c r="A129" s="3" t="s">
        <v>214</v>
      </c>
      <c r="B129" s="12">
        <f si="120" t="shared"/>
        <v>8.3500545621397221E-2</v>
      </c>
      <c r="C129" s="12">
        <f si="120" t="shared"/>
        <v>9.5470164516418363E-2</v>
      </c>
      <c r="D129" s="12">
        <f si="120" t="shared"/>
        <v>7.5195341586781608E-2</v>
      </c>
      <c r="E129" s="12">
        <f si="120" t="shared"/>
        <v>8.3203547889229248E-2</v>
      </c>
      <c r="F129" s="12">
        <f ref="F129:H129" si="150" t="shared">F112/F$116</f>
        <v>9.8530643593965586E-2</v>
      </c>
      <c r="G129" s="12">
        <f si="150" t="shared"/>
        <v>7.2428349239506376E-2</v>
      </c>
      <c r="H129" s="12">
        <f si="150" t="shared"/>
        <v>0.10143975511246163</v>
      </c>
      <c r="I129" s="12" t="e">
        <f ref="I129:K129" si="151" t="shared">I112/I$116</f>
        <v>#DIV/0!</v>
      </c>
      <c r="J129" s="12" t="e">
        <f si="151" t="shared"/>
        <v>#DIV/0!</v>
      </c>
      <c r="K129" s="12" t="e">
        <f si="151" t="shared"/>
        <v>#DIV/0!</v>
      </c>
      <c r="L129" s="12">
        <f si="123" t="shared"/>
        <v>8.5446693882925154E-2</v>
      </c>
      <c r="M129" s="3" t="s">
        <v>214</v>
      </c>
      <c r="N129" s="42">
        <f si="124" t="shared"/>
        <v>8.7285309557424515E-2</v>
      </c>
      <c r="O129" s="42">
        <f si="124" t="shared"/>
        <v>9.5984412970635147E-2</v>
      </c>
      <c r="P129" s="42">
        <f si="124" t="shared"/>
        <v>9.2583263364119789E-2</v>
      </c>
      <c r="Q129" s="42">
        <f si="124" t="shared"/>
        <v>8.2744277672401695E-2</v>
      </c>
      <c r="R129" s="42">
        <f ref="R129:T129" si="152" t="shared">R112/R$116</f>
        <v>8.9632558285481195E-2</v>
      </c>
      <c r="S129" s="42">
        <f si="152" t="shared"/>
        <v>8.439281193818074E-2</v>
      </c>
      <c r="T129" s="42">
        <f si="152" t="shared"/>
        <v>9.0327061223603969E-2</v>
      </c>
      <c r="U129" s="42" t="e">
        <f ref="U129:W129" si="153" t="shared">U112/U$116</f>
        <v>#DIV/0!</v>
      </c>
      <c r="V129" s="42" t="e">
        <f si="153" t="shared"/>
        <v>#DIV/0!</v>
      </c>
      <c r="W129" s="42" t="e">
        <f si="153" t="shared"/>
        <v>#DIV/0!</v>
      </c>
      <c r="X129" s="42">
        <f si="127" t="shared"/>
        <v>8.7204614354678564E-2</v>
      </c>
      <c r="Y129" s="3" t="s">
        <v>214</v>
      </c>
      <c r="Z129" s="12">
        <f si="128" t="shared"/>
        <v>3.7847639360272939E-3</v>
      </c>
      <c r="AA129" s="12">
        <f si="129" t="shared"/>
        <v>5.1424845421678411E-4</v>
      </c>
      <c r="AB129" s="12">
        <f si="130" t="shared"/>
        <v>1.7387921777338181E-2</v>
      </c>
      <c r="AC129" s="12">
        <f si="131" t="shared"/>
        <v>-4.5927021682755365E-4</v>
      </c>
      <c r="AD129" s="12">
        <f si="132" t="shared"/>
        <v>-8.8980853084843908E-3</v>
      </c>
      <c r="AE129" s="12">
        <f si="133" t="shared"/>
        <v>1.1964462698674364E-2</v>
      </c>
      <c r="AF129" s="12">
        <f si="133" t="shared"/>
        <v>-1.1112693888857661E-2</v>
      </c>
      <c r="AG129" s="12">
        <f si="134" t="shared"/>
        <v>1.7579204717534103E-3</v>
      </c>
      <c r="AH129" s="12" t="e">
        <f si="135" t="shared"/>
        <v>#DIV/0!</v>
      </c>
      <c r="AI129" s="12" t="e">
        <f si="136" t="shared"/>
        <v>#DIV/0!</v>
      </c>
      <c r="AJ129" s="12">
        <f si="137" t="shared"/>
        <v>1.7579204717534103E-3</v>
      </c>
    </row>
    <row r="130" spans="1:36" x14ac:dyDescent="0.2">
      <c r="A130" s="3" t="s">
        <v>129</v>
      </c>
      <c r="B130" s="12">
        <f si="120" t="shared"/>
        <v>4.7411732410935672E-2</v>
      </c>
      <c r="C130" s="12">
        <f si="120" t="shared"/>
        <v>4.4373490741097456E-2</v>
      </c>
      <c r="D130" s="12">
        <f si="120" t="shared"/>
        <v>3.7106959789067452E-2</v>
      </c>
      <c r="E130" s="12">
        <f si="120" t="shared"/>
        <v>4.3739546863119795E-2</v>
      </c>
      <c r="F130" s="12">
        <f ref="F130:H130" si="154" t="shared">F113/F$116</f>
        <v>5.3038830778931539E-2</v>
      </c>
      <c r="G130" s="12">
        <f si="154" t="shared"/>
        <v>5.3905855918737075E-2</v>
      </c>
      <c r="H130" s="12">
        <f si="154" t="shared"/>
        <v>6.3895628041435309E-2</v>
      </c>
      <c r="I130" s="12" t="e">
        <f ref="I130:K130" si="155" t="shared">I113/I$116</f>
        <v>#DIV/0!</v>
      </c>
      <c r="J130" s="12" t="e">
        <f si="155" t="shared"/>
        <v>#DIV/0!</v>
      </c>
      <c r="K130" s="12" t="e">
        <f si="155" t="shared"/>
        <v>#DIV/0!</v>
      </c>
      <c r="L130" s="12">
        <f si="123" t="shared"/>
        <v>4.8907745994577992E-2</v>
      </c>
      <c r="M130" s="3" t="s">
        <v>129</v>
      </c>
      <c r="N130" s="42">
        <f si="124" t="shared"/>
        <v>5.2125767437846471E-2</v>
      </c>
      <c r="O130" s="42">
        <f si="124" t="shared"/>
        <v>5.4758004945884314E-2</v>
      </c>
      <c r="P130" s="42">
        <f si="124" t="shared"/>
        <v>5.3176602294990202E-2</v>
      </c>
      <c r="Q130" s="42">
        <f si="124" t="shared"/>
        <v>4.6748351762287831E-2</v>
      </c>
      <c r="R130" s="42">
        <f ref="R130:T130" si="156" t="shared">R113/R$116</f>
        <v>5.0184609913500058E-2</v>
      </c>
      <c r="S130" s="42">
        <f si="156" t="shared"/>
        <v>4.6900571594417885E-2</v>
      </c>
      <c r="T130" s="42">
        <f si="156" t="shared"/>
        <v>5.1992678921515434E-2</v>
      </c>
      <c r="U130" s="42" t="e">
        <f ref="U130:W130" si="157" t="shared">U113/U$116</f>
        <v>#DIV/0!</v>
      </c>
      <c r="V130" s="42" t="e">
        <f si="157" t="shared"/>
        <v>#DIV/0!</v>
      </c>
      <c r="W130" s="42" t="e">
        <f si="157" t="shared"/>
        <v>#DIV/0!</v>
      </c>
      <c r="X130" s="42">
        <f si="127" t="shared"/>
        <v>5.0399274578055986E-2</v>
      </c>
      <c r="Y130" s="3" t="s">
        <v>129</v>
      </c>
      <c r="Z130" s="12">
        <f si="128" t="shared"/>
        <v>4.7140350269107983E-3</v>
      </c>
      <c r="AA130" s="12">
        <f si="129" t="shared"/>
        <v>1.0384514204786859E-2</v>
      </c>
      <c r="AB130" s="12">
        <f si="130" t="shared"/>
        <v>1.606964250592275E-2</v>
      </c>
      <c r="AC130" s="12">
        <f si="131" t="shared"/>
        <v>3.0088048991680355E-3</v>
      </c>
      <c r="AD130" s="12">
        <f si="132" t="shared"/>
        <v>-2.854220865431481E-3</v>
      </c>
      <c r="AE130" s="12">
        <f si="133" t="shared"/>
        <v>-7.0052843243191901E-3</v>
      </c>
      <c r="AF130" s="12">
        <f si="133" t="shared"/>
        <v>-1.1902949119919876E-2</v>
      </c>
      <c r="AG130" s="12">
        <f si="134" t="shared"/>
        <v>1.491528583477994E-3</v>
      </c>
      <c r="AH130" s="12" t="e">
        <f si="135" t="shared"/>
        <v>#DIV/0!</v>
      </c>
      <c r="AI130" s="12" t="e">
        <f si="136" t="shared"/>
        <v>#DIV/0!</v>
      </c>
      <c r="AJ130" s="12">
        <f si="137" t="shared"/>
        <v>1.491528583477994E-3</v>
      </c>
    </row>
    <row r="131" spans="1:36" x14ac:dyDescent="0.2">
      <c r="A131" s="25" t="s">
        <v>130</v>
      </c>
      <c r="B131" s="34">
        <f ref="B131:E132" si="158" t="shared">B114/B$116</f>
        <v>0.1106277189213027</v>
      </c>
      <c r="C131" s="34">
        <f si="158" t="shared"/>
        <v>0.1034225250231639</v>
      </c>
      <c r="D131" s="34">
        <f si="158" t="shared"/>
        <v>8.78384977612435E-2</v>
      </c>
      <c r="E131" s="34">
        <f si="158" t="shared"/>
        <v>0.12020477158005946</v>
      </c>
      <c r="F131" s="34">
        <f ref="F131:H131" si="159" t="shared">F114/F$116</f>
        <v>0.15305562557993199</v>
      </c>
      <c r="G131" s="34">
        <f si="159" t="shared"/>
        <v>0.13102168039692477</v>
      </c>
      <c r="H131" s="34">
        <f si="159" t="shared"/>
        <v>0.10072959462720917</v>
      </c>
      <c r="I131" s="34" t="e">
        <f ref="I131:K131" si="160" t="shared">I114/I$116</f>
        <v>#DIV/0!</v>
      </c>
      <c r="J131" s="34" t="e">
        <f si="160" t="shared"/>
        <v>#DIV/0!</v>
      </c>
      <c r="K131" s="34" t="e">
        <f si="160" t="shared"/>
        <v>#DIV/0!</v>
      </c>
      <c r="L131" s="34">
        <f si="123" t="shared"/>
        <v>0.11759817166467426</v>
      </c>
      <c r="M131" s="25" t="s">
        <v>130</v>
      </c>
      <c r="N131" s="56">
        <f si="124" t="shared"/>
        <v>0.11336707160685607</v>
      </c>
      <c r="O131" s="56">
        <f si="124" t="shared"/>
        <v>0.12591664793225638</v>
      </c>
      <c r="P131" s="56">
        <f si="124" t="shared"/>
        <v>0.12625244892247411</v>
      </c>
      <c r="Q131" s="56">
        <f si="124" t="shared"/>
        <v>0.11674585119813616</v>
      </c>
      <c r="R131" s="56">
        <f ref="R131:T131" si="161" t="shared">R114/R$116</f>
        <v>0.11827585846224649</v>
      </c>
      <c r="S131" s="56">
        <f si="161" t="shared"/>
        <v>0.12434798732656664</v>
      </c>
      <c r="T131" s="42">
        <f si="161" t="shared"/>
        <v>0.12007436826761002</v>
      </c>
      <c r="U131" s="42" t="e">
        <f ref="U131:W131" si="162" t="shared">U114/U$116</f>
        <v>#DIV/0!</v>
      </c>
      <c r="V131" s="42" t="e">
        <f si="162" t="shared"/>
        <v>#DIV/0!</v>
      </c>
      <c r="W131" s="42" t="e">
        <f si="162" t="shared"/>
        <v>#DIV/0!</v>
      </c>
      <c r="X131" s="56">
        <f si="127" t="shared"/>
        <v>0.11766692734908062</v>
      </c>
      <c r="Y131" s="25" t="s">
        <v>130</v>
      </c>
      <c r="Z131" s="12">
        <f si="128" t="shared"/>
        <v>2.7393526855533645E-3</v>
      </c>
      <c r="AA131" s="12">
        <f si="129" t="shared"/>
        <v>2.2494122909092473E-2</v>
      </c>
      <c r="AB131" s="12">
        <f si="130" t="shared"/>
        <v>3.8413951161230614E-2</v>
      </c>
      <c r="AC131" s="12">
        <f si="131" t="shared"/>
        <v>-3.4589203819233028E-3</v>
      </c>
      <c r="AD131" s="12">
        <f si="132" t="shared"/>
        <v>-3.4779767117685503E-2</v>
      </c>
      <c r="AE131" s="12">
        <f si="133" t="shared"/>
        <v>-6.6736930703581304E-3</v>
      </c>
      <c r="AF131" s="12">
        <f si="133" t="shared"/>
        <v>1.9344773640400853E-2</v>
      </c>
      <c r="AG131" s="12">
        <f si="134" t="shared"/>
        <v>6.8755684406354711E-5</v>
      </c>
      <c r="AH131" s="12" t="e">
        <f si="135" t="shared"/>
        <v>#DIV/0!</v>
      </c>
      <c r="AI131" s="12" t="e">
        <f si="136" t="shared"/>
        <v>#DIV/0!</v>
      </c>
      <c r="AJ131" s="12">
        <f si="137" t="shared"/>
        <v>6.8755684406354711E-5</v>
      </c>
    </row>
    <row r="132" spans="1:36" x14ac:dyDescent="0.2">
      <c r="A132" s="25" t="s">
        <v>246</v>
      </c>
      <c r="B132" s="13">
        <f si="158" t="shared"/>
        <v>5.5846717823115392E-2</v>
      </c>
      <c r="C132" s="13">
        <f si="158" t="shared"/>
        <v>5.3360025612622999E-2</v>
      </c>
      <c r="D132" s="13">
        <f si="158" t="shared"/>
        <v>5.4143164792438754E-2</v>
      </c>
      <c r="E132" s="13">
        <f si="158" t="shared"/>
        <v>4.1895635766040981E-2</v>
      </c>
      <c r="F132" s="13">
        <f ref="F132:H132" si="163" t="shared">F115/F$116</f>
        <v>3.4319974363586116E-2</v>
      </c>
      <c r="G132" s="13">
        <f si="163" t="shared"/>
        <v>5.4331106145677356E-2</v>
      </c>
      <c r="H132" s="13">
        <f si="163" t="shared"/>
        <v>5.1452684841277657E-2</v>
      </c>
      <c r="I132" s="13" t="e">
        <f ref="I132:K132" si="164" t="shared">I115/I$116</f>
        <v>#DIV/0!</v>
      </c>
      <c r="J132" s="13" t="e">
        <f si="164" t="shared"/>
        <v>#DIV/0!</v>
      </c>
      <c r="K132" s="13" t="e">
        <f si="164" t="shared"/>
        <v>#DIV/0!</v>
      </c>
      <c r="L132" s="13">
        <f si="123" t="shared"/>
        <v>5.0188275668423467E-2</v>
      </c>
      <c r="M132" s="25" t="s">
        <v>246</v>
      </c>
      <c r="N132" s="43">
        <f si="124" t="shared"/>
        <v>5.6221016705974049E-2</v>
      </c>
      <c r="O132" s="43">
        <f si="124" t="shared"/>
        <v>4.870946676515614E-2</v>
      </c>
      <c r="P132" s="43">
        <f si="124" t="shared"/>
        <v>5.3078645396025748E-2</v>
      </c>
      <c r="Q132" s="43">
        <f si="124" t="shared"/>
        <v>5.1752529534102205E-2</v>
      </c>
      <c r="R132" s="43">
        <f ref="R132:T132" si="165" t="shared">R115/R$116</f>
        <v>5.1774451661489224E-2</v>
      </c>
      <c r="S132" s="43">
        <f si="165" t="shared"/>
        <v>5.0387378163319604E-2</v>
      </c>
      <c r="T132" s="43">
        <f si="165" t="shared"/>
        <v>5.3779542938993424E-2</v>
      </c>
      <c r="U132" s="43" t="e">
        <f ref="U132:W132" si="166" t="shared">U115/U$116</f>
        <v>#DIV/0!</v>
      </c>
      <c r="V132" s="43" t="e">
        <f si="166" t="shared"/>
        <v>#DIV/0!</v>
      </c>
      <c r="W132" s="43" t="e">
        <f si="166" t="shared"/>
        <v>#DIV/0!</v>
      </c>
      <c r="X132" s="43">
        <f si="127" t="shared"/>
        <v>5.3446885636215025E-2</v>
      </c>
      <c r="Y132" s="25" t="s">
        <v>246</v>
      </c>
      <c r="Z132" s="12">
        <f si="128" t="shared"/>
        <v>3.7429888285865631E-4</v>
      </c>
      <c r="AA132" s="12">
        <f si="129" t="shared"/>
        <v>-4.6505588474668597E-3</v>
      </c>
      <c r="AB132" s="12">
        <f si="130" t="shared"/>
        <v>-1.0645193964130065E-3</v>
      </c>
      <c r="AC132" s="12">
        <f si="131" t="shared"/>
        <v>9.8568937680612242E-3</v>
      </c>
      <c r="AD132" s="12">
        <f si="132" t="shared"/>
        <v>1.7454477297903108E-2</v>
      </c>
      <c r="AE132" s="12">
        <f si="133" t="shared"/>
        <v>-3.9437279823577517E-3</v>
      </c>
      <c r="AF132" s="12">
        <f si="133" t="shared"/>
        <v>2.3268580977157671E-3</v>
      </c>
      <c r="AG132" s="12">
        <f si="134" t="shared"/>
        <v>3.2586099677915578E-3</v>
      </c>
      <c r="AH132" s="12" t="e">
        <f si="135" t="shared"/>
        <v>#DIV/0!</v>
      </c>
      <c r="AI132" s="12" t="e">
        <f si="136" t="shared"/>
        <v>#DIV/0!</v>
      </c>
      <c r="AJ132" s="12">
        <f si="137" t="shared"/>
        <v>3.2586099677915578E-3</v>
      </c>
    </row>
    <row ht="13.5" r="133" spans="1:36" thickBot="1" x14ac:dyDescent="0.25">
      <c r="A133" s="10" t="s">
        <v>220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67" t="shared">F116/F$116</f>
        <v>1</v>
      </c>
      <c r="G133" s="17">
        <f si="167" t="shared"/>
        <v>1</v>
      </c>
      <c r="H133" s="17">
        <f si="167" t="shared"/>
        <v>1</v>
      </c>
      <c r="I133" s="17" t="e">
        <f ref="I133:K133" si="168" t="shared">I116/I$116</f>
        <v>#DIV/0!</v>
      </c>
      <c r="J133" s="17" t="e">
        <f si="168" t="shared"/>
        <v>#DIV/0!</v>
      </c>
      <c r="K133" s="17" t="e">
        <f si="168" t="shared"/>
        <v>#DIV/0!</v>
      </c>
      <c r="L133" s="17">
        <f si="123" t="shared"/>
        <v>1</v>
      </c>
      <c r="M133" s="10" t="s">
        <v>220</v>
      </c>
      <c r="N133" s="44">
        <f si="124" t="shared"/>
        <v>1</v>
      </c>
      <c r="O133" s="44">
        <f si="124" t="shared"/>
        <v>1</v>
      </c>
      <c r="P133" s="44">
        <f si="124" t="shared"/>
        <v>1</v>
      </c>
      <c r="Q133" s="44">
        <f si="124" t="shared"/>
        <v>1</v>
      </c>
      <c r="R133" s="44">
        <f ref="R133:T133" si="169" t="shared">R116/R$116</f>
        <v>1</v>
      </c>
      <c r="S133" s="44">
        <f si="169" t="shared"/>
        <v>1</v>
      </c>
      <c r="T133" s="44">
        <f si="169" t="shared"/>
        <v>1</v>
      </c>
      <c r="U133" s="44" t="e">
        <f ref="U133:W133" si="170" t="shared">U116/U$116</f>
        <v>#DIV/0!</v>
      </c>
      <c r="V133" s="44" t="e">
        <f si="170" t="shared"/>
        <v>#DIV/0!</v>
      </c>
      <c r="W133" s="44" t="e">
        <f si="170" t="shared"/>
        <v>#DIV/0!</v>
      </c>
      <c r="X133" s="44">
        <f si="127" t="shared"/>
        <v>1</v>
      </c>
      <c r="Y133" s="10" t="s">
        <v>220</v>
      </c>
      <c r="Z133" s="14">
        <f si="128" t="shared"/>
        <v>0</v>
      </c>
      <c r="AA133" s="14">
        <f si="129" t="shared"/>
        <v>0</v>
      </c>
      <c r="AB133" s="14">
        <f si="130" t="shared"/>
        <v>0</v>
      </c>
      <c r="AC133" s="14">
        <f si="131" t="shared"/>
        <v>0</v>
      </c>
      <c r="AD133" s="14">
        <f si="132" t="shared"/>
        <v>0</v>
      </c>
      <c r="AE133" s="14">
        <f si="133" t="shared"/>
        <v>0</v>
      </c>
      <c r="AF133" s="14">
        <f si="133" t="shared"/>
        <v>0</v>
      </c>
      <c r="AG133" s="14">
        <f si="134" t="shared"/>
        <v>0</v>
      </c>
      <c r="AH133" s="14" t="e">
        <f si="135" t="shared"/>
        <v>#DIV/0!</v>
      </c>
      <c r="AI133" s="14" t="e">
        <f si="136" t="shared"/>
        <v>#DIV/0!</v>
      </c>
      <c r="AJ133" s="14">
        <f si="137" t="shared"/>
        <v>0</v>
      </c>
    </row>
    <row r="134" spans="1:36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6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6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6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6" x14ac:dyDescent="0.2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J125:AJ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I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bestFit="true" customWidth="true" style="3" width="6.62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  <c r="AK4" s="3" t="s">
        <v>220</v>
      </c>
    </row>
    <row r="5" spans="1:38" x14ac:dyDescent="0.2">
      <c r="A5" s="3" t="s">
        <v>210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210</v>
      </c>
      <c r="N5" s="7">
        <f>output!B222</f>
        <v>111409</v>
      </c>
      <c r="O5" s="7">
        <f>output!C222</f>
        <v>7177</v>
      </c>
      <c r="P5" s="7">
        <f>output!D222</f>
        <v>0</v>
      </c>
      <c r="Q5" s="7">
        <f>output!E222</f>
        <v>0</v>
      </c>
      <c r="R5" s="7">
        <f>output!F222</f>
        <v>2121</v>
      </c>
      <c r="S5" s="7">
        <f>output!G222</f>
        <v>486</v>
      </c>
      <c r="T5" s="7"/>
      <c r="U5" s="7">
        <f>output!H222</f>
        <v>0</v>
      </c>
      <c r="V5" s="7">
        <f>output!I222</f>
        <v>0</v>
      </c>
      <c r="W5" s="7">
        <f>output!J222</f>
        <v>121193</v>
      </c>
      <c r="X5"/>
      <c r="Y5" s="3" t="s">
        <v>210</v>
      </c>
      <c r="Z5" s="7">
        <f ref="Z5:AE12" si="0" t="shared">N5-B5</f>
        <v>9212.9907479425601</v>
      </c>
      <c r="AA5" s="7">
        <f si="0" t="shared"/>
        <v>-6985.6854120908174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-3130.3812448341714</v>
      </c>
      <c r="AE5" s="7">
        <f si="0" t="shared"/>
        <v>-124.82755115415262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-5408.9302381157904</v>
      </c>
      <c r="AK5" s="3">
        <v>318360</v>
      </c>
      <c r="AL5" s="7">
        <f>W5-AK5</f>
        <v>-197167</v>
      </c>
    </row>
    <row r="6" spans="1:38" x14ac:dyDescent="0.2">
      <c r="A6" s="3" t="s">
        <v>211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211</v>
      </c>
      <c r="N6" s="7">
        <f>output!B223</f>
        <v>2444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1250</v>
      </c>
      <c r="S6" s="7">
        <f>output!G223</f>
        <v>1409</v>
      </c>
      <c r="T6" s="7"/>
      <c r="U6" s="7">
        <f>output!H223</f>
        <v>8911</v>
      </c>
      <c r="V6" s="7">
        <f>output!I223</f>
        <v>0</v>
      </c>
      <c r="W6" s="7">
        <f>output!J223</f>
        <v>14014</v>
      </c>
      <c r="X6"/>
      <c r="Y6" s="3" t="s">
        <v>211</v>
      </c>
      <c r="Z6" s="7">
        <f si="0" t="shared"/>
        <v>-1650.4193036399674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1181.430823843107</v>
      </c>
      <c r="AE6" s="7">
        <f si="0" t="shared"/>
        <v>-761.01584262013512</v>
      </c>
      <c r="AF6" s="7"/>
      <c r="AG6" s="7">
        <f si="1" t="shared"/>
        <v>567.12641150065247</v>
      </c>
      <c r="AH6" s="7">
        <f si="2" t="shared"/>
        <v>0</v>
      </c>
      <c r="AI6" s="7">
        <f si="3" t="shared"/>
        <v>-2304.2058926436912</v>
      </c>
      <c r="AK6" s="3">
        <v>19520</v>
      </c>
      <c r="AL6" s="7">
        <f ref="AL6:AL12" si="4" t="shared">W6-AK6</f>
        <v>-5506</v>
      </c>
    </row>
    <row r="7" spans="1:38" x14ac:dyDescent="0.2">
      <c r="A7" s="3" t="s">
        <v>212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212</v>
      </c>
      <c r="N7" s="7">
        <f>output!B224</f>
        <v>113695</v>
      </c>
      <c r="O7" s="7">
        <f>output!C224</f>
        <v>30312</v>
      </c>
      <c r="P7" s="7">
        <f>output!D224</f>
        <v>6300</v>
      </c>
      <c r="Q7" s="7">
        <f>output!E224</f>
        <v>27979</v>
      </c>
      <c r="R7" s="7">
        <f>output!F224</f>
        <v>4838</v>
      </c>
      <c r="S7" s="7">
        <f>output!G224</f>
        <v>2634</v>
      </c>
      <c r="T7" s="7"/>
      <c r="U7" s="7">
        <f>output!H224</f>
        <v>19239</v>
      </c>
      <c r="V7" s="7">
        <f>output!I224</f>
        <v>0</v>
      </c>
      <c r="W7" s="7">
        <f>output!J224</f>
        <v>204997</v>
      </c>
      <c r="X7"/>
      <c r="Y7" s="3" t="s">
        <v>212</v>
      </c>
      <c r="Z7" s="7">
        <f si="0" t="shared"/>
        <v>-32051.65367839887</v>
      </c>
      <c r="AA7" s="7">
        <f si="0" t="shared"/>
        <v>17954.949301801105</v>
      </c>
      <c r="AB7" s="7">
        <f si="0" t="shared"/>
        <v>2550.3661983790603</v>
      </c>
      <c r="AC7" s="7">
        <f si="0" t="shared"/>
        <v>8486.9239781914985</v>
      </c>
      <c r="AD7" s="7">
        <f si="0" t="shared"/>
        <v>-421.50222630389271</v>
      </c>
      <c r="AE7" s="7">
        <f si="0" t="shared"/>
        <v>-1211.5758320633581</v>
      </c>
      <c r="AF7" s="7"/>
      <c r="AG7" s="7">
        <f si="1" t="shared"/>
        <v>-4637.7449938046229</v>
      </c>
      <c r="AH7" s="7">
        <f si="2" t="shared"/>
        <v>0</v>
      </c>
      <c r="AI7" s="7">
        <f si="3" t="shared"/>
        <v>-9330.237252199091</v>
      </c>
      <c r="AK7" s="3">
        <v>946110</v>
      </c>
      <c r="AL7" s="7">
        <f si="4" t="shared"/>
        <v>-741113</v>
      </c>
    </row>
    <row r="8" spans="1:38" x14ac:dyDescent="0.2">
      <c r="A8" s="3" t="s">
        <v>213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213</v>
      </c>
      <c r="N8" s="7">
        <f>output!B225</f>
        <v>170924</v>
      </c>
      <c r="O8" s="7">
        <f>output!C225</f>
        <v>59858</v>
      </c>
      <c r="P8" s="7">
        <f>output!D225</f>
        <v>72772</v>
      </c>
      <c r="Q8" s="7">
        <f>output!E225</f>
        <v>61894</v>
      </c>
      <c r="R8" s="7">
        <f>output!F225</f>
        <v>4653</v>
      </c>
      <c r="S8" s="7">
        <f>output!G225</f>
        <v>3455</v>
      </c>
      <c r="T8" s="7"/>
      <c r="U8" s="7">
        <f>output!H225</f>
        <v>31024</v>
      </c>
      <c r="V8" s="7">
        <f>output!I225</f>
        <v>0</v>
      </c>
      <c r="W8" s="7">
        <f>output!J225</f>
        <v>404580</v>
      </c>
      <c r="X8"/>
      <c r="Y8" s="3" t="s">
        <v>213</v>
      </c>
      <c r="Z8" s="7">
        <f si="0" t="shared"/>
        <v>-23701.755906441103</v>
      </c>
      <c r="AA8" s="7">
        <f si="0" t="shared"/>
        <v>26357.477299993552</v>
      </c>
      <c r="AB8" s="7">
        <f si="0" t="shared"/>
        <v>25445.693010117429</v>
      </c>
      <c r="AC8" s="7">
        <f si="0" t="shared"/>
        <v>-17206.600444618598</v>
      </c>
      <c r="AD8" s="7">
        <f si="0" t="shared"/>
        <v>-7395.6671958436909</v>
      </c>
      <c r="AE8" s="7">
        <f si="0" t="shared"/>
        <v>-7902.5863442012196</v>
      </c>
      <c r="AF8" s="7"/>
      <c r="AG8" s="7">
        <f si="1" t="shared"/>
        <v>2478.7429357626679</v>
      </c>
      <c r="AH8" s="7">
        <f si="2" t="shared"/>
        <v>0</v>
      </c>
      <c r="AI8" s="7">
        <f si="3" t="shared"/>
        <v>-1924.6966452309862</v>
      </c>
      <c r="AK8" s="3">
        <v>895490</v>
      </c>
      <c r="AL8" s="7">
        <f si="4" t="shared"/>
        <v>-490910</v>
      </c>
    </row>
    <row r="9" spans="1:38" x14ac:dyDescent="0.2">
      <c r="A9" s="3" t="s">
        <v>214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214</v>
      </c>
      <c r="N9" s="7">
        <f>output!B226</f>
        <v>100778</v>
      </c>
      <c r="O9" s="7">
        <f>output!C226</f>
        <v>47568</v>
      </c>
      <c r="P9" s="7">
        <f>output!D226</f>
        <v>46963</v>
      </c>
      <c r="Q9" s="7">
        <f>output!E226</f>
        <v>49646</v>
      </c>
      <c r="R9" s="7">
        <f>output!F226</f>
        <v>4622</v>
      </c>
      <c r="S9" s="7">
        <f>output!G226</f>
        <v>927</v>
      </c>
      <c r="T9" s="7"/>
      <c r="U9" s="7">
        <f>output!H226</f>
        <v>12034</v>
      </c>
      <c r="V9" s="7">
        <f>output!I226</f>
        <v>0</v>
      </c>
      <c r="W9" s="7">
        <f>output!J226</f>
        <v>262538</v>
      </c>
      <c r="X9"/>
      <c r="Y9" s="3" t="s">
        <v>214</v>
      </c>
      <c r="Z9" s="7">
        <f si="0" t="shared"/>
        <v>-22765.739275921602</v>
      </c>
      <c r="AA9" s="7">
        <f si="0" t="shared"/>
        <v>23267.722474810271</v>
      </c>
      <c r="AB9" s="7">
        <f si="0" t="shared"/>
        <v>8085.9905036366763</v>
      </c>
      <c r="AC9" s="7">
        <f si="0" t="shared"/>
        <v>-20108.83310832837</v>
      </c>
      <c r="AD9" s="7">
        <f si="0" t="shared"/>
        <v>-7670.2765888783761</v>
      </c>
      <c r="AE9" s="7">
        <f si="0" t="shared"/>
        <v>-1707.5091490711802</v>
      </c>
      <c r="AF9" s="7"/>
      <c r="AG9" s="7">
        <f si="1" t="shared"/>
        <v>-2794.8142604862987</v>
      </c>
      <c r="AH9" s="7">
        <f si="2" t="shared"/>
        <v>0</v>
      </c>
      <c r="AI9" s="7">
        <f si="3" t="shared"/>
        <v>-23693.459404238849</v>
      </c>
      <c r="AK9" s="3">
        <v>935110</v>
      </c>
      <c r="AL9" s="7">
        <f si="4" t="shared"/>
        <v>-672572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72700</v>
      </c>
      <c r="O10" s="7">
        <f>output!C227</f>
        <v>17884</v>
      </c>
      <c r="P10" s="7">
        <f>output!D227</f>
        <v>15884</v>
      </c>
      <c r="Q10" s="7">
        <f>output!E227</f>
        <v>10597</v>
      </c>
      <c r="R10" s="7">
        <f>output!F227</f>
        <v>2997</v>
      </c>
      <c r="S10" s="7">
        <f>output!G227</f>
        <v>848</v>
      </c>
      <c r="T10" s="7"/>
      <c r="U10" s="7">
        <f>output!H227</f>
        <v>9227</v>
      </c>
      <c r="V10" s="7">
        <f>output!I227</f>
        <v>0</v>
      </c>
      <c r="W10" s="7">
        <f>output!J227</f>
        <v>130137</v>
      </c>
      <c r="X10"/>
      <c r="Y10" s="3" t="s">
        <v>129</v>
      </c>
      <c r="Z10" s="7">
        <f si="0" t="shared"/>
        <v>-21878.66138705425</v>
      </c>
      <c r="AA10" s="7">
        <f si="0" t="shared"/>
        <v>8523.942410227688</v>
      </c>
      <c r="AB10" s="7">
        <f si="0" t="shared"/>
        <v>3890.4979550382304</v>
      </c>
      <c r="AC10" s="7">
        <f si="0" t="shared"/>
        <v>-11594.554285534519</v>
      </c>
      <c r="AD10" s="7">
        <f si="0" t="shared"/>
        <v>-362.74807495640016</v>
      </c>
      <c r="AE10" s="7">
        <f si="0" t="shared"/>
        <v>-2884.4805868270901</v>
      </c>
      <c r="AF10" s="7"/>
      <c r="AG10" s="7">
        <f si="1" t="shared"/>
        <v>-675.83546988598937</v>
      </c>
      <c r="AH10" s="7">
        <f si="2" t="shared"/>
        <v>0</v>
      </c>
      <c r="AI10" s="7">
        <f si="3" t="shared"/>
        <v>-24981.839438992349</v>
      </c>
      <c r="AK10" s="3">
        <v>426400</v>
      </c>
      <c r="AL10" s="7">
        <f si="4" t="shared"/>
        <v>-296263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52452</v>
      </c>
      <c r="O11" s="7">
        <f>output!C228</f>
        <v>14230</v>
      </c>
      <c r="P11" s="7">
        <f>output!D228</f>
        <v>12781</v>
      </c>
      <c r="Q11" s="7">
        <f>output!E228</f>
        <v>15106</v>
      </c>
      <c r="R11" s="7">
        <f>output!F228</f>
        <v>1724</v>
      </c>
      <c r="S11" s="7">
        <f>output!G228</f>
        <v>3106</v>
      </c>
      <c r="T11" s="7"/>
      <c r="U11" s="7">
        <f>output!H228</f>
        <v>40261</v>
      </c>
      <c r="V11" s="7">
        <f>output!I228</f>
        <v>0</v>
      </c>
      <c r="W11" s="7">
        <f>output!J228</f>
        <v>139660</v>
      </c>
      <c r="X11"/>
      <c r="Y11" s="3" t="s">
        <v>130</v>
      </c>
      <c r="Z11" s="7">
        <f si="0" t="shared"/>
        <v>-7217.6587130867847</v>
      </c>
      <c r="AA11" s="7">
        <f si="0" t="shared"/>
        <v>5035.9918817358648</v>
      </c>
      <c r="AB11" s="7">
        <f si="0" t="shared"/>
        <v>1757.7052716919134</v>
      </c>
      <c r="AC11" s="7">
        <f si="0" t="shared"/>
        <v>-8439.4766783027044</v>
      </c>
      <c r="AD11" s="7">
        <f si="0" t="shared"/>
        <v>-3968.5086429725598</v>
      </c>
      <c r="AE11" s="7">
        <f si="0" t="shared"/>
        <v>-8623.0618813953934</v>
      </c>
      <c r="AF11" s="7"/>
      <c r="AG11" s="7">
        <f si="1" t="shared"/>
        <v>9879.8174529268181</v>
      </c>
      <c r="AH11" s="7">
        <f si="2" t="shared"/>
        <v>0</v>
      </c>
      <c r="AI11" s="7">
        <f si="3" t="shared"/>
        <v>-11575.191309402842</v>
      </c>
      <c r="AK11" s="3">
        <v>481730</v>
      </c>
      <c r="AL11" s="7">
        <f si="4" t="shared"/>
        <v>-342070</v>
      </c>
    </row>
    <row ht="13.5" r="12" spans="1:38" thickBot="1" x14ac:dyDescent="0.25">
      <c r="A12" s="10" t="s">
        <v>220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220</v>
      </c>
      <c r="N12" s="11">
        <f>SUM(N5:N11)</f>
        <v>624402</v>
      </c>
      <c r="O12" s="11">
        <f ref="O12:W12" si="6" t="shared">SUM(O5:O11)</f>
        <v>177029</v>
      </c>
      <c r="P12" s="11">
        <f si="6" t="shared"/>
        <v>154700</v>
      </c>
      <c r="Q12" s="11">
        <f si="6" t="shared"/>
        <v>165222</v>
      </c>
      <c r="R12" s="11">
        <f si="6" t="shared"/>
        <v>22205</v>
      </c>
      <c r="S12" s="11">
        <f si="6" t="shared"/>
        <v>12865</v>
      </c>
      <c r="T12" s="11"/>
      <c r="U12" s="11">
        <f si="6" t="shared"/>
        <v>120696</v>
      </c>
      <c r="V12" s="11">
        <f si="6" t="shared"/>
        <v>0</v>
      </c>
      <c r="W12" s="11">
        <f si="6" t="shared"/>
        <v>1277119</v>
      </c>
      <c r="X12"/>
      <c r="Y12" s="10" t="s">
        <v>220</v>
      </c>
      <c r="Z12" s="11">
        <f si="0" t="shared"/>
        <v>-100052.89751659997</v>
      </c>
      <c r="AA12" s="11">
        <f si="0" t="shared"/>
        <v>73256.507547155212</v>
      </c>
      <c r="AB12" s="11">
        <f si="0" t="shared"/>
        <v>41113.805678844976</v>
      </c>
      <c r="AC12" s="11">
        <f si="0" t="shared"/>
        <v>-52879.645337717724</v>
      </c>
      <c r="AD12" s="11">
        <f si="0" t="shared"/>
        <v>-21767.653149945982</v>
      </c>
      <c r="AE12" s="11">
        <f si="0" t="shared"/>
        <v>-23215.057187332532</v>
      </c>
      <c r="AF12" s="11"/>
      <c r="AG12" s="11">
        <f si="1" t="shared"/>
        <v>4326.3797847724782</v>
      </c>
      <c r="AH12" s="11">
        <f si="2" t="shared"/>
        <v>0</v>
      </c>
      <c r="AI12" s="11">
        <f si="3" t="shared"/>
        <v>-79218.560180823784</v>
      </c>
      <c r="AK12" s="3">
        <v>4022720</v>
      </c>
      <c r="AL12" s="7">
        <f si="4" t="shared"/>
        <v>-2745601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682545</v>
      </c>
      <c r="O14" s="33">
        <f>ToursByTourPurpose!O15</f>
        <v>84137</v>
      </c>
      <c r="P14" s="33">
        <f>ToursByTourPurpose!P15</f>
        <v>164943</v>
      </c>
      <c r="Q14" s="33">
        <f>ToursByTourPurpose!Q15</f>
        <v>240520</v>
      </c>
      <c r="R14" s="33">
        <f>ToursByTourPurpose!R15</f>
        <v>60810</v>
      </c>
      <c r="S14" s="33">
        <f>ToursByTourPurpose!S15</f>
        <v>56338</v>
      </c>
      <c r="T14" s="33"/>
      <c r="U14" s="33">
        <f>ToursByTourPurpose!U15</f>
        <v>212937</v>
      </c>
      <c r="V14" s="33">
        <f>ToursByTourPurpose!V15</f>
        <v>0</v>
      </c>
      <c r="W14" s="33">
        <f>ToursByTourPurpose!W15</f>
        <v>1502230</v>
      </c>
      <c r="X14"/>
      <c r="Y14" s="25" t="s">
        <v>88</v>
      </c>
      <c r="Z14" s="33">
        <f ref="Z14:AE15" si="7" t="shared">N14-B14</f>
        <v>93796</v>
      </c>
      <c r="AA14" s="33">
        <f si="7" t="shared"/>
        <v>2519</v>
      </c>
      <c r="AB14" s="33">
        <f si="7" t="shared"/>
        <v>36456.000000000044</v>
      </c>
      <c r="AC14" s="33">
        <f si="7" t="shared"/>
        <v>11871</v>
      </c>
      <c r="AD14" s="33">
        <f si="7" t="shared"/>
        <v>-11845</v>
      </c>
      <c r="AE14" s="33">
        <f si="7" t="shared"/>
        <v>6921</v>
      </c>
      <c r="AF14" s="33"/>
      <c r="AG14" s="33">
        <f ref="AG14:AI15" si="8" t="shared">U14-I14</f>
        <v>-6693</v>
      </c>
      <c r="AH14" s="33">
        <f si="8" t="shared"/>
        <v>0</v>
      </c>
      <c r="AI14" s="33">
        <f si="8" t="shared"/>
        <v>133025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0.91481440784124124</v>
      </c>
      <c r="O15" s="38">
        <f si="10" t="shared"/>
        <v>2.1040564793135008</v>
      </c>
      <c r="P15" s="38">
        <f si="10" t="shared"/>
        <v>0.93789975931079217</v>
      </c>
      <c r="Q15" s="38">
        <f si="10" t="shared"/>
        <v>0.68693663728588061</v>
      </c>
      <c r="R15" s="38">
        <f si="10" t="shared"/>
        <v>0.36515375760565694</v>
      </c>
      <c r="S15" s="38">
        <f si="10" t="shared"/>
        <v>0.2283538641769321</v>
      </c>
      <c r="T15" s="38"/>
      <c r="U15" s="38">
        <f si="10" t="shared"/>
        <v>0.56681553698981391</v>
      </c>
      <c r="V15" s="38" t="e">
        <f si="10" t="shared"/>
        <v>#DIV/0!</v>
      </c>
      <c r="W15" s="38">
        <f si="10" t="shared"/>
        <v>0.85014877881549433</v>
      </c>
      <c r="X15"/>
      <c r="Y15" s="25" t="s">
        <v>90</v>
      </c>
      <c r="Z15" s="38">
        <f si="7" t="shared"/>
        <v>-0.3156843233949902</v>
      </c>
      <c r="AA15" s="38">
        <f si="7" t="shared"/>
        <v>0.83261522306065472</v>
      </c>
      <c r="AB15" s="38">
        <f si="7" t="shared"/>
        <v>5.3871069084115097E-2</v>
      </c>
      <c r="AC15" s="38">
        <f si="7" t="shared"/>
        <v>-0.26693434110334358</v>
      </c>
      <c r="AD15" s="38">
        <f si="7" t="shared"/>
        <v>-0.24007166597077945</v>
      </c>
      <c r="AE15" s="38">
        <f si="7" t="shared"/>
        <v>-0.50176041203029476</v>
      </c>
      <c r="AF15" s="38"/>
      <c r="AG15" s="38">
        <f si="8" t="shared"/>
        <v>3.6971616691004461E-2</v>
      </c>
      <c r="AH15" s="38" t="e">
        <f si="8" t="shared"/>
        <v>#DIV/0!</v>
      </c>
      <c r="AI15" s="38">
        <f si="8" t="shared"/>
        <v>-0.14045347590956425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242</v>
      </c>
      <c r="F20" s="6" t="s">
        <v>243</v>
      </c>
      <c r="G20" s="6" t="s">
        <v>244</v>
      </c>
      <c r="H20" s="6"/>
      <c r="I20" s="6" t="s">
        <v>245</v>
      </c>
      <c r="J20" s="6" t="s">
        <v>170</v>
      </c>
      <c r="K20" s="6" t="s">
        <v>220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242</v>
      </c>
      <c r="R20" s="6" t="s">
        <v>243</v>
      </c>
      <c r="S20" s="6" t="s">
        <v>244</v>
      </c>
      <c r="T20" s="6"/>
      <c r="U20" s="6" t="s">
        <v>245</v>
      </c>
      <c r="V20" s="6" t="s">
        <v>170</v>
      </c>
      <c r="W20" s="6" t="s">
        <v>220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242</v>
      </c>
      <c r="AD20" s="6" t="s">
        <v>243</v>
      </c>
      <c r="AE20" s="6" t="s">
        <v>244</v>
      </c>
      <c r="AF20" s="6"/>
      <c r="AG20" s="6" t="s">
        <v>245</v>
      </c>
      <c r="AH20" s="6" t="s">
        <v>170</v>
      </c>
      <c r="AI20" s="6" t="s">
        <v>220</v>
      </c>
    </row>
    <row r="21" spans="1:35" x14ac:dyDescent="0.2">
      <c r="A21" s="3" t="s">
        <v>210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210</v>
      </c>
      <c r="N21" s="12">
        <f ref="N21:W21" si="12" t="shared">N5/N$12</f>
        <v>0.17842511715209111</v>
      </c>
      <c r="O21" s="12">
        <f si="12" t="shared"/>
        <v>4.0541380225838704E-2</v>
      </c>
      <c r="P21" s="12">
        <f si="12" t="shared"/>
        <v>0</v>
      </c>
      <c r="Q21" s="12">
        <f si="12" t="shared"/>
        <v>0</v>
      </c>
      <c r="R21" s="12">
        <f si="12" t="shared"/>
        <v>9.5519027246115745E-2</v>
      </c>
      <c r="S21" s="12">
        <f si="12" t="shared"/>
        <v>3.7776914108045082E-2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9.4895620533403696E-2</v>
      </c>
      <c r="X21"/>
      <c r="Y21" s="3" t="s">
        <v>210</v>
      </c>
      <c r="Z21" s="12">
        <f ref="Z21:AE28" si="13" t="shared">N21-B21</f>
        <v>3.7359041676059496E-2</v>
      </c>
      <c r="AA21" s="12">
        <f si="13" t="shared"/>
        <v>-9.5936843215951306E-2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-2.3904770697734778E-2</v>
      </c>
      <c r="AE21" s="12">
        <f si="13" t="shared"/>
        <v>2.0847130765888681E-2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1.5546013395995317E-3</v>
      </c>
    </row>
    <row r="22" spans="1:35" x14ac:dyDescent="0.2">
      <c r="A22" s="3" t="s">
        <v>211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211</v>
      </c>
      <c r="N22" s="12">
        <f ref="N22:W22" si="18" t="shared">N6/N$12</f>
        <v>3.9141450539876554E-3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5.6293627561360055E-2</v>
      </c>
      <c r="S22" s="12">
        <f si="18" t="shared"/>
        <v>0.10952195880295375</v>
      </c>
      <c r="T22" s="12"/>
      <c r="U22" s="12">
        <f si="18" t="shared"/>
        <v>7.383011864519122E-2</v>
      </c>
      <c r="V22" s="12" t="e">
        <f si="18" t="shared"/>
        <v>#DIV/0!</v>
      </c>
      <c r="W22" s="12">
        <f si="18" t="shared"/>
        <v>1.097313562792504E-2</v>
      </c>
      <c r="X22"/>
      <c r="Y22" s="3" t="s">
        <v>211</v>
      </c>
      <c r="Z22" s="12">
        <f si="13" t="shared"/>
        <v>-1.737579184022826E-3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5.4734268022078369E-2</v>
      </c>
      <c r="AE22" s="12">
        <f si="13" t="shared"/>
        <v>4.9377490867298333E-2</v>
      </c>
      <c r="AF22" s="12"/>
      <c r="AG22" s="12">
        <f si="14" t="shared"/>
        <v>2.1286421510064296E-3</v>
      </c>
      <c r="AH22" s="12" t="e">
        <f si="15" t="shared"/>
        <v>#DIV/0!</v>
      </c>
      <c r="AI22" s="12">
        <f si="16" t="shared"/>
        <v>-1.057944518869822E-3</v>
      </c>
    </row>
    <row r="23" spans="1:35" x14ac:dyDescent="0.2">
      <c r="A23" s="3" t="s">
        <v>212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212</v>
      </c>
      <c r="N23" s="12">
        <f ref="N23:W23" si="20" t="shared">N7/N$12</f>
        <v>0.18208622009538727</v>
      </c>
      <c r="O23" s="12">
        <f si="20" t="shared"/>
        <v>0.17122618328070541</v>
      </c>
      <c r="P23" s="12">
        <f si="20" t="shared"/>
        <v>4.072398190045249E-2</v>
      </c>
      <c r="Q23" s="12">
        <f si="20" t="shared"/>
        <v>0.16934185520088124</v>
      </c>
      <c r="R23" s="12">
        <f si="20" t="shared"/>
        <v>0.21787885611348795</v>
      </c>
      <c r="S23" s="12">
        <f si="20" t="shared"/>
        <v>0.20474154683249127</v>
      </c>
      <c r="T23" s="12"/>
      <c r="U23" s="12">
        <f si="20" t="shared"/>
        <v>0.15940047723205408</v>
      </c>
      <c r="V23" s="12" t="e">
        <f si="20" t="shared"/>
        <v>#DIV/0!</v>
      </c>
      <c r="W23" s="12">
        <f si="20" t="shared"/>
        <v>0.16051519083186452</v>
      </c>
      <c r="X23"/>
      <c r="Y23" s="3" t="s">
        <v>212</v>
      </c>
      <c r="Z23" s="12">
        <f si="13" t="shared"/>
        <v>-1.9094908195707305E-2</v>
      </c>
      <c r="AA23" s="12">
        <f si="13" t="shared"/>
        <v>5.2147895710287301E-2</v>
      </c>
      <c r="AB23" s="12">
        <f si="13" t="shared"/>
        <v>7.712630265418588E-3</v>
      </c>
      <c r="AC23" s="12">
        <f si="13" t="shared"/>
        <v>7.9970333075836494E-2</v>
      </c>
      <c r="AD23" s="12">
        <f si="13" t="shared"/>
        <v>9.8270375625192613E-2</v>
      </c>
      <c r="AE23" s="12">
        <f si="13" t="shared"/>
        <v>9.8157019759914615E-2</v>
      </c>
      <c r="AF23" s="12"/>
      <c r="AG23" s="12">
        <f si="14" t="shared"/>
        <v>-4.5779748927008673E-2</v>
      </c>
      <c r="AH23" s="12" t="e">
        <f si="15" t="shared"/>
        <v>#DIV/0!</v>
      </c>
      <c r="AI23" s="12">
        <f si="16" t="shared"/>
        <v>2.4960932676670877E-3</v>
      </c>
    </row>
    <row r="24" spans="1:35" x14ac:dyDescent="0.2">
      <c r="A24" s="3" t="s">
        <v>213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213</v>
      </c>
      <c r="N24" s="12">
        <f ref="N24:W24" si="22" t="shared">N8/N$12</f>
        <v>0.27374031473313665</v>
      </c>
      <c r="O24" s="12">
        <f si="22" t="shared"/>
        <v>0.33812539188494539</v>
      </c>
      <c r="P24" s="12">
        <f si="22" t="shared"/>
        <v>0.47040723981900451</v>
      </c>
      <c r="Q24" s="12">
        <f si="22" t="shared"/>
        <v>0.37461112926849938</v>
      </c>
      <c r="R24" s="12">
        <f si="22" t="shared"/>
        <v>0.20954739923440666</v>
      </c>
      <c r="S24" s="12">
        <f si="22" t="shared"/>
        <v>0.26855810338126701</v>
      </c>
      <c r="T24" s="12"/>
      <c r="U24" s="12">
        <f si="22" t="shared"/>
        <v>0.25704248690925963</v>
      </c>
      <c r="V24" s="12" t="e">
        <f si="22" t="shared"/>
        <v>#DIV/0!</v>
      </c>
      <c r="W24" s="12">
        <f si="22" t="shared"/>
        <v>0.31679115258640739</v>
      </c>
      <c r="X24"/>
      <c r="Y24" s="3" t="s">
        <v>213</v>
      </c>
      <c r="Z24" s="12">
        <f si="13" t="shared"/>
        <v>5.0890065928924644E-3</v>
      </c>
      <c r="AA24" s="12">
        <f si="13" t="shared"/>
        <v>1.5298774655630953E-2</v>
      </c>
      <c r="AB24" s="12">
        <f si="13" t="shared"/>
        <v>5.3751789104003189E-2</v>
      </c>
      <c r="AC24" s="12">
        <f si="13" t="shared"/>
        <v>1.1933441431087988E-2</v>
      </c>
      <c r="AD24" s="12">
        <f si="13" t="shared"/>
        <v>-6.4456244683961078E-2</v>
      </c>
      <c r="AE24" s="12">
        <f si="13" t="shared"/>
        <v>-4.623037617216319E-2</v>
      </c>
      <c r="AF24" s="12"/>
      <c r="AG24" s="12">
        <f si="14" t="shared"/>
        <v>1.1744298159975991E-2</v>
      </c>
      <c r="AH24" s="12" t="e">
        <f si="15" t="shared"/>
        <v>#DIV/0!</v>
      </c>
      <c r="AI24" s="12">
        <f si="16" t="shared"/>
        <v>1.7083536592173099E-2</v>
      </c>
    </row>
    <row r="25" spans="1:35" x14ac:dyDescent="0.2">
      <c r="A25" s="3" t="s">
        <v>214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214</v>
      </c>
      <c r="N25" s="12">
        <f ref="N25:W25" si="24" t="shared">N9/N$12</f>
        <v>0.16139922678018329</v>
      </c>
      <c r="O25" s="12">
        <f si="24" t="shared"/>
        <v>0.26870173813330017</v>
      </c>
      <c r="P25" s="12">
        <f si="24" t="shared"/>
        <v>0.30357466063348415</v>
      </c>
      <c r="Q25" s="12">
        <f si="24" t="shared"/>
        <v>0.3004805655421191</v>
      </c>
      <c r="R25" s="12">
        <f si="24" t="shared"/>
        <v>0.20815131727088493</v>
      </c>
      <c r="S25" s="12">
        <f si="24" t="shared"/>
        <v>7.2055965798678581E-2</v>
      </c>
      <c r="T25" s="12"/>
      <c r="U25" s="12">
        <f si="24" t="shared"/>
        <v>9.970504407768277E-2</v>
      </c>
      <c r="V25" s="12" t="e">
        <f si="24" t="shared"/>
        <v>#DIV/0!</v>
      </c>
      <c r="W25" s="12">
        <f si="24" t="shared"/>
        <v>0.20557050674212818</v>
      </c>
      <c r="X25"/>
      <c r="Y25" s="3" t="s">
        <v>214</v>
      </c>
      <c r="Z25" s="12">
        <f si="13" t="shared"/>
        <v>-9.1341490026628225E-3</v>
      </c>
      <c r="AA25" s="12">
        <f si="13" t="shared"/>
        <v>3.4532962277482621E-2</v>
      </c>
      <c r="AB25" s="12">
        <f si="13" t="shared"/>
        <v>-3.8694131174453195E-2</v>
      </c>
      <c r="AC25" s="12">
        <f si="13" t="shared"/>
        <v>-1.9346609536349757E-2</v>
      </c>
      <c r="AD25" s="12">
        <f si="13" t="shared"/>
        <v>-7.1392346991581257E-2</v>
      </c>
      <c r="AE25" s="12">
        <f si="13" t="shared"/>
        <v>-9.6246472631900115E-4</v>
      </c>
      <c r="AF25" s="12"/>
      <c r="AG25" s="12">
        <f si="14" t="shared"/>
        <v>-2.7723525621695499E-2</v>
      </c>
      <c r="AH25" s="12" t="e">
        <f si="15" t="shared"/>
        <v>#DIV/0!</v>
      </c>
      <c r="AI25" s="12">
        <f si="16" t="shared"/>
        <v>-5.4621062351893068E-3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0.11643140156501741</v>
      </c>
      <c r="O26" s="12">
        <f si="26" t="shared"/>
        <v>0.10102299623225573</v>
      </c>
      <c r="P26" s="12">
        <f si="26" t="shared"/>
        <v>0.10267614738202974</v>
      </c>
      <c r="Q26" s="12">
        <f si="26" t="shared"/>
        <v>6.4137947730931719E-2</v>
      </c>
      <c r="R26" s="12">
        <f si="26" t="shared"/>
        <v>0.13496960144111686</v>
      </c>
      <c r="S26" s="12">
        <f si="26" t="shared"/>
        <v>6.5915273999222701E-2</v>
      </c>
      <c r="T26" s="12"/>
      <c r="U26" s="12">
        <f si="26" t="shared"/>
        <v>7.6448266719692445E-2</v>
      </c>
      <c r="V26" s="12" t="e">
        <f si="26" t="shared"/>
        <v>#DIV/0!</v>
      </c>
      <c r="W26" s="12">
        <f si="26" t="shared"/>
        <v>0.10189888334603119</v>
      </c>
      <c r="X26"/>
      <c r="Y26" s="3" t="s">
        <v>129</v>
      </c>
      <c r="Z26" s="12">
        <f si="13" t="shared"/>
        <v>-1.4120081641550458E-2</v>
      </c>
      <c r="AA26" s="12">
        <f si="13" t="shared"/>
        <v>1.0825128102359832E-2</v>
      </c>
      <c r="AB26" s="12">
        <f si="13" t="shared"/>
        <v>-2.913287290384689E-3</v>
      </c>
      <c r="AC26" s="12">
        <f si="13" t="shared"/>
        <v>-3.7610731198895644E-2</v>
      </c>
      <c r="AD26" s="12">
        <f si="13" t="shared"/>
        <v>5.8564203215548852E-2</v>
      </c>
      <c r="AE26" s="12">
        <f si="13" t="shared"/>
        <v>-3.7534689160412735E-2</v>
      </c>
      <c r="AF26" s="12"/>
      <c r="AG26" s="12">
        <f si="14" t="shared"/>
        <v>-8.6498495375448986E-3</v>
      </c>
      <c r="AH26" s="12" t="e">
        <f si="15" t="shared"/>
        <v>#DIV/0!</v>
      </c>
      <c r="AI26" s="12">
        <f si="16" t="shared"/>
        <v>-1.246707096574963E-2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8.40035746201966E-2</v>
      </c>
      <c r="O27" s="12">
        <f si="28" t="shared"/>
        <v>8.0382310242954544E-2</v>
      </c>
      <c r="P27" s="12">
        <f si="28" t="shared"/>
        <v>8.2617970265029095E-2</v>
      </c>
      <c r="Q27" s="12">
        <f si="28" t="shared"/>
        <v>9.14285022575686E-2</v>
      </c>
      <c r="R27" s="12">
        <f si="28" t="shared"/>
        <v>7.7640171132627792E-2</v>
      </c>
      <c r="S27" s="12">
        <f si="28" t="shared"/>
        <v>0.24143023707734163</v>
      </c>
      <c r="T27" s="12"/>
      <c r="U27" s="12">
        <f si="28" t="shared"/>
        <v>0.33357360641611983</v>
      </c>
      <c r="V27" s="12" t="e">
        <f si="28" t="shared"/>
        <v>#DIV/0!</v>
      </c>
      <c r="W27" s="12">
        <f si="28" t="shared"/>
        <v>0.10935551033223999</v>
      </c>
      <c r="X27"/>
      <c r="Y27" s="3" t="s">
        <v>130</v>
      </c>
      <c r="Z27" s="12">
        <f si="13" t="shared"/>
        <v>1.6386697549913426E-3</v>
      </c>
      <c r="AA27" s="12">
        <f si="13" t="shared"/>
        <v>-8.2154279528585672E-3</v>
      </c>
      <c r="AB27" s="12">
        <f si="13" t="shared"/>
        <v>-1.4429868992096515E-2</v>
      </c>
      <c r="AC27" s="12">
        <f si="13" t="shared"/>
        <v>-1.6527935401780103E-2</v>
      </c>
      <c r="AD27" s="12">
        <f si="13" t="shared"/>
        <v>-5.1815484489542749E-2</v>
      </c>
      <c r="AE27" s="12">
        <f si="13" t="shared"/>
        <v>-8.3654111334206582E-2</v>
      </c>
      <c r="AF27" s="12"/>
      <c r="AG27" s="12">
        <f si="14" t="shared"/>
        <v>7.2498744344019872E-2</v>
      </c>
      <c r="AH27" s="12" t="e">
        <f si="15" t="shared"/>
        <v>#DIV/0!</v>
      </c>
      <c r="AI27" s="12">
        <f si="16" t="shared"/>
        <v>-2.1471094796308293E-3</v>
      </c>
    </row>
    <row ht="13.5" r="28" spans="1:35" thickBot="1" x14ac:dyDescent="0.25">
      <c r="A28" s="10" t="s">
        <v>220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220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220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273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295</v>
      </c>
      <c r="C36" s="6" t="s">
        <v>296</v>
      </c>
      <c r="D36" s="6" t="s">
        <v>297</v>
      </c>
      <c r="E36" s="6" t="s">
        <v>300</v>
      </c>
      <c r="F36" s="6" t="s">
        <v>172</v>
      </c>
      <c r="G36" s="6" t="s">
        <v>220</v>
      </c>
      <c r="H36" s="89"/>
      <c r="I36"/>
      <c r="L36"/>
      <c r="M36" s="5" t="s">
        <v>144</v>
      </c>
      <c r="N36" s="6" t="s">
        <v>295</v>
      </c>
      <c r="O36" s="6" t="s">
        <v>296</v>
      </c>
      <c r="P36" s="6" t="s">
        <v>297</v>
      </c>
      <c r="Q36" s="6" t="s">
        <v>300</v>
      </c>
      <c r="R36" s="6" t="s">
        <v>172</v>
      </c>
      <c r="S36" s="6" t="s">
        <v>220</v>
      </c>
      <c r="T36" s="89"/>
      <c r="X36"/>
      <c r="Y36" s="5" t="s">
        <v>144</v>
      </c>
      <c r="Z36" s="6" t="s">
        <v>295</v>
      </c>
      <c r="AA36" s="6" t="s">
        <v>296</v>
      </c>
      <c r="AB36" s="6" t="s">
        <v>297</v>
      </c>
      <c r="AC36" s="6" t="s">
        <v>300</v>
      </c>
      <c r="AD36" s="6" t="s">
        <v>172</v>
      </c>
      <c r="AE36" s="6" t="s">
        <v>220</v>
      </c>
      <c r="AF36" s="89"/>
      <c r="AG36"/>
    </row>
    <row r="37" spans="1:33" x14ac:dyDescent="0.2">
      <c r="A37" s="3" t="s">
        <v>210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210</v>
      </c>
      <c r="N37" s="7">
        <f>output!B232</f>
        <v>2207</v>
      </c>
      <c r="O37" s="7">
        <f>output!C232</f>
        <v>23905</v>
      </c>
      <c r="P37" s="7">
        <f>output!D232</f>
        <v>24351</v>
      </c>
      <c r="Q37" s="7">
        <f>output!E232</f>
        <v>70722</v>
      </c>
      <c r="R37" s="7"/>
      <c r="S37" s="7">
        <f>SUM(N37:Q37)</f>
        <v>121185</v>
      </c>
      <c r="T37" s="7"/>
      <c r="X37"/>
      <c r="Y37" s="3" t="s">
        <v>210</v>
      </c>
      <c r="Z37" s="7">
        <f ref="Z37:AD44" si="31" t="shared">N37-B37</f>
        <v>838.74772461545808</v>
      </c>
      <c r="AA37" s="7">
        <f si="31" t="shared"/>
        <v>-14559.942658926564</v>
      </c>
      <c r="AB37" s="7">
        <f si="31" t="shared"/>
        <v>1016.8996175268767</v>
      </c>
      <c r="AC37" s="7">
        <f si="31" t="shared"/>
        <v>19396.717775181743</v>
      </c>
      <c r="AD37" s="7">
        <f si="31" t="shared"/>
        <v>0</v>
      </c>
      <c r="AE37" s="7">
        <f ref="AE37:AE44" si="32" t="shared">S37-G37</f>
        <v>6692.4224583975156</v>
      </c>
      <c r="AF37" s="7"/>
      <c r="AG37"/>
    </row>
    <row r="38" spans="1:33" x14ac:dyDescent="0.2">
      <c r="A38" s="3" t="s">
        <v>211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211</v>
      </c>
      <c r="N38" s="7">
        <f>output!B233</f>
        <v>649</v>
      </c>
      <c r="O38" s="7">
        <f>output!C233</f>
        <v>3149</v>
      </c>
      <c r="P38" s="7">
        <f>output!D233</f>
        <v>2523</v>
      </c>
      <c r="Q38" s="7">
        <f>output!E233</f>
        <v>7692</v>
      </c>
      <c r="R38" s="7"/>
      <c r="S38" s="7">
        <f ref="S38:S43" si="34" t="shared">SUM(N38:Q38)</f>
        <v>14013</v>
      </c>
      <c r="T38" s="7"/>
      <c r="X38"/>
      <c r="Y38" s="3" t="s">
        <v>211</v>
      </c>
      <c r="Z38" s="7">
        <f si="31" t="shared"/>
        <v>326.17446312861711</v>
      </c>
      <c r="AA38" s="7">
        <f si="31" t="shared"/>
        <v>183.48361706543528</v>
      </c>
      <c r="AB38" s="7">
        <f si="31" t="shared"/>
        <v>-1733.2325681526136</v>
      </c>
      <c r="AC38" s="7">
        <f si="31" t="shared"/>
        <v>696.48707295157692</v>
      </c>
      <c r="AD38" s="7">
        <f si="31" t="shared"/>
        <v>0</v>
      </c>
      <c r="AE38" s="7">
        <f si="32" t="shared"/>
        <v>-527.08741500698488</v>
      </c>
      <c r="AF38" s="7"/>
      <c r="AG38"/>
    </row>
    <row r="39" spans="1:33" x14ac:dyDescent="0.2">
      <c r="A39" s="3" t="s">
        <v>212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212</v>
      </c>
      <c r="N39" s="7">
        <f>output!B234</f>
        <v>8658</v>
      </c>
      <c r="O39" s="7">
        <f>output!C234</f>
        <v>41040</v>
      </c>
      <c r="P39" s="7">
        <f>output!D234</f>
        <v>37469</v>
      </c>
      <c r="Q39" s="7">
        <f>output!E234</f>
        <v>117820</v>
      </c>
      <c r="R39" s="7"/>
      <c r="S39" s="7">
        <f si="34" t="shared"/>
        <v>204987</v>
      </c>
      <c r="T39" s="7"/>
      <c r="X39"/>
      <c r="Y39" s="3" t="s">
        <v>212</v>
      </c>
      <c r="Z39" s="7">
        <f si="31" t="shared"/>
        <v>1282.6311460795559</v>
      </c>
      <c r="AA39" s="7">
        <f si="31" t="shared"/>
        <v>-2306.6735406502485</v>
      </c>
      <c r="AB39" s="7">
        <f si="31" t="shared"/>
        <v>-1468.5255031849374</v>
      </c>
      <c r="AC39" s="7">
        <f si="31" t="shared"/>
        <v>20792.77045509679</v>
      </c>
      <c r="AD39" s="7">
        <f si="31" t="shared"/>
        <v>0</v>
      </c>
      <c r="AE39" s="7">
        <f si="32" t="shared"/>
        <v>18300.202557341167</v>
      </c>
      <c r="AF39" s="7"/>
      <c r="AG39"/>
    </row>
    <row r="40" spans="1:33" x14ac:dyDescent="0.2">
      <c r="A40" s="3" t="s">
        <v>213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213</v>
      </c>
      <c r="N40" s="7">
        <f>output!B235</f>
        <v>25125</v>
      </c>
      <c r="O40" s="7">
        <f>output!C235</f>
        <v>103659</v>
      </c>
      <c r="P40" s="7">
        <f>output!D235</f>
        <v>78164</v>
      </c>
      <c r="Q40" s="7">
        <f>output!E235</f>
        <v>197585</v>
      </c>
      <c r="R40" s="7"/>
      <c r="S40" s="7">
        <f si="34" t="shared"/>
        <v>404533</v>
      </c>
      <c r="T40" s="7"/>
      <c r="X40"/>
      <c r="Y40" s="3" t="s">
        <v>213</v>
      </c>
      <c r="Z40" s="7">
        <f si="31" t="shared"/>
        <v>17163.167773312562</v>
      </c>
      <c r="AA40" s="7">
        <f si="31" t="shared"/>
        <v>-12075.317684241731</v>
      </c>
      <c r="AB40" s="7">
        <f si="31" t="shared"/>
        <v>-11726.865671103267</v>
      </c>
      <c r="AC40" s="7">
        <f si="31" t="shared"/>
        <v>54156.255708526878</v>
      </c>
      <c r="AD40" s="7">
        <f si="31" t="shared"/>
        <v>0</v>
      </c>
      <c r="AE40" s="7">
        <f si="32" t="shared"/>
        <v>47517.240126494435</v>
      </c>
      <c r="AF40" s="7"/>
      <c r="AG40"/>
    </row>
    <row r="41" spans="1:33" x14ac:dyDescent="0.2">
      <c r="A41" s="3" t="s">
        <v>214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214</v>
      </c>
      <c r="N41" s="7">
        <f>output!B236</f>
        <v>18267</v>
      </c>
      <c r="O41" s="7">
        <f>output!C236</f>
        <v>70180</v>
      </c>
      <c r="P41" s="7">
        <f>output!D236</f>
        <v>50904</v>
      </c>
      <c r="Q41" s="7">
        <f>output!E236</f>
        <v>123145</v>
      </c>
      <c r="R41" s="7"/>
      <c r="S41" s="7">
        <f si="34" t="shared"/>
        <v>262496</v>
      </c>
      <c r="T41" s="7"/>
      <c r="X41"/>
      <c r="Y41" s="3" t="s">
        <v>214</v>
      </c>
      <c r="Z41" s="7">
        <f si="31" t="shared"/>
        <v>11643.782897694065</v>
      </c>
      <c r="AA41" s="7">
        <f si="31" t="shared"/>
        <v>-13566.430681280079</v>
      </c>
      <c r="AB41" s="7">
        <f si="31" t="shared"/>
        <v>-11712.774534045107</v>
      </c>
      <c r="AC41" s="7">
        <f si="31" t="shared"/>
        <v>27343.963650342674</v>
      </c>
      <c r="AD41" s="7">
        <f si="31" t="shared"/>
        <v>0</v>
      </c>
      <c r="AE41" s="7">
        <f si="32" t="shared"/>
        <v>13708.541332711524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6100</v>
      </c>
      <c r="O42" s="7">
        <f>output!C237</f>
        <v>29184</v>
      </c>
      <c r="P42" s="7">
        <f>output!D237</f>
        <v>26722</v>
      </c>
      <c r="Q42" s="7">
        <f>output!E237</f>
        <v>68115</v>
      </c>
      <c r="R42" s="7"/>
      <c r="S42" s="7">
        <f si="34" t="shared"/>
        <v>130121</v>
      </c>
      <c r="T42" s="7"/>
      <c r="X42"/>
      <c r="Y42" s="3" t="s">
        <v>129</v>
      </c>
      <c r="Z42" s="7">
        <f si="31" t="shared"/>
        <v>5004.6710413369183</v>
      </c>
      <c r="AA42" s="7">
        <f si="31" t="shared"/>
        <v>-8798.0134402189069</v>
      </c>
      <c r="AB42" s="7">
        <f si="31" t="shared"/>
        <v>-2135.5522431535937</v>
      </c>
      <c r="AC42" s="7">
        <f si="31" t="shared"/>
        <v>2943.5231401785204</v>
      </c>
      <c r="AD42" s="7">
        <f si="31" t="shared"/>
        <v>0</v>
      </c>
      <c r="AE42" s="7">
        <f si="32" t="shared"/>
        <v>-2985.3715018570656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6250</v>
      </c>
      <c r="O43" s="9">
        <f>output!C238</f>
        <v>29220</v>
      </c>
      <c r="P43" s="9">
        <f>output!D238</f>
        <v>26457</v>
      </c>
      <c r="Q43" s="9">
        <f>output!E238</f>
        <v>77719</v>
      </c>
      <c r="R43" s="9"/>
      <c r="S43" s="9">
        <f si="34" t="shared"/>
        <v>139646</v>
      </c>
      <c r="T43" s="33"/>
      <c r="X43"/>
      <c r="Y43" s="3" t="s">
        <v>130</v>
      </c>
      <c r="Z43" s="9">
        <f si="31" t="shared"/>
        <v>3721.5977153275808</v>
      </c>
      <c r="AA43" s="9">
        <f si="31" t="shared"/>
        <v>-5679.1324881681285</v>
      </c>
      <c r="AB43" s="9">
        <f si="31" t="shared"/>
        <v>-2358.643092842547</v>
      </c>
      <c r="AC43" s="9">
        <f si="31" t="shared"/>
        <v>11999.053669150395</v>
      </c>
      <c r="AD43" s="9">
        <f si="31" t="shared"/>
        <v>0</v>
      </c>
      <c r="AE43" s="9">
        <f si="32" t="shared"/>
        <v>7682.8758034672937</v>
      </c>
      <c r="AF43" s="33"/>
      <c r="AG43"/>
    </row>
    <row ht="13.5" r="44" spans="1:33" thickBot="1" x14ac:dyDescent="0.25">
      <c r="A44" s="10" t="s">
        <v>220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220</v>
      </c>
      <c r="N44" s="11">
        <f>SUM(N37:N43)</f>
        <v>67256</v>
      </c>
      <c r="O44" s="11">
        <f>SUM(O37:O43)</f>
        <v>300337</v>
      </c>
      <c r="P44" s="11">
        <f>SUM(P37:P43)</f>
        <v>246590</v>
      </c>
      <c r="Q44" s="11">
        <f>SUM(Q37:Q43)</f>
        <v>662798</v>
      </c>
      <c r="R44" s="11"/>
      <c r="S44" s="11">
        <f>SUM(S37:S43)</f>
        <v>1276981</v>
      </c>
      <c r="T44" s="33"/>
      <c r="X44"/>
      <c r="Y44" s="10" t="s">
        <v>220</v>
      </c>
      <c r="Z44" s="11">
        <f si="31" t="shared"/>
        <v>39980.772761494765</v>
      </c>
      <c r="AA44" s="11">
        <f si="31" t="shared"/>
        <v>-56802.026876420248</v>
      </c>
      <c r="AB44" s="11">
        <f si="31" t="shared"/>
        <v>-30118.693994955218</v>
      </c>
      <c r="AC44" s="11">
        <f si="31" t="shared"/>
        <v>137328.77147142857</v>
      </c>
      <c r="AD44" s="11">
        <f si="31" t="shared"/>
        <v>0</v>
      </c>
      <c r="AE44" s="11">
        <f si="32" t="shared"/>
        <v>90388.823361548129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101248</v>
      </c>
      <c r="O46" s="33">
        <f>ToursByTourPurpose!O50</f>
        <v>383041</v>
      </c>
      <c r="P46" s="33">
        <f>ToursByTourPurpose!P50</f>
        <v>286869</v>
      </c>
      <c r="Q46" s="33">
        <f>ToursByTourPurpose!Q50</f>
        <v>730913</v>
      </c>
      <c r="R46" s="33" t="e">
        <f>ToursByTourPurpose!#REF!</f>
        <v>#REF!</v>
      </c>
      <c r="S46" s="33">
        <f>ToursByTourPurpose!S50</f>
        <v>1502071</v>
      </c>
      <c r="T46" s="33"/>
      <c r="X46"/>
      <c r="Y46" s="25" t="s">
        <v>88</v>
      </c>
      <c r="Z46" s="7">
        <f ref="Z46:AC47" si="35" t="shared">N46-B46</f>
        <v>52206.564857669233</v>
      </c>
      <c r="AA46" s="7">
        <f si="35" t="shared"/>
        <v>17131.790197783266</v>
      </c>
      <c r="AB46" s="7">
        <f si="35" t="shared"/>
        <v>12875.504374050885</v>
      </c>
      <c r="AC46" s="7">
        <f si="35" t="shared"/>
        <v>241871.08238132839</v>
      </c>
      <c r="AD46" s="7"/>
      <c r="AE46" s="7">
        <f>S46-G46</f>
        <v>324084.94181083166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0.66426991150442483</v>
      </c>
      <c r="O47" s="38">
        <f si="37" t="shared"/>
        <v>0.78408577671841917</v>
      </c>
      <c r="P47" s="38">
        <f si="37" t="shared"/>
        <v>0.85959096312254024</v>
      </c>
      <c r="Q47" s="38">
        <f si="37" t="shared"/>
        <v>0.90680833423403329</v>
      </c>
      <c r="R47" s="38" t="e">
        <f si="37" t="shared"/>
        <v>#REF!</v>
      </c>
      <c r="S47" s="38">
        <f si="37" t="shared"/>
        <v>0.85014689718395464</v>
      </c>
      <c r="T47" s="38"/>
      <c r="X47"/>
      <c r="Y47" s="25" t="s">
        <v>90</v>
      </c>
      <c r="Z47" s="38">
        <f si="35" t="shared"/>
        <v>0.10810292415290124</v>
      </c>
      <c r="AA47" s="38">
        <f si="35" t="shared"/>
        <v>-0.19194602928466831</v>
      </c>
      <c r="AB47" s="38">
        <f si="35" t="shared"/>
        <v>-0.15031875521877702</v>
      </c>
      <c r="AC47" s="38">
        <f si="35" t="shared"/>
        <v>-0.16767875899363538</v>
      </c>
      <c r="AD47" s="38"/>
      <c r="AE47" s="38">
        <f>S47-G47</f>
        <v>-0.15715889254883131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274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295</v>
      </c>
      <c r="C52" s="6" t="s">
        <v>296</v>
      </c>
      <c r="D52" s="6" t="s">
        <v>297</v>
      </c>
      <c r="E52" s="6" t="s">
        <v>300</v>
      </c>
      <c r="F52" s="6" t="s">
        <v>172</v>
      </c>
      <c r="G52" s="6" t="s">
        <v>220</v>
      </c>
      <c r="H52" s="89"/>
      <c r="I52"/>
      <c r="L52"/>
      <c r="M52" s="5" t="s">
        <v>144</v>
      </c>
      <c r="N52" s="6" t="s">
        <v>295</v>
      </c>
      <c r="O52" s="6" t="s">
        <v>296</v>
      </c>
      <c r="P52" s="6" t="s">
        <v>297</v>
      </c>
      <c r="Q52" s="6" t="s">
        <v>300</v>
      </c>
      <c r="R52" s="6" t="s">
        <v>172</v>
      </c>
      <c r="S52" s="6" t="s">
        <v>220</v>
      </c>
      <c r="T52" s="89"/>
      <c r="X52"/>
      <c r="Y52" s="5" t="s">
        <v>144</v>
      </c>
      <c r="Z52" s="6" t="s">
        <v>295</v>
      </c>
      <c r="AA52" s="6" t="s">
        <v>296</v>
      </c>
      <c r="AB52" s="6" t="s">
        <v>297</v>
      </c>
      <c r="AC52" s="6" t="s">
        <v>300</v>
      </c>
      <c r="AD52" s="6" t="s">
        <v>172</v>
      </c>
      <c r="AE52" s="6" t="s">
        <v>220</v>
      </c>
      <c r="AF52" s="89"/>
      <c r="AG52"/>
    </row>
    <row r="53" spans="1:41" x14ac:dyDescent="0.2">
      <c r="A53" s="3" t="s">
        <v>210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210</v>
      </c>
      <c r="N53" s="12">
        <f ref="N53:Q60" si="39" t="shared">N37/N$44</f>
        <v>3.281491614131081E-2</v>
      </c>
      <c r="O53" s="12">
        <f si="39" t="shared"/>
        <v>7.9593922826691352E-2</v>
      </c>
      <c r="P53" s="12">
        <f si="39" t="shared"/>
        <v>9.8750963137191283E-2</v>
      </c>
      <c r="Q53" s="12">
        <f si="39" t="shared"/>
        <v>0.10670219282496327</v>
      </c>
      <c r="R53" s="12" t="e">
        <f ref="R53:S60" si="40" t="shared">R37/R$44</f>
        <v>#DIV/0!</v>
      </c>
      <c r="S53" s="12">
        <f si="40" t="shared"/>
        <v>9.4899610879096874E-2</v>
      </c>
      <c r="T53" s="12"/>
      <c r="X53"/>
      <c r="Y53" s="3" t="s">
        <v>210</v>
      </c>
      <c r="Z53" s="12">
        <f ref="Z53:AC60" si="41" t="shared">N53-B53</f>
        <v>-1.7349735592660447E-2</v>
      </c>
      <c r="AA53" s="12">
        <f si="41" t="shared"/>
        <v>-2.8109071705565342E-2</v>
      </c>
      <c r="AB53" s="12">
        <f si="41" t="shared"/>
        <v>1.4423651097987572E-2</v>
      </c>
      <c r="AC53" s="12">
        <f si="41" t="shared"/>
        <v>9.0270494706316401E-3</v>
      </c>
      <c r="AD53" s="12"/>
      <c r="AE53" s="12">
        <f ref="AE53:AE60" si="42" t="shared">S53-G53</f>
        <v>-1.5889551132674401E-3</v>
      </c>
      <c r="AF53" s="12"/>
      <c r="AG53"/>
    </row>
    <row r="54" spans="1:41" x14ac:dyDescent="0.2">
      <c r="A54" s="3" t="s">
        <v>211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211</v>
      </c>
      <c r="N54" s="12">
        <f si="39" t="shared"/>
        <v>9.6496966813369809E-3</v>
      </c>
      <c r="O54" s="12">
        <f si="39" t="shared"/>
        <v>1.048488864175909E-2</v>
      </c>
      <c r="P54" s="12">
        <f si="39" t="shared"/>
        <v>1.0231558457358368E-2</v>
      </c>
      <c r="Q54" s="12">
        <f si="39" t="shared"/>
        <v>1.1605345821803928E-2</v>
      </c>
      <c r="R54" s="12" t="e">
        <f si="40" t="shared"/>
        <v>#DIV/0!</v>
      </c>
      <c r="S54" s="12">
        <f si="40" t="shared"/>
        <v>1.0973538369012539E-2</v>
      </c>
      <c r="T54" s="12"/>
      <c r="X54"/>
      <c r="Y54" s="3" t="s">
        <v>211</v>
      </c>
      <c r="Z54" s="12">
        <f si="41" t="shared"/>
        <v>-2.1861547324191852E-3</v>
      </c>
      <c r="AA54" s="12">
        <f si="41" t="shared"/>
        <v>2.1813537162391362E-3</v>
      </c>
      <c r="AB54" s="12">
        <f si="41" t="shared"/>
        <v>-5.1500781175669239E-3</v>
      </c>
      <c r="AC54" s="12">
        <f si="41" t="shared"/>
        <v>-1.7075420643952056E-3</v>
      </c>
      <c r="AD54" s="12"/>
      <c r="AE54" s="12">
        <f si="42" t="shared"/>
        <v>-1.2801134763908463E-3</v>
      </c>
      <c r="AF54" s="12"/>
      <c r="AG54"/>
    </row>
    <row r="55" spans="1:41" x14ac:dyDescent="0.2">
      <c r="A55" s="3" t="s">
        <v>212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212</v>
      </c>
      <c r="N55" s="12">
        <f si="39" t="shared"/>
        <v>0.12873200904008564</v>
      </c>
      <c r="O55" s="12">
        <f si="39" t="shared"/>
        <v>0.13664650043118232</v>
      </c>
      <c r="P55" s="12">
        <f si="39" t="shared"/>
        <v>0.15194857861227137</v>
      </c>
      <c r="Q55" s="12">
        <f si="39" t="shared"/>
        <v>0.17776155027625309</v>
      </c>
      <c r="R55" s="12" t="e">
        <f si="40" t="shared"/>
        <v>#DIV/0!</v>
      </c>
      <c r="S55" s="12">
        <f si="40" t="shared"/>
        <v>0.1605247063190447</v>
      </c>
      <c r="T55" s="12"/>
      <c r="X55"/>
      <c r="Y55" s="3" t="s">
        <v>212</v>
      </c>
      <c r="Z55" s="12">
        <f si="41" t="shared"/>
        <v>-0.14167339544755947</v>
      </c>
      <c r="AA55" s="12">
        <f si="41" t="shared"/>
        <v>1.5274512833620288E-2</v>
      </c>
      <c r="AB55" s="12">
        <f si="41" t="shared"/>
        <v>1.1231910331892664E-2</v>
      </c>
      <c r="AC55" s="12">
        <f si="41" t="shared"/>
        <v>-6.8871870372536059E-3</v>
      </c>
      <c r="AD55" s="12"/>
      <c r="AE55" s="12">
        <f si="42" t="shared"/>
        <v>3.1944953854685931E-3</v>
      </c>
      <c r="AF55" s="12"/>
      <c r="AG55"/>
    </row>
    <row r="56" spans="1:41" x14ac:dyDescent="0.2">
      <c r="A56" s="3" t="s">
        <v>213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213</v>
      </c>
      <c r="N56" s="12">
        <f si="39" t="shared"/>
        <v>0.37357261805638159</v>
      </c>
      <c r="O56" s="12">
        <f si="39" t="shared"/>
        <v>0.34514229016071946</v>
      </c>
      <c r="P56" s="12">
        <f si="39" t="shared"/>
        <v>0.31697960176811713</v>
      </c>
      <c r="Q56" s="12">
        <f si="39" t="shared"/>
        <v>0.29810741734284052</v>
      </c>
      <c r="R56" s="12" t="e">
        <f si="40" t="shared"/>
        <v>#DIV/0!</v>
      </c>
      <c r="S56" s="12">
        <f si="40" t="shared"/>
        <v>0.31678858181914998</v>
      </c>
      <c r="T56" s="12"/>
      <c r="X56"/>
      <c r="Y56" s="3" t="s">
        <v>213</v>
      </c>
      <c r="Z56" s="12">
        <f si="41" t="shared"/>
        <v>8.1665527528186677E-2</v>
      </c>
      <c r="AA56" s="12">
        <f si="41" t="shared"/>
        <v>2.1082725188311835E-2</v>
      </c>
      <c r="AB56" s="12">
        <f si="41" t="shared"/>
        <v>-7.8777938319723462E-3</v>
      </c>
      <c r="AC56" s="12">
        <f si="41" t="shared"/>
        <v>2.5153766577970971E-2</v>
      </c>
      <c r="AD56" s="12"/>
      <c r="AE56" s="12">
        <f si="42" t="shared"/>
        <v>1.5913717731548371E-2</v>
      </c>
      <c r="AF56" s="12"/>
      <c r="AG56"/>
    </row>
    <row r="57" spans="1:41" x14ac:dyDescent="0.2">
      <c r="A57" s="3" t="s">
        <v>214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214</v>
      </c>
      <c r="N57" s="12">
        <f si="39" t="shared"/>
        <v>0.27160402045914117</v>
      </c>
      <c r="O57" s="12">
        <f si="39" t="shared"/>
        <v>0.23367084308626643</v>
      </c>
      <c r="P57" s="12">
        <f si="39" t="shared"/>
        <v>0.20643172878056693</v>
      </c>
      <c r="Q57" s="12">
        <f si="39" t="shared"/>
        <v>0.18579567228627727</v>
      </c>
      <c r="R57" s="12" t="e">
        <f si="40" t="shared"/>
        <v>#DIV/0!</v>
      </c>
      <c r="S57" s="12">
        <f si="40" t="shared"/>
        <v>0.20555983213532542</v>
      </c>
      <c r="T57" s="12"/>
      <c r="X57"/>
      <c r="Y57" s="3" t="s">
        <v>214</v>
      </c>
      <c r="Z57" s="12">
        <f si="41" t="shared"/>
        <v>2.8774985731403163E-2</v>
      </c>
      <c r="AA57" s="12">
        <f si="41" t="shared"/>
        <v>-8.2167769404753455E-4</v>
      </c>
      <c r="AB57" s="12">
        <f si="41" t="shared"/>
        <v>-1.9859587296356535E-2</v>
      </c>
      <c r="AC57" s="12">
        <f si="41" t="shared"/>
        <v>3.480455431579349E-3</v>
      </c>
      <c r="AD57" s="12"/>
      <c r="AE57" s="12">
        <f si="42" t="shared"/>
        <v>-4.1056819017628865E-3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9.0698227667420001E-2</v>
      </c>
      <c r="O58" s="12">
        <f si="39" t="shared"/>
        <v>9.7170844751062968E-2</v>
      </c>
      <c r="P58" s="12">
        <f si="39" t="shared"/>
        <v>0.10836611379212457</v>
      </c>
      <c r="Q58" s="12">
        <f si="39" t="shared"/>
        <v>0.10276886773949227</v>
      </c>
      <c r="R58" s="12" t="e">
        <f si="40" t="shared"/>
        <v>#DIV/0!</v>
      </c>
      <c r="S58" s="12">
        <f si="40" t="shared"/>
        <v>0.10189736573997576</v>
      </c>
      <c r="T58" s="12"/>
      <c r="X58"/>
      <c r="Y58" s="3" t="s">
        <v>129</v>
      </c>
      <c r="Z58" s="12">
        <f si="41" t="shared"/>
        <v>5.0539846984278582E-2</v>
      </c>
      <c r="AA58" s="12">
        <f si="41" t="shared"/>
        <v>-9.1799334666357313E-3</v>
      </c>
      <c r="AB58" s="12">
        <f si="41" t="shared"/>
        <v>4.0775501531385566E-3</v>
      </c>
      <c r="AC58" s="12">
        <f si="41" t="shared"/>
        <v>-2.1256428741361313E-2</v>
      </c>
      <c r="AD58" s="12"/>
      <c r="AE58" s="12">
        <f si="42" t="shared"/>
        <v>-1.0277966377028283E-2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9.2928511954323778E-2</v>
      </c>
      <c r="O59" s="13">
        <f si="39" t="shared"/>
        <v>9.7290710102318392E-2</v>
      </c>
      <c r="P59" s="13">
        <f si="39" t="shared"/>
        <v>0.10729145545237033</v>
      </c>
      <c r="Q59" s="13">
        <f si="39" t="shared"/>
        <v>0.11725895370836967</v>
      </c>
      <c r="R59" s="13" t="e">
        <f si="40" t="shared"/>
        <v>#DIV/0!</v>
      </c>
      <c r="S59" s="13">
        <f si="40" t="shared"/>
        <v>0.1093563647383947</v>
      </c>
      <c r="T59" s="34"/>
      <c r="X59"/>
      <c r="Y59" s="3" t="s">
        <v>130</v>
      </c>
      <c r="Z59" s="12">
        <f si="41" t="shared"/>
        <v>2.2892552877057382E-4</v>
      </c>
      <c r="AA59" s="12">
        <f si="41" t="shared"/>
        <v>-4.2790887192260818E-4</v>
      </c>
      <c r="AB59" s="12">
        <f si="41" t="shared"/>
        <v>3.1543476628771022E-3</v>
      </c>
      <c r="AC59" s="12">
        <f si="41" t="shared"/>
        <v>-7.8101136371717672E-3</v>
      </c>
      <c r="AD59" s="12"/>
      <c r="AE59" s="12">
        <f si="42" t="shared"/>
        <v>-1.8554962485677479E-3</v>
      </c>
      <c r="AF59" s="12"/>
      <c r="AG59"/>
    </row>
    <row ht="13.5" r="60" spans="1:41" thickBot="1" x14ac:dyDescent="0.25">
      <c r="A60" s="10" t="s">
        <v>220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220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220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220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220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220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210</v>
      </c>
      <c r="N69" s="7">
        <f>output!B242</f>
        <v>576</v>
      </c>
      <c r="O69" s="7">
        <f>output!C242</f>
        <v>18202</v>
      </c>
      <c r="P69" s="7">
        <f>output!D242</f>
        <v>78223</v>
      </c>
      <c r="Q69" s="7">
        <f>output!E242</f>
        <v>24192</v>
      </c>
      <c r="R69" s="7">
        <f>output!F242</f>
        <v>121193</v>
      </c>
      <c r="X69"/>
      <c r="Y69" s="3" t="s">
        <v>210</v>
      </c>
      <c r="Z69" s="7">
        <f ref="Z69:AB76" si="43" t="shared">N69-B69</f>
        <v>188.8506800268247</v>
      </c>
      <c r="AA69" s="7">
        <f si="43" t="shared"/>
        <v>-5924.4646419891069</v>
      </c>
      <c r="AB69" s="7">
        <f si="43" t="shared"/>
        <v>6267.5285336474481</v>
      </c>
      <c r="AC69" s="7">
        <f ref="AC69:AC76" si="44" t="shared">Q69-E69</f>
        <v>-5940.8448098009503</v>
      </c>
      <c r="AD69" s="7">
        <f ref="AD69:AD76" si="45" t="shared">R69-F69</f>
        <v>-5408.9302381157904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211</v>
      </c>
      <c r="N70" s="7">
        <f>output!B243</f>
        <v>107</v>
      </c>
      <c r="O70" s="7">
        <f>output!C243</f>
        <v>3088</v>
      </c>
      <c r="P70" s="7">
        <f>output!D243</f>
        <v>8492</v>
      </c>
      <c r="Q70" s="7">
        <f>output!E243</f>
        <v>2327</v>
      </c>
      <c r="R70" s="7">
        <f>output!F243</f>
        <v>14014</v>
      </c>
      <c r="X70"/>
      <c r="Y70" s="3" t="s">
        <v>211</v>
      </c>
      <c r="Z70" s="7">
        <f si="43" t="shared"/>
        <v>-301.20742389851733</v>
      </c>
      <c r="AA70" s="7">
        <f si="43" t="shared"/>
        <v>-2648.2758362377508</v>
      </c>
      <c r="AB70" s="7">
        <f si="43" t="shared"/>
        <v>783.50442054930591</v>
      </c>
      <c r="AC70" s="7">
        <f si="44" t="shared"/>
        <v>-138.22705305672935</v>
      </c>
      <c r="AD70" s="7">
        <f si="45" t="shared"/>
        <v>-2304.2058926436912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212</v>
      </c>
      <c r="N71" s="7">
        <f>output!B244</f>
        <v>3152</v>
      </c>
      <c r="O71" s="7">
        <f>output!C244</f>
        <v>46251</v>
      </c>
      <c r="P71" s="7">
        <f>output!D244</f>
        <v>123337</v>
      </c>
      <c r="Q71" s="7">
        <f>output!E244</f>
        <v>32257</v>
      </c>
      <c r="R71" s="7">
        <f>output!F244</f>
        <v>204997</v>
      </c>
      <c r="X71"/>
      <c r="Y71" s="3" t="s">
        <v>212</v>
      </c>
      <c r="Z71" s="7">
        <f si="43" t="shared"/>
        <v>2895.2143563134591</v>
      </c>
      <c r="AA71" s="7">
        <f si="43" t="shared"/>
        <v>9539.1453022350834</v>
      </c>
      <c r="AB71" s="7">
        <f si="43" t="shared"/>
        <v>-4339.2696398864209</v>
      </c>
      <c r="AC71" s="7">
        <f si="44" t="shared"/>
        <v>-17425.327270861198</v>
      </c>
      <c r="AD71" s="7">
        <f si="45" t="shared"/>
        <v>-9330.2372521990619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213</v>
      </c>
      <c r="N72" s="7">
        <f>output!B245</f>
        <v>9561</v>
      </c>
      <c r="O72" s="7">
        <f>output!C245</f>
        <v>80188</v>
      </c>
      <c r="P72" s="7">
        <f>output!D245</f>
        <v>246980</v>
      </c>
      <c r="Q72" s="7">
        <f>output!E245</f>
        <v>67851</v>
      </c>
      <c r="R72" s="7">
        <f>output!F245</f>
        <v>404580</v>
      </c>
      <c r="X72"/>
      <c r="Y72" s="3" t="s">
        <v>213</v>
      </c>
      <c r="Z72" s="7">
        <f si="43" t="shared"/>
        <v>3068.1721514974779</v>
      </c>
      <c r="AA72" s="7">
        <f si="43" t="shared"/>
        <v>23043.257753267942</v>
      </c>
      <c r="AB72" s="7">
        <f si="43" t="shared"/>
        <v>1668.3058390352235</v>
      </c>
      <c r="AC72" s="7">
        <f si="44" t="shared"/>
        <v>-29704.432389031615</v>
      </c>
      <c r="AD72" s="7">
        <f si="45" t="shared"/>
        <v>-1924.6966452309862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214</v>
      </c>
      <c r="N73" s="7">
        <f>output!B246</f>
        <v>6752</v>
      </c>
      <c r="O73" s="7">
        <f>output!C246</f>
        <v>52322</v>
      </c>
      <c r="P73" s="7">
        <f>output!D246</f>
        <v>160310</v>
      </c>
      <c r="Q73" s="7">
        <f>output!E246</f>
        <v>43154</v>
      </c>
      <c r="R73" s="7">
        <f>output!F246</f>
        <v>262538</v>
      </c>
      <c r="X73"/>
      <c r="Y73" s="3" t="s">
        <v>214</v>
      </c>
      <c r="Z73" s="7">
        <f si="43" t="shared"/>
        <v>419.72449753952424</v>
      </c>
      <c r="AA73" s="7">
        <f si="43" t="shared"/>
        <v>3312.2878455443861</v>
      </c>
      <c r="AB73" s="7">
        <f si="43" t="shared"/>
        <v>-10217.811380169704</v>
      </c>
      <c r="AC73" s="7">
        <f si="44" t="shared"/>
        <v>-17207.660367153083</v>
      </c>
      <c r="AD73" s="7">
        <f si="45" t="shared"/>
        <v>-23693.459404238849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2200</v>
      </c>
      <c r="O74" s="7">
        <f>output!C247</f>
        <v>22548</v>
      </c>
      <c r="P74" s="7">
        <f>output!D247</f>
        <v>82150</v>
      </c>
      <c r="Q74" s="7">
        <f>output!E247</f>
        <v>23239</v>
      </c>
      <c r="R74" s="7">
        <f>output!F247</f>
        <v>130137</v>
      </c>
      <c r="X74"/>
      <c r="Y74" s="3" t="s">
        <v>129</v>
      </c>
      <c r="Z74" s="7">
        <f si="43" t="shared"/>
        <v>314.71681586524096</v>
      </c>
      <c r="AA74" s="7">
        <f si="43" t="shared"/>
        <v>1404.466923292588</v>
      </c>
      <c r="AB74" s="7">
        <f si="43" t="shared"/>
        <v>-9261.5660778056772</v>
      </c>
      <c r="AC74" s="7">
        <f si="44" t="shared"/>
        <v>-17439.457100344494</v>
      </c>
      <c r="AD74" s="7">
        <f si="45" t="shared"/>
        <v>-24981.839438992349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2116</v>
      </c>
      <c r="O75" s="9">
        <f>output!C248</f>
        <v>27165</v>
      </c>
      <c r="P75" s="9">
        <f>output!D248</f>
        <v>86424</v>
      </c>
      <c r="Q75" s="9">
        <f>output!E248</f>
        <v>23955</v>
      </c>
      <c r="R75" s="9">
        <f>output!F248</f>
        <v>139660</v>
      </c>
      <c r="X75"/>
      <c r="Y75" s="3" t="s">
        <v>130</v>
      </c>
      <c r="Z75" s="9">
        <f si="43" t="shared"/>
        <v>-315.38900755034592</v>
      </c>
      <c r="AA75" s="9">
        <f si="43" t="shared"/>
        <v>7146.1410899395705</v>
      </c>
      <c r="AB75" s="9">
        <f si="43" t="shared"/>
        <v>-2031.9300121562701</v>
      </c>
      <c r="AC75" s="9">
        <f si="44" t="shared"/>
        <v>-16374.013379635791</v>
      </c>
      <c r="AD75" s="9">
        <f si="45" t="shared"/>
        <v>-11575.191309402842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220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220</v>
      </c>
      <c r="N76" s="11">
        <f>SUM(N69:N75)</f>
        <v>24464</v>
      </c>
      <c r="O76" s="11">
        <f>SUM(O69:O75)</f>
        <v>249764</v>
      </c>
      <c r="P76" s="11">
        <f>SUM(P69:P75)</f>
        <v>785916</v>
      </c>
      <c r="Q76" s="11">
        <f>SUM(Q69:Q75)</f>
        <v>216975</v>
      </c>
      <c r="R76" s="11">
        <f>SUM(R69:R75)</f>
        <v>1277119</v>
      </c>
      <c r="X76"/>
      <c r="Y76" s="10" t="s">
        <v>220</v>
      </c>
      <c r="Z76" s="11">
        <f si="43" t="shared"/>
        <v>6270.0820697936651</v>
      </c>
      <c r="AA76" s="11">
        <f si="43" t="shared"/>
        <v>35872.558436052728</v>
      </c>
      <c r="AB76" s="11">
        <f si="43" t="shared"/>
        <v>-17131.238316786126</v>
      </c>
      <c r="AC76" s="11">
        <f si="44" t="shared"/>
        <v>-104229.9623698839</v>
      </c>
      <c r="AD76" s="11">
        <f si="45" t="shared"/>
        <v>-79218.560180823784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46567</v>
      </c>
      <c r="O78" s="53">
        <f>ToursByTourPurpose!O84</f>
        <v>344772</v>
      </c>
      <c r="P78" s="53">
        <f>ToursByTourPurpose!P84</f>
        <v>872165</v>
      </c>
      <c r="Q78" s="53">
        <f>ToursByTourPurpose!Q84</f>
        <v>238726</v>
      </c>
      <c r="R78" s="53">
        <f>ToursByTourPurpose!R84</f>
        <v>1502230</v>
      </c>
      <c r="X78"/>
      <c r="Y78" s="25" t="s">
        <v>88</v>
      </c>
      <c r="Z78" s="7">
        <f ref="Z78:AD79" si="46" t="shared">N78-B78</f>
        <v>-3142.2615173259182</v>
      </c>
      <c r="AA78" s="7">
        <f si="46" t="shared"/>
        <v>81987.96811901714</v>
      </c>
      <c r="AB78" s="7">
        <f si="46" t="shared"/>
        <v>92213.961890724371</v>
      </c>
      <c r="AC78" s="7">
        <f si="46" t="shared"/>
        <v>-38034.668492415512</v>
      </c>
      <c r="AD78" s="7">
        <f si="46" t="shared"/>
        <v>133025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0.52535057014624087</v>
      </c>
      <c r="O79" s="38">
        <f>O76/O78</f>
        <v>0.72443237849941411</v>
      </c>
      <c r="P79" s="38">
        <f>P76/P78</f>
        <v>0.90110930844507631</v>
      </c>
      <c r="Q79" s="38">
        <f>Q76/Q78</f>
        <v>0.90888717609309422</v>
      </c>
      <c r="R79" s="38">
        <f>R76/R78</f>
        <v>0.85014877881549433</v>
      </c>
      <c r="X79"/>
      <c r="Y79" s="25" t="s">
        <v>90</v>
      </c>
      <c r="Z79" s="38">
        <f si="46" t="shared"/>
        <v>0.15934396745581597</v>
      </c>
      <c r="AA79" s="38">
        <f si="46" t="shared"/>
        <v>-8.9511452230835675E-2</v>
      </c>
      <c r="AB79" s="38">
        <f si="46" t="shared"/>
        <v>-0.12850306345906182</v>
      </c>
      <c r="AC79" s="38">
        <f si="46" t="shared"/>
        <v>-0.25170028786834064</v>
      </c>
      <c r="AD79" s="38">
        <f si="46" t="shared"/>
        <v>-0.14045347590956425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257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220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220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220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210</v>
      </c>
      <c r="N85" s="12">
        <f ref="N85:R92" si="48" t="shared">N69/N$76</f>
        <v>2.354480052321779E-2</v>
      </c>
      <c r="O85" s="12">
        <f si="48" t="shared"/>
        <v>7.2876795695136207E-2</v>
      </c>
      <c r="P85" s="12">
        <f si="48" t="shared"/>
        <v>9.9530993134126292E-2</v>
      </c>
      <c r="Q85" s="12">
        <f si="48" t="shared"/>
        <v>0.11149671621154511</v>
      </c>
      <c r="R85" s="12">
        <f si="48" t="shared"/>
        <v>9.4895620533403696E-2</v>
      </c>
      <c r="X85"/>
      <c r="Y85" s="3" t="s">
        <v>210</v>
      </c>
      <c r="Z85" s="12">
        <f ref="Z85:AB92" si="49" t="shared">N85-B85</f>
        <v>2.2657488391155355E-3</v>
      </c>
      <c r="AA85" s="12">
        <f si="49" t="shared"/>
        <v>-3.9920913580089756E-2</v>
      </c>
      <c r="AB85" s="12">
        <f si="49" t="shared"/>
        <v>9.9279560610225637E-3</v>
      </c>
      <c r="AC85" s="12">
        <f ref="AC85:AC92" si="50" t="shared">Q85-E85</f>
        <v>1.7684825549963604E-2</v>
      </c>
      <c r="AD85" s="12">
        <f ref="AD85:AD92" si="51" t="shared">R85-F85</f>
        <v>1.5546013395995317E-3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211</v>
      </c>
      <c r="N86" s="12">
        <f si="48" t="shared"/>
        <v>4.3737737083060823E-3</v>
      </c>
      <c r="O86" s="12">
        <f si="48" t="shared"/>
        <v>1.2363671305712592E-2</v>
      </c>
      <c r="P86" s="12">
        <f si="48" t="shared"/>
        <v>1.0805226003796844E-2</v>
      </c>
      <c r="Q86" s="12">
        <f si="48" t="shared"/>
        <v>1.0724737873026847E-2</v>
      </c>
      <c r="R86" s="12">
        <f si="48" t="shared"/>
        <v>1.097313562792504E-2</v>
      </c>
      <c r="X86"/>
      <c r="Y86" s="3" t="s">
        <v>211</v>
      </c>
      <c r="Z86" s="12">
        <f si="49" t="shared"/>
        <v>-1.8062703441060059E-2</v>
      </c>
      <c r="AA86" s="12">
        <f si="49" t="shared"/>
        <v>-1.44549605866849E-2</v>
      </c>
      <c r="AB86" s="12">
        <f si="49" t="shared"/>
        <v>1.2061697943415214E-3</v>
      </c>
      <c r="AC86" s="12">
        <f si="50" t="shared"/>
        <v>3.0498033549919276E-3</v>
      </c>
      <c r="AD86" s="12">
        <f si="51" t="shared"/>
        <v>-1.057944518869822E-3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212</v>
      </c>
      <c r="N87" s="12">
        <f si="48" t="shared"/>
        <v>0.12884238064094178</v>
      </c>
      <c r="O87" s="12">
        <f si="48" t="shared"/>
        <v>0.18517880879550294</v>
      </c>
      <c r="P87" s="12">
        <f si="48" t="shared"/>
        <v>0.15693407437945023</v>
      </c>
      <c r="Q87" s="12">
        <f si="48" t="shared"/>
        <v>0.14866689710796174</v>
      </c>
      <c r="R87" s="12">
        <f si="48" t="shared"/>
        <v>0.16051519083186452</v>
      </c>
      <c r="X87"/>
      <c r="Y87" s="3" t="s">
        <v>212</v>
      </c>
      <c r="Z87" s="12">
        <f si="49" t="shared"/>
        <v>0.11472856278864653</v>
      </c>
      <c r="AA87" s="12">
        <f si="49" t="shared"/>
        <v>1.3541017075869549E-2</v>
      </c>
      <c r="AB87" s="12">
        <f si="49" t="shared"/>
        <v>-2.0556631452066654E-3</v>
      </c>
      <c r="AC87" s="12">
        <f si="50" t="shared"/>
        <v>-6.0079463449531079E-3</v>
      </c>
      <c r="AD87" s="12">
        <f si="51" t="shared"/>
        <v>2.4960932676671155E-3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213</v>
      </c>
      <c r="N88" s="12">
        <f si="48" t="shared"/>
        <v>0.39081916285153695</v>
      </c>
      <c r="O88" s="12">
        <f si="48" t="shared"/>
        <v>0.32105507599173622</v>
      </c>
      <c r="P88" s="12">
        <f si="48" t="shared"/>
        <v>0.31425750334641361</v>
      </c>
      <c r="Q88" s="12">
        <f si="48" t="shared"/>
        <v>0.31271344624956793</v>
      </c>
      <c r="R88" s="12">
        <f si="48" t="shared"/>
        <v>0.31679115258640739</v>
      </c>
      <c r="X88"/>
      <c r="Y88" s="3" t="s">
        <v>213</v>
      </c>
      <c r="Z88" s="12">
        <f si="49" t="shared"/>
        <v>3.3951121926561301E-2</v>
      </c>
      <c r="AA88" s="12">
        <f si="49" t="shared"/>
        <v>5.3888041028126166E-2</v>
      </c>
      <c r="AB88" s="12">
        <f si="49" t="shared"/>
        <v>8.7814585309849424E-3</v>
      </c>
      <c r="AC88" s="12">
        <f si="50" t="shared"/>
        <v>8.9963689377561828E-3</v>
      </c>
      <c r="AD88" s="12">
        <f si="51" t="shared"/>
        <v>1.7083536592173099E-2</v>
      </c>
    </row>
    <row r="89" spans="1:41" x14ac:dyDescent="0.2">
      <c r="A89" s="3" t="s">
        <v>214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214</v>
      </c>
      <c r="N89" s="12">
        <f si="48" t="shared"/>
        <v>0.275997383911053</v>
      </c>
      <c r="O89" s="12">
        <f si="48" t="shared"/>
        <v>0.20948575455229737</v>
      </c>
      <c r="P89" s="12">
        <f si="48" t="shared"/>
        <v>0.20397854223606593</v>
      </c>
      <c r="Q89" s="12">
        <f si="48" t="shared"/>
        <v>0.19888927295771403</v>
      </c>
      <c r="R89" s="12">
        <f si="48" t="shared"/>
        <v>0.20557050674212818</v>
      </c>
      <c r="X89"/>
      <c r="Y89" s="3" t="s">
        <v>214</v>
      </c>
      <c r="Z89" s="12">
        <f si="49" t="shared"/>
        <v>-7.2046150568530198E-2</v>
      </c>
      <c r="AA89" s="12">
        <f si="49" t="shared"/>
        <v>-1.9647827399849827E-2</v>
      </c>
      <c r="AB89" s="12">
        <f si="49" t="shared"/>
        <v>-8.3723672043322372E-3</v>
      </c>
      <c r="AC89" s="12">
        <f si="50" t="shared"/>
        <v>1.0966708119990398E-2</v>
      </c>
      <c r="AD89" s="12">
        <f si="51" t="shared"/>
        <v>-5.4621062351893068E-3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8.9928057553956831E-2</v>
      </c>
      <c r="O90" s="12">
        <f si="48" t="shared"/>
        <v>9.0277221697282237E-2</v>
      </c>
      <c r="P90" s="12">
        <f si="48" t="shared"/>
        <v>0.1045277103405453</v>
      </c>
      <c r="Q90" s="12">
        <f si="48" t="shared"/>
        <v>0.10710450512731881</v>
      </c>
      <c r="R90" s="12">
        <f si="48" t="shared"/>
        <v>0.10189888334603119</v>
      </c>
      <c r="X90"/>
      <c r="Y90" s="3" t="s">
        <v>129</v>
      </c>
      <c r="Z90" s="12">
        <f si="49" t="shared"/>
        <v>-1.3693558821740337E-2</v>
      </c>
      <c r="AA90" s="12">
        <f si="49" t="shared"/>
        <v>-8.5744804657803125E-3</v>
      </c>
      <c r="AB90" s="12">
        <f si="49" t="shared"/>
        <v>-9.3031600194691116E-3</v>
      </c>
      <c r="AC90" s="12">
        <f si="50" t="shared"/>
        <v>-1.9538797019119314E-2</v>
      </c>
      <c r="AD90" s="12">
        <f si="51" t="shared"/>
        <v>-1.246707096574963E-2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8.6494440810987575E-2</v>
      </c>
      <c r="O91" s="13">
        <f si="48" t="shared"/>
        <v>0.10876267196233244</v>
      </c>
      <c r="P91" s="13">
        <f si="48" t="shared"/>
        <v>0.10996595055960179</v>
      </c>
      <c r="Q91" s="13">
        <f si="48" t="shared"/>
        <v>0.11040442447286554</v>
      </c>
      <c r="R91" s="13">
        <f si="48" t="shared"/>
        <v>0.10935551033223999</v>
      </c>
      <c r="X91"/>
      <c r="Y91" s="3" t="s">
        <v>130</v>
      </c>
      <c r="Z91" s="12">
        <f si="49" t="shared"/>
        <v>-4.7143020722992854E-2</v>
      </c>
      <c r="AA91" s="12">
        <f si="49" t="shared"/>
        <v>1.5169123928408995E-2</v>
      </c>
      <c r="AB91" s="12">
        <f si="49" t="shared"/>
        <v>-1.8439401734098027E-4</v>
      </c>
      <c r="AC91" s="12">
        <f si="50" t="shared"/>
        <v>-1.5150962598629567E-2</v>
      </c>
      <c r="AD91" s="12">
        <f si="51" t="shared"/>
        <v>-2.1471094796308293E-3</v>
      </c>
    </row>
    <row ht="13.5" r="92" spans="1:41" thickBot="1" x14ac:dyDescent="0.25">
      <c r="A92" s="10" t="s">
        <v>220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220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220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6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6" x14ac:dyDescent="0.2">
      <c r="A98" s="2" t="s">
        <v>306</v>
      </c>
      <c r="F98" s="25"/>
      <c r="G98" s="25"/>
      <c r="H98" s="25"/>
      <c r="I98" s="25"/>
      <c r="J98" s="25"/>
      <c r="K98" s="25"/>
      <c r="L98"/>
      <c r="M98" s="2" t="s">
        <v>307</v>
      </c>
      <c r="R98" s="25"/>
      <c r="S98" s="25"/>
      <c r="T98" s="25"/>
      <c r="U98" s="25"/>
      <c r="V98" s="25"/>
      <c r="W98" s="25"/>
      <c r="X98"/>
      <c r="Y98" s="2" t="s">
        <v>308</v>
      </c>
      <c r="AD98" s="25"/>
      <c r="AE98" s="25"/>
      <c r="AF98" s="25"/>
      <c r="AG98" s="25"/>
      <c r="AH98" s="25"/>
    </row>
    <row ht="13.5" r="99" spans="1:36" thickBot="1" x14ac:dyDescent="0.25">
      <c r="B99" s="15"/>
      <c r="C99" s="15"/>
      <c r="D99" s="15"/>
      <c r="E99" s="15"/>
      <c r="F99" s="15"/>
      <c r="G99" s="25"/>
      <c r="H99" s="25"/>
      <c r="I99" s="15"/>
      <c r="J99" s="15"/>
      <c r="K99" s="1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6" x14ac:dyDescent="0.2">
      <c r="A100" s="5" t="s">
        <v>144</v>
      </c>
      <c r="B100" s="159">
        <v>1</v>
      </c>
      <c r="C100" s="159">
        <v>2</v>
      </c>
      <c r="D100" s="159">
        <v>3</v>
      </c>
      <c r="E100" s="159">
        <v>4</v>
      </c>
      <c r="F100" s="159">
        <v>5</v>
      </c>
      <c r="G100" s="159">
        <v>6</v>
      </c>
      <c r="H100" s="6">
        <v>7</v>
      </c>
      <c r="I100" s="151">
        <v>8</v>
      </c>
      <c r="J100" s="32">
        <v>9</v>
      </c>
      <c r="K100" s="151">
        <v>10</v>
      </c>
      <c r="L100" s="6" t="s">
        <v>220</v>
      </c>
      <c r="M100" s="5" t="s">
        <v>144</v>
      </c>
      <c r="N100" s="6">
        <f>B100</f>
        <v>1</v>
      </c>
      <c r="O100" s="6">
        <f ref="O100:T100" si="53" t="shared">C100</f>
        <v>2</v>
      </c>
      <c r="P100" s="6">
        <f si="53" t="shared"/>
        <v>3</v>
      </c>
      <c r="Q100" s="6">
        <f si="53" t="shared"/>
        <v>4</v>
      </c>
      <c r="R100" s="6">
        <f si="53" t="shared"/>
        <v>5</v>
      </c>
      <c r="S100" s="6">
        <f si="53" t="shared"/>
        <v>6</v>
      </c>
      <c r="T100" s="6">
        <f si="53" t="shared"/>
        <v>7</v>
      </c>
      <c r="U100" s="6">
        <f ref="U100" si="54" t="shared">I100</f>
        <v>8</v>
      </c>
      <c r="V100" s="6">
        <f ref="V100" si="55" t="shared">J100</f>
        <v>9</v>
      </c>
      <c r="W100" s="6">
        <f ref="W100" si="56" t="shared">K100</f>
        <v>10</v>
      </c>
      <c r="X100" s="6" t="s">
        <v>220</v>
      </c>
      <c r="Y100" s="5" t="s">
        <v>144</v>
      </c>
      <c r="Z100" s="6">
        <f>B100</f>
        <v>1</v>
      </c>
      <c r="AA100" s="6">
        <f ref="AA100:AF100" si="57" t="shared">C100</f>
        <v>2</v>
      </c>
      <c r="AB100" s="6">
        <f si="57" t="shared"/>
        <v>3</v>
      </c>
      <c r="AC100" s="6">
        <f si="57" t="shared"/>
        <v>4</v>
      </c>
      <c r="AD100" s="6">
        <f si="57" t="shared"/>
        <v>5</v>
      </c>
      <c r="AE100" s="6">
        <f si="57" t="shared"/>
        <v>6</v>
      </c>
      <c r="AF100" s="6">
        <f si="57" t="shared"/>
        <v>7</v>
      </c>
      <c r="AG100" s="6">
        <f ref="AG100" si="58" t="shared">I100</f>
        <v>8</v>
      </c>
      <c r="AH100" s="6">
        <f ref="AH100" si="59" t="shared">J100</f>
        <v>9</v>
      </c>
      <c r="AI100" s="6">
        <f ref="AI100" si="60" t="shared">K100</f>
        <v>10</v>
      </c>
      <c r="AJ100" s="6" t="s">
        <v>220</v>
      </c>
    </row>
    <row r="101" spans="1:36" x14ac:dyDescent="0.2">
      <c r="A101" s="3" t="s">
        <v>210</v>
      </c>
      <c r="B101" s="7">
        <f>output_NHTS!B252</f>
        <v>66355.022719351633</v>
      </c>
      <c r="C101" s="7">
        <f>output_NHTS!C252</f>
        <v>6156.1201873958398</v>
      </c>
      <c r="D101" s="7">
        <f>output_NHTS!D252</f>
        <v>9341.0906473181876</v>
      </c>
      <c r="E101" s="7">
        <f>output_NHTS!E252</f>
        <v>17774.563919612687</v>
      </c>
      <c r="F101" s="7">
        <f>output_NHTS!F252</f>
        <v>9309.4679169139017</v>
      </c>
      <c r="G101" s="7">
        <f>output_NHTS!G252</f>
        <v>8912.0718014394988</v>
      </c>
      <c r="H101" s="7">
        <f>output_NHTS!H252</f>
        <v>8753.5930460840391</v>
      </c>
      <c r="I101" s="7">
        <f>output_NHTS!I252</f>
        <v>0</v>
      </c>
      <c r="J101" s="7">
        <f>output_NHTS!J252</f>
        <v>0</v>
      </c>
      <c r="K101" s="7">
        <f>output_NHTS!K252</f>
        <v>0</v>
      </c>
      <c r="L101" s="7">
        <f>SUM(B101:K101)</f>
        <v>126601.93023811578</v>
      </c>
      <c r="M101" s="3" t="s">
        <v>210</v>
      </c>
      <c r="N101" s="7">
        <f>output!B252</f>
        <v>50248</v>
      </c>
      <c r="O101" s="7">
        <f>output!C252</f>
        <v>5550</v>
      </c>
      <c r="P101" s="7">
        <f>output!D252</f>
        <v>4749</v>
      </c>
      <c r="Q101" s="7">
        <f>output!E252</f>
        <v>22452</v>
      </c>
      <c r="R101" s="7">
        <f>output!F252</f>
        <v>13078</v>
      </c>
      <c r="S101" s="7">
        <f>output!G252</f>
        <v>15650</v>
      </c>
      <c r="T101" s="7">
        <f>output!H252</f>
        <v>9466</v>
      </c>
      <c r="U101" s="7">
        <f>output!I252</f>
        <v>0</v>
      </c>
      <c r="V101" s="7">
        <f>output!J252</f>
        <v>0</v>
      </c>
      <c r="W101" s="7">
        <f>output!K252</f>
        <v>0</v>
      </c>
      <c r="X101" s="7">
        <f>SUM(N101:W101)</f>
        <v>121193</v>
      </c>
      <c r="Y101" s="3" t="s">
        <v>210</v>
      </c>
      <c r="Z101" s="7">
        <f ref="Z101:AC108" si="61" t="shared">N101-B101</f>
        <v>-16107.022719351633</v>
      </c>
      <c r="AA101" s="7">
        <f si="61" t="shared"/>
        <v>-606.12018739583982</v>
      </c>
      <c r="AB101" s="7">
        <f si="61" t="shared"/>
        <v>-4592.0906473181876</v>
      </c>
      <c r="AC101" s="7">
        <f si="61" t="shared"/>
        <v>4677.4360803873133</v>
      </c>
      <c r="AD101" s="7">
        <f ref="AD101:AD108" si="62" t="shared">R101-F101</f>
        <v>3768.5320830860983</v>
      </c>
      <c r="AE101" s="7">
        <f ref="AE101:AF108" si="63" t="shared">S101-G101</f>
        <v>6737.9281985605012</v>
      </c>
      <c r="AF101" s="7">
        <f si="63" t="shared"/>
        <v>712.40695391596091</v>
      </c>
      <c r="AG101" s="7">
        <f ref="AG101:AG108" si="64" t="shared">U101-I101</f>
        <v>0</v>
      </c>
      <c r="AH101" s="7">
        <f ref="AH101:AH108" si="65" t="shared">V101-J101</f>
        <v>0</v>
      </c>
      <c r="AI101" s="7">
        <f ref="AI101:AI108" si="66" t="shared">W101-K101</f>
        <v>0</v>
      </c>
      <c r="AJ101" s="7">
        <f ref="AJ101:AJ108" si="67" t="shared">X101-L101</f>
        <v>-5408.9302381157759</v>
      </c>
    </row>
    <row r="102" spans="1:36" x14ac:dyDescent="0.2">
      <c r="A102" s="3" t="s">
        <v>211</v>
      </c>
      <c r="B102" s="7">
        <f>output_NHTS!B253</f>
        <v>9629.1185435097232</v>
      </c>
      <c r="C102" s="7">
        <f>output_NHTS!C253</f>
        <v>237.546690834694</v>
      </c>
      <c r="D102" s="7">
        <f>output_NHTS!D253</f>
        <v>322.18300298080192</v>
      </c>
      <c r="E102" s="7">
        <f>output_NHTS!E253</f>
        <v>2312.6323706693543</v>
      </c>
      <c r="F102" s="7">
        <f>output_NHTS!F253</f>
        <v>574.19920799684382</v>
      </c>
      <c r="G102" s="7">
        <f>output_NHTS!G253</f>
        <v>2453.908028270087</v>
      </c>
      <c r="H102" s="7">
        <f>output_NHTS!H253</f>
        <v>788.61804838218711</v>
      </c>
      <c r="I102" s="7">
        <f>output_NHTS!I253</f>
        <v>0</v>
      </c>
      <c r="J102" s="7">
        <f>output_NHTS!J253</f>
        <v>0</v>
      </c>
      <c r="K102" s="7">
        <f>output_NHTS!K253</f>
        <v>0</v>
      </c>
      <c r="L102" s="7">
        <f ref="L102:L107" si="68" t="shared">SUM(B102:K102)</f>
        <v>16318.205892643691</v>
      </c>
      <c r="M102" s="3" t="s">
        <v>211</v>
      </c>
      <c r="N102" s="7">
        <f>output!B253</f>
        <v>4994</v>
      </c>
      <c r="O102" s="7">
        <f>output!C253</f>
        <v>638</v>
      </c>
      <c r="P102" s="7">
        <f>output!D253</f>
        <v>545</v>
      </c>
      <c r="Q102" s="7">
        <f>output!E253</f>
        <v>3165</v>
      </c>
      <c r="R102" s="7">
        <f>output!F253</f>
        <v>1623</v>
      </c>
      <c r="S102" s="7">
        <f>output!G253</f>
        <v>1983</v>
      </c>
      <c r="T102" s="7">
        <f>output!H253</f>
        <v>1066</v>
      </c>
      <c r="U102" s="7">
        <f>output!I253</f>
        <v>0</v>
      </c>
      <c r="V102" s="7">
        <f>output!J253</f>
        <v>0</v>
      </c>
      <c r="W102" s="7">
        <f>output!K253</f>
        <v>0</v>
      </c>
      <c r="X102" s="7">
        <f ref="X102:X107" si="69" t="shared">SUM(N102:W102)</f>
        <v>14014</v>
      </c>
      <c r="Y102" s="3" t="s">
        <v>211</v>
      </c>
      <c r="Z102" s="7">
        <f si="61" t="shared"/>
        <v>-4635.1185435097232</v>
      </c>
      <c r="AA102" s="7">
        <f si="61" t="shared"/>
        <v>400.453309165306</v>
      </c>
      <c r="AB102" s="7">
        <f si="61" t="shared"/>
        <v>222.81699701919808</v>
      </c>
      <c r="AC102" s="7">
        <f si="61" t="shared"/>
        <v>852.36762933064574</v>
      </c>
      <c r="AD102" s="7">
        <f si="62" t="shared"/>
        <v>1048.8007920031562</v>
      </c>
      <c r="AE102" s="7">
        <f si="63" t="shared"/>
        <v>-470.90802827008702</v>
      </c>
      <c r="AF102" s="7">
        <f si="63" t="shared"/>
        <v>277.38195161781289</v>
      </c>
      <c r="AG102" s="7">
        <f si="64" t="shared"/>
        <v>0</v>
      </c>
      <c r="AH102" s="7">
        <f si="65" t="shared"/>
        <v>0</v>
      </c>
      <c r="AI102" s="7">
        <f si="66" t="shared"/>
        <v>0</v>
      </c>
      <c r="AJ102" s="7">
        <f si="67" t="shared"/>
        <v>-2304.2058926436912</v>
      </c>
    </row>
    <row r="103" spans="1:36" x14ac:dyDescent="0.2">
      <c r="A103" s="3" t="s">
        <v>212</v>
      </c>
      <c r="B103" s="7">
        <f>output_NHTS!B254</f>
        <v>95565.41129768017</v>
      </c>
      <c r="C103" s="7">
        <f>output_NHTS!C254</f>
        <v>9615.793544021557</v>
      </c>
      <c r="D103" s="7">
        <f>output_NHTS!D254</f>
        <v>8479.8047107116035</v>
      </c>
      <c r="E103" s="7">
        <f>output_NHTS!E254</f>
        <v>44852.074783466262</v>
      </c>
      <c r="F103" s="7">
        <f>output_NHTS!F254</f>
        <v>19895.773222861215</v>
      </c>
      <c r="G103" s="7">
        <f>output_NHTS!G254</f>
        <v>23478.658435990379</v>
      </c>
      <c r="H103" s="7">
        <f>output_NHTS!H254</f>
        <v>12439.721257467891</v>
      </c>
      <c r="I103" s="7">
        <f>output_NHTS!I254</f>
        <v>0</v>
      </c>
      <c r="J103" s="7">
        <f>output_NHTS!J254</f>
        <v>0</v>
      </c>
      <c r="K103" s="7">
        <f>output_NHTS!K254</f>
        <v>0</v>
      </c>
      <c r="L103" s="7">
        <f si="68" t="shared"/>
        <v>214327.23725219912</v>
      </c>
      <c r="M103" s="3" t="s">
        <v>212</v>
      </c>
      <c r="N103" s="7">
        <f>output!B254</f>
        <v>81028</v>
      </c>
      <c r="O103" s="7">
        <f>output!C254</f>
        <v>10143</v>
      </c>
      <c r="P103" s="7">
        <f>output!D254</f>
        <v>7257</v>
      </c>
      <c r="Q103" s="7">
        <f>output!E254</f>
        <v>39166</v>
      </c>
      <c r="R103" s="7">
        <f>output!F254</f>
        <v>21427</v>
      </c>
      <c r="S103" s="7">
        <f>output!G254</f>
        <v>30411</v>
      </c>
      <c r="T103" s="7">
        <f>output!H254</f>
        <v>15565</v>
      </c>
      <c r="U103" s="7">
        <f>output!I254</f>
        <v>0</v>
      </c>
      <c r="V103" s="7">
        <f>output!J254</f>
        <v>0</v>
      </c>
      <c r="W103" s="7">
        <f>output!K254</f>
        <v>0</v>
      </c>
      <c r="X103" s="7">
        <f si="69" t="shared"/>
        <v>204997</v>
      </c>
      <c r="Y103" s="3" t="s">
        <v>212</v>
      </c>
      <c r="Z103" s="7">
        <f si="61" t="shared"/>
        <v>-14537.41129768017</v>
      </c>
      <c r="AA103" s="7">
        <f si="61" t="shared"/>
        <v>527.20645597844305</v>
      </c>
      <c r="AB103" s="7">
        <f si="61" t="shared"/>
        <v>-1222.8047107116035</v>
      </c>
      <c r="AC103" s="7">
        <f si="61" t="shared"/>
        <v>-5686.0747834662616</v>
      </c>
      <c r="AD103" s="7">
        <f si="62" t="shared"/>
        <v>1531.2267771387851</v>
      </c>
      <c r="AE103" s="7">
        <f si="63" t="shared"/>
        <v>6932.3415640096209</v>
      </c>
      <c r="AF103" s="7">
        <f si="63" t="shared"/>
        <v>3125.2787425321094</v>
      </c>
      <c r="AG103" s="7">
        <f si="64" t="shared"/>
        <v>0</v>
      </c>
      <c r="AH103" s="7">
        <f si="65" t="shared"/>
        <v>0</v>
      </c>
      <c r="AI103" s="7">
        <f si="66" t="shared"/>
        <v>0</v>
      </c>
      <c r="AJ103" s="7">
        <f si="67" t="shared"/>
        <v>-9330.2372521991201</v>
      </c>
    </row>
    <row r="104" spans="1:36" x14ac:dyDescent="0.2">
      <c r="A104" s="3" t="s">
        <v>213</v>
      </c>
      <c r="B104" s="7">
        <f>output_NHTS!B255</f>
        <v>155335.94763690123</v>
      </c>
      <c r="C104" s="7">
        <f>output_NHTS!C255</f>
        <v>26514.649867295931</v>
      </c>
      <c r="D104" s="7">
        <f>output_NHTS!D255</f>
        <v>13167.472955189984</v>
      </c>
      <c r="E104" s="7">
        <f>output_NHTS!E255</f>
        <v>77350.722623015259</v>
      </c>
      <c r="F104" s="7">
        <f>output_NHTS!F255</f>
        <v>46446.900360740394</v>
      </c>
      <c r="G104" s="7">
        <f>output_NHTS!G255</f>
        <v>53958.50543358369</v>
      </c>
      <c r="H104" s="7">
        <f>output_NHTS!H255</f>
        <v>33730.49776850448</v>
      </c>
      <c r="I104" s="7">
        <f>output_NHTS!I255</f>
        <v>0</v>
      </c>
      <c r="J104" s="7">
        <f>output_NHTS!J255</f>
        <v>0</v>
      </c>
      <c r="K104" s="7">
        <f>output_NHTS!K255</f>
        <v>0</v>
      </c>
      <c r="L104" s="7">
        <f si="68" t="shared"/>
        <v>406504.69664523099</v>
      </c>
      <c r="M104" s="3" t="s">
        <v>213</v>
      </c>
      <c r="N104" s="7">
        <f>output!B255</f>
        <v>159960</v>
      </c>
      <c r="O104" s="7">
        <f>output!C255</f>
        <v>23412</v>
      </c>
      <c r="P104" s="7">
        <f>output!D255</f>
        <v>17562</v>
      </c>
      <c r="Q104" s="7">
        <f>output!E255</f>
        <v>70431</v>
      </c>
      <c r="R104" s="7">
        <f>output!F255</f>
        <v>44712</v>
      </c>
      <c r="S104" s="7">
        <f>output!G255</f>
        <v>54908</v>
      </c>
      <c r="T104" s="7">
        <f>output!H255</f>
        <v>33595</v>
      </c>
      <c r="U104" s="7">
        <f>output!I255</f>
        <v>0</v>
      </c>
      <c r="V104" s="7">
        <f>output!J255</f>
        <v>0</v>
      </c>
      <c r="W104" s="7">
        <f>output!K255</f>
        <v>0</v>
      </c>
      <c r="X104" s="7">
        <f si="69" t="shared"/>
        <v>404580</v>
      </c>
      <c r="Y104" s="3" t="s">
        <v>213</v>
      </c>
      <c r="Z104" s="7">
        <f si="61" t="shared"/>
        <v>4624.0523630987736</v>
      </c>
      <c r="AA104" s="7">
        <f si="61" t="shared"/>
        <v>-3102.6498672959315</v>
      </c>
      <c r="AB104" s="7">
        <f si="61" t="shared"/>
        <v>4394.5270448100164</v>
      </c>
      <c r="AC104" s="7">
        <f si="61" t="shared"/>
        <v>-6919.7226230152592</v>
      </c>
      <c r="AD104" s="7">
        <f si="62" t="shared"/>
        <v>-1734.9003607403938</v>
      </c>
      <c r="AE104" s="7">
        <f si="63" t="shared"/>
        <v>949.49456641630968</v>
      </c>
      <c r="AF104" s="7">
        <f si="63" t="shared"/>
        <v>-135.49776850447961</v>
      </c>
      <c r="AG104" s="7">
        <f si="64" t="shared"/>
        <v>0</v>
      </c>
      <c r="AH104" s="7">
        <f si="65" t="shared"/>
        <v>0</v>
      </c>
      <c r="AI104" s="7">
        <f si="66" t="shared"/>
        <v>0</v>
      </c>
      <c r="AJ104" s="7">
        <f si="67" t="shared"/>
        <v>-1924.6966452309862</v>
      </c>
    </row>
    <row r="105" spans="1:36" x14ac:dyDescent="0.2">
      <c r="A105" s="3" t="s">
        <v>214</v>
      </c>
      <c r="B105" s="7">
        <f>output_NHTS!B256</f>
        <v>101580.71145267377</v>
      </c>
      <c r="C105" s="7">
        <f>output_NHTS!C256</f>
        <v>15755.689419732635</v>
      </c>
      <c r="D105" s="7">
        <f>output_NHTS!D256</f>
        <v>14161.61595049656</v>
      </c>
      <c r="E105" s="7">
        <f>output_NHTS!E256</f>
        <v>53965.58349438716</v>
      </c>
      <c r="F105" s="7">
        <f>output_NHTS!F256</f>
        <v>32091.072520203194</v>
      </c>
      <c r="G105" s="7">
        <f>output_NHTS!G256</f>
        <v>46544.014186470238</v>
      </c>
      <c r="H105" s="7">
        <f>output_NHTS!H256</f>
        <v>22132.772380275328</v>
      </c>
      <c r="I105" s="7">
        <f>output_NHTS!I256</f>
        <v>0</v>
      </c>
      <c r="J105" s="7">
        <f>output_NHTS!J256</f>
        <v>0</v>
      </c>
      <c r="K105" s="7">
        <f>output_NHTS!K256</f>
        <v>0</v>
      </c>
      <c r="L105" s="7">
        <f si="68" t="shared"/>
        <v>286231.45940423885</v>
      </c>
      <c r="M105" s="3" t="s">
        <v>214</v>
      </c>
      <c r="N105" s="7">
        <f>output!B256</f>
        <v>106110</v>
      </c>
      <c r="O105" s="7">
        <f>output!C256</f>
        <v>15304</v>
      </c>
      <c r="P105" s="7">
        <f>output!D256</f>
        <v>10826</v>
      </c>
      <c r="Q105" s="7">
        <f>output!E256</f>
        <v>45017</v>
      </c>
      <c r="R105" s="7">
        <f>output!F256</f>
        <v>28507</v>
      </c>
      <c r="S105" s="7">
        <f>output!G256</f>
        <v>35578</v>
      </c>
      <c r="T105" s="7">
        <f>output!H256</f>
        <v>21196</v>
      </c>
      <c r="U105" s="7">
        <f>output!I256</f>
        <v>0</v>
      </c>
      <c r="V105" s="7">
        <f>output!J256</f>
        <v>0</v>
      </c>
      <c r="W105" s="7">
        <f>output!K256</f>
        <v>0</v>
      </c>
      <c r="X105" s="7">
        <f si="69" t="shared"/>
        <v>262538</v>
      </c>
      <c r="Y105" s="3" t="s">
        <v>214</v>
      </c>
      <c r="Z105" s="7">
        <f si="61" t="shared"/>
        <v>4529.2885473262286</v>
      </c>
      <c r="AA105" s="7">
        <f si="61" t="shared"/>
        <v>-451.68941973263463</v>
      </c>
      <c r="AB105" s="7">
        <f si="61" t="shared"/>
        <v>-3335.6159504965599</v>
      </c>
      <c r="AC105" s="7">
        <f si="61" t="shared"/>
        <v>-8948.5834943871596</v>
      </c>
      <c r="AD105" s="7">
        <f si="62" t="shared"/>
        <v>-3584.0725202031936</v>
      </c>
      <c r="AE105" s="7">
        <f si="63" t="shared"/>
        <v>-10966.014186470238</v>
      </c>
      <c r="AF105" s="7">
        <f si="63" t="shared"/>
        <v>-936.77238027532803</v>
      </c>
      <c r="AG105" s="7">
        <f si="64" t="shared"/>
        <v>0</v>
      </c>
      <c r="AH105" s="7">
        <f si="65" t="shared"/>
        <v>0</v>
      </c>
      <c r="AI105" s="7">
        <f si="66" t="shared"/>
        <v>0</v>
      </c>
      <c r="AJ105" s="7">
        <f si="67" t="shared"/>
        <v>-23693.459404238849</v>
      </c>
    </row>
    <row r="106" spans="1:36" x14ac:dyDescent="0.2">
      <c r="A106" s="3" t="s">
        <v>129</v>
      </c>
      <c r="B106" s="7">
        <f>output_NHTS!B257</f>
        <v>62261.379144835984</v>
      </c>
      <c r="C106" s="7">
        <f>output_NHTS!C257</f>
        <v>7721.683002552003</v>
      </c>
      <c r="D106" s="7">
        <f>output_NHTS!D257</f>
        <v>8336.4519412121426</v>
      </c>
      <c r="E106" s="7">
        <f>output_NHTS!E257</f>
        <v>24850.195342868075</v>
      </c>
      <c r="F106" s="7">
        <f>output_NHTS!F257</f>
        <v>17159.137997837366</v>
      </c>
      <c r="G106" s="7">
        <f>output_NHTS!G257</f>
        <v>19349.957620867834</v>
      </c>
      <c r="H106" s="7">
        <f>output_NHTS!H257</f>
        <v>15440.034388818929</v>
      </c>
      <c r="I106" s="7">
        <f>output_NHTS!I257</f>
        <v>0</v>
      </c>
      <c r="J106" s="7">
        <f>output_NHTS!J257</f>
        <v>0</v>
      </c>
      <c r="K106" s="7">
        <f>output_NHTS!K257</f>
        <v>0</v>
      </c>
      <c r="L106" s="7">
        <f si="68" t="shared"/>
        <v>155118.83943899235</v>
      </c>
      <c r="M106" s="3" t="s">
        <v>129</v>
      </c>
      <c r="N106" s="7">
        <f>output!B257</f>
        <v>51163</v>
      </c>
      <c r="O106" s="7">
        <f>output!C257</f>
        <v>7253</v>
      </c>
      <c r="P106" s="7">
        <f>output!D257</f>
        <v>5669</v>
      </c>
      <c r="Q106" s="7">
        <f>output!E257</f>
        <v>23616</v>
      </c>
      <c r="R106" s="7">
        <f>output!F257</f>
        <v>14429</v>
      </c>
      <c r="S106" s="7">
        <f>output!G257</f>
        <v>17334</v>
      </c>
      <c r="T106" s="7">
        <f>output!H257</f>
        <v>10673</v>
      </c>
      <c r="U106" s="7">
        <f>output!I257</f>
        <v>0</v>
      </c>
      <c r="V106" s="7">
        <f>output!J257</f>
        <v>0</v>
      </c>
      <c r="W106" s="7">
        <f>output!K257</f>
        <v>0</v>
      </c>
      <c r="X106" s="7">
        <f si="69" t="shared"/>
        <v>130137</v>
      </c>
      <c r="Y106" s="3" t="s">
        <v>129</v>
      </c>
      <c r="Z106" s="7">
        <f si="61" t="shared"/>
        <v>-11098.379144835984</v>
      </c>
      <c r="AA106" s="7">
        <f si="61" t="shared"/>
        <v>-468.68300255200302</v>
      </c>
      <c r="AB106" s="7">
        <f si="61" t="shared"/>
        <v>-2667.4519412121426</v>
      </c>
      <c r="AC106" s="7">
        <f si="61" t="shared"/>
        <v>-1234.1953428680754</v>
      </c>
      <c r="AD106" s="7">
        <f si="62" t="shared"/>
        <v>-2730.1379978373661</v>
      </c>
      <c r="AE106" s="7">
        <f si="63" t="shared"/>
        <v>-2015.9576208678336</v>
      </c>
      <c r="AF106" s="7">
        <f si="63" t="shared"/>
        <v>-4767.0343888189291</v>
      </c>
      <c r="AG106" s="7">
        <f si="64" t="shared"/>
        <v>0</v>
      </c>
      <c r="AH106" s="7">
        <f si="65" t="shared"/>
        <v>0</v>
      </c>
      <c r="AI106" s="7">
        <f si="66" t="shared"/>
        <v>0</v>
      </c>
      <c r="AJ106" s="7">
        <f si="67" t="shared"/>
        <v>-24981.839438992349</v>
      </c>
    </row>
    <row r="107" spans="1:36" x14ac:dyDescent="0.2">
      <c r="A107" s="3" t="s">
        <v>130</v>
      </c>
      <c r="B107" s="7">
        <f>output_NHTS!B258</f>
        <v>65908.760890721314</v>
      </c>
      <c r="C107" s="7">
        <f>output_NHTS!C258</f>
        <v>7654.9702671472296</v>
      </c>
      <c r="D107" s="7">
        <f>output_NHTS!D258</f>
        <v>8888.7107903509695</v>
      </c>
      <c r="E107" s="7">
        <f>output_NHTS!E258</f>
        <v>24763.580547659323</v>
      </c>
      <c r="F107" s="7">
        <f>output_NHTS!F258</f>
        <v>14644.793680848679</v>
      </c>
      <c r="G107" s="7">
        <f>output_NHTS!G258</f>
        <v>19967.066604959346</v>
      </c>
      <c r="H107" s="7">
        <f>output_NHTS!H258</f>
        <v>9407.3085277159771</v>
      </c>
      <c r="I107" s="7">
        <f>output_NHTS!I258</f>
        <v>0</v>
      </c>
      <c r="J107" s="7">
        <f>output_NHTS!J258</f>
        <v>0</v>
      </c>
      <c r="K107" s="7">
        <f>output_NHTS!K258</f>
        <v>0</v>
      </c>
      <c r="L107" s="7">
        <f si="68" t="shared"/>
        <v>151235.19130940284</v>
      </c>
      <c r="M107" s="3" t="s">
        <v>130</v>
      </c>
      <c r="N107" s="9">
        <f>output!B258</f>
        <v>49980</v>
      </c>
      <c r="O107" s="9">
        <f>output!C258</f>
        <v>8215</v>
      </c>
      <c r="P107" s="9">
        <f>output!D258</f>
        <v>6600</v>
      </c>
      <c r="Q107" s="7">
        <f>output!E258</f>
        <v>26140</v>
      </c>
      <c r="R107" s="7">
        <f>output!F258</f>
        <v>16565</v>
      </c>
      <c r="S107" s="7">
        <f>output!G258</f>
        <v>20471</v>
      </c>
      <c r="T107" s="7">
        <f>output!H258</f>
        <v>11689</v>
      </c>
      <c r="U107" s="7">
        <f>output!I258</f>
        <v>0</v>
      </c>
      <c r="V107" s="7">
        <f>output!J258</f>
        <v>0</v>
      </c>
      <c r="W107" s="7">
        <f>output!K258</f>
        <v>0</v>
      </c>
      <c r="X107" s="7">
        <f si="69" t="shared"/>
        <v>139660</v>
      </c>
      <c r="Y107" s="3" t="s">
        <v>130</v>
      </c>
      <c r="Z107" s="9">
        <f si="61" t="shared"/>
        <v>-15928.760890721314</v>
      </c>
      <c r="AA107" s="9">
        <f si="61" t="shared"/>
        <v>560.02973285277039</v>
      </c>
      <c r="AB107" s="9">
        <f si="61" t="shared"/>
        <v>-2288.7107903509695</v>
      </c>
      <c r="AC107" s="9">
        <f si="61" t="shared"/>
        <v>1376.4194523406768</v>
      </c>
      <c r="AD107" s="9">
        <f si="62" t="shared"/>
        <v>1920.2063191513207</v>
      </c>
      <c r="AE107" s="9">
        <f si="63" t="shared"/>
        <v>503.93339504065443</v>
      </c>
      <c r="AF107" s="7">
        <f si="63" t="shared"/>
        <v>2281.6914722840229</v>
      </c>
      <c r="AG107" s="7">
        <f si="64" t="shared"/>
        <v>0</v>
      </c>
      <c r="AH107" s="7">
        <f si="65" t="shared"/>
        <v>0</v>
      </c>
      <c r="AI107" s="7">
        <f si="66" t="shared"/>
        <v>0</v>
      </c>
      <c r="AJ107" s="9">
        <f si="67" t="shared"/>
        <v>-11575.191309402842</v>
      </c>
    </row>
    <row ht="13.5" r="108" spans="1:36" thickBot="1" x14ac:dyDescent="0.25">
      <c r="A108" s="10" t="s">
        <v>220</v>
      </c>
      <c r="B108" s="11">
        <f>SUM(B101:B107)</f>
        <v>556636.35168567381</v>
      </c>
      <c r="C108" s="11">
        <f>SUM(C101:C107)</f>
        <v>73656.452978979883</v>
      </c>
      <c r="D108" s="11">
        <f>SUM(D101:D107)</f>
        <v>62697.329998260248</v>
      </c>
      <c r="E108" s="11">
        <f>SUM(E101:E107)</f>
        <v>245869.3530816781</v>
      </c>
      <c r="F108" s="11">
        <f ref="F108:G108" si="70" t="shared">SUM(F101:F107)</f>
        <v>140121.34490740157</v>
      </c>
      <c r="G108" s="11">
        <f si="70" t="shared"/>
        <v>174664.18211158106</v>
      </c>
      <c r="H108" s="11">
        <f ref="H108:K108" si="71" t="shared">SUM(H101:H107)</f>
        <v>102692.54541724882</v>
      </c>
      <c r="I108" s="11">
        <f si="71" t="shared"/>
        <v>0</v>
      </c>
      <c r="J108" s="11">
        <f si="71" t="shared"/>
        <v>0</v>
      </c>
      <c r="K108" s="11">
        <f si="71" t="shared"/>
        <v>0</v>
      </c>
      <c r="L108" s="11">
        <f>SUM(L101:L107)</f>
        <v>1356337.5601808238</v>
      </c>
      <c r="M108" s="10" t="s">
        <v>220</v>
      </c>
      <c r="N108" s="11">
        <f>SUM(N101:N107)</f>
        <v>503483</v>
      </c>
      <c r="O108" s="11">
        <f>SUM(O101:O107)</f>
        <v>70515</v>
      </c>
      <c r="P108" s="11">
        <f>SUM(P101:P107)</f>
        <v>53208</v>
      </c>
      <c r="Q108" s="11">
        <f>SUM(Q101:Q107)</f>
        <v>229987</v>
      </c>
      <c r="R108" s="11">
        <f ref="R108:S108" si="72" t="shared">SUM(R101:R107)</f>
        <v>140341</v>
      </c>
      <c r="S108" s="11">
        <f si="72" t="shared"/>
        <v>176335</v>
      </c>
      <c r="T108" s="11">
        <f ref="T108:W108" si="73" t="shared">SUM(T101:T107)</f>
        <v>103250</v>
      </c>
      <c r="U108" s="11">
        <f si="73" t="shared"/>
        <v>0</v>
      </c>
      <c r="V108" s="11">
        <f si="73" t="shared"/>
        <v>0</v>
      </c>
      <c r="W108" s="11">
        <f si="73" t="shared"/>
        <v>0</v>
      </c>
      <c r="X108" s="11">
        <f>SUM(X101:X107)</f>
        <v>1277119</v>
      </c>
      <c r="Y108" s="10" t="s">
        <v>220</v>
      </c>
      <c r="Z108" s="11">
        <f si="61" t="shared"/>
        <v>-53153.351685673813</v>
      </c>
      <c r="AA108" s="11">
        <f si="61" t="shared"/>
        <v>-3141.4529789798835</v>
      </c>
      <c r="AB108" s="11">
        <f si="61" t="shared"/>
        <v>-9489.3299982602475</v>
      </c>
      <c r="AC108" s="11">
        <f si="61" t="shared"/>
        <v>-15882.353081678099</v>
      </c>
      <c r="AD108" s="11">
        <f si="62" t="shared"/>
        <v>219.65509259843384</v>
      </c>
      <c r="AE108" s="11">
        <f si="63" t="shared"/>
        <v>1670.8178884189401</v>
      </c>
      <c r="AF108" s="11">
        <f si="63" t="shared"/>
        <v>557.45458275117562</v>
      </c>
      <c r="AG108" s="11">
        <f si="64" t="shared"/>
        <v>0</v>
      </c>
      <c r="AH108" s="11">
        <f si="65" t="shared"/>
        <v>0</v>
      </c>
      <c r="AI108" s="11">
        <f si="66" t="shared"/>
        <v>0</v>
      </c>
      <c r="AJ108" s="11">
        <f si="67" t="shared"/>
        <v>-79218.560180823784</v>
      </c>
    </row>
    <row r="109" spans="1:36" x14ac:dyDescent="0.2">
      <c r="G109" s="25"/>
      <c r="H109" s="25"/>
      <c r="J109" s="25"/>
      <c r="K109" s="25"/>
      <c r="L109" s="25"/>
      <c r="S109" s="25"/>
      <c r="T109" s="25"/>
      <c r="V109" s="25"/>
      <c r="W109" s="25"/>
      <c r="X109" s="25"/>
      <c r="AE109" s="25"/>
      <c r="AF109" s="25"/>
      <c r="AG109" s="25"/>
      <c r="AH109" s="25"/>
      <c r="AI109" s="25"/>
      <c r="AJ109" s="25"/>
    </row>
    <row r="110" spans="1:36" x14ac:dyDescent="0.2">
      <c r="A110" s="25" t="s">
        <v>88</v>
      </c>
      <c r="B110" s="53">
        <f>ToursByTourPurpose!B118</f>
        <v>571262.1889448663</v>
      </c>
      <c r="C110" s="53">
        <f>ToursByTourPurpose!C118</f>
        <v>74462</v>
      </c>
      <c r="D110" s="53">
        <f>ToursByTourPurpose!D118</f>
        <v>61201.999999999993</v>
      </c>
      <c r="E110" s="53">
        <f>ToursByTourPurpose!E118</f>
        <v>239449.81105513356</v>
      </c>
      <c r="F110" s="53">
        <f>ToursByTourPurpose!F118</f>
        <v>148325</v>
      </c>
      <c r="G110" s="53">
        <f>ToursByTourPurpose!G118</f>
        <v>168740.99999999997</v>
      </c>
      <c r="H110" s="53">
        <f>ToursByTourPurpose!H118</f>
        <v>105763</v>
      </c>
      <c r="I110" s="53">
        <f>ToursByTourPurpose!I118</f>
        <v>0</v>
      </c>
      <c r="J110" s="53">
        <f>ToursByTourPurpose!J118</f>
        <v>0</v>
      </c>
      <c r="K110" s="53">
        <f>ToursByTourPurpose!K118</f>
        <v>0</v>
      </c>
      <c r="L110" s="53">
        <f>ToursByTourPurpose!L118</f>
        <v>1369205</v>
      </c>
      <c r="M110" s="25" t="s">
        <v>88</v>
      </c>
      <c r="N110" s="53">
        <f>ToursByTourPurpose!N118</f>
        <v>610048</v>
      </c>
      <c r="O110" s="53">
        <f>ToursByTourPurpose!O118</f>
        <v>79684</v>
      </c>
      <c r="P110" s="53">
        <f>ToursByTourPurpose!P118</f>
        <v>62628</v>
      </c>
      <c r="Q110" s="53">
        <f>ToursByTourPurpose!Q118</f>
        <v>274057</v>
      </c>
      <c r="R110" s="53">
        <f>ToursByTourPurpose!R118</f>
        <v>158939</v>
      </c>
      <c r="S110" s="53">
        <f>ToursByTourPurpose!S118</f>
        <v>200422</v>
      </c>
      <c r="T110" s="53">
        <f>ToursByTourPurpose!T118</f>
        <v>116452</v>
      </c>
      <c r="U110" s="53">
        <f>ToursByTourPurpose!U118</f>
        <v>0</v>
      </c>
      <c r="V110" s="53">
        <f>ToursByTourPurpose!V118</f>
        <v>0</v>
      </c>
      <c r="W110" s="53">
        <f>ToursByTourPurpose!W118</f>
        <v>0</v>
      </c>
      <c r="X110" s="53">
        <f>ToursByTourPurpose!X118</f>
        <v>1502230</v>
      </c>
      <c r="Y110" s="25" t="s">
        <v>88</v>
      </c>
      <c r="Z110" s="7">
        <f ref="Z110:AB111" si="74" t="shared">N110-B110</f>
        <v>38785.811055133701</v>
      </c>
      <c r="AA110" s="7">
        <f si="74" t="shared"/>
        <v>5222</v>
      </c>
      <c r="AB110" s="7">
        <f si="74" t="shared"/>
        <v>1426.0000000000073</v>
      </c>
      <c r="AC110" s="7">
        <f ref="AC110:AC111" si="75" t="shared">Q110-E110</f>
        <v>34607.188944866444</v>
      </c>
      <c r="AD110" s="7">
        <f ref="AD110:AD111" si="76" t="shared">R110-F110</f>
        <v>10614</v>
      </c>
      <c r="AE110" s="7">
        <f ref="AE110:AF111" si="77" t="shared">S110-G110</f>
        <v>31681.000000000029</v>
      </c>
      <c r="AF110" s="7">
        <f si="77" t="shared"/>
        <v>10689</v>
      </c>
      <c r="AG110" s="7">
        <f ref="AG110:AG111" si="78" t="shared">U110-I110</f>
        <v>0</v>
      </c>
      <c r="AH110" s="7">
        <f ref="AH110:AH111" si="79" t="shared">V110-J110</f>
        <v>0</v>
      </c>
      <c r="AI110" s="7">
        <f ref="AI110:AI111" si="80" t="shared">W110-K110</f>
        <v>0</v>
      </c>
      <c r="AJ110" s="7">
        <f>X110-L110</f>
        <v>133025</v>
      </c>
    </row>
    <row r="111" spans="1:36" x14ac:dyDescent="0.2">
      <c r="A111" s="25" t="s">
        <v>90</v>
      </c>
      <c r="B111" s="38">
        <f>B108/B110</f>
        <v>0.97439733008374541</v>
      </c>
      <c r="C111" s="38">
        <f>C108/C110</f>
        <v>0.98918177028524457</v>
      </c>
      <c r="D111" s="38">
        <f>D108/D110</f>
        <v>1.0244326982494079</v>
      </c>
      <c r="E111" s="38">
        <f>E108/E110</f>
        <v>1.026809551439013</v>
      </c>
      <c r="F111" s="38">
        <f ref="F111:G111" si="81" t="shared">F108/F110</f>
        <v>0.9446913528225287</v>
      </c>
      <c r="G111" s="38">
        <f si="81" t="shared"/>
        <v>1.0351022105568954</v>
      </c>
      <c r="H111" s="38">
        <f ref="H111:K111" si="82" t="shared">H108/H110</f>
        <v>0.97096853736418998</v>
      </c>
      <c r="I111" s="38" t="e">
        <f si="82" t="shared"/>
        <v>#DIV/0!</v>
      </c>
      <c r="J111" s="38" t="e">
        <f si="82" t="shared"/>
        <v>#DIV/0!</v>
      </c>
      <c r="K111" s="38" t="e">
        <f si="82" t="shared"/>
        <v>#DIV/0!</v>
      </c>
      <c r="L111" s="38">
        <f>L108/L110</f>
        <v>0.99060225472505858</v>
      </c>
      <c r="M111" s="25" t="s">
        <v>90</v>
      </c>
      <c r="N111" s="38">
        <f>N108/N110</f>
        <v>0.82531702423415865</v>
      </c>
      <c r="O111" s="38">
        <f>O108/O110</f>
        <v>0.88493298529190301</v>
      </c>
      <c r="P111" s="38">
        <f>P108/P110</f>
        <v>0.84958804368652996</v>
      </c>
      <c r="Q111" s="38">
        <f>Q108/Q110</f>
        <v>0.83919403627712486</v>
      </c>
      <c r="R111" s="38">
        <f ref="R111:S111" si="83" t="shared">R108/R110</f>
        <v>0.88298655459012576</v>
      </c>
      <c r="S111" s="38">
        <f si="83" t="shared"/>
        <v>0.87981858279031244</v>
      </c>
      <c r="T111" s="38">
        <f ref="T111:W111" si="84" t="shared">T108/T110</f>
        <v>0.88663140177927391</v>
      </c>
      <c r="U111" s="38" t="e">
        <f si="84" t="shared"/>
        <v>#DIV/0!</v>
      </c>
      <c r="V111" s="38" t="e">
        <f si="84" t="shared"/>
        <v>#DIV/0!</v>
      </c>
      <c r="W111" s="38" t="e">
        <f si="84" t="shared"/>
        <v>#DIV/0!</v>
      </c>
      <c r="X111" s="38">
        <f>X108/X110</f>
        <v>0.85014877881549433</v>
      </c>
      <c r="Y111" s="25" t="s">
        <v>90</v>
      </c>
      <c r="Z111" s="38">
        <f si="74" t="shared"/>
        <v>-0.14908030584958676</v>
      </c>
      <c r="AA111" s="38">
        <f si="74" t="shared"/>
        <v>-0.10424878499334156</v>
      </c>
      <c r="AB111" s="38">
        <f si="74" t="shared"/>
        <v>-0.1748446545628779</v>
      </c>
      <c r="AC111" s="38">
        <f si="75" t="shared"/>
        <v>-0.18761551516188812</v>
      </c>
      <c r="AD111" s="38">
        <f si="76" t="shared"/>
        <v>-6.1704798232402935E-2</v>
      </c>
      <c r="AE111" s="38">
        <f si="77" t="shared"/>
        <v>-0.155283627766583</v>
      </c>
      <c r="AF111" s="38">
        <f si="77" t="shared"/>
        <v>-8.4337135584916068E-2</v>
      </c>
      <c r="AG111" s="38" t="e">
        <f si="78" t="shared"/>
        <v>#DIV/0!</v>
      </c>
      <c r="AH111" s="38" t="e">
        <f si="79" t="shared"/>
        <v>#DIV/0!</v>
      </c>
      <c r="AI111" s="38" t="e">
        <f si="80" t="shared"/>
        <v>#DIV/0!</v>
      </c>
      <c r="AJ111" s="38">
        <f>X111-L111</f>
        <v>-0.14045347590956425</v>
      </c>
    </row>
    <row r="112" spans="1:36" x14ac:dyDescent="0.2">
      <c r="G112" s="25"/>
      <c r="H112" s="25"/>
      <c r="J112" s="25"/>
      <c r="K112" s="25"/>
      <c r="L112" s="25"/>
      <c r="S112" s="25"/>
      <c r="T112" s="25"/>
      <c r="V112" s="25"/>
      <c r="W112" s="25"/>
      <c r="X112" s="25"/>
      <c r="AD112" s="25"/>
      <c r="AE112" s="25"/>
      <c r="AF112" s="25"/>
      <c r="AG112" s="25"/>
      <c r="AH112" s="25"/>
    </row>
    <row r="113" spans="1:36" x14ac:dyDescent="0.2">
      <c r="A113" s="2" t="s">
        <v>175</v>
      </c>
      <c r="G113" s="25"/>
      <c r="H113" s="25"/>
      <c r="J113" s="25"/>
      <c r="K113" s="25"/>
      <c r="L113" s="25"/>
      <c r="M113" s="2" t="s">
        <v>175</v>
      </c>
      <c r="S113" s="25"/>
      <c r="T113" s="25"/>
      <c r="V113" s="25"/>
      <c r="W113" s="25"/>
      <c r="X113" s="25"/>
      <c r="Y113" s="2" t="s">
        <v>175</v>
      </c>
      <c r="AD113" s="25"/>
      <c r="AE113" s="25"/>
      <c r="AF113" s="25"/>
      <c r="AG113" s="25"/>
      <c r="AH113" s="25"/>
    </row>
    <row r="114" spans="1:36" x14ac:dyDescent="0.2">
      <c r="A114" s="2" t="s">
        <v>119</v>
      </c>
      <c r="G114" s="25"/>
      <c r="H114" s="25"/>
      <c r="J114" s="25"/>
      <c r="K114" s="25"/>
      <c r="L114" s="25"/>
      <c r="M114" s="2" t="s">
        <v>286</v>
      </c>
      <c r="S114" s="25"/>
      <c r="T114" s="25"/>
      <c r="V114" s="25"/>
      <c r="W114" s="25"/>
      <c r="X114" s="25"/>
      <c r="Y114" s="2" t="s">
        <v>94</v>
      </c>
      <c r="AD114" s="25"/>
      <c r="AE114" s="25"/>
      <c r="AF114" s="25"/>
      <c r="AG114" s="25"/>
      <c r="AH114" s="25"/>
    </row>
    <row ht="13.5" r="115" spans="1:36" thickBot="1" x14ac:dyDescent="0.25">
      <c r="B115" s="15"/>
      <c r="C115" s="15"/>
      <c r="D115" s="15"/>
      <c r="E115" s="15"/>
      <c r="F115" s="15"/>
      <c r="G115" s="25"/>
      <c r="H115" s="25"/>
      <c r="I115" s="15"/>
      <c r="J115" s="15"/>
      <c r="K115" s="15"/>
      <c r="L115" s="25"/>
      <c r="N115" s="15"/>
      <c r="O115" s="15"/>
      <c r="P115" s="15"/>
      <c r="Q115" s="15"/>
      <c r="R115" s="15"/>
      <c r="S115" s="25"/>
      <c r="T115" s="25"/>
      <c r="U115" s="15"/>
      <c r="V115" s="15"/>
      <c r="W115" s="15"/>
      <c r="X115" s="2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6" x14ac:dyDescent="0.2">
      <c r="A116" s="5" t="s">
        <v>144</v>
      </c>
      <c r="B116" s="6">
        <f>B100</f>
        <v>1</v>
      </c>
      <c r="C116" s="6">
        <f ref="C116:G116" si="85" t="shared">C100</f>
        <v>2</v>
      </c>
      <c r="D116" s="6">
        <f si="85" t="shared"/>
        <v>3</v>
      </c>
      <c r="E116" s="6">
        <f si="85" t="shared"/>
        <v>4</v>
      </c>
      <c r="F116" s="6">
        <f si="85" t="shared"/>
        <v>5</v>
      </c>
      <c r="G116" s="6">
        <f si="85" t="shared"/>
        <v>6</v>
      </c>
      <c r="H116" s="6">
        <f>H100</f>
        <v>7</v>
      </c>
      <c r="I116" s="151">
        <v>8</v>
      </c>
      <c r="J116" s="32">
        <v>9</v>
      </c>
      <c r="K116" s="151">
        <v>10</v>
      </c>
      <c r="L116" s="6" t="s">
        <v>220</v>
      </c>
      <c r="M116" s="5" t="s">
        <v>144</v>
      </c>
      <c r="N116" s="6">
        <f>B100</f>
        <v>1</v>
      </c>
      <c r="O116" s="6">
        <f ref="O116:S116" si="86" t="shared">C100</f>
        <v>2</v>
      </c>
      <c r="P116" s="6">
        <f si="86" t="shared"/>
        <v>3</v>
      </c>
      <c r="Q116" s="6">
        <f si="86" t="shared"/>
        <v>4</v>
      </c>
      <c r="R116" s="6">
        <f si="86" t="shared"/>
        <v>5</v>
      </c>
      <c r="S116" s="6">
        <f si="86" t="shared"/>
        <v>6</v>
      </c>
      <c r="T116" s="6">
        <f>H100</f>
        <v>7</v>
      </c>
      <c r="U116" s="8">
        <v>8</v>
      </c>
      <c r="V116" s="32">
        <v>9</v>
      </c>
      <c r="W116" s="8">
        <v>10</v>
      </c>
      <c r="X116" s="6" t="s">
        <v>220</v>
      </c>
      <c r="Y116" s="5" t="s">
        <v>144</v>
      </c>
      <c r="Z116" s="6">
        <f>B100</f>
        <v>1</v>
      </c>
      <c r="AA116" s="6">
        <f ref="AA116:AF116" si="87" t="shared">C100</f>
        <v>2</v>
      </c>
      <c r="AB116" s="6">
        <f si="87" t="shared"/>
        <v>3</v>
      </c>
      <c r="AC116" s="6">
        <f si="87" t="shared"/>
        <v>4</v>
      </c>
      <c r="AD116" s="6">
        <f si="87" t="shared"/>
        <v>5</v>
      </c>
      <c r="AE116" s="6">
        <f si="87" t="shared"/>
        <v>6</v>
      </c>
      <c r="AF116" s="6">
        <f si="87" t="shared"/>
        <v>7</v>
      </c>
      <c r="AG116" s="6">
        <f ref="AG116" si="88" t="shared">I100</f>
        <v>8</v>
      </c>
      <c r="AH116" s="6">
        <f ref="AH116" si="89" t="shared">J100</f>
        <v>9</v>
      </c>
      <c r="AI116" s="6">
        <f ref="AI116" si="90" t="shared">K100</f>
        <v>10</v>
      </c>
      <c r="AJ116" s="6" t="s">
        <v>220</v>
      </c>
    </row>
    <row r="117" spans="1:36" x14ac:dyDescent="0.2">
      <c r="A117" s="3" t="s">
        <v>210</v>
      </c>
      <c r="B117" s="12">
        <f ref="B117:G122" si="91" t="shared">B101/B$108</f>
        <v>0.11920713140348685</v>
      </c>
      <c r="C117" s="12">
        <f si="91" t="shared"/>
        <v>8.3578830345695257E-2</v>
      </c>
      <c r="D117" s="12">
        <f si="91" t="shared"/>
        <v>0.14898705650746832</v>
      </c>
      <c r="E117" s="12">
        <f si="91" t="shared"/>
        <v>7.2292718457301813E-2</v>
      </c>
      <c r="F117" s="12">
        <f si="91" t="shared"/>
        <v>6.6438613781975991E-2</v>
      </c>
      <c r="G117" s="12">
        <f si="91" t="shared"/>
        <v>5.1024037634379911E-2</v>
      </c>
      <c r="H117" s="12">
        <f ref="H117:K117" si="92" t="shared">H101/H$108</f>
        <v>8.52407836471228E-2</v>
      </c>
      <c r="I117" s="12" t="e">
        <f si="92" t="shared"/>
        <v>#DIV/0!</v>
      </c>
      <c r="J117" s="12" t="e">
        <f si="92" t="shared"/>
        <v>#DIV/0!</v>
      </c>
      <c r="K117" s="12" t="e">
        <f si="92" t="shared"/>
        <v>#DIV/0!</v>
      </c>
      <c r="L117" s="12">
        <f ref="L117:L124" si="93" t="shared">L101/L$108</f>
        <v>9.3341019193804164E-2</v>
      </c>
      <c r="M117" s="3" t="s">
        <v>210</v>
      </c>
      <c r="N117" s="12">
        <f ref="N117:S124" si="94" t="shared">N101/N$108</f>
        <v>9.9800787712792688E-2</v>
      </c>
      <c r="O117" s="12">
        <f si="94" t="shared"/>
        <v>7.8706658157838755E-2</v>
      </c>
      <c r="P117" s="12">
        <f si="94" t="shared"/>
        <v>8.9253495714930089E-2</v>
      </c>
      <c r="Q117" s="12">
        <f si="94" t="shared"/>
        <v>9.7622909120950313E-2</v>
      </c>
      <c r="R117" s="12">
        <f si="94" t="shared"/>
        <v>9.3187308056804502E-2</v>
      </c>
      <c r="S117" s="12">
        <f si="94" t="shared"/>
        <v>8.8751524087674033E-2</v>
      </c>
      <c r="T117" s="12">
        <f ref="T117:W117" si="95" t="shared">T101/T$108</f>
        <v>9.1680387409200967E-2</v>
      </c>
      <c r="U117" s="12" t="e">
        <f si="95" t="shared"/>
        <v>#DIV/0!</v>
      </c>
      <c r="V117" s="12" t="e">
        <f si="95" t="shared"/>
        <v>#DIV/0!</v>
      </c>
      <c r="W117" s="12" t="e">
        <f si="95" t="shared"/>
        <v>#DIV/0!</v>
      </c>
      <c r="X117" s="12">
        <f ref="X117:X124" si="96" t="shared">X101/X$108</f>
        <v>9.4895620533403696E-2</v>
      </c>
      <c r="Y117" s="3" t="s">
        <v>210</v>
      </c>
      <c r="Z117" s="12">
        <f ref="Z117:AC124" si="97" t="shared">N117-B117</f>
        <v>-1.9406343690694161E-2</v>
      </c>
      <c r="AA117" s="12">
        <f si="97" t="shared"/>
        <v>-4.8721721878565022E-3</v>
      </c>
      <c r="AB117" s="12">
        <f si="97" t="shared"/>
        <v>-5.9733560792538234E-2</v>
      </c>
      <c r="AC117" s="12">
        <f si="97" t="shared"/>
        <v>2.53301906636485E-2</v>
      </c>
      <c r="AD117" s="12">
        <f ref="AD117" si="98" t="shared">R117-F117</f>
        <v>2.6748694274828511E-2</v>
      </c>
      <c r="AE117" s="12">
        <f ref="AE117:AF123" si="99" t="shared">S117-G117</f>
        <v>3.7727486453294122E-2</v>
      </c>
      <c r="AF117" s="12">
        <f si="99" t="shared"/>
        <v>6.4396037620781665E-3</v>
      </c>
      <c r="AG117" s="12" t="e">
        <f ref="AG117:AG124" si="100" t="shared">U117-I117</f>
        <v>#DIV/0!</v>
      </c>
      <c r="AH117" s="12" t="e">
        <f ref="AH117:AH124" si="101" t="shared">V117-J117</f>
        <v>#DIV/0!</v>
      </c>
      <c r="AI117" s="12" t="e">
        <f ref="AI117:AI124" si="102" t="shared">W117-K117</f>
        <v>#DIV/0!</v>
      </c>
      <c r="AJ117" s="12">
        <f ref="AJ117:AJ124" si="103" t="shared">X117-L117</f>
        <v>1.5546013395995317E-3</v>
      </c>
    </row>
    <row r="118" spans="1:36" x14ac:dyDescent="0.2">
      <c r="A118" s="3" t="s">
        <v>211</v>
      </c>
      <c r="B118" s="12">
        <f si="91" t="shared"/>
        <v>1.7298759799552539E-2</v>
      </c>
      <c r="C118" s="12">
        <f si="91" t="shared"/>
        <v>3.2250628590883299E-3</v>
      </c>
      <c r="D118" s="12">
        <f si="91" t="shared"/>
        <v>5.1387037213505259E-3</v>
      </c>
      <c r="E118" s="12">
        <f ref="E118:G118" si="104" t="shared">E102/E$108</f>
        <v>9.4059399501535065E-3</v>
      </c>
      <c r="F118" s="12">
        <f si="104" t="shared"/>
        <v>4.0978710872087354E-3</v>
      </c>
      <c r="G118" s="12">
        <f si="104" t="shared"/>
        <v>1.4049291609784381E-2</v>
      </c>
      <c r="H118" s="12">
        <f ref="H118:K118" si="105" t="shared">H102/H$108</f>
        <v>7.6794089111138766E-3</v>
      </c>
      <c r="I118" s="12" t="e">
        <f si="105" t="shared"/>
        <v>#DIV/0!</v>
      </c>
      <c r="J118" s="12" t="e">
        <f si="105" t="shared"/>
        <v>#DIV/0!</v>
      </c>
      <c r="K118" s="12" t="e">
        <f si="105" t="shared"/>
        <v>#DIV/0!</v>
      </c>
      <c r="L118" s="12">
        <f si="93" t="shared"/>
        <v>1.2031080146794862E-2</v>
      </c>
      <c r="M118" s="3" t="s">
        <v>211</v>
      </c>
      <c r="N118" s="12">
        <f si="94" t="shared"/>
        <v>9.9189049084080303E-3</v>
      </c>
      <c r="O118" s="12">
        <f si="94" t="shared"/>
        <v>9.0477203431893923E-3</v>
      </c>
      <c r="P118" s="12">
        <f si="94" t="shared"/>
        <v>1.0242820628476921E-2</v>
      </c>
      <c r="Q118" s="12">
        <f ref="Q118:S118" si="106" t="shared">Q102/Q$108</f>
        <v>1.3761647397461595E-2</v>
      </c>
      <c r="R118" s="12">
        <f si="106" t="shared"/>
        <v>1.1564688864978873E-2</v>
      </c>
      <c r="S118" s="12">
        <f si="106" t="shared"/>
        <v>1.1245640400374287E-2</v>
      </c>
      <c r="T118" s="12">
        <f ref="T118:W118" si="107" t="shared">T102/T$108</f>
        <v>1.0324455205811139E-2</v>
      </c>
      <c r="U118" s="12" t="e">
        <f si="107" t="shared"/>
        <v>#DIV/0!</v>
      </c>
      <c r="V118" s="12" t="e">
        <f si="107" t="shared"/>
        <v>#DIV/0!</v>
      </c>
      <c r="W118" s="12" t="e">
        <f si="107" t="shared"/>
        <v>#DIV/0!</v>
      </c>
      <c r="X118" s="12">
        <f si="96" t="shared"/>
        <v>1.097313562792504E-2</v>
      </c>
      <c r="Y118" s="3" t="s">
        <v>211</v>
      </c>
      <c r="Z118" s="12">
        <f si="97" t="shared"/>
        <v>-7.3798548911445088E-3</v>
      </c>
      <c r="AA118" s="12">
        <f si="97" t="shared"/>
        <v>5.8226574841010624E-3</v>
      </c>
      <c r="AB118" s="12">
        <f si="97" t="shared"/>
        <v>5.1041169071263954E-3</v>
      </c>
      <c r="AC118" s="12">
        <f si="97" t="shared"/>
        <v>4.3557074473080885E-3</v>
      </c>
      <c r="AD118" s="12">
        <f ref="AD118:AD124" si="108" t="shared">R118-F118</f>
        <v>7.4668177777701379E-3</v>
      </c>
      <c r="AE118" s="12">
        <f ref="AE118:AF124" si="109" t="shared">S118-G118</f>
        <v>-2.8036512094100942E-3</v>
      </c>
      <c r="AF118" s="12">
        <f si="99" t="shared"/>
        <v>2.6450462946972621E-3</v>
      </c>
      <c r="AG118" s="12" t="e">
        <f si="100" t="shared"/>
        <v>#DIV/0!</v>
      </c>
      <c r="AH118" s="12" t="e">
        <f si="101" t="shared"/>
        <v>#DIV/0!</v>
      </c>
      <c r="AI118" s="12" t="e">
        <f si="102" t="shared"/>
        <v>#DIV/0!</v>
      </c>
      <c r="AJ118" s="12">
        <f si="103" t="shared"/>
        <v>-1.057944518869822E-3</v>
      </c>
    </row>
    <row r="119" spans="1:36" x14ac:dyDescent="0.2">
      <c r="A119" s="3" t="s">
        <v>212</v>
      </c>
      <c r="B119" s="12">
        <f si="91" t="shared"/>
        <v>0.17168374111442306</v>
      </c>
      <c r="C119" s="12">
        <f si="91" t="shared"/>
        <v>0.13054923438637098</v>
      </c>
      <c r="D119" s="12">
        <f si="91" t="shared"/>
        <v>0.13524985371700685</v>
      </c>
      <c r="E119" s="12">
        <f ref="E119:G119" si="110" t="shared">E103/E$108</f>
        <v>0.18242238905052288</v>
      </c>
      <c r="F119" s="12">
        <f si="110" t="shared"/>
        <v>0.14198959648873788</v>
      </c>
      <c r="G119" s="12">
        <f si="110" t="shared"/>
        <v>0.13442171229469052</v>
      </c>
      <c r="H119" s="12">
        <f ref="H119:K119" si="111" t="shared">H103/H$108</f>
        <v>0.1211355820125425</v>
      </c>
      <c r="I119" s="12" t="e">
        <f si="111" t="shared"/>
        <v>#DIV/0!</v>
      </c>
      <c r="J119" s="12" t="e">
        <f si="111" t="shared"/>
        <v>#DIV/0!</v>
      </c>
      <c r="K119" s="12" t="e">
        <f si="111" t="shared"/>
        <v>#DIV/0!</v>
      </c>
      <c r="L119" s="12">
        <f si="93" t="shared"/>
        <v>0.15801909756419744</v>
      </c>
      <c r="M119" s="3" t="s">
        <v>212</v>
      </c>
      <c r="N119" s="12">
        <f si="94" t="shared"/>
        <v>0.1609349272964529</v>
      </c>
      <c r="O119" s="12">
        <f si="94" t="shared"/>
        <v>0.14384173580089343</v>
      </c>
      <c r="P119" s="12">
        <f si="94" t="shared"/>
        <v>0.13638926477221469</v>
      </c>
      <c r="Q119" s="12">
        <f ref="Q119:S119" si="112" t="shared">Q103/Q$108</f>
        <v>0.17029658198072065</v>
      </c>
      <c r="R119" s="12">
        <f si="112" t="shared"/>
        <v>0.15267811972267548</v>
      </c>
      <c r="S119" s="12">
        <f si="112" t="shared"/>
        <v>0.17246150792525591</v>
      </c>
      <c r="T119" s="12">
        <f ref="T119:W119" si="113" t="shared">T103/T$108</f>
        <v>0.15075060532687651</v>
      </c>
      <c r="U119" s="12" t="e">
        <f si="113" t="shared"/>
        <v>#DIV/0!</v>
      </c>
      <c r="V119" s="12" t="e">
        <f si="113" t="shared"/>
        <v>#DIV/0!</v>
      </c>
      <c r="W119" s="12" t="e">
        <f si="113" t="shared"/>
        <v>#DIV/0!</v>
      </c>
      <c r="X119" s="12">
        <f si="96" t="shared"/>
        <v>0.16051519083186452</v>
      </c>
      <c r="Y119" s="3" t="s">
        <v>212</v>
      </c>
      <c r="Z119" s="12">
        <f si="97" t="shared"/>
        <v>-1.074881381797016E-2</v>
      </c>
      <c r="AA119" s="12">
        <f si="97" t="shared"/>
        <v>1.3292501414522456E-2</v>
      </c>
      <c r="AB119" s="12">
        <f si="97" t="shared"/>
        <v>1.1394110552078451E-3</v>
      </c>
      <c r="AC119" s="12">
        <f si="97" t="shared"/>
        <v>-1.2125807069802236E-2</v>
      </c>
      <c r="AD119" s="12">
        <f si="108" t="shared"/>
        <v>1.0688523233937597E-2</v>
      </c>
      <c r="AE119" s="12">
        <f si="109" t="shared"/>
        <v>3.8039795630565393E-2</v>
      </c>
      <c r="AF119" s="12">
        <f si="99" t="shared"/>
        <v>2.9615023314334007E-2</v>
      </c>
      <c r="AG119" s="12" t="e">
        <f si="100" t="shared"/>
        <v>#DIV/0!</v>
      </c>
      <c r="AH119" s="12" t="e">
        <f si="101" t="shared"/>
        <v>#DIV/0!</v>
      </c>
      <c r="AI119" s="12" t="e">
        <f si="102" t="shared"/>
        <v>#DIV/0!</v>
      </c>
      <c r="AJ119" s="12">
        <f si="103" t="shared"/>
        <v>2.4960932676670877E-3</v>
      </c>
    </row>
    <row r="120" spans="1:36" x14ac:dyDescent="0.2">
      <c r="A120" s="3" t="s">
        <v>213</v>
      </c>
      <c r="B120" s="12">
        <f si="91" t="shared"/>
        <v>0.27906180968327715</v>
      </c>
      <c r="C120" s="12">
        <f si="91" t="shared"/>
        <v>0.35997728365853698</v>
      </c>
      <c r="D120" s="12">
        <f si="91" t="shared"/>
        <v>0.21001648643658924</v>
      </c>
      <c r="E120" s="12">
        <f ref="E120:G120" si="114" t="shared">E104/E$108</f>
        <v>0.3146009116366742</v>
      </c>
      <c r="F120" s="12">
        <f si="114" t="shared"/>
        <v>0.33147626716996315</v>
      </c>
      <c r="G120" s="12">
        <f si="114" t="shared"/>
        <v>0.30892713538207434</v>
      </c>
      <c r="H120" s="12">
        <f ref="H120:K120" si="115" t="shared">H104/H$108</f>
        <v>0.3284610156604309</v>
      </c>
      <c r="I120" s="12" t="e">
        <f si="115" t="shared"/>
        <v>#DIV/0!</v>
      </c>
      <c r="J120" s="12" t="e">
        <f si="115" t="shared"/>
        <v>#DIV/0!</v>
      </c>
      <c r="K120" s="12" t="e">
        <f si="115" t="shared"/>
        <v>#DIV/0!</v>
      </c>
      <c r="L120" s="12">
        <f si="93" t="shared"/>
        <v>0.29970761599423429</v>
      </c>
      <c r="M120" s="3" t="s">
        <v>213</v>
      </c>
      <c r="N120" s="12">
        <f si="94" t="shared"/>
        <v>0.31770685405465526</v>
      </c>
      <c r="O120" s="12">
        <f si="94" t="shared"/>
        <v>0.33201446500744525</v>
      </c>
      <c r="P120" s="12">
        <f si="94" t="shared"/>
        <v>0.33006314839873702</v>
      </c>
      <c r="Q120" s="12">
        <f ref="Q120:S120" si="116" t="shared">Q104/Q$108</f>
        <v>0.30623904829403403</v>
      </c>
      <c r="R120" s="12">
        <f si="116" t="shared"/>
        <v>0.31859542115276362</v>
      </c>
      <c r="S120" s="12">
        <f si="116" t="shared"/>
        <v>0.31138458048600676</v>
      </c>
      <c r="T120" s="12">
        <f ref="T120:W120" si="117" t="shared">T104/T$108</f>
        <v>0.32537530266343828</v>
      </c>
      <c r="U120" s="12" t="e">
        <f si="117" t="shared"/>
        <v>#DIV/0!</v>
      </c>
      <c r="V120" s="12" t="e">
        <f si="117" t="shared"/>
        <v>#DIV/0!</v>
      </c>
      <c r="W120" s="12" t="e">
        <f si="117" t="shared"/>
        <v>#DIV/0!</v>
      </c>
      <c r="X120" s="12">
        <f si="96" t="shared"/>
        <v>0.31679115258640739</v>
      </c>
      <c r="Y120" s="3" t="s">
        <v>213</v>
      </c>
      <c r="Z120" s="12">
        <f si="97" t="shared"/>
        <v>3.8645044371378112E-2</v>
      </c>
      <c r="AA120" s="12">
        <f si="97" t="shared"/>
        <v>-2.7962818651091736E-2</v>
      </c>
      <c r="AB120" s="12">
        <f si="97" t="shared"/>
        <v>0.12004666196214778</v>
      </c>
      <c r="AC120" s="12">
        <f si="97" t="shared"/>
        <v>-8.3618633426401634E-3</v>
      </c>
      <c r="AD120" s="12">
        <f si="108" t="shared"/>
        <v>-1.2880846017199521E-2</v>
      </c>
      <c r="AE120" s="12">
        <f si="109" t="shared"/>
        <v>2.4574451039324208E-3</v>
      </c>
      <c r="AF120" s="12">
        <f si="99" t="shared"/>
        <v>-3.0857129969926178E-3</v>
      </c>
      <c r="AG120" s="12" t="e">
        <f si="100" t="shared"/>
        <v>#DIV/0!</v>
      </c>
      <c r="AH120" s="12" t="e">
        <f si="101" t="shared"/>
        <v>#DIV/0!</v>
      </c>
      <c r="AI120" s="12" t="e">
        <f si="102" t="shared"/>
        <v>#DIV/0!</v>
      </c>
      <c r="AJ120" s="12">
        <f si="103" t="shared"/>
        <v>1.7083536592173099E-2</v>
      </c>
    </row>
    <row r="121" spans="1:36" x14ac:dyDescent="0.2">
      <c r="A121" s="3" t="s">
        <v>214</v>
      </c>
      <c r="B121" s="12">
        <f si="91" t="shared"/>
        <v>0.18249025803840285</v>
      </c>
      <c r="C121" s="12">
        <f si="91" t="shared"/>
        <v>0.21390779466707419</v>
      </c>
      <c r="D121" s="12">
        <f si="91" t="shared"/>
        <v>0.22587271181866153</v>
      </c>
      <c r="E121" s="12">
        <f ref="E121:G121" si="118" t="shared">E105/E$108</f>
        <v>0.21948885787509972</v>
      </c>
      <c r="F121" s="12">
        <f si="118" t="shared"/>
        <v>0.22902344065717042</v>
      </c>
      <c r="G121" s="12">
        <f si="118" t="shared"/>
        <v>0.26647715418113849</v>
      </c>
      <c r="H121" s="12">
        <f ref="H121:K121" si="119" t="shared">H105/H$108</f>
        <v>0.21552462537906653</v>
      </c>
      <c r="I121" s="12" t="e">
        <f si="119" t="shared"/>
        <v>#DIV/0!</v>
      </c>
      <c r="J121" s="12" t="e">
        <f si="119" t="shared"/>
        <v>#DIV/0!</v>
      </c>
      <c r="K121" s="12" t="e">
        <f si="119" t="shared"/>
        <v>#DIV/0!</v>
      </c>
      <c r="L121" s="12">
        <f si="93" t="shared"/>
        <v>0.21103261297731749</v>
      </c>
      <c r="M121" s="3" t="s">
        <v>214</v>
      </c>
      <c r="N121" s="12">
        <f si="94" t="shared"/>
        <v>0.21075190224893392</v>
      </c>
      <c r="O121" s="12">
        <f si="94" t="shared"/>
        <v>0.21703183719775934</v>
      </c>
      <c r="P121" s="12">
        <f si="94" t="shared"/>
        <v>0.20346564426402045</v>
      </c>
      <c r="Q121" s="12">
        <f ref="Q121:S121" si="120" t="shared">Q105/Q$108</f>
        <v>0.19573715036067255</v>
      </c>
      <c r="R121" s="12">
        <f si="120" t="shared"/>
        <v>0.20312667003940402</v>
      </c>
      <c r="S121" s="12">
        <f si="120" t="shared"/>
        <v>0.20176368843394674</v>
      </c>
      <c r="T121" s="12">
        <f ref="T121:W121" si="121" t="shared">T105/T$108</f>
        <v>0.20528813559322034</v>
      </c>
      <c r="U121" s="12" t="e">
        <f si="121" t="shared"/>
        <v>#DIV/0!</v>
      </c>
      <c r="V121" s="12" t="e">
        <f si="121" t="shared"/>
        <v>#DIV/0!</v>
      </c>
      <c r="W121" s="12" t="e">
        <f si="121" t="shared"/>
        <v>#DIV/0!</v>
      </c>
      <c r="X121" s="12">
        <f si="96" t="shared"/>
        <v>0.20557050674212818</v>
      </c>
      <c r="Y121" s="3" t="s">
        <v>214</v>
      </c>
      <c r="Z121" s="12">
        <f si="97" t="shared"/>
        <v>2.8261644210531067E-2</v>
      </c>
      <c r="AA121" s="12">
        <f si="97" t="shared"/>
        <v>3.124042530685156E-3</v>
      </c>
      <c r="AB121" s="12">
        <f si="97" t="shared"/>
        <v>-2.2407067554641086E-2</v>
      </c>
      <c r="AC121" s="12">
        <f si="97" t="shared"/>
        <v>-2.3751707514427178E-2</v>
      </c>
      <c r="AD121" s="12">
        <f si="108" t="shared"/>
        <v>-2.5896770617766407E-2</v>
      </c>
      <c r="AE121" s="12">
        <f si="109" t="shared"/>
        <v>-6.4713465747191751E-2</v>
      </c>
      <c r="AF121" s="12">
        <f si="99" t="shared"/>
        <v>-1.0236489785846181E-2</v>
      </c>
      <c r="AG121" s="12" t="e">
        <f si="100" t="shared"/>
        <v>#DIV/0!</v>
      </c>
      <c r="AH121" s="12" t="e">
        <f si="101" t="shared"/>
        <v>#DIV/0!</v>
      </c>
      <c r="AI121" s="12" t="e">
        <f si="102" t="shared"/>
        <v>#DIV/0!</v>
      </c>
      <c r="AJ121" s="12">
        <f si="103" t="shared"/>
        <v>-5.4621062351893068E-3</v>
      </c>
    </row>
    <row r="122" spans="1:36" x14ac:dyDescent="0.2">
      <c r="A122" s="3" t="s">
        <v>129</v>
      </c>
      <c r="B122" s="12">
        <f si="91" t="shared"/>
        <v>0.11185288017264505</v>
      </c>
      <c r="C122" s="12">
        <f si="91" t="shared"/>
        <v>0.10483376120155584</v>
      </c>
      <c r="D122" s="12">
        <f si="91" t="shared"/>
        <v>0.13296342829022331</v>
      </c>
      <c r="E122" s="12">
        <f ref="E122:G122" si="122" t="shared">E106/E$108</f>
        <v>0.1010707313921016</v>
      </c>
      <c r="F122" s="12">
        <f si="122" t="shared"/>
        <v>0.12245913004315574</v>
      </c>
      <c r="G122" s="12">
        <f si="122" t="shared"/>
        <v>0.11078377596905623</v>
      </c>
      <c r="H122" s="12">
        <f ref="H122:K122" si="123" t="shared">H106/H$108</f>
        <v>0.150352046743848</v>
      </c>
      <c r="I122" s="12" t="e">
        <f si="123" t="shared"/>
        <v>#DIV/0!</v>
      </c>
      <c r="J122" s="12" t="e">
        <f si="123" t="shared"/>
        <v>#DIV/0!</v>
      </c>
      <c r="K122" s="12" t="e">
        <f si="123" t="shared"/>
        <v>#DIV/0!</v>
      </c>
      <c r="L122" s="12">
        <f si="93" t="shared"/>
        <v>0.11436595431178082</v>
      </c>
      <c r="M122" s="3" t="s">
        <v>129</v>
      </c>
      <c r="N122" s="12">
        <f si="94" t="shared"/>
        <v>0.10161812811951942</v>
      </c>
      <c r="O122" s="12">
        <f si="94" t="shared"/>
        <v>0.10285754803942423</v>
      </c>
      <c r="P122" s="12">
        <f si="94" t="shared"/>
        <v>0.10654412870245077</v>
      </c>
      <c r="Q122" s="12">
        <f ref="Q122:S122" si="124" t="shared">Q106/Q$108</f>
        <v>0.10268406475148595</v>
      </c>
      <c r="R122" s="12">
        <f si="124" t="shared"/>
        <v>0.10281386052543448</v>
      </c>
      <c r="S122" s="12">
        <f si="124" t="shared"/>
        <v>9.8301528340941954E-2</v>
      </c>
      <c r="T122" s="12">
        <f ref="T122:W122" si="125" t="shared">T106/T$108</f>
        <v>0.10337046004842615</v>
      </c>
      <c r="U122" s="12" t="e">
        <f si="125" t="shared"/>
        <v>#DIV/0!</v>
      </c>
      <c r="V122" s="12" t="e">
        <f si="125" t="shared"/>
        <v>#DIV/0!</v>
      </c>
      <c r="W122" s="12" t="e">
        <f si="125" t="shared"/>
        <v>#DIV/0!</v>
      </c>
      <c r="X122" s="12">
        <f si="96" t="shared"/>
        <v>0.10189888334603119</v>
      </c>
      <c r="Y122" s="3" t="s">
        <v>129</v>
      </c>
      <c r="Z122" s="12">
        <f si="97" t="shared"/>
        <v>-1.0234752053125629E-2</v>
      </c>
      <c r="AA122" s="12">
        <f si="97" t="shared"/>
        <v>-1.9762131621316043E-3</v>
      </c>
      <c r="AB122" s="12">
        <f si="97" t="shared"/>
        <v>-2.6419299587772546E-2</v>
      </c>
      <c r="AC122" s="12">
        <f si="97" t="shared"/>
        <v>1.6133333593843502E-3</v>
      </c>
      <c r="AD122" s="12">
        <f si="108" t="shared"/>
        <v>-1.9645269517721262E-2</v>
      </c>
      <c r="AE122" s="12">
        <f si="109" t="shared"/>
        <v>-1.2482247628114271E-2</v>
      </c>
      <c r="AF122" s="12">
        <f si="99" t="shared"/>
        <v>-4.6981586695421851E-2</v>
      </c>
      <c r="AG122" s="12" t="e">
        <f si="100" t="shared"/>
        <v>#DIV/0!</v>
      </c>
      <c r="AH122" s="12" t="e">
        <f si="101" t="shared"/>
        <v>#DIV/0!</v>
      </c>
      <c r="AI122" s="12" t="e">
        <f si="102" t="shared"/>
        <v>#DIV/0!</v>
      </c>
      <c r="AJ122" s="12">
        <f si="103" t="shared"/>
        <v>-1.246707096574963E-2</v>
      </c>
    </row>
    <row r="123" spans="1:36" x14ac:dyDescent="0.2">
      <c r="A123" s="3" t="s">
        <v>130</v>
      </c>
      <c r="B123" s="13">
        <f ref="B123:G124" si="126" t="shared">B107/B$108</f>
        <v>0.11840541978821253</v>
      </c>
      <c r="C123" s="13">
        <f si="126" t="shared"/>
        <v>0.10392803288167853</v>
      </c>
      <c r="D123" s="13">
        <f si="126" t="shared"/>
        <v>0.14177175950870025</v>
      </c>
      <c r="E123" s="13">
        <f si="126" t="shared"/>
        <v>0.10071845163814634</v>
      </c>
      <c r="F123" s="13">
        <f si="126" t="shared"/>
        <v>0.10451508077178828</v>
      </c>
      <c r="G123" s="13">
        <f si="126" t="shared"/>
        <v>0.1143168929288762</v>
      </c>
      <c r="H123" s="13">
        <f ref="H123:K123" si="127" t="shared">H107/H$108</f>
        <v>9.1606537645875438E-2</v>
      </c>
      <c r="I123" s="13" t="e">
        <f si="127" t="shared"/>
        <v>#DIV/0!</v>
      </c>
      <c r="J123" s="13" t="e">
        <f si="127" t="shared"/>
        <v>#DIV/0!</v>
      </c>
      <c r="K123" s="13" t="e">
        <f si="127" t="shared"/>
        <v>#DIV/0!</v>
      </c>
      <c r="L123" s="13">
        <f si="93" t="shared"/>
        <v>0.11150261981187082</v>
      </c>
      <c r="M123" s="3" t="s">
        <v>130</v>
      </c>
      <c r="N123" s="13">
        <f si="94" t="shared"/>
        <v>9.9268495659237746E-2</v>
      </c>
      <c r="O123" s="13">
        <f si="94" t="shared"/>
        <v>0.11650003545344963</v>
      </c>
      <c r="P123" s="13">
        <f si="94" t="shared"/>
        <v>0.12404149751917005</v>
      </c>
      <c r="Q123" s="13">
        <f ref="Q123:S123" si="128" t="shared">Q107/Q$108</f>
        <v>0.11365859809467492</v>
      </c>
      <c r="R123" s="13">
        <f si="128" t="shared"/>
        <v>0.11803393163793902</v>
      </c>
      <c r="S123" s="13">
        <f si="128" t="shared"/>
        <v>0.11609153032580033</v>
      </c>
      <c r="T123" s="13">
        <f ref="T123:W123" si="129" t="shared">T107/T$108</f>
        <v>0.11321065375302664</v>
      </c>
      <c r="U123" s="13" t="e">
        <f si="129" t="shared"/>
        <v>#DIV/0!</v>
      </c>
      <c r="V123" s="13" t="e">
        <f si="129" t="shared"/>
        <v>#DIV/0!</v>
      </c>
      <c r="W123" s="13" t="e">
        <f si="129" t="shared"/>
        <v>#DIV/0!</v>
      </c>
      <c r="X123" s="13">
        <f si="96" t="shared"/>
        <v>0.10935551033223999</v>
      </c>
      <c r="Y123" s="3" t="s">
        <v>130</v>
      </c>
      <c r="Z123" s="12">
        <f si="97" t="shared"/>
        <v>-1.9136924128974789E-2</v>
      </c>
      <c r="AA123" s="12">
        <f si="97" t="shared"/>
        <v>1.2572002571771101E-2</v>
      </c>
      <c r="AB123" s="12">
        <f si="97" t="shared"/>
        <v>-1.7730261989530191E-2</v>
      </c>
      <c r="AC123" s="12">
        <f si="97" t="shared"/>
        <v>1.2940146456528578E-2</v>
      </c>
      <c r="AD123" s="12">
        <f si="108" t="shared"/>
        <v>1.3518850866150733E-2</v>
      </c>
      <c r="AE123" s="12">
        <f si="109" t="shared"/>
        <v>1.774637396924128E-3</v>
      </c>
      <c r="AF123" s="12">
        <f si="99" t="shared"/>
        <v>2.1604116107151197E-2</v>
      </c>
      <c r="AG123" s="12" t="e">
        <f si="100" t="shared"/>
        <v>#DIV/0!</v>
      </c>
      <c r="AH123" s="12" t="e">
        <f si="101" t="shared"/>
        <v>#DIV/0!</v>
      </c>
      <c r="AI123" s="12" t="e">
        <f si="102" t="shared"/>
        <v>#DIV/0!</v>
      </c>
      <c r="AJ123" s="12">
        <f si="103" t="shared"/>
        <v>-2.1471094796308293E-3</v>
      </c>
    </row>
    <row ht="13.5" r="124" spans="1:36" thickBot="1" x14ac:dyDescent="0.25">
      <c r="A124" s="10" t="s">
        <v>220</v>
      </c>
      <c r="B124" s="17">
        <f si="126" t="shared"/>
        <v>1</v>
      </c>
      <c r="C124" s="17">
        <f si="126" t="shared"/>
        <v>1</v>
      </c>
      <c r="D124" s="17">
        <f si="126" t="shared"/>
        <v>1</v>
      </c>
      <c r="E124" s="17">
        <f si="126" t="shared"/>
        <v>1</v>
      </c>
      <c r="F124" s="17">
        <f si="126" t="shared"/>
        <v>1</v>
      </c>
      <c r="G124" s="17">
        <f si="126" t="shared"/>
        <v>1</v>
      </c>
      <c r="H124" s="17">
        <f ref="H124:K124" si="130" t="shared">H108/H$108</f>
        <v>1</v>
      </c>
      <c r="I124" s="17" t="e">
        <f si="130" t="shared"/>
        <v>#DIV/0!</v>
      </c>
      <c r="J124" s="17" t="e">
        <f si="130" t="shared"/>
        <v>#DIV/0!</v>
      </c>
      <c r="K124" s="17" t="e">
        <f si="130" t="shared"/>
        <v>#DIV/0!</v>
      </c>
      <c r="L124" s="17">
        <f si="93" t="shared"/>
        <v>1</v>
      </c>
      <c r="M124" s="10" t="s">
        <v>220</v>
      </c>
      <c r="N124" s="17">
        <f si="94" t="shared"/>
        <v>1</v>
      </c>
      <c r="O124" s="17">
        <f si="94" t="shared"/>
        <v>1</v>
      </c>
      <c r="P124" s="17">
        <f si="94" t="shared"/>
        <v>1</v>
      </c>
      <c r="Q124" s="17">
        <f si="94" t="shared"/>
        <v>1</v>
      </c>
      <c r="R124" s="17">
        <f si="94" t="shared"/>
        <v>1</v>
      </c>
      <c r="S124" s="17">
        <f si="94" t="shared"/>
        <v>1</v>
      </c>
      <c r="T124" s="17">
        <f ref="T124:W124" si="131" t="shared">T108/T$108</f>
        <v>1</v>
      </c>
      <c r="U124" s="17" t="e">
        <f si="131" t="shared"/>
        <v>#DIV/0!</v>
      </c>
      <c r="V124" s="17" t="e">
        <f si="131" t="shared"/>
        <v>#DIV/0!</v>
      </c>
      <c r="W124" s="17" t="e">
        <f si="131" t="shared"/>
        <v>#DIV/0!</v>
      </c>
      <c r="X124" s="17">
        <f si="96" t="shared"/>
        <v>1</v>
      </c>
      <c r="Y124" s="10" t="s">
        <v>220</v>
      </c>
      <c r="Z124" s="14">
        <f si="97" t="shared"/>
        <v>0</v>
      </c>
      <c r="AA124" s="14">
        <f si="97" t="shared"/>
        <v>0</v>
      </c>
      <c r="AB124" s="14">
        <f si="97" t="shared"/>
        <v>0</v>
      </c>
      <c r="AC124" s="14">
        <f si="97" t="shared"/>
        <v>0</v>
      </c>
      <c r="AD124" s="14">
        <f si="108" t="shared"/>
        <v>0</v>
      </c>
      <c r="AE124" s="14">
        <f si="109" t="shared"/>
        <v>0</v>
      </c>
      <c r="AF124" s="14">
        <f si="109" t="shared"/>
        <v>0</v>
      </c>
      <c r="AG124" s="14" t="e">
        <f si="100" t="shared"/>
        <v>#DIV/0!</v>
      </c>
      <c r="AH124" s="14" t="e">
        <f si="101" t="shared"/>
        <v>#DIV/0!</v>
      </c>
      <c r="AI124" s="14" t="e">
        <f si="102" t="shared"/>
        <v>#DIV/0!</v>
      </c>
      <c r="AJ124" s="14">
        <f si="103" t="shared"/>
        <v>0</v>
      </c>
    </row>
    <row r="125" spans="1:36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6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6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6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5"/>
  <conditionalFormatting sqref="Z21:AI28 Z85:AD92 Z53:AF60 Z117:AC124 AJ117:AJ124 AD117:AI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I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topLeftCell="A13" workbookViewId="0">
      <selection activeCell="I48" sqref="I48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68" t="s">
        <v>78</v>
      </c>
      <c r="Z2" s="268"/>
      <c r="AA2" s="268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242</v>
      </c>
      <c r="F4" s="6" t="s">
        <v>243</v>
      </c>
      <c r="G4" s="6" t="s">
        <v>244</v>
      </c>
      <c r="H4" s="6"/>
      <c r="I4" s="6" t="s">
        <v>245</v>
      </c>
      <c r="J4" s="6" t="s">
        <v>170</v>
      </c>
      <c r="K4" s="6" t="s">
        <v>220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242</v>
      </c>
      <c r="R4" s="6" t="s">
        <v>243</v>
      </c>
      <c r="S4" s="6" t="s">
        <v>244</v>
      </c>
      <c r="T4" s="6"/>
      <c r="U4" s="6" t="s">
        <v>245</v>
      </c>
      <c r="V4" s="6" t="s">
        <v>170</v>
      </c>
      <c r="W4" s="6" t="s">
        <v>220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242</v>
      </c>
      <c r="AD4" s="6" t="s">
        <v>243</v>
      </c>
      <c r="AE4" s="6" t="s">
        <v>244</v>
      </c>
      <c r="AF4" s="6"/>
      <c r="AG4" s="6" t="s">
        <v>245</v>
      </c>
      <c r="AH4" s="6" t="s">
        <v>170</v>
      </c>
      <c r="AI4" s="6" t="s">
        <v>220</v>
      </c>
    </row>
    <row customHeight="1" ht="12.75" r="5" spans="1:35" x14ac:dyDescent="0.2">
      <c r="A5" s="3" t="s">
        <v>210</v>
      </c>
      <c r="B5" s="7">
        <f>output_NHTS!B262</f>
        <v>628289.70095700002</v>
      </c>
      <c r="C5" s="7">
        <f>output_NHTS!C262</f>
        <v>88148.422424999997</v>
      </c>
      <c r="D5" s="7">
        <f>output_NHTS!D262</f>
        <v>3790.6631579999998</v>
      </c>
      <c r="E5" s="7">
        <f>output_NHTS!E262</f>
        <v>15887.099299</v>
      </c>
      <c r="F5" s="7">
        <f>output_NHTS!F262</f>
        <v>15529.638381999999</v>
      </c>
      <c r="G5" s="7">
        <f>output_NHTS!G262</f>
        <v>1844.642272</v>
      </c>
      <c r="H5" s="7"/>
      <c r="I5" s="7">
        <f>output_NHTS!H262</f>
        <v>1016.516526</v>
      </c>
      <c r="J5" s="7">
        <f>output_NHTS!I262</f>
        <v>0</v>
      </c>
      <c r="K5" s="7">
        <f>output_NHTS!J262</f>
        <v>754506.68301899999</v>
      </c>
      <c r="L5" s="7"/>
      <c r="M5" s="3" t="s">
        <v>210</v>
      </c>
      <c r="N5" s="7">
        <f>output!B262</f>
        <v>754366</v>
      </c>
      <c r="O5" s="7">
        <f>output!C262</f>
        <v>81504</v>
      </c>
      <c r="P5" s="7">
        <f>output!D262</f>
        <v>0</v>
      </c>
      <c r="Q5" s="7">
        <f>output!E262</f>
        <v>0</v>
      </c>
      <c r="R5" s="7">
        <f>output!F262</f>
        <v>13761</v>
      </c>
      <c r="S5" s="7">
        <f>output!G262</f>
        <v>2391</v>
      </c>
      <c r="T5" s="7"/>
      <c r="U5" s="7">
        <f>output!H262</f>
        <v>0</v>
      </c>
      <c r="V5" s="7">
        <f>output!I262</f>
        <v>0</v>
      </c>
      <c r="W5" s="7">
        <f>output!J262</f>
        <v>852022</v>
      </c>
      <c r="Y5" s="3" t="s">
        <v>210</v>
      </c>
      <c r="Z5" s="7">
        <f ref="Z5:Z13" si="0" t="shared">N5-B5</f>
        <v>126076.29904299998</v>
      </c>
      <c r="AA5" s="7">
        <f ref="AA5:AA13" si="1" t="shared">O5-C5</f>
        <v>-6644.422424999997</v>
      </c>
      <c r="AB5" s="7">
        <f ref="AB5:AB13" si="2" t="shared">P5-D5</f>
        <v>-3790.6631579999998</v>
      </c>
      <c r="AC5" s="7">
        <f ref="AC5:AC13" si="3" t="shared">Q5-E5</f>
        <v>-15887.099299</v>
      </c>
      <c r="AD5" s="7">
        <f ref="AD5:AD13" si="4" t="shared">R5-F5</f>
        <v>-1768.6383819999992</v>
      </c>
      <c r="AE5" s="7">
        <f ref="AE5:AE13" si="5" t="shared">S5-G5</f>
        <v>546.35772799999995</v>
      </c>
      <c r="AF5" s="7"/>
      <c r="AG5" s="7">
        <f ref="AG5:AG13" si="6" t="shared">U5-I5</f>
        <v>-1016.516526</v>
      </c>
      <c r="AH5" s="7">
        <f ref="AH5:AH13" si="7" t="shared">V5-J5</f>
        <v>0</v>
      </c>
      <c r="AI5" s="7">
        <f ref="AI5:AI13" si="8" t="shared">W5-K5</f>
        <v>97515.316981000011</v>
      </c>
    </row>
    <row customHeight="1" ht="12.75" r="6" spans="1:35" x14ac:dyDescent="0.2">
      <c r="A6" s="3" t="s">
        <v>211</v>
      </c>
      <c r="B6" s="7">
        <f>output_NHTS!B263</f>
        <v>8923.4659279999996</v>
      </c>
      <c r="C6" s="7">
        <f>output_NHTS!C263</f>
        <v>2499.2473519999999</v>
      </c>
      <c r="D6" s="7">
        <f>output_NHTS!D263</f>
        <v>310.38361500000002</v>
      </c>
      <c r="E6" s="7">
        <f>output_NHTS!E263</f>
        <v>3274.0558460000002</v>
      </c>
      <c r="F6" s="7">
        <f>output_NHTS!F263</f>
        <v>14766.340829000001</v>
      </c>
      <c r="G6" s="7">
        <f>output_NHTS!G263</f>
        <v>22352.449462</v>
      </c>
      <c r="H6" s="7"/>
      <c r="I6" s="7">
        <f>output_NHTS!H263</f>
        <v>184703.299895</v>
      </c>
      <c r="J6" s="7">
        <f>output_NHTS!I263</f>
        <v>0</v>
      </c>
      <c r="K6" s="7">
        <f>output_NHTS!J263</f>
        <v>236829.24292700001</v>
      </c>
      <c r="L6" s="7"/>
      <c r="M6" s="3" t="s">
        <v>211</v>
      </c>
      <c r="N6" s="7">
        <f>output!B263</f>
        <v>8884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15374</v>
      </c>
      <c r="S6" s="7">
        <f>output!G263</f>
        <v>26096</v>
      </c>
      <c r="T6" s="7"/>
      <c r="U6" s="7">
        <f>output!H263</f>
        <v>175294</v>
      </c>
      <c r="V6" s="7">
        <f>output!I263</f>
        <v>0</v>
      </c>
      <c r="W6" s="7">
        <f>output!J263</f>
        <v>225648</v>
      </c>
      <c r="Y6" s="3" t="s">
        <v>211</v>
      </c>
      <c r="Z6" s="7">
        <f si="0" t="shared"/>
        <v>-39.465927999999622</v>
      </c>
      <c r="AA6" s="7">
        <f si="1" t="shared"/>
        <v>-2499.2473519999999</v>
      </c>
      <c r="AB6" s="7">
        <f si="2" t="shared"/>
        <v>-310.38361500000002</v>
      </c>
      <c r="AC6" s="7">
        <f si="3" t="shared"/>
        <v>-3274.0558460000002</v>
      </c>
      <c r="AD6" s="7">
        <f si="4" t="shared"/>
        <v>607.65917099999933</v>
      </c>
      <c r="AE6" s="7">
        <f si="5" t="shared"/>
        <v>3743.5505379999995</v>
      </c>
      <c r="AF6" s="7"/>
      <c r="AG6" s="7">
        <f si="6" t="shared"/>
        <v>-9409.2998950000037</v>
      </c>
      <c r="AH6" s="7">
        <f si="7" t="shared"/>
        <v>0</v>
      </c>
      <c r="AI6" s="7">
        <f si="8" t="shared"/>
        <v>-11181.242927000014</v>
      </c>
    </row>
    <row customHeight="1" ht="12.75" r="7" spans="1:35" x14ac:dyDescent="0.2">
      <c r="A7" s="3" t="s">
        <v>212</v>
      </c>
      <c r="B7" s="7">
        <f>output_NHTS!B264</f>
        <v>185565.99115700001</v>
      </c>
      <c r="C7" s="7">
        <f>output_NHTS!C264</f>
        <v>45738.942720999999</v>
      </c>
      <c r="D7" s="7">
        <f>output_NHTS!D264</f>
        <v>17917.130301000001</v>
      </c>
      <c r="E7" s="7">
        <f>output_NHTS!E264</f>
        <v>85712.404739000005</v>
      </c>
      <c r="F7" s="7">
        <f>output_NHTS!F264</f>
        <v>10477.270543000001</v>
      </c>
      <c r="G7" s="7">
        <f>output_NHTS!G264</f>
        <v>4062.6044069999998</v>
      </c>
      <c r="H7" s="7"/>
      <c r="I7" s="7">
        <f>output_NHTS!H264</f>
        <v>35617.496273999997</v>
      </c>
      <c r="J7" s="7">
        <f>output_NHTS!I264</f>
        <v>0</v>
      </c>
      <c r="K7" s="7">
        <f>output_NHTS!J264</f>
        <v>385091.840142</v>
      </c>
      <c r="L7" s="7"/>
      <c r="M7" s="3" t="s">
        <v>212</v>
      </c>
      <c r="N7" s="7">
        <f>output!B264</f>
        <v>176075</v>
      </c>
      <c r="O7" s="7">
        <f>output!C264</f>
        <v>56116</v>
      </c>
      <c r="P7" s="7">
        <f>output!D264</f>
        <v>23750</v>
      </c>
      <c r="Q7" s="7">
        <f>output!E264</f>
        <v>101348</v>
      </c>
      <c r="R7" s="7">
        <f>output!F264</f>
        <v>10419</v>
      </c>
      <c r="S7" s="7">
        <f>output!G264</f>
        <v>4855</v>
      </c>
      <c r="T7" s="7"/>
      <c r="U7" s="7">
        <f>output!H264</f>
        <v>28842</v>
      </c>
      <c r="V7" s="7">
        <f>output!I264</f>
        <v>0</v>
      </c>
      <c r="W7" s="7">
        <f>output!J264</f>
        <v>401405</v>
      </c>
      <c r="Y7" s="3" t="s">
        <v>212</v>
      </c>
      <c r="Z7" s="7">
        <f si="0" t="shared"/>
        <v>-9490.9911570000113</v>
      </c>
      <c r="AA7" s="7">
        <f si="1" t="shared"/>
        <v>10377.057279000001</v>
      </c>
      <c r="AB7" s="7">
        <f si="2" t="shared"/>
        <v>5832.8696989999989</v>
      </c>
      <c r="AC7" s="7">
        <f si="3" t="shared"/>
        <v>15635.595260999995</v>
      </c>
      <c r="AD7" s="7">
        <f si="4" t="shared"/>
        <v>-58.270543000000544</v>
      </c>
      <c r="AE7" s="7">
        <f si="5" t="shared"/>
        <v>792.39559300000019</v>
      </c>
      <c r="AF7" s="7"/>
      <c r="AG7" s="7">
        <f si="6" t="shared"/>
        <v>-6775.4962739999974</v>
      </c>
      <c r="AH7" s="7">
        <f si="7" t="shared"/>
        <v>0</v>
      </c>
      <c r="AI7" s="7">
        <f si="8" t="shared"/>
        <v>16313.159857999999</v>
      </c>
    </row>
    <row customHeight="1" ht="12.75" r="8" spans="1:35" x14ac:dyDescent="0.2">
      <c r="A8" s="3" t="s">
        <v>213</v>
      </c>
      <c r="B8" s="7">
        <f>output_NHTS!B265</f>
        <v>234548.349712</v>
      </c>
      <c r="C8" s="7">
        <f>output_NHTS!C265</f>
        <v>68773.491255999994</v>
      </c>
      <c r="D8" s="7">
        <f>output_NHTS!D265</f>
        <v>113418.227359</v>
      </c>
      <c r="E8" s="7">
        <f>output_NHTS!E265</f>
        <v>123122.576741</v>
      </c>
      <c r="F8" s="7">
        <f>output_NHTS!F265</f>
        <v>14611.743919999999</v>
      </c>
      <c r="G8" s="7">
        <f>output_NHTS!G265</f>
        <v>9589.8166230000006</v>
      </c>
      <c r="H8" s="7"/>
      <c r="I8" s="7">
        <f>output_NHTS!H265</f>
        <v>47190.645532000002</v>
      </c>
      <c r="J8" s="7">
        <f>output_NHTS!I265</f>
        <v>0</v>
      </c>
      <c r="K8" s="7">
        <f>output_NHTS!J265</f>
        <v>611254.85114300007</v>
      </c>
      <c r="L8" s="7"/>
      <c r="M8" s="3" t="s">
        <v>213</v>
      </c>
      <c r="N8" s="7">
        <f>output!B265</f>
        <v>248218</v>
      </c>
      <c r="O8" s="7">
        <f>output!C265</f>
        <v>78437</v>
      </c>
      <c r="P8" s="7">
        <f>output!D265</f>
        <v>146708</v>
      </c>
      <c r="Q8" s="7">
        <f>output!E265</f>
        <v>117831</v>
      </c>
      <c r="R8" s="7">
        <f>output!F265</f>
        <v>8977</v>
      </c>
      <c r="S8" s="7">
        <f>output!G265</f>
        <v>6759</v>
      </c>
      <c r="T8" s="7"/>
      <c r="U8" s="7">
        <f>output!H265</f>
        <v>47925</v>
      </c>
      <c r="V8" s="7">
        <f>output!I265</f>
        <v>0</v>
      </c>
      <c r="W8" s="7">
        <f>output!J265</f>
        <v>654855</v>
      </c>
      <c r="Y8" s="3" t="s">
        <v>213</v>
      </c>
      <c r="Z8" s="7">
        <f si="0" t="shared"/>
        <v>13669.650288000004</v>
      </c>
      <c r="AA8" s="7">
        <f si="1" t="shared"/>
        <v>9663.5087440000061</v>
      </c>
      <c r="AB8" s="7">
        <f si="2" t="shared"/>
        <v>33289.772641000003</v>
      </c>
      <c r="AC8" s="7">
        <f si="3" t="shared"/>
        <v>-5291.5767409999971</v>
      </c>
      <c r="AD8" s="7">
        <f si="4" t="shared"/>
        <v>-5634.743919999999</v>
      </c>
      <c r="AE8" s="7">
        <f si="5" t="shared"/>
        <v>-2830.8166230000006</v>
      </c>
      <c r="AF8" s="7"/>
      <c r="AG8" s="7">
        <f si="6" t="shared"/>
        <v>734.35446799999772</v>
      </c>
      <c r="AH8" s="7">
        <f si="7" t="shared"/>
        <v>0</v>
      </c>
      <c r="AI8" s="7">
        <f si="8" t="shared"/>
        <v>43600.148856999935</v>
      </c>
    </row>
    <row customHeight="1" ht="12.75" r="9" spans="1:35" x14ac:dyDescent="0.2">
      <c r="A9" s="3" t="s">
        <v>214</v>
      </c>
      <c r="B9" s="7">
        <f>output_NHTS!B266</f>
        <v>150143.306836</v>
      </c>
      <c r="C9" s="7">
        <f>output_NHTS!C266</f>
        <v>50883.126184000001</v>
      </c>
      <c r="D9" s="7">
        <f>output_NHTS!D266</f>
        <v>80646.760469999994</v>
      </c>
      <c r="E9" s="7">
        <f>output_NHTS!E266</f>
        <v>106339.59402600001</v>
      </c>
      <c r="F9" s="7">
        <f>output_NHTS!F266</f>
        <v>16268.390987999999</v>
      </c>
      <c r="G9" s="7">
        <f>output_NHTS!G266</f>
        <v>2721.091238</v>
      </c>
      <c r="H9" s="7"/>
      <c r="I9" s="7">
        <f>output_NHTS!H266</f>
        <v>23126.416508999999</v>
      </c>
      <c r="J9" s="7">
        <f>output_NHTS!I266</f>
        <v>0</v>
      </c>
      <c r="K9" s="7">
        <f>output_NHTS!J266</f>
        <v>430128.68625099998</v>
      </c>
      <c r="L9" s="7"/>
      <c r="M9" s="3" t="s">
        <v>214</v>
      </c>
      <c r="N9" s="7">
        <f>output!B266</f>
        <v>149212</v>
      </c>
      <c r="O9" s="7">
        <f>output!C266</f>
        <v>62216</v>
      </c>
      <c r="P9" s="7">
        <f>output!D266</f>
        <v>90071</v>
      </c>
      <c r="Q9" s="7">
        <f>output!E266</f>
        <v>97453</v>
      </c>
      <c r="R9" s="7">
        <f>output!F266</f>
        <v>9722</v>
      </c>
      <c r="S9" s="7">
        <f>output!G266</f>
        <v>1971</v>
      </c>
      <c r="T9" s="7"/>
      <c r="U9" s="7">
        <f>output!H266</f>
        <v>19665</v>
      </c>
      <c r="V9" s="7">
        <f>output!I266</f>
        <v>0</v>
      </c>
      <c r="W9" s="7">
        <f>output!J266</f>
        <v>430310</v>
      </c>
      <c r="Y9" s="3" t="s">
        <v>214</v>
      </c>
      <c r="Z9" s="7">
        <f si="0" t="shared"/>
        <v>-931.30683600000339</v>
      </c>
      <c r="AA9" s="7">
        <f si="1" t="shared"/>
        <v>11332.873815999999</v>
      </c>
      <c r="AB9" s="7">
        <f si="2" t="shared"/>
        <v>9424.2395300000062</v>
      </c>
      <c r="AC9" s="7">
        <f si="3" t="shared"/>
        <v>-8886.5940260000061</v>
      </c>
      <c r="AD9" s="7">
        <f si="4" t="shared"/>
        <v>-6546.3909879999992</v>
      </c>
      <c r="AE9" s="7">
        <f si="5" t="shared"/>
        <v>-750.09123799999998</v>
      </c>
      <c r="AF9" s="7"/>
      <c r="AG9" s="7">
        <f si="6" t="shared"/>
        <v>-3461.4165089999988</v>
      </c>
      <c r="AH9" s="7">
        <f si="7" t="shared"/>
        <v>0</v>
      </c>
      <c r="AI9" s="7">
        <f si="8" t="shared"/>
        <v>181.31374900002265</v>
      </c>
    </row>
    <row customHeight="1" ht="12.75" r="10" spans="1:35" x14ac:dyDescent="0.2">
      <c r="A10" s="3" t="s">
        <v>129</v>
      </c>
      <c r="B10" s="7">
        <f>output_NHTS!B267</f>
        <v>120560.05056</v>
      </c>
      <c r="C10" s="7">
        <f>output_NHTS!C267</f>
        <v>20588.24451</v>
      </c>
      <c r="D10" s="7">
        <f>output_NHTS!D267</f>
        <v>32344.460417999999</v>
      </c>
      <c r="E10" s="7">
        <f>output_NHTS!E267</f>
        <v>31959.216421000001</v>
      </c>
      <c r="F10" s="7">
        <f>output_NHTS!F267</f>
        <v>7167.0151189999997</v>
      </c>
      <c r="G10" s="7">
        <f>output_NHTS!G267</f>
        <v>2821.1160030000001</v>
      </c>
      <c r="H10" s="7"/>
      <c r="I10" s="7">
        <f>output_NHTS!H267</f>
        <v>16404.06623</v>
      </c>
      <c r="J10" s="7">
        <f>output_NHTS!I267</f>
        <v>0</v>
      </c>
      <c r="K10" s="7">
        <f>output_NHTS!J267</f>
        <v>231844.16926099997</v>
      </c>
      <c r="L10" s="7"/>
      <c r="M10" s="3" t="s">
        <v>129</v>
      </c>
      <c r="N10" s="7">
        <f>output!B267</f>
        <v>143213</v>
      </c>
      <c r="O10" s="7">
        <f>output!C267</f>
        <v>30263</v>
      </c>
      <c r="P10" s="7">
        <f>output!D267</f>
        <v>38311</v>
      </c>
      <c r="Q10" s="7">
        <f>output!E267</f>
        <v>24424</v>
      </c>
      <c r="R10" s="7">
        <f>output!F267</f>
        <v>7325</v>
      </c>
      <c r="S10" s="7">
        <f>output!G267</f>
        <v>1651</v>
      </c>
      <c r="T10" s="7"/>
      <c r="U10" s="7">
        <f>output!H267</f>
        <v>15197</v>
      </c>
      <c r="V10" s="7">
        <f>output!I267</f>
        <v>0</v>
      </c>
      <c r="W10" s="7">
        <f>output!J267</f>
        <v>260384</v>
      </c>
      <c r="Y10" s="3" t="s">
        <v>129</v>
      </c>
      <c r="Z10" s="7">
        <f si="0" t="shared"/>
        <v>22652.949439999997</v>
      </c>
      <c r="AA10" s="7">
        <f si="1" t="shared"/>
        <v>9674.7554899999996</v>
      </c>
      <c r="AB10" s="7">
        <f si="2" t="shared"/>
        <v>5966.5395820000012</v>
      </c>
      <c r="AC10" s="7">
        <f si="3" t="shared"/>
        <v>-7535.216421000001</v>
      </c>
      <c r="AD10" s="7">
        <f si="4" t="shared"/>
        <v>157.98488100000031</v>
      </c>
      <c r="AE10" s="7">
        <f si="5" t="shared"/>
        <v>-1170.1160030000001</v>
      </c>
      <c r="AF10" s="7"/>
      <c r="AG10" s="7">
        <f si="6" t="shared"/>
        <v>-1207.0662300000004</v>
      </c>
      <c r="AH10" s="7">
        <f si="7" t="shared"/>
        <v>0</v>
      </c>
      <c r="AI10" s="7">
        <f si="8" t="shared"/>
        <v>28539.830739000026</v>
      </c>
    </row>
    <row customHeight="1" ht="12.75" r="11" spans="1:35" x14ac:dyDescent="0.2">
      <c r="A11" s="3" t="s">
        <v>130</v>
      </c>
      <c r="B11" s="7">
        <f>output_NHTS!B268</f>
        <v>113465.97513799999</v>
      </c>
      <c r="C11" s="7">
        <f>output_NHTS!C268</f>
        <v>31144.158959</v>
      </c>
      <c r="D11" s="7">
        <f>output_NHTS!D268</f>
        <v>41315.915380999999</v>
      </c>
      <c r="E11" s="7">
        <f>output_NHTS!E268</f>
        <v>58890.145790000002</v>
      </c>
      <c r="F11" s="7">
        <f>output_NHTS!F268</f>
        <v>9592.4718190000003</v>
      </c>
      <c r="G11" s="7">
        <f>output_NHTS!G268</f>
        <v>13474.665344999999</v>
      </c>
      <c r="H11" s="7"/>
      <c r="I11" s="7">
        <f>output_NHTS!H268</f>
        <v>81246.342353</v>
      </c>
      <c r="J11" s="7">
        <f>output_NHTS!I268</f>
        <v>0</v>
      </c>
      <c r="K11" s="7">
        <f>output_NHTS!J268</f>
        <v>349129.67478500004</v>
      </c>
      <c r="L11" s="7"/>
      <c r="M11" s="3" t="s">
        <v>130</v>
      </c>
      <c r="N11" s="7">
        <f>output!B268</f>
        <v>120808</v>
      </c>
      <c r="O11" s="7">
        <f>output!C268</f>
        <v>31599</v>
      </c>
      <c r="P11" s="7">
        <f>output!D268</f>
        <v>46958</v>
      </c>
      <c r="Q11" s="7">
        <f>output!E268</f>
        <v>55216</v>
      </c>
      <c r="R11" s="7">
        <f>output!F268</f>
        <v>6102</v>
      </c>
      <c r="S11" s="7">
        <f>output!G268</f>
        <v>10013</v>
      </c>
      <c r="T11" s="7"/>
      <c r="U11" s="7">
        <f>output!H268</f>
        <v>87617</v>
      </c>
      <c r="V11" s="7">
        <f>output!I268</f>
        <v>0</v>
      </c>
      <c r="W11" s="7">
        <f>output!J268</f>
        <v>358313</v>
      </c>
      <c r="Y11" s="3" t="s">
        <v>130</v>
      </c>
      <c r="Z11" s="7">
        <f si="0" t="shared"/>
        <v>7342.0248620000057</v>
      </c>
      <c r="AA11" s="7">
        <f si="1" t="shared"/>
        <v>454.84104099999968</v>
      </c>
      <c r="AB11" s="7">
        <f si="2" t="shared"/>
        <v>5642.0846190000011</v>
      </c>
      <c r="AC11" s="7">
        <f si="3" t="shared"/>
        <v>-3674.1457900000023</v>
      </c>
      <c r="AD11" s="7">
        <f si="4" t="shared"/>
        <v>-3490.4718190000003</v>
      </c>
      <c r="AE11" s="7">
        <f si="5" t="shared"/>
        <v>-3461.6653449999994</v>
      </c>
      <c r="AF11" s="7"/>
      <c r="AG11" s="7">
        <f si="6" t="shared"/>
        <v>6370.657647</v>
      </c>
      <c r="AH11" s="7">
        <f si="7" t="shared"/>
        <v>0</v>
      </c>
      <c r="AI11" s="7">
        <f si="8" t="shared"/>
        <v>9183.3252149999607</v>
      </c>
    </row>
    <row customHeight="1" ht="12.75" r="12" spans="1:35" x14ac:dyDescent="0.2">
      <c r="A12" s="8" t="s">
        <v>145</v>
      </c>
      <c r="B12" s="7">
        <f>output_NHTS!B269</f>
        <v>682884.42697499995</v>
      </c>
      <c r="C12" s="7">
        <f>output_NHTS!C269</f>
        <v>155900.40654900001</v>
      </c>
      <c r="D12" s="7">
        <f>output_NHTS!D269</f>
        <v>147671.47469999999</v>
      </c>
      <c r="E12" s="7">
        <f>output_NHTS!E269</f>
        <v>229676.93666400001</v>
      </c>
      <c r="F12" s="7">
        <f>output_NHTS!F269</f>
        <v>53299.688936999999</v>
      </c>
      <c r="G12" s="7">
        <f>output_NHTS!G269</f>
        <v>34587.312634000002</v>
      </c>
      <c r="H12" s="7"/>
      <c r="I12" s="7">
        <f>output_NHTS!H269</f>
        <v>264841.33765499998</v>
      </c>
      <c r="J12" s="7">
        <f>output_NHTS!I269</f>
        <v>0</v>
      </c>
      <c r="K12" s="7">
        <f>output_NHTS!J269</f>
        <v>1568861.584114</v>
      </c>
      <c r="L12" s="7"/>
      <c r="M12" s="8" t="s">
        <v>145</v>
      </c>
      <c r="N12" s="9">
        <f>output!B269</f>
        <v>815119</v>
      </c>
      <c r="O12" s="9">
        <f>output!C269</f>
        <v>135734</v>
      </c>
      <c r="P12" s="9">
        <f>output!D269</f>
        <v>191090</v>
      </c>
      <c r="Q12" s="9">
        <f>output!E269</f>
        <v>231016</v>
      </c>
      <c r="R12" s="9">
        <f>output!F269</f>
        <v>47401</v>
      </c>
      <c r="S12" s="9">
        <f>output!G269</f>
        <v>40629</v>
      </c>
      <c r="T12" s="9"/>
      <c r="U12" s="9">
        <f>output!H269</f>
        <v>253405</v>
      </c>
      <c r="V12" s="9">
        <f>output!I269</f>
        <v>0</v>
      </c>
      <c r="W12" s="9">
        <f>output!J269</f>
        <v>1714394</v>
      </c>
      <c r="Y12" s="8" t="s">
        <v>145</v>
      </c>
      <c r="Z12" s="9">
        <f si="0" t="shared"/>
        <v>132234.57302500005</v>
      </c>
      <c r="AA12" s="9">
        <f si="1" t="shared"/>
        <v>-20166.406549000007</v>
      </c>
      <c r="AB12" s="9">
        <f si="2" t="shared"/>
        <v>43418.525300000008</v>
      </c>
      <c r="AC12" s="9">
        <f si="3" t="shared"/>
        <v>1339.063335999992</v>
      </c>
      <c r="AD12" s="9">
        <f si="4" t="shared"/>
        <v>-5898.688936999999</v>
      </c>
      <c r="AE12" s="9">
        <f si="5" t="shared"/>
        <v>6041.6873659999983</v>
      </c>
      <c r="AF12" s="9"/>
      <c r="AG12" s="9">
        <f si="6" t="shared"/>
        <v>-11436.337654999981</v>
      </c>
      <c r="AH12" s="9">
        <f si="7" t="shared"/>
        <v>0</v>
      </c>
      <c r="AI12" s="9">
        <f si="8" t="shared"/>
        <v>145532.41588600003</v>
      </c>
    </row>
    <row customHeight="1" ht="12.75" r="13" spans="1:35" thickBot="1" x14ac:dyDescent="0.25">
      <c r="A13" s="10" t="s">
        <v>220</v>
      </c>
      <c r="B13" s="11">
        <f ref="B13:K13" si="9" t="shared">SUM(B5:B12)</f>
        <v>2124381.2672629999</v>
      </c>
      <c r="C13" s="11">
        <f si="9" t="shared"/>
        <v>463676.03995599999</v>
      </c>
      <c r="D13" s="11">
        <f si="9" t="shared"/>
        <v>437415.01540200005</v>
      </c>
      <c r="E13" s="11">
        <f si="9" t="shared"/>
        <v>654862.02952600003</v>
      </c>
      <c r="F13" s="11">
        <f si="9" t="shared"/>
        <v>141712.56053700001</v>
      </c>
      <c r="G13" s="11">
        <f si="9" t="shared"/>
        <v>91453.697983999999</v>
      </c>
      <c r="H13" s="11"/>
      <c r="I13" s="11">
        <f si="9" t="shared"/>
        <v>654146.12097400008</v>
      </c>
      <c r="J13" s="11">
        <f si="9" t="shared"/>
        <v>0</v>
      </c>
      <c r="K13" s="11">
        <f si="9" t="shared"/>
        <v>4567646.7316420004</v>
      </c>
      <c r="L13" s="7"/>
      <c r="M13" s="10" t="s">
        <v>220</v>
      </c>
      <c r="N13" s="11">
        <f ref="N13:W13" si="10" t="shared">SUM(N5:N12)</f>
        <v>2415895</v>
      </c>
      <c r="O13" s="11">
        <f si="10" t="shared"/>
        <v>475869</v>
      </c>
      <c r="P13" s="11">
        <f si="10" t="shared"/>
        <v>536888</v>
      </c>
      <c r="Q13" s="11">
        <f si="10" t="shared"/>
        <v>627288</v>
      </c>
      <c r="R13" s="11">
        <f si="10" t="shared"/>
        <v>119081</v>
      </c>
      <c r="S13" s="11">
        <f si="10" t="shared"/>
        <v>94365</v>
      </c>
      <c r="T13" s="11"/>
      <c r="U13" s="11">
        <f si="10" t="shared"/>
        <v>627945</v>
      </c>
      <c r="V13" s="11">
        <f si="10" t="shared"/>
        <v>0</v>
      </c>
      <c r="W13" s="11">
        <f si="10" t="shared"/>
        <v>4897331</v>
      </c>
      <c r="Y13" s="10" t="s">
        <v>220</v>
      </c>
      <c r="Z13" s="11">
        <f si="0" t="shared"/>
        <v>291513.7327370001</v>
      </c>
      <c r="AA13" s="11">
        <f si="1" t="shared"/>
        <v>12192.960044000007</v>
      </c>
      <c r="AB13" s="11">
        <f si="2" t="shared"/>
        <v>99472.984597999952</v>
      </c>
      <c r="AC13" s="11">
        <f si="3" t="shared"/>
        <v>-27574.029526000028</v>
      </c>
      <c r="AD13" s="11">
        <f si="4" t="shared"/>
        <v>-22631.560537000012</v>
      </c>
      <c r="AE13" s="11">
        <f si="5" t="shared"/>
        <v>2911.3020160000015</v>
      </c>
      <c r="AF13" s="11"/>
      <c r="AG13" s="11">
        <f si="6" t="shared"/>
        <v>-26201.120974000078</v>
      </c>
      <c r="AH13" s="11">
        <f si="7" t="shared"/>
        <v>0</v>
      </c>
      <c r="AI13" s="11">
        <f si="8" t="shared"/>
        <v>329684.26835799962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682545</v>
      </c>
      <c r="O15" s="33">
        <f>ToursByTourPurpose!O15</f>
        <v>84137</v>
      </c>
      <c r="P15" s="33">
        <f>ToursByTourPurpose!P15</f>
        <v>164943</v>
      </c>
      <c r="Q15" s="33">
        <f>ToursByTourPurpose!Q15</f>
        <v>240520</v>
      </c>
      <c r="R15" s="33">
        <f>ToursByTourPurpose!R15</f>
        <v>60810</v>
      </c>
      <c r="S15" s="33">
        <f>ToursByTourPurpose!S15</f>
        <v>56338</v>
      </c>
      <c r="T15" s="33"/>
      <c r="U15" s="33">
        <f>ToursByTourPurpose!U15</f>
        <v>212937</v>
      </c>
      <c r="V15" s="33">
        <f>ToursByTourPurpose!V15</f>
        <v>0</v>
      </c>
      <c r="W15" s="33">
        <f>ToursByTourPurpose!W15</f>
        <v>1502230</v>
      </c>
      <c r="Y15" s="3" t="s">
        <v>88</v>
      </c>
      <c r="Z15" s="7">
        <f ref="Z15:AE16" si="11" t="shared">N15-B15</f>
        <v>93796</v>
      </c>
      <c r="AA15" s="7">
        <f si="11" t="shared"/>
        <v>2519</v>
      </c>
      <c r="AB15" s="7">
        <f si="11" t="shared"/>
        <v>36456.000000000044</v>
      </c>
      <c r="AC15" s="7">
        <f si="11" t="shared"/>
        <v>11871</v>
      </c>
      <c r="AD15" s="7">
        <f si="11" t="shared"/>
        <v>-11845</v>
      </c>
      <c r="AE15" s="7">
        <f si="11" t="shared"/>
        <v>6921</v>
      </c>
      <c r="AF15" s="7"/>
      <c r="AG15" s="7">
        <f ref="AG15:AI16" si="12" t="shared">U15-I15</f>
        <v>-6693</v>
      </c>
      <c r="AH15" s="7">
        <f si="12" t="shared"/>
        <v>0</v>
      </c>
      <c r="AI15" s="7">
        <f si="12" t="shared"/>
        <v>133025</v>
      </c>
    </row>
    <row customHeight="1" ht="12.75" r="16" spans="1:35" x14ac:dyDescent="0.2">
      <c r="A16" s="25" t="s">
        <v>91</v>
      </c>
      <c r="B16" s="38">
        <f ref="B16:K16" si="13" t="shared">B13/B15</f>
        <v>3.6082970285520655</v>
      </c>
      <c r="C16" s="38">
        <f si="13" t="shared"/>
        <v>5.6810512381582496</v>
      </c>
      <c r="D16" s="38">
        <f si="13" t="shared"/>
        <v>3.4043523111443195</v>
      </c>
      <c r="E16" s="38">
        <f si="13" t="shared"/>
        <v>2.8640493924136998</v>
      </c>
      <c r="F16" s="38">
        <f si="13" t="shared"/>
        <v>1.9504860028490814</v>
      </c>
      <c r="G16" s="38">
        <f si="13" t="shared"/>
        <v>1.8506525686302284</v>
      </c>
      <c r="H16" s="38"/>
      <c r="I16" s="38">
        <f si="13" t="shared"/>
        <v>2.9784005872330743</v>
      </c>
      <c r="J16" s="38" t="e">
        <f si="13" t="shared"/>
        <v>#DIV/0!</v>
      </c>
      <c r="K16" s="38">
        <f si="13" t="shared"/>
        <v>3.3359845542793085</v>
      </c>
      <c r="M16" s="25" t="s">
        <v>91</v>
      </c>
      <c r="N16" s="38">
        <f ref="N16:W16" si="14" t="shared">N13/N15</f>
        <v>3.5395395175409679</v>
      </c>
      <c r="O16" s="38">
        <f si="14" t="shared"/>
        <v>5.6558826675541081</v>
      </c>
      <c r="P16" s="38">
        <f si="14" t="shared"/>
        <v>3.2549911181438436</v>
      </c>
      <c r="Q16" s="38">
        <f si="14" t="shared"/>
        <v>2.6080492266755364</v>
      </c>
      <c r="R16" s="38">
        <f si="14" t="shared"/>
        <v>1.9582469988488735</v>
      </c>
      <c r="S16" s="38">
        <f si="14" t="shared"/>
        <v>1.6749795874897937</v>
      </c>
      <c r="T16" s="38"/>
      <c r="U16" s="38">
        <f si="14" t="shared"/>
        <v>2.9489708223559079</v>
      </c>
      <c r="V16" s="38" t="e">
        <f si="14" t="shared"/>
        <v>#DIV/0!</v>
      </c>
      <c r="W16" s="38">
        <f si="14" t="shared"/>
        <v>3.2600407394340416</v>
      </c>
      <c r="Y16" s="3" t="s">
        <v>91</v>
      </c>
      <c r="Z16" s="38">
        <f si="11" t="shared"/>
        <v>-6.8757511011097616E-2</v>
      </c>
      <c r="AA16" s="38">
        <f si="11" t="shared"/>
        <v>-2.5168570604141571E-2</v>
      </c>
      <c r="AB16" s="38">
        <f si="11" t="shared"/>
        <v>-0.1493611930004759</v>
      </c>
      <c r="AC16" s="38">
        <f si="11" t="shared"/>
        <v>-0.25600016573816342</v>
      </c>
      <c r="AD16" s="38">
        <f si="11" t="shared"/>
        <v>7.7609959997921862E-3</v>
      </c>
      <c r="AE16" s="38">
        <f si="11" t="shared"/>
        <v>-0.17567298114043473</v>
      </c>
      <c r="AF16" s="38"/>
      <c r="AG16" s="38">
        <f si="12" t="shared"/>
        <v>-2.942976487716642E-2</v>
      </c>
      <c r="AH16" s="38" t="e">
        <f si="12" t="shared"/>
        <v>#DIV/0!</v>
      </c>
      <c r="AI16" s="38">
        <f si="12" t="shared"/>
        <v>-7.594381484526691E-2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68" t="s">
        <v>79</v>
      </c>
      <c r="Z19" s="268"/>
      <c r="AA19" s="268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242</v>
      </c>
      <c r="F21" s="6" t="s">
        <v>243</v>
      </c>
      <c r="G21" s="6" t="s">
        <v>244</v>
      </c>
      <c r="H21" s="6"/>
      <c r="I21" s="6" t="s">
        <v>245</v>
      </c>
      <c r="J21" s="6" t="s">
        <v>170</v>
      </c>
      <c r="K21" s="6" t="s">
        <v>220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242</v>
      </c>
      <c r="R21" s="6" t="s">
        <v>243</v>
      </c>
      <c r="S21" s="6" t="s">
        <v>244</v>
      </c>
      <c r="T21" s="6"/>
      <c r="U21" s="6" t="s">
        <v>245</v>
      </c>
      <c r="V21" s="6" t="s">
        <v>170</v>
      </c>
      <c r="W21" s="6" t="s">
        <v>220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242</v>
      </c>
      <c r="AD21" s="6" t="s">
        <v>243</v>
      </c>
      <c r="AE21" s="6" t="s">
        <v>244</v>
      </c>
      <c r="AF21" s="6"/>
      <c r="AG21" s="6" t="s">
        <v>245</v>
      </c>
      <c r="AH21" s="6" t="s">
        <v>170</v>
      </c>
      <c r="AI21" s="6" t="s">
        <v>220</v>
      </c>
    </row>
    <row customHeight="1" ht="12.75" r="22" spans="1:35" x14ac:dyDescent="0.2">
      <c r="A22" s="3" t="s">
        <v>210</v>
      </c>
      <c r="B22" s="12">
        <f ref="B22:K22" si="15" t="shared">B5/B$13</f>
        <v>0.29575185520557373</v>
      </c>
      <c r="C22" s="12">
        <f si="15" t="shared"/>
        <v>0.19010777963287631</v>
      </c>
      <c r="D22" s="12">
        <f si="15" t="shared"/>
        <v>8.6660563184284955E-3</v>
      </c>
      <c r="E22" s="12">
        <f si="15" t="shared"/>
        <v>2.4260223654285384E-2</v>
      </c>
      <c r="F22" s="12">
        <f si="15" t="shared"/>
        <v>0.10958547586150866</v>
      </c>
      <c r="G22" s="12">
        <f si="15" t="shared"/>
        <v>2.0170231632653322E-2</v>
      </c>
      <c r="H22" s="12"/>
      <c r="I22" s="12">
        <f si="15" t="shared"/>
        <v>1.5539594188626288E-3</v>
      </c>
      <c r="J22" s="12" t="e">
        <f si="15" t="shared"/>
        <v>#DIV/0!</v>
      </c>
      <c r="K22" s="12">
        <f si="15" t="shared"/>
        <v>0.16518499072886186</v>
      </c>
      <c r="M22" s="3" t="s">
        <v>210</v>
      </c>
      <c r="N22" s="12">
        <f ref="N22:W22" si="16" t="shared">N5/N$13</f>
        <v>0.31225115329929487</v>
      </c>
      <c r="O22" s="12">
        <f si="16" t="shared"/>
        <v>0.17127402709569231</v>
      </c>
      <c r="P22" s="12">
        <f si="16" t="shared"/>
        <v>0</v>
      </c>
      <c r="Q22" s="12">
        <f si="16" t="shared"/>
        <v>0</v>
      </c>
      <c r="R22" s="12">
        <f si="16" t="shared"/>
        <v>0.1155599969768477</v>
      </c>
      <c r="S22" s="12">
        <f si="16" t="shared"/>
        <v>2.5337784136067399E-2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0.17397680491680059</v>
      </c>
      <c r="Y22" s="3" t="s">
        <v>210</v>
      </c>
      <c r="Z22" s="12">
        <f ref="Z22:Z30" si="17" t="shared">N22-B22</f>
        <v>1.6499298093721138E-2</v>
      </c>
      <c r="AA22" s="12">
        <f ref="AA22:AA30" si="18" t="shared">O22-C22</f>
        <v>-1.8833752537184001E-2</v>
      </c>
      <c r="AB22" s="12">
        <f ref="AB22:AB30" si="19" t="shared">P22-D22</f>
        <v>-8.6660563184284955E-3</v>
      </c>
      <c r="AC22" s="12">
        <f ref="AC22:AC30" si="20" t="shared">Q22-E22</f>
        <v>-2.4260223654285384E-2</v>
      </c>
      <c r="AD22" s="12">
        <f ref="AD22:AD30" si="21" t="shared">R22-F22</f>
        <v>5.9745211153390404E-3</v>
      </c>
      <c r="AE22" s="12">
        <f ref="AE22:AE30" si="22" t="shared">S22-G22</f>
        <v>5.1675525034140767E-3</v>
      </c>
      <c r="AF22" s="12"/>
      <c r="AG22" s="12">
        <f ref="AG22:AG30" si="23" t="shared">U22-I22</f>
        <v>-1.5539594188626288E-3</v>
      </c>
      <c r="AH22" s="12" t="e">
        <f ref="AH22:AH30" si="24" t="shared">V22-J22</f>
        <v>#DIV/0!</v>
      </c>
      <c r="AI22" s="12">
        <f ref="AI22:AI30" si="25" t="shared">W22-K22</f>
        <v>8.791814187938729E-3</v>
      </c>
    </row>
    <row customHeight="1" ht="12.75" r="23" spans="1:35" x14ac:dyDescent="0.2">
      <c r="A23" s="3" t="s">
        <v>211</v>
      </c>
      <c r="B23" s="12">
        <f ref="B23:K23" si="26" t="shared">B6/B$13</f>
        <v>4.2005011367365203E-3</v>
      </c>
      <c r="C23" s="12">
        <f si="26" t="shared"/>
        <v>5.3900722414666133E-3</v>
      </c>
      <c r="D23" s="12">
        <f si="26" t="shared"/>
        <v>7.0958610031881598E-4</v>
      </c>
      <c r="E23" s="12">
        <f si="26" t="shared"/>
        <v>4.9996116714383582E-3</v>
      </c>
      <c r="F23" s="12">
        <f si="26" t="shared"/>
        <v>0.10419923804245021</v>
      </c>
      <c r="G23" s="12">
        <f si="26" t="shared"/>
        <v>0.24441274606424995</v>
      </c>
      <c r="H23" s="12"/>
      <c r="I23" s="12">
        <f si="26" t="shared"/>
        <v>0.28235786160435139</v>
      </c>
      <c r="J23" s="12" t="e">
        <f si="26" t="shared"/>
        <v>#DIV/0!</v>
      </c>
      <c r="K23" s="12">
        <f si="26" t="shared"/>
        <v>5.1849290639397472E-2</v>
      </c>
      <c r="M23" s="3" t="s">
        <v>211</v>
      </c>
      <c r="N23" s="12">
        <f ref="N23:W23" si="27" t="shared">N6/N$13</f>
        <v>3.6773121348402972E-3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0.12910539884616354</v>
      </c>
      <c r="S23" s="12">
        <f si="27" t="shared"/>
        <v>0.27654320987654318</v>
      </c>
      <c r="T23" s="12"/>
      <c r="U23" s="12">
        <f si="27" t="shared"/>
        <v>0.27915502153851052</v>
      </c>
      <c r="V23" s="12" t="e">
        <f si="27" t="shared"/>
        <v>#DIV/0!</v>
      </c>
      <c r="W23" s="12">
        <f si="27" t="shared"/>
        <v>4.6075709401712892E-2</v>
      </c>
      <c r="Y23" s="3" t="s">
        <v>211</v>
      </c>
      <c r="Z23" s="12">
        <f si="17" t="shared"/>
        <v>-5.2318900189622305E-4</v>
      </c>
      <c r="AA23" s="12">
        <f si="18" t="shared"/>
        <v>-5.3900722414666133E-3</v>
      </c>
      <c r="AB23" s="12">
        <f si="19" t="shared"/>
        <v>-7.0958610031881598E-4</v>
      </c>
      <c r="AC23" s="12">
        <f si="20" t="shared"/>
        <v>-4.9996116714383582E-3</v>
      </c>
      <c r="AD23" s="12">
        <f si="21" t="shared"/>
        <v>2.4906160803713329E-2</v>
      </c>
      <c r="AE23" s="12">
        <f si="22" t="shared"/>
        <v>3.2130463812293231E-2</v>
      </c>
      <c r="AF23" s="12"/>
      <c r="AG23" s="12">
        <f si="23" t="shared"/>
        <v>-3.2028400658408729E-3</v>
      </c>
      <c r="AH23" s="12" t="e">
        <f si="24" t="shared"/>
        <v>#DIV/0!</v>
      </c>
      <c r="AI23" s="12">
        <f si="25" t="shared"/>
        <v>-5.7735812376845802E-3</v>
      </c>
    </row>
    <row customHeight="1" ht="12.75" r="24" spans="1:35" x14ac:dyDescent="0.2">
      <c r="A24" s="3" t="s">
        <v>212</v>
      </c>
      <c r="B24" s="12">
        <f ref="B24:K24" si="28" t="shared">B7/B$13</f>
        <v>8.7350606040731388E-2</v>
      </c>
      <c r="C24" s="12">
        <f si="28" t="shared"/>
        <v>9.8644179943695912E-2</v>
      </c>
      <c r="D24" s="12">
        <f si="28" t="shared"/>
        <v>4.096139746033528E-2</v>
      </c>
      <c r="E24" s="12">
        <f si="28" t="shared"/>
        <v>0.13088620331375764</v>
      </c>
      <c r="F24" s="12">
        <f si="28" t="shared"/>
        <v>7.3933252658041335E-2</v>
      </c>
      <c r="G24" s="12">
        <f si="28" t="shared"/>
        <v>4.4422527427056699E-2</v>
      </c>
      <c r="H24" s="12"/>
      <c r="I24" s="12">
        <f si="28" t="shared"/>
        <v>5.4448838160145049E-2</v>
      </c>
      <c r="J24" s="12" t="e">
        <f si="28" t="shared"/>
        <v>#DIV/0!</v>
      </c>
      <c r="K24" s="12">
        <f si="28" t="shared"/>
        <v>8.4308586623897092E-2</v>
      </c>
      <c r="M24" s="3" t="s">
        <v>212</v>
      </c>
      <c r="N24" s="12">
        <f ref="N24:W24" si="29" t="shared">N7/N$13</f>
        <v>7.2881892631923156E-2</v>
      </c>
      <c r="O24" s="12">
        <f si="29" t="shared"/>
        <v>0.11792320995904335</v>
      </c>
      <c r="P24" s="12">
        <f si="29" t="shared"/>
        <v>4.4236414298699171E-2</v>
      </c>
      <c r="Q24" s="12">
        <f si="29" t="shared"/>
        <v>0.16156534159747996</v>
      </c>
      <c r="R24" s="12">
        <f si="29" t="shared"/>
        <v>8.7495066383386097E-2</v>
      </c>
      <c r="S24" s="12">
        <f si="29" t="shared"/>
        <v>5.1449160175912681E-2</v>
      </c>
      <c r="T24" s="12"/>
      <c r="U24" s="12">
        <f si="29" t="shared"/>
        <v>4.5930774192007265E-2</v>
      </c>
      <c r="V24" s="12" t="e">
        <f si="29" t="shared"/>
        <v>#DIV/0!</v>
      </c>
      <c r="W24" s="12">
        <f si="29" t="shared"/>
        <v>8.1964033062090352E-2</v>
      </c>
      <c r="Y24" s="3" t="s">
        <v>212</v>
      </c>
      <c r="Z24" s="12">
        <f si="17" t="shared"/>
        <v>-1.4468713408808231E-2</v>
      </c>
      <c r="AA24" s="12">
        <f si="18" t="shared"/>
        <v>1.9279030015347434E-2</v>
      </c>
      <c r="AB24" s="12">
        <f si="19" t="shared"/>
        <v>3.2750168383638908E-3</v>
      </c>
      <c r="AC24" s="12">
        <f si="20" t="shared"/>
        <v>3.0679138283722318E-2</v>
      </c>
      <c r="AD24" s="12">
        <f si="21" t="shared"/>
        <v>1.3561813725344762E-2</v>
      </c>
      <c r="AE24" s="12">
        <f si="22" t="shared"/>
        <v>7.0266327488559821E-3</v>
      </c>
      <c r="AF24" s="12"/>
      <c r="AG24" s="12">
        <f si="23" t="shared"/>
        <v>-8.5180639681377845E-3</v>
      </c>
      <c r="AH24" s="12" t="e">
        <f si="24" t="shared"/>
        <v>#DIV/0!</v>
      </c>
      <c r="AI24" s="12">
        <f si="25" t="shared"/>
        <v>-2.3445535618067392E-3</v>
      </c>
    </row>
    <row customHeight="1" ht="12.75" r="25" spans="1:35" x14ac:dyDescent="0.2">
      <c r="A25" s="3" t="s">
        <v>213</v>
      </c>
      <c r="B25" s="12">
        <f ref="B25:K25" si="30" t="shared">B8/B$13</f>
        <v>0.11040784125073098</v>
      </c>
      <c r="C25" s="12">
        <f si="30" t="shared"/>
        <v>0.14832228825652966</v>
      </c>
      <c r="D25" s="12">
        <f si="30" t="shared"/>
        <v>0.25929203014387742</v>
      </c>
      <c r="E25" s="12">
        <f si="30" t="shared"/>
        <v>0.18801300302923069</v>
      </c>
      <c r="F25" s="12">
        <f si="30" t="shared"/>
        <v>0.10310831915414435</v>
      </c>
      <c r="G25" s="12">
        <f si="30" t="shared"/>
        <v>0.10485980156513472</v>
      </c>
      <c r="H25" s="12"/>
      <c r="I25" s="12">
        <f si="30" t="shared"/>
        <v>7.2140832176356598E-2</v>
      </c>
      <c r="J25" s="12" t="e">
        <f si="30" t="shared"/>
        <v>#DIV/0!</v>
      </c>
      <c r="K25" s="12">
        <f si="30" t="shared"/>
        <v>0.1338227071959357</v>
      </c>
      <c r="M25" s="3" t="s">
        <v>213</v>
      </c>
      <c r="N25" s="12">
        <f ref="N25:W25" si="31" t="shared">N8/N$13</f>
        <v>0.10274370367917481</v>
      </c>
      <c r="O25" s="12">
        <f si="31" t="shared"/>
        <v>0.16482897604172578</v>
      </c>
      <c r="P25" s="12">
        <f si="31" t="shared"/>
        <v>0.2732562471129919</v>
      </c>
      <c r="Q25" s="12">
        <f si="31" t="shared"/>
        <v>0.18784194819604391</v>
      </c>
      <c r="R25" s="12">
        <f si="31" t="shared"/>
        <v>7.5385661860414344E-2</v>
      </c>
      <c r="S25" s="12">
        <f si="31" t="shared"/>
        <v>7.1626132570338577E-2</v>
      </c>
      <c r="T25" s="12"/>
      <c r="U25" s="12">
        <f si="31" t="shared"/>
        <v>7.6320378377087161E-2</v>
      </c>
      <c r="V25" s="12" t="e">
        <f si="31" t="shared"/>
        <v>#DIV/0!</v>
      </c>
      <c r="W25" s="12">
        <f si="31" t="shared"/>
        <v>0.13371671222549589</v>
      </c>
      <c r="Y25" s="3" t="s">
        <v>213</v>
      </c>
      <c r="Z25" s="12">
        <f si="17" t="shared"/>
        <v>-7.6641375715561788E-3</v>
      </c>
      <c r="AA25" s="12">
        <f si="18" t="shared"/>
        <v>1.6506687785196122E-2</v>
      </c>
      <c r="AB25" s="12">
        <f si="19" t="shared"/>
        <v>1.3964216969114485E-2</v>
      </c>
      <c r="AC25" s="12">
        <f si="20" t="shared"/>
        <v>-1.7105483318677339E-4</v>
      </c>
      <c r="AD25" s="12">
        <f si="21" t="shared"/>
        <v>-2.772265729373001E-2</v>
      </c>
      <c r="AE25" s="12">
        <f si="22" t="shared"/>
        <v>-3.3233668994796142E-2</v>
      </c>
      <c r="AF25" s="12"/>
      <c r="AG25" s="12">
        <f si="23" t="shared"/>
        <v>4.1795462007305634E-3</v>
      </c>
      <c r="AH25" s="12" t="e">
        <f si="24" t="shared"/>
        <v>#DIV/0!</v>
      </c>
      <c r="AI25" s="12">
        <f si="25" t="shared"/>
        <v>-1.0599497043980999E-4</v>
      </c>
    </row>
    <row customHeight="1" ht="12.75" r="26" spans="1:35" x14ac:dyDescent="0.2">
      <c r="A26" s="3" t="s">
        <v>214</v>
      </c>
      <c r="B26" s="12">
        <f ref="B26:K26" si="32" t="shared">B9/B$13</f>
        <v>7.0676252492774483E-2</v>
      </c>
      <c r="C26" s="12">
        <f si="32" t="shared"/>
        <v>0.1097385281948761</v>
      </c>
      <c r="D26" s="12">
        <f si="32" t="shared"/>
        <v>0.18437126671539325</v>
      </c>
      <c r="E26" s="12">
        <f si="32" t="shared"/>
        <v>0.16238473026596206</v>
      </c>
      <c r="F26" s="12">
        <f si="32" t="shared"/>
        <v>0.11479851134121914</v>
      </c>
      <c r="G26" s="12">
        <f si="32" t="shared"/>
        <v>2.9753758437149912E-2</v>
      </c>
      <c r="H26" s="12"/>
      <c r="I26" s="12">
        <f si="32" t="shared"/>
        <v>3.5353594200888322E-2</v>
      </c>
      <c r="J26" s="12" t="e">
        <f si="32" t="shared"/>
        <v>#DIV/0!</v>
      </c>
      <c r="K26" s="12">
        <f si="32" t="shared"/>
        <v>9.416855363864253E-2</v>
      </c>
      <c r="M26" s="3" t="s">
        <v>214</v>
      </c>
      <c r="N26" s="12">
        <f ref="N26:W26" si="33" t="shared">N9/N$13</f>
        <v>6.1762617994573436E-2</v>
      </c>
      <c r="O26" s="12">
        <f si="33" t="shared"/>
        <v>0.13074186383227318</v>
      </c>
      <c r="P26" s="12">
        <f si="33" t="shared"/>
        <v>0.16776497146518454</v>
      </c>
      <c r="Q26" s="12">
        <f si="33" t="shared"/>
        <v>0.15535607248982924</v>
      </c>
      <c r="R26" s="12">
        <f si="33" t="shared"/>
        <v>8.1641907609106404E-2</v>
      </c>
      <c r="S26" s="12">
        <f si="33" t="shared"/>
        <v>2.088698140200286E-2</v>
      </c>
      <c r="T26" s="12"/>
      <c r="U26" s="12">
        <f si="33" t="shared"/>
        <v>3.1316436949095861E-2</v>
      </c>
      <c r="V26" s="12" t="e">
        <f si="33" t="shared"/>
        <v>#DIV/0!</v>
      </c>
      <c r="W26" s="12">
        <f si="33" t="shared"/>
        <v>8.7866227543125022E-2</v>
      </c>
      <c r="Y26" s="3" t="s">
        <v>214</v>
      </c>
      <c r="Z26" s="12">
        <f si="17" t="shared"/>
        <v>-8.9136344982010465E-3</v>
      </c>
      <c r="AA26" s="12">
        <f si="18" t="shared"/>
        <v>2.1003335637397078E-2</v>
      </c>
      <c r="AB26" s="12">
        <f si="19" t="shared"/>
        <v>-1.6606295250208708E-2</v>
      </c>
      <c r="AC26" s="12">
        <f si="20" t="shared"/>
        <v>-7.0286577761328184E-3</v>
      </c>
      <c r="AD26" s="12">
        <f si="21" t="shared"/>
        <v>-3.3156603732112738E-2</v>
      </c>
      <c r="AE26" s="12">
        <f si="22" t="shared"/>
        <v>-8.8667770351470512E-3</v>
      </c>
      <c r="AF26" s="12"/>
      <c r="AG26" s="12">
        <f si="23" t="shared"/>
        <v>-4.0371572517924614E-3</v>
      </c>
      <c r="AH26" s="12" t="e">
        <f si="24" t="shared"/>
        <v>#DIV/0!</v>
      </c>
      <c r="AI26" s="12">
        <f si="25" t="shared"/>
        <v>-6.3023260955175076E-3</v>
      </c>
    </row>
    <row customHeight="1" ht="12.75" r="27" spans="1:35" x14ac:dyDescent="0.2">
      <c r="A27" s="3" t="s">
        <v>129</v>
      </c>
      <c r="B27" s="12">
        <f ref="B27:K27" si="34" t="shared">B10/B$13</f>
        <v>5.6750665437436558E-2</v>
      </c>
      <c r="C27" s="12">
        <f si="34" t="shared"/>
        <v>4.4402217789717362E-2</v>
      </c>
      <c r="D27" s="12">
        <f si="34" t="shared"/>
        <v>7.3944559009421026E-2</v>
      </c>
      <c r="E27" s="12">
        <f si="34" t="shared"/>
        <v>4.8802976779906769E-2</v>
      </c>
      <c r="F27" s="12">
        <f si="34" t="shared"/>
        <v>5.0574311069121851E-2</v>
      </c>
      <c r="G27" s="12">
        <f si="34" t="shared"/>
        <v>3.0847478726268234E-2</v>
      </c>
      <c r="H27" s="12"/>
      <c r="I27" s="12">
        <f si="34" t="shared"/>
        <v>2.50770671934505E-2</v>
      </c>
      <c r="J27" s="12" t="e">
        <f si="34" t="shared"/>
        <v>#DIV/0!</v>
      </c>
      <c r="K27" s="12">
        <f si="34" t="shared"/>
        <v>5.0757902894485771E-2</v>
      </c>
      <c r="M27" s="3" t="s">
        <v>129</v>
      </c>
      <c r="N27" s="12">
        <f ref="N27:W27" si="35" t="shared">N10/N$13</f>
        <v>5.9279480275425879E-2</v>
      </c>
      <c r="O27" s="12">
        <f si="35" t="shared"/>
        <v>6.3595233141894095E-2</v>
      </c>
      <c r="P27" s="12">
        <f si="35" t="shared"/>
        <v>7.1357527081998481E-2</v>
      </c>
      <c r="Q27" s="12">
        <f si="35" t="shared"/>
        <v>3.8935863590567651E-2</v>
      </c>
      <c r="R27" s="12">
        <f si="35" t="shared"/>
        <v>6.1512751824388444E-2</v>
      </c>
      <c r="S27" s="12">
        <f si="35" t="shared"/>
        <v>1.7495893604620356E-2</v>
      </c>
      <c r="T27" s="12"/>
      <c r="U27" s="12">
        <f si="35" t="shared"/>
        <v>2.4201164114691573E-2</v>
      </c>
      <c r="V27" s="12" t="e">
        <f si="35" t="shared"/>
        <v>#DIV/0!</v>
      </c>
      <c r="W27" s="12">
        <f si="35" t="shared"/>
        <v>5.3168552421717051E-2</v>
      </c>
      <c r="Y27" s="3" t="s">
        <v>129</v>
      </c>
      <c r="Z27" s="12">
        <f si="17" t="shared"/>
        <v>2.5288148379893211E-3</v>
      </c>
      <c r="AA27" s="12">
        <f si="18" t="shared"/>
        <v>1.9193015352176733E-2</v>
      </c>
      <c r="AB27" s="12">
        <f si="19" t="shared"/>
        <v>-2.5870319274225451E-3</v>
      </c>
      <c r="AC27" s="12">
        <f si="20" t="shared"/>
        <v>-9.8671131893391176E-3</v>
      </c>
      <c r="AD27" s="12">
        <f si="21" t="shared"/>
        <v>1.0938440755266593E-2</v>
      </c>
      <c r="AE27" s="12">
        <f si="22" t="shared"/>
        <v>-1.3351585121647878E-2</v>
      </c>
      <c r="AF27" s="12"/>
      <c r="AG27" s="12">
        <f si="23" t="shared"/>
        <v>-8.7590307875892726E-4</v>
      </c>
      <c r="AH27" s="12" t="e">
        <f si="24" t="shared"/>
        <v>#DIV/0!</v>
      </c>
      <c r="AI27" s="12">
        <f si="25" t="shared"/>
        <v>2.4106495272312803E-3</v>
      </c>
    </row>
    <row customHeight="1" ht="12.75" r="28" spans="1:35" x14ac:dyDescent="0.2">
      <c r="A28" s="3" t="s">
        <v>130</v>
      </c>
      <c r="B28" s="12">
        <f ref="B28:K28" si="36" t="shared">B11/B$13</f>
        <v>5.3411304687405167E-2</v>
      </c>
      <c r="C28" s="12">
        <f si="36" t="shared"/>
        <v>6.7167928198220872E-2</v>
      </c>
      <c r="D28" s="12">
        <f si="36" t="shared"/>
        <v>9.4454725892363783E-2</v>
      </c>
      <c r="E28" s="12">
        <f si="36" t="shared"/>
        <v>8.9927562043298895E-2</v>
      </c>
      <c r="F28" s="12">
        <f si="36" t="shared"/>
        <v>6.7689637267512939E-2</v>
      </c>
      <c r="G28" s="12">
        <f si="36" t="shared"/>
        <v>0.14733866034982443</v>
      </c>
      <c r="H28" s="12"/>
      <c r="I28" s="12">
        <f si="36" t="shared"/>
        <v>0.12420213121806351</v>
      </c>
      <c r="J28" s="12" t="e">
        <f si="36" t="shared"/>
        <v>#DIV/0!</v>
      </c>
      <c r="K28" s="12">
        <f si="36" t="shared"/>
        <v>7.6435349600579364E-2</v>
      </c>
      <c r="M28" s="3" t="s">
        <v>130</v>
      </c>
      <c r="N28" s="12">
        <f ref="N28:W28" si="37" t="shared">N11/N$13</f>
        <v>5.0005484509881432E-2</v>
      </c>
      <c r="O28" s="12">
        <f si="37" t="shared"/>
        <v>6.6402728481998199E-2</v>
      </c>
      <c r="P28" s="12">
        <f si="37" t="shared"/>
        <v>8.7463307058455397E-2</v>
      </c>
      <c r="Q28" s="12">
        <f si="37" t="shared"/>
        <v>8.8023364068816876E-2</v>
      </c>
      <c r="R28" s="12">
        <f si="37" t="shared"/>
        <v>5.1242431622173144E-2</v>
      </c>
      <c r="S28" s="12">
        <f si="37" t="shared"/>
        <v>0.10610925660997192</v>
      </c>
      <c r="T28" s="12"/>
      <c r="U28" s="12">
        <f si="37" t="shared"/>
        <v>0.13952973588451217</v>
      </c>
      <c r="V28" s="12" t="e">
        <f si="37" t="shared"/>
        <v>#DIV/0!</v>
      </c>
      <c r="W28" s="12">
        <f si="37" t="shared"/>
        <v>7.3164954543607524E-2</v>
      </c>
      <c r="Y28" s="3" t="s">
        <v>130</v>
      </c>
      <c r="Z28" s="12">
        <f si="17" t="shared"/>
        <v>-3.4058201775237357E-3</v>
      </c>
      <c r="AA28" s="12">
        <f si="18" t="shared"/>
        <v>-7.6519971622267258E-4</v>
      </c>
      <c r="AB28" s="12">
        <f si="19" t="shared"/>
        <v>-6.991418833908386E-3</v>
      </c>
      <c r="AC28" s="12">
        <f si="20" t="shared"/>
        <v>-1.9041979744820192E-3</v>
      </c>
      <c r="AD28" s="12">
        <f si="21" t="shared"/>
        <v>-1.6447205645339795E-2</v>
      </c>
      <c r="AE28" s="12">
        <f si="22" t="shared"/>
        <v>-4.122940373985251E-2</v>
      </c>
      <c r="AF28" s="12"/>
      <c r="AG28" s="12">
        <f si="23" t="shared"/>
        <v>1.5327604666448669E-2</v>
      </c>
      <c r="AH28" s="12" t="e">
        <f si="24" t="shared"/>
        <v>#DIV/0!</v>
      </c>
      <c r="AI28" s="12">
        <f si="25" t="shared"/>
        <v>-3.2703950569718393E-3</v>
      </c>
    </row>
    <row customHeight="1" ht="12.75" r="29" spans="1:35" x14ac:dyDescent="0.2">
      <c r="A29" s="8" t="s">
        <v>145</v>
      </c>
      <c r="B29" s="13">
        <f ref="B29:K29" si="38" t="shared">B12/B$13</f>
        <v>0.3214509737486112</v>
      </c>
      <c r="C29" s="13">
        <f si="38" t="shared"/>
        <v>0.33622700574261721</v>
      </c>
      <c r="D29" s="13">
        <f si="38" t="shared"/>
        <v>0.33760037835986179</v>
      </c>
      <c r="E29" s="13">
        <f si="38" t="shared"/>
        <v>0.35072568924212016</v>
      </c>
      <c r="F29" s="13">
        <f si="38" t="shared"/>
        <v>0.37611125460600142</v>
      </c>
      <c r="G29" s="13">
        <f si="38" t="shared"/>
        <v>0.37819479579766274</v>
      </c>
      <c r="H29" s="13"/>
      <c r="I29" s="13">
        <f si="38" t="shared"/>
        <v>0.40486571602788191</v>
      </c>
      <c r="J29" s="13" t="e">
        <f si="38" t="shared"/>
        <v>#DIV/0!</v>
      </c>
      <c r="K29" s="13">
        <f si="38" t="shared"/>
        <v>0.34347261867820011</v>
      </c>
      <c r="M29" s="8" t="s">
        <v>145</v>
      </c>
      <c r="N29" s="13">
        <f ref="N29:W29" si="39" t="shared">N12/N$13</f>
        <v>0.33739835547488611</v>
      </c>
      <c r="O29" s="13">
        <f si="39" t="shared"/>
        <v>0.28523396144737312</v>
      </c>
      <c r="P29" s="13">
        <f si="39" t="shared"/>
        <v>0.35592153298267049</v>
      </c>
      <c r="Q29" s="13">
        <f si="39" t="shared"/>
        <v>0.36827741005726239</v>
      </c>
      <c r="R29" s="13">
        <f si="39" t="shared"/>
        <v>0.39805678487752033</v>
      </c>
      <c r="S29" s="13">
        <f si="39" t="shared"/>
        <v>0.43055158162454299</v>
      </c>
      <c r="T29" s="13"/>
      <c r="U29" s="13">
        <f si="39" t="shared"/>
        <v>0.40354648894409545</v>
      </c>
      <c r="V29" s="13" t="e">
        <f si="39" t="shared"/>
        <v>#DIV/0!</v>
      </c>
      <c r="W29" s="13">
        <f si="39" t="shared"/>
        <v>0.35006700588545064</v>
      </c>
      <c r="Y29" s="8" t="s">
        <v>145</v>
      </c>
      <c r="Z29" s="12">
        <f si="17" t="shared"/>
        <v>1.5947381726274912E-2</v>
      </c>
      <c r="AA29" s="12">
        <f si="18" t="shared"/>
        <v>-5.0993044295244094E-2</v>
      </c>
      <c r="AB29" s="12">
        <f si="19" t="shared"/>
        <v>1.83211546228087E-2</v>
      </c>
      <c r="AC29" s="12">
        <f si="20" t="shared"/>
        <v>1.7551720815142224E-2</v>
      </c>
      <c r="AD29" s="12">
        <f si="21" t="shared"/>
        <v>2.1945530271518909E-2</v>
      </c>
      <c r="AE29" s="12">
        <f si="22" t="shared"/>
        <v>5.2356785826880248E-2</v>
      </c>
      <c r="AF29" s="12"/>
      <c r="AG29" s="12">
        <f si="23" t="shared"/>
        <v>-1.3192270837864561E-3</v>
      </c>
      <c r="AH29" s="12" t="e">
        <f si="24" t="shared"/>
        <v>#DIV/0!</v>
      </c>
      <c r="AI29" s="12">
        <f si="25" t="shared"/>
        <v>6.5943872072505294E-3</v>
      </c>
    </row>
    <row customHeight="1" ht="12.75" r="30" spans="1:35" thickBot="1" x14ac:dyDescent="0.25">
      <c r="A30" s="10" t="s">
        <v>220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220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220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275</v>
      </c>
      <c r="I36"/>
      <c r="M36" s="2" t="s">
        <v>127</v>
      </c>
      <c r="Y36" s="268" t="s">
        <v>80</v>
      </c>
      <c r="Z36" s="268"/>
      <c r="AA36" s="268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295</v>
      </c>
      <c r="C38" s="32" t="s">
        <v>296</v>
      </c>
      <c r="D38" s="32" t="s">
        <v>297</v>
      </c>
      <c r="E38" s="32" t="s">
        <v>300</v>
      </c>
      <c r="F38" s="32" t="s">
        <v>172</v>
      </c>
      <c r="G38" s="32" t="s">
        <v>220</v>
      </c>
      <c r="H38" s="89"/>
      <c r="I38"/>
      <c r="M38" s="5" t="s">
        <v>144</v>
      </c>
      <c r="N38" s="32" t="s">
        <v>295</v>
      </c>
      <c r="O38" s="32" t="s">
        <v>296</v>
      </c>
      <c r="P38" s="32" t="s">
        <v>297</v>
      </c>
      <c r="Q38" s="32" t="s">
        <v>300</v>
      </c>
      <c r="R38" s="32" t="s">
        <v>172</v>
      </c>
      <c r="S38" s="32" t="s">
        <v>220</v>
      </c>
      <c r="T38" s="89"/>
      <c r="Y38" s="5" t="s">
        <v>144</v>
      </c>
      <c r="Z38" s="32" t="s">
        <v>295</v>
      </c>
      <c r="AA38" s="32" t="s">
        <v>296</v>
      </c>
      <c r="AB38" s="32" t="s">
        <v>297</v>
      </c>
      <c r="AC38" s="32" t="s">
        <v>300</v>
      </c>
      <c r="AD38" s="32" t="s">
        <v>172</v>
      </c>
      <c r="AE38" s="32" t="s">
        <v>220</v>
      </c>
      <c r="AF38" s="89"/>
    </row>
    <row customHeight="1" ht="12.75" r="39" spans="1:32" x14ac:dyDescent="0.2">
      <c r="A39" s="3" t="s">
        <v>210</v>
      </c>
      <c r="B39" s="7">
        <f>output_NHTS!B273</f>
        <v>9864.9434299999994</v>
      </c>
      <c r="C39" s="7">
        <f>output_NHTS!C273</f>
        <v>188961.87927499998</v>
      </c>
      <c r="D39" s="7">
        <f>output_NHTS!D273</f>
        <v>159634.676947</v>
      </c>
      <c r="E39" s="7">
        <f>output_NHTS!E273</f>
        <v>314146.93879099999</v>
      </c>
      <c r="F39" s="7"/>
      <c r="G39" s="7">
        <f>SUM(B39:E39)</f>
        <v>672608.43844299996</v>
      </c>
      <c r="H39" s="7"/>
      <c r="I39"/>
      <c r="M39" s="3" t="s">
        <v>210</v>
      </c>
      <c r="N39" s="7">
        <f>output!B273</f>
        <v>17771</v>
      </c>
      <c r="O39" s="7">
        <f>output!C273</f>
        <v>169331</v>
      </c>
      <c r="P39" s="7">
        <f>output!D273</f>
        <v>173084</v>
      </c>
      <c r="Q39" s="7">
        <f>output!E273</f>
        <v>491758</v>
      </c>
      <c r="R39" s="7"/>
      <c r="S39" s="7">
        <f>SUM(N39:Q39)</f>
        <v>851944</v>
      </c>
      <c r="T39" s="7"/>
      <c r="Y39" s="3" t="s">
        <v>210</v>
      </c>
      <c r="Z39" s="7">
        <f ref="Z39:Z47" si="42" t="shared">N39-B39</f>
        <v>7906.0565700000006</v>
      </c>
      <c r="AA39" s="7">
        <f ref="AA39:AA47" si="43" t="shared">O39-C39</f>
        <v>-19630.879274999985</v>
      </c>
      <c r="AB39" s="7">
        <f ref="AB39:AB47" si="44" t="shared">P39-D39</f>
        <v>13449.323053</v>
      </c>
      <c r="AC39" s="7">
        <f ref="AC39:AC47" si="45" t="shared">Q39-E39</f>
        <v>177611.06120900001</v>
      </c>
      <c r="AD39" s="7">
        <f ref="AD39:AD47" si="46" t="shared">R39-F39</f>
        <v>0</v>
      </c>
      <c r="AE39" s="7">
        <f ref="AE39:AE47" si="47" t="shared">S39-G39</f>
        <v>179335.56155700004</v>
      </c>
      <c r="AF39" s="7"/>
    </row>
    <row customHeight="1" ht="12.75" r="40" spans="1:32" x14ac:dyDescent="0.2">
      <c r="A40" s="3" t="s">
        <v>211</v>
      </c>
      <c r="B40" s="7">
        <f>output_NHTS!B274</f>
        <v>12184.131305999999</v>
      </c>
      <c r="C40" s="7">
        <f>output_NHTS!C274</f>
        <v>52281.113830000002</v>
      </c>
      <c r="D40" s="7">
        <f>output_NHTS!D274</f>
        <v>49905.457087000003</v>
      </c>
      <c r="E40" s="7">
        <f>output_NHTS!E274</f>
        <v>97298.300243000005</v>
      </c>
      <c r="F40" s="7"/>
      <c r="G40" s="7">
        <f ref="G40:G47" si="48" t="shared">SUM(B40:E40)</f>
        <v>211669.00246600001</v>
      </c>
      <c r="H40" s="7"/>
      <c r="I40"/>
      <c r="M40" s="3" t="s">
        <v>211</v>
      </c>
      <c r="N40" s="7">
        <f>output!B274</f>
        <v>14950</v>
      </c>
      <c r="O40" s="7">
        <f>output!C274</f>
        <v>56832</v>
      </c>
      <c r="P40" s="7">
        <f>output!D274</f>
        <v>38511</v>
      </c>
      <c r="Q40" s="7">
        <f>output!E274</f>
        <v>115347</v>
      </c>
      <c r="R40" s="7"/>
      <c r="S40" s="7">
        <f ref="S40:S47" si="49" t="shared">SUM(N40:Q40)</f>
        <v>225640</v>
      </c>
      <c r="T40" s="7"/>
      <c r="Y40" s="3" t="s">
        <v>211</v>
      </c>
      <c r="Z40" s="7">
        <f si="42" t="shared"/>
        <v>2765.8686940000007</v>
      </c>
      <c r="AA40" s="7">
        <f si="43" t="shared"/>
        <v>4550.8861699999979</v>
      </c>
      <c r="AB40" s="7">
        <f si="44" t="shared"/>
        <v>-11394.457087000003</v>
      </c>
      <c r="AC40" s="7">
        <f si="45" t="shared"/>
        <v>18048.699756999995</v>
      </c>
      <c r="AD40" s="7">
        <f si="46" t="shared"/>
        <v>0</v>
      </c>
      <c r="AE40" s="7">
        <f si="47" t="shared"/>
        <v>13970.997533999995</v>
      </c>
      <c r="AF40" s="7"/>
    </row>
    <row customHeight="1" ht="12.75" r="41" spans="1:32" x14ac:dyDescent="0.2">
      <c r="A41" s="3" t="s">
        <v>212</v>
      </c>
      <c r="B41" s="7">
        <f>output_NHTS!B275</f>
        <v>10951.639324</v>
      </c>
      <c r="C41" s="7">
        <f>output_NHTS!C275</f>
        <v>81560.539206999994</v>
      </c>
      <c r="D41" s="7">
        <f>output_NHTS!D275</f>
        <v>78675.626281000004</v>
      </c>
      <c r="E41" s="7">
        <f>output_NHTS!E275</f>
        <v>163748.65195599999</v>
      </c>
      <c r="F41" s="7"/>
      <c r="G41" s="7">
        <f si="48" t="shared"/>
        <v>334936.45676800003</v>
      </c>
      <c r="H41" s="7"/>
      <c r="I41"/>
      <c r="M41" s="3" t="s">
        <v>212</v>
      </c>
      <c r="N41" s="7">
        <f>output!B275</f>
        <v>23274</v>
      </c>
      <c r="O41" s="7">
        <f>output!C275</f>
        <v>89139</v>
      </c>
      <c r="P41" s="7">
        <f>output!D275</f>
        <v>71648</v>
      </c>
      <c r="Q41" s="7">
        <f>output!E275</f>
        <v>217317</v>
      </c>
      <c r="R41" s="7"/>
      <c r="S41" s="7">
        <f si="49" t="shared"/>
        <v>401378</v>
      </c>
      <c r="T41" s="7"/>
      <c r="Y41" s="3" t="s">
        <v>212</v>
      </c>
      <c r="Z41" s="7">
        <f si="42" t="shared"/>
        <v>12322.360676</v>
      </c>
      <c r="AA41" s="7">
        <f si="43" t="shared"/>
        <v>7578.4607930000057</v>
      </c>
      <c r="AB41" s="7">
        <f si="44" t="shared"/>
        <v>-7027.6262810000044</v>
      </c>
      <c r="AC41" s="7">
        <f si="45" t="shared"/>
        <v>53568.348044000013</v>
      </c>
      <c r="AD41" s="7">
        <f si="46" t="shared"/>
        <v>0</v>
      </c>
      <c r="AE41" s="7">
        <f si="47" t="shared"/>
        <v>66441.543231999967</v>
      </c>
      <c r="AF41" s="7"/>
    </row>
    <row customHeight="1" ht="12.75" r="42" spans="1:32" x14ac:dyDescent="0.2">
      <c r="A42" s="3" t="s">
        <v>213</v>
      </c>
      <c r="B42" s="7">
        <f>output_NHTS!B276</f>
        <v>18047.118697999998</v>
      </c>
      <c r="C42" s="7">
        <f>output_NHTS!C276</f>
        <v>180658.92860700001</v>
      </c>
      <c r="D42" s="7">
        <f>output_NHTS!D276</f>
        <v>123269.18978</v>
      </c>
      <c r="E42" s="7">
        <f>output_NHTS!E276</f>
        <v>205513.011646</v>
      </c>
      <c r="F42" s="7"/>
      <c r="G42" s="7">
        <f si="48" t="shared"/>
        <v>527488.248731</v>
      </c>
      <c r="H42" s="7"/>
      <c r="I42"/>
      <c r="M42" s="3" t="s">
        <v>213</v>
      </c>
      <c r="N42" s="7">
        <f>output!B276</f>
        <v>44967</v>
      </c>
      <c r="O42" s="7">
        <f>output!C276</f>
        <v>177590</v>
      </c>
      <c r="P42" s="7">
        <f>output!D276</f>
        <v>126278</v>
      </c>
      <c r="Q42" s="7">
        <f>output!E276</f>
        <v>305941</v>
      </c>
      <c r="R42" s="7"/>
      <c r="S42" s="7">
        <f si="49" t="shared"/>
        <v>654776</v>
      </c>
      <c r="T42" s="7"/>
      <c r="Y42" s="3" t="s">
        <v>213</v>
      </c>
      <c r="Z42" s="7">
        <f si="42" t="shared"/>
        <v>26919.881302000002</v>
      </c>
      <c r="AA42" s="7">
        <f si="43" t="shared"/>
        <v>-3068.9286070000089</v>
      </c>
      <c r="AB42" s="7">
        <f si="44" t="shared"/>
        <v>3008.8102199999994</v>
      </c>
      <c r="AC42" s="7">
        <f si="45" t="shared"/>
        <v>100427.988354</v>
      </c>
      <c r="AD42" s="7">
        <f si="46" t="shared"/>
        <v>0</v>
      </c>
      <c r="AE42" s="7">
        <f si="47" t="shared"/>
        <v>127287.751269</v>
      </c>
      <c r="AF42" s="7"/>
    </row>
    <row customHeight="1" ht="12.75" r="43" spans="1:32" x14ac:dyDescent="0.2">
      <c r="A43" s="3" t="s">
        <v>214</v>
      </c>
      <c r="B43" s="7">
        <f>output_NHTS!B277</f>
        <v>16693.450829999998</v>
      </c>
      <c r="C43" s="7">
        <f>output_NHTS!C277</f>
        <v>131062.209227</v>
      </c>
      <c r="D43" s="7">
        <f>output_NHTS!D277</f>
        <v>90293.905983999997</v>
      </c>
      <c r="E43" s="7">
        <f>output_NHTS!E277</f>
        <v>134010.81360299999</v>
      </c>
      <c r="F43" s="7"/>
      <c r="G43" s="7">
        <f si="48" t="shared"/>
        <v>372060.37964399997</v>
      </c>
      <c r="H43" s="7"/>
      <c r="I43"/>
      <c r="M43" s="3" t="s">
        <v>214</v>
      </c>
      <c r="N43" s="7">
        <f>output!B277</f>
        <v>34039</v>
      </c>
      <c r="O43" s="7">
        <f>output!C277</f>
        <v>120668</v>
      </c>
      <c r="P43" s="7">
        <f>output!D277</f>
        <v>82833</v>
      </c>
      <c r="Q43" s="7">
        <f>output!E277</f>
        <v>192705</v>
      </c>
      <c r="R43" s="7"/>
      <c r="S43" s="7">
        <f si="49" t="shared"/>
        <v>430245</v>
      </c>
      <c r="T43" s="7"/>
      <c r="Y43" s="3" t="s">
        <v>214</v>
      </c>
      <c r="Z43" s="7">
        <f si="42" t="shared"/>
        <v>17345.549170000002</v>
      </c>
      <c r="AA43" s="7">
        <f si="43" t="shared"/>
        <v>-10394.209226999999</v>
      </c>
      <c r="AB43" s="7">
        <f si="44" t="shared"/>
        <v>-7460.9059839999973</v>
      </c>
      <c r="AC43" s="7">
        <f si="45" t="shared"/>
        <v>58694.186397000012</v>
      </c>
      <c r="AD43" s="7">
        <f si="46" t="shared"/>
        <v>0</v>
      </c>
      <c r="AE43" s="7">
        <f si="47" t="shared"/>
        <v>58184.620356000029</v>
      </c>
      <c r="AF43" s="7"/>
    </row>
    <row customHeight="1" ht="12.75" r="44" spans="1:32" x14ac:dyDescent="0.2">
      <c r="A44" s="3" t="s">
        <v>129</v>
      </c>
      <c r="B44" s="7">
        <f>output_NHTS!B278</f>
        <v>2407.6168130000001</v>
      </c>
      <c r="C44" s="7">
        <f>output_NHTS!C278</f>
        <v>56789.567336</v>
      </c>
      <c r="D44" s="7">
        <f>output_NHTS!D278</f>
        <v>45824.045058999996</v>
      </c>
      <c r="E44" s="7">
        <f>output_NHTS!E278</f>
        <v>91124.478636999993</v>
      </c>
      <c r="F44" s="7"/>
      <c r="G44" s="7">
        <f si="48" t="shared"/>
        <v>196145.707845</v>
      </c>
      <c r="H44" s="7"/>
      <c r="I44"/>
      <c r="M44" s="3" t="s">
        <v>129</v>
      </c>
      <c r="N44" s="7">
        <f>output!B278</f>
        <v>13716</v>
      </c>
      <c r="O44" s="7">
        <f>output!C278</f>
        <v>61620</v>
      </c>
      <c r="P44" s="7">
        <f>output!D278</f>
        <v>53071</v>
      </c>
      <c r="Q44" s="7">
        <f>output!E278</f>
        <v>131948</v>
      </c>
      <c r="R44" s="7"/>
      <c r="S44" s="7">
        <f si="49" t="shared"/>
        <v>260355</v>
      </c>
      <c r="T44" s="7"/>
      <c r="Y44" s="3" t="s">
        <v>129</v>
      </c>
      <c r="Z44" s="7">
        <f si="42" t="shared"/>
        <v>11308.383186999999</v>
      </c>
      <c r="AA44" s="7">
        <f si="43" t="shared"/>
        <v>4830.4326639999999</v>
      </c>
      <c r="AB44" s="7">
        <f si="44" t="shared"/>
        <v>7246.9549410000036</v>
      </c>
      <c r="AC44" s="7">
        <f si="45" t="shared"/>
        <v>40823.521363000007</v>
      </c>
      <c r="AD44" s="7">
        <f si="46" t="shared"/>
        <v>0</v>
      </c>
      <c r="AE44" s="7">
        <f si="47" t="shared"/>
        <v>64209.292155000003</v>
      </c>
      <c r="AF44" s="7"/>
    </row>
    <row customHeight="1" ht="12.75" r="45" spans="1:32" x14ac:dyDescent="0.2">
      <c r="A45" s="3" t="s">
        <v>130</v>
      </c>
      <c r="B45" s="7">
        <f>output_NHTS!B279</f>
        <v>7823.6813240000001</v>
      </c>
      <c r="C45" s="7">
        <f>output_NHTS!C279</f>
        <v>84882.538134999995</v>
      </c>
      <c r="D45" s="7">
        <f>output_NHTS!D279</f>
        <v>69325.012715000004</v>
      </c>
      <c r="E45" s="7">
        <f>output_NHTS!E279</f>
        <v>145271.224674</v>
      </c>
      <c r="F45" s="7"/>
      <c r="G45" s="7">
        <f si="48" t="shared"/>
        <v>307302.456848</v>
      </c>
      <c r="H45" s="7"/>
      <c r="I45"/>
      <c r="M45" s="3" t="s">
        <v>130</v>
      </c>
      <c r="N45" s="7">
        <f>output!B279</f>
        <v>20362</v>
      </c>
      <c r="O45" s="7">
        <f>output!C279</f>
        <v>81822</v>
      </c>
      <c r="P45" s="7">
        <f>output!D279</f>
        <v>67105</v>
      </c>
      <c r="Q45" s="7">
        <f>output!E279</f>
        <v>188986</v>
      </c>
      <c r="R45" s="7"/>
      <c r="S45" s="7">
        <f si="49" t="shared"/>
        <v>358275</v>
      </c>
      <c r="T45" s="7"/>
      <c r="Y45" s="3" t="s">
        <v>130</v>
      </c>
      <c r="Z45" s="7">
        <f si="42" t="shared"/>
        <v>12538.318675999999</v>
      </c>
      <c r="AA45" s="7">
        <f si="43" t="shared"/>
        <v>-3060.5381349999952</v>
      </c>
      <c r="AB45" s="7">
        <f si="44" t="shared"/>
        <v>-2220.0127150000044</v>
      </c>
      <c r="AC45" s="7">
        <f si="45" t="shared"/>
        <v>43714.775326000003</v>
      </c>
      <c r="AD45" s="7">
        <f si="46" t="shared"/>
        <v>0</v>
      </c>
      <c r="AE45" s="7">
        <f si="47" t="shared"/>
        <v>50972.543151999998</v>
      </c>
      <c r="AF45" s="7"/>
    </row>
    <row customHeight="1" ht="12.75" r="46" spans="1:32" x14ac:dyDescent="0.2">
      <c r="A46" s="8" t="s">
        <v>145</v>
      </c>
      <c r="B46" s="7">
        <f>output_NHTS!B280</f>
        <v>49631.362111000002</v>
      </c>
      <c r="C46" s="7">
        <f>output_NHTS!C280</f>
        <v>400692.76343300001</v>
      </c>
      <c r="D46" s="7">
        <f>output_NHTS!D280</f>
        <v>327772.19487000001</v>
      </c>
      <c r="E46" s="7">
        <f>output_NHTS!E280</f>
        <v>592143.22108499997</v>
      </c>
      <c r="F46" s="9"/>
      <c r="G46" s="9">
        <f si="48" t="shared"/>
        <v>1370239.541499</v>
      </c>
      <c r="H46" s="33"/>
      <c r="I46"/>
      <c r="M46" s="8" t="s">
        <v>145</v>
      </c>
      <c r="N46" s="9">
        <f>output!B280</f>
        <v>97797</v>
      </c>
      <c r="O46" s="9">
        <f>output!C280</f>
        <v>420150</v>
      </c>
      <c r="P46" s="9">
        <f>output!D280</f>
        <v>327198</v>
      </c>
      <c r="Q46" s="9">
        <f>output!E280</f>
        <v>869085</v>
      </c>
      <c r="R46" s="9"/>
      <c r="S46" s="9">
        <f si="49" t="shared"/>
        <v>1714230</v>
      </c>
      <c r="T46" s="33"/>
      <c r="Y46" s="8" t="s">
        <v>145</v>
      </c>
      <c r="Z46" s="9">
        <f si="42" t="shared"/>
        <v>48165.637888999998</v>
      </c>
      <c r="AA46" s="9">
        <f si="43" t="shared"/>
        <v>19457.236566999985</v>
      </c>
      <c r="AB46" s="9">
        <f si="44" t="shared"/>
        <v>-574.19487000000663</v>
      </c>
      <c r="AC46" s="9">
        <f si="45" t="shared"/>
        <v>276941.77891500003</v>
      </c>
      <c r="AD46" s="9">
        <f si="46" t="shared"/>
        <v>0</v>
      </c>
      <c r="AE46" s="9">
        <f si="47" t="shared"/>
        <v>343990.45850099996</v>
      </c>
      <c r="AF46" s="33"/>
    </row>
    <row ht="13.5" r="47" spans="1:32" thickBot="1" x14ac:dyDescent="0.25">
      <c r="A47" s="10" t="s">
        <v>220</v>
      </c>
      <c r="B47" s="11">
        <f>SUM(B39:B46)</f>
        <v>127603.94383599999</v>
      </c>
      <c r="C47" s="11">
        <f>SUM(C39:C46)</f>
        <v>1176889.53905</v>
      </c>
      <c r="D47" s="11">
        <f>SUM(D39:D46)</f>
        <v>944700.10872299992</v>
      </c>
      <c r="E47" s="11">
        <f>SUM(E39:E46)</f>
        <v>1743256.6406350001</v>
      </c>
      <c r="F47" s="11"/>
      <c r="G47" s="11">
        <f si="48" t="shared"/>
        <v>3992450.2322440003</v>
      </c>
      <c r="H47" s="33"/>
      <c r="I47"/>
      <c r="M47" s="10" t="s">
        <v>220</v>
      </c>
      <c r="N47" s="11">
        <f>SUM(N39:N46)</f>
        <v>266876</v>
      </c>
      <c r="O47" s="11">
        <f>SUM(O39:O46)</f>
        <v>1177152</v>
      </c>
      <c r="P47" s="11">
        <f>SUM(P39:P46)</f>
        <v>939728</v>
      </c>
      <c r="Q47" s="11">
        <f>SUM(Q39:Q46)</f>
        <v>2513087</v>
      </c>
      <c r="R47" s="11"/>
      <c r="S47" s="11">
        <f si="49" t="shared"/>
        <v>4896843</v>
      </c>
      <c r="T47" s="33"/>
      <c r="Y47" s="10" t="s">
        <v>220</v>
      </c>
      <c r="Z47" s="11">
        <f si="42" t="shared"/>
        <v>139272.05616400001</v>
      </c>
      <c r="AA47" s="11">
        <f si="43" t="shared"/>
        <v>262.46094999997877</v>
      </c>
      <c r="AB47" s="11">
        <f si="44" t="shared"/>
        <v>-4972.1087229999248</v>
      </c>
      <c r="AC47" s="11">
        <f si="45" t="shared"/>
        <v>769830.35936499992</v>
      </c>
      <c r="AD47" s="11">
        <f si="46" t="shared"/>
        <v>0</v>
      </c>
      <c r="AE47" s="11">
        <f si="47" t="shared"/>
        <v>904392.7677559997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101248</v>
      </c>
      <c r="O49" s="53">
        <f>ToursByTourPurpose!O50</f>
        <v>383041</v>
      </c>
      <c r="P49" s="53">
        <f>ToursByTourPurpose!P50</f>
        <v>286869</v>
      </c>
      <c r="Q49" s="53">
        <f>ToursByTourPurpose!Q50</f>
        <v>730913</v>
      </c>
      <c r="R49" s="53" t="e">
        <f>ToursByTourPurpose!#REF!</f>
        <v>#REF!</v>
      </c>
      <c r="S49" s="53">
        <f>ToursByTourPurpose!S50</f>
        <v>1502071</v>
      </c>
      <c r="T49" s="53"/>
      <c r="Y49" s="3" t="s">
        <v>88</v>
      </c>
      <c r="Z49" s="7">
        <f ref="Z49:AC50" si="50" t="shared">N49-B49</f>
        <v>52206.564857669233</v>
      </c>
      <c r="AA49" s="7">
        <f si="50" t="shared"/>
        <v>17131.790197783266</v>
      </c>
      <c r="AB49" s="7">
        <f si="50" t="shared"/>
        <v>12875.504374050885</v>
      </c>
      <c r="AC49" s="7">
        <f si="50" t="shared"/>
        <v>241871.08238132839</v>
      </c>
      <c r="AD49" s="7"/>
      <c r="AE49" s="7">
        <f>S49-G49</f>
        <v>324084.94181083166</v>
      </c>
      <c r="AF49" s="7"/>
    </row>
    <row r="50" spans="1:32" x14ac:dyDescent="0.2">
      <c r="A50" s="25" t="s">
        <v>91</v>
      </c>
      <c r="B50" s="38">
        <f ref="B50:G50" si="51" t="shared">B47/B49</f>
        <v>2.601961860733903</v>
      </c>
      <c r="C50" s="38">
        <f si="51" t="shared"/>
        <v>3.2163430368045089</v>
      </c>
      <c r="D50" s="38">
        <f si="51" t="shared"/>
        <v>3.4478924638878552</v>
      </c>
      <c r="E50" s="38">
        <f si="51" t="shared"/>
        <v>3.5646364408261157</v>
      </c>
      <c r="F50" s="38" t="e">
        <f si="51" t="shared"/>
        <v>#DIV/0!</v>
      </c>
      <c r="G50" s="38">
        <f si="51" t="shared"/>
        <v>3.3892168795115465</v>
      </c>
      <c r="H50" s="38"/>
      <c r="I50"/>
      <c r="M50" s="25" t="s">
        <v>91</v>
      </c>
      <c r="N50" s="38">
        <f ref="N50:S50" si="52" t="shared">N47/N49</f>
        <v>2.6358644121365362</v>
      </c>
      <c r="O50" s="38">
        <f si="52" t="shared"/>
        <v>3.0731749342759653</v>
      </c>
      <c r="P50" s="38">
        <f si="52" t="shared"/>
        <v>3.2758088186593879</v>
      </c>
      <c r="Q50" s="38">
        <f si="52" t="shared"/>
        <v>3.4382847206165441</v>
      </c>
      <c r="R50" s="38" t="e">
        <f si="52" t="shared"/>
        <v>#REF!</v>
      </c>
      <c r="S50" s="38">
        <f si="52" t="shared"/>
        <v>3.2600609425253535</v>
      </c>
      <c r="T50" s="38"/>
      <c r="Y50" s="3" t="s">
        <v>91</v>
      </c>
      <c r="Z50" s="38">
        <f si="50" t="shared"/>
        <v>3.3902551402633208E-2</v>
      </c>
      <c r="AA50" s="38">
        <f si="50" t="shared"/>
        <v>-0.14316810252854362</v>
      </c>
      <c r="AB50" s="38">
        <f si="50" t="shared"/>
        <v>-0.17208364522846731</v>
      </c>
      <c r="AC50" s="38">
        <f si="50" t="shared"/>
        <v>-0.12635172020957164</v>
      </c>
      <c r="AD50" s="38"/>
      <c r="AE50" s="38">
        <f>S50-G50</f>
        <v>-0.12915593698619299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276</v>
      </c>
      <c r="I53"/>
      <c r="M53" s="2" t="s">
        <v>135</v>
      </c>
      <c r="Y53" s="268" t="s">
        <v>108</v>
      </c>
      <c r="Z53" s="268"/>
      <c r="AA53" s="268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295</v>
      </c>
      <c r="C55" s="32" t="s">
        <v>296</v>
      </c>
      <c r="D55" s="32" t="s">
        <v>297</v>
      </c>
      <c r="E55" s="32" t="s">
        <v>300</v>
      </c>
      <c r="F55" s="32" t="s">
        <v>172</v>
      </c>
      <c r="G55" s="32" t="s">
        <v>220</v>
      </c>
      <c r="H55" s="89"/>
      <c r="I55"/>
      <c r="M55" s="5" t="s">
        <v>144</v>
      </c>
      <c r="N55" s="32" t="s">
        <v>295</v>
      </c>
      <c r="O55" s="32" t="s">
        <v>296</v>
      </c>
      <c r="P55" s="32" t="s">
        <v>297</v>
      </c>
      <c r="Q55" s="32" t="s">
        <v>300</v>
      </c>
      <c r="R55" s="32" t="s">
        <v>172</v>
      </c>
      <c r="S55" s="32" t="s">
        <v>220</v>
      </c>
      <c r="T55" s="89"/>
      <c r="Y55" s="5" t="s">
        <v>144</v>
      </c>
      <c r="Z55" s="32" t="s">
        <v>295</v>
      </c>
      <c r="AA55" s="32" t="s">
        <v>296</v>
      </c>
      <c r="AB55" s="32" t="s">
        <v>297</v>
      </c>
      <c r="AC55" s="32" t="s">
        <v>300</v>
      </c>
      <c r="AD55" s="32" t="s">
        <v>172</v>
      </c>
      <c r="AE55" s="32" t="s">
        <v>220</v>
      </c>
      <c r="AF55" s="89"/>
    </row>
    <row r="56" spans="1:32" x14ac:dyDescent="0.2">
      <c r="A56" s="3" t="s">
        <v>210</v>
      </c>
      <c r="B56" s="12">
        <f ref="B56:G56" si="53" t="shared">B39/B$47</f>
        <v>7.73090794331458E-2</v>
      </c>
      <c r="C56" s="12">
        <f si="53" t="shared"/>
        <v>0.16056042050261776</v>
      </c>
      <c r="D56" s="12">
        <f si="53" t="shared"/>
        <v>0.16897920882298453</v>
      </c>
      <c r="E56" s="12">
        <f si="53" t="shared"/>
        <v>0.18020693652804246</v>
      </c>
      <c r="F56" s="12" t="e">
        <f si="53" t="shared"/>
        <v>#DIV/0!</v>
      </c>
      <c r="G56" s="12">
        <f si="53" t="shared"/>
        <v>0.1684700871186447</v>
      </c>
      <c r="H56" s="12"/>
      <c r="I56"/>
      <c r="M56" s="3" t="s">
        <v>210</v>
      </c>
      <c r="N56" s="12">
        <f ref="N56:Q64" si="54" t="shared">N39/N$47</f>
        <v>6.658897765254275E-2</v>
      </c>
      <c r="O56" s="12">
        <f si="54" t="shared"/>
        <v>0.14384803321915945</v>
      </c>
      <c r="P56" s="12">
        <f si="54" t="shared"/>
        <v>0.18418521103979024</v>
      </c>
      <c r="Q56" s="12">
        <f si="54" t="shared"/>
        <v>0.19567886030209061</v>
      </c>
      <c r="R56" s="12" t="e">
        <f ref="R56:S64" si="55" t="shared">R39/R$47</f>
        <v>#DIV/0!</v>
      </c>
      <c r="S56" s="12">
        <f si="55" t="shared"/>
        <v>0.17397821412693851</v>
      </c>
      <c r="T56" s="12"/>
      <c r="Y56" s="3" t="s">
        <v>210</v>
      </c>
      <c r="Z56" s="12">
        <f ref="Z56:Z64" si="56" t="shared">N56-B56</f>
        <v>-1.072010178060305E-2</v>
      </c>
      <c r="AA56" s="12">
        <f ref="AA56:AA64" si="57" t="shared">O56-C56</f>
        <v>-1.6712387283458308E-2</v>
      </c>
      <c r="AB56" s="12">
        <f ref="AB56:AB64" si="58" t="shared">P56-D56</f>
        <v>1.5206002216805709E-2</v>
      </c>
      <c r="AC56" s="12">
        <f ref="AC56:AC64" si="59" t="shared">Q56-E56</f>
        <v>1.5471923774048157E-2</v>
      </c>
      <c r="AD56" s="12"/>
      <c r="AE56" s="12">
        <f ref="AE56:AE64" si="60" t="shared">S56-G56</f>
        <v>5.5081270082938116E-3</v>
      </c>
      <c r="AF56" s="12"/>
    </row>
    <row r="57" spans="1:32" x14ac:dyDescent="0.2">
      <c r="A57" s="3" t="s">
        <v>211</v>
      </c>
      <c r="B57" s="12">
        <f ref="B57:G57" si="61" t="shared">B40/B$47</f>
        <v>9.5483971260789335E-2</v>
      </c>
      <c r="C57" s="12">
        <f si="61" t="shared"/>
        <v>4.4423127315926327E-2</v>
      </c>
      <c r="D57" s="12">
        <f si="61" t="shared"/>
        <v>5.2826771825462998E-2</v>
      </c>
      <c r="E57" s="12">
        <f si="61" t="shared"/>
        <v>5.5814099872040668E-2</v>
      </c>
      <c r="F57" s="12" t="e">
        <f si="61" t="shared"/>
        <v>#DIV/0!</v>
      </c>
      <c r="G57" s="12">
        <f si="61" t="shared"/>
        <v>5.3017317725468333E-2</v>
      </c>
      <c r="H57" s="12"/>
      <c r="I57"/>
      <c r="M57" s="3" t="s">
        <v>211</v>
      </c>
      <c r="N57" s="12">
        <f si="54" t="shared"/>
        <v>5.6018525457515851E-2</v>
      </c>
      <c r="O57" s="12">
        <f si="54" t="shared"/>
        <v>4.8279236666122979E-2</v>
      </c>
      <c r="P57" s="12">
        <f si="54" t="shared"/>
        <v>4.0981007270188823E-2</v>
      </c>
      <c r="Q57" s="12">
        <f si="54" t="shared"/>
        <v>4.5898530373202358E-2</v>
      </c>
      <c r="R57" s="12" t="e">
        <f si="55" t="shared"/>
        <v>#DIV/0!</v>
      </c>
      <c r="S57" s="12">
        <f si="55" t="shared"/>
        <v>4.6078667418988112E-2</v>
      </c>
      <c r="T57" s="12"/>
      <c r="Y57" s="3" t="s">
        <v>211</v>
      </c>
      <c r="Z57" s="12">
        <f si="56" t="shared"/>
        <v>-3.9465445803273484E-2</v>
      </c>
      <c r="AA57" s="12">
        <f si="57" t="shared"/>
        <v>3.8561093501966529E-3</v>
      </c>
      <c r="AB57" s="12">
        <f si="58" t="shared"/>
        <v>-1.1845764555274176E-2</v>
      </c>
      <c r="AC57" s="12">
        <f si="59" t="shared"/>
        <v>-9.91556949883831E-3</v>
      </c>
      <c r="AD57" s="12"/>
      <c r="AE57" s="12">
        <f si="60" t="shared"/>
        <v>-6.9386503064802207E-3</v>
      </c>
      <c r="AF57" s="12"/>
    </row>
    <row r="58" spans="1:32" x14ac:dyDescent="0.2">
      <c r="A58" s="3" t="s">
        <v>212</v>
      </c>
      <c r="B58" s="12">
        <f ref="B58:G58" si="62" t="shared">B41/B$47</f>
        <v>8.5825241718824455E-2</v>
      </c>
      <c r="C58" s="12">
        <f si="62" t="shared"/>
        <v>6.9301779394552759E-2</v>
      </c>
      <c r="D58" s="12">
        <f si="62" t="shared"/>
        <v>8.3281059835326923E-2</v>
      </c>
      <c r="E58" s="12">
        <f si="62" t="shared"/>
        <v>9.3932613327864775E-2</v>
      </c>
      <c r="F58" s="12" t="e">
        <f si="62" t="shared"/>
        <v>#DIV/0!</v>
      </c>
      <c r="G58" s="12">
        <f si="62" t="shared"/>
        <v>8.3892456332447587E-2</v>
      </c>
      <c r="H58" s="12"/>
      <c r="I58"/>
      <c r="M58" s="3" t="s">
        <v>212</v>
      </c>
      <c r="N58" s="12">
        <f si="54" t="shared"/>
        <v>8.7209040902891236E-2</v>
      </c>
      <c r="O58" s="12">
        <f si="54" t="shared"/>
        <v>7.5724290490947643E-2</v>
      </c>
      <c r="P58" s="12">
        <f si="54" t="shared"/>
        <v>7.6243338497948343E-2</v>
      </c>
      <c r="Q58" s="12">
        <f si="54" t="shared"/>
        <v>8.6474125249145772E-2</v>
      </c>
      <c r="R58" s="12" t="e">
        <f si="55" t="shared"/>
        <v>#DIV/0!</v>
      </c>
      <c r="S58" s="12">
        <f si="55" t="shared"/>
        <v>8.1966687516834821E-2</v>
      </c>
      <c r="T58" s="12"/>
      <c r="Y58" s="3" t="s">
        <v>212</v>
      </c>
      <c r="Z58" s="12">
        <f si="56" t="shared"/>
        <v>1.3837991840667807E-3</v>
      </c>
      <c r="AA58" s="12">
        <f si="57" t="shared"/>
        <v>6.4225110963948839E-3</v>
      </c>
      <c r="AB58" s="12">
        <f si="58" t="shared"/>
        <v>-7.0377213373785802E-3</v>
      </c>
      <c r="AC58" s="12">
        <f si="59" t="shared"/>
        <v>-7.4584880787190028E-3</v>
      </c>
      <c r="AD58" s="12"/>
      <c r="AE58" s="12">
        <f si="60" t="shared"/>
        <v>-1.9257688156127661E-3</v>
      </c>
      <c r="AF58" s="12"/>
    </row>
    <row r="59" spans="1:32" x14ac:dyDescent="0.2">
      <c r="A59" s="3" t="s">
        <v>213</v>
      </c>
      <c r="B59" s="12">
        <f ref="B59:G59" si="63" t="shared">B42/B$47</f>
        <v>0.14143072820064745</v>
      </c>
      <c r="C59" s="12">
        <f si="63" t="shared"/>
        <v>0.15350542477659387</v>
      </c>
      <c r="D59" s="12">
        <f si="63" t="shared"/>
        <v>0.13048499586459172</v>
      </c>
      <c r="E59" s="12">
        <f si="63" t="shared"/>
        <v>0.11789027895005733</v>
      </c>
      <c r="F59" s="12" t="e">
        <f si="63" t="shared"/>
        <v>#DIV/0!</v>
      </c>
      <c r="G59" s="12">
        <f si="63" t="shared"/>
        <v>0.13212143371778975</v>
      </c>
      <c r="H59" s="12"/>
      <c r="I59"/>
      <c r="M59" s="3" t="s">
        <v>213</v>
      </c>
      <c r="N59" s="12">
        <f si="54" t="shared"/>
        <v>0.1684939822239542</v>
      </c>
      <c r="O59" s="12">
        <f si="54" t="shared"/>
        <v>0.15086411950198444</v>
      </c>
      <c r="P59" s="12">
        <f si="54" t="shared"/>
        <v>0.13437718148230127</v>
      </c>
      <c r="Q59" s="12">
        <f si="54" t="shared"/>
        <v>0.12173912005433954</v>
      </c>
      <c r="R59" s="12" t="e">
        <f si="55" t="shared"/>
        <v>#DIV/0!</v>
      </c>
      <c r="S59" s="12">
        <f si="55" t="shared"/>
        <v>0.13371390506087288</v>
      </c>
      <c r="T59" s="12"/>
      <c r="Y59" s="3" t="s">
        <v>213</v>
      </c>
      <c r="Z59" s="12">
        <f si="56" t="shared"/>
        <v>2.7063254023306754E-2</v>
      </c>
      <c r="AA59" s="12">
        <f si="57" t="shared"/>
        <v>-2.641305274609429E-3</v>
      </c>
      <c r="AB59" s="12">
        <f si="58" t="shared"/>
        <v>3.8921856177095426E-3</v>
      </c>
      <c r="AC59" s="12">
        <f si="59" t="shared"/>
        <v>3.8488411042822135E-3</v>
      </c>
      <c r="AD59" s="12"/>
      <c r="AE59" s="12">
        <f si="60" t="shared"/>
        <v>1.5924713430831294E-3</v>
      </c>
      <c r="AF59" s="12"/>
    </row>
    <row r="60" spans="1:32" x14ac:dyDescent="0.2">
      <c r="A60" s="3" t="s">
        <v>214</v>
      </c>
      <c r="B60" s="12">
        <f ref="B60:G60" si="64" t="shared">B43/B$47</f>
        <v>0.13082237373050842</v>
      </c>
      <c r="C60" s="12">
        <f si="64" t="shared"/>
        <v>0.11136322048779111</v>
      </c>
      <c r="D60" s="12">
        <f si="64" t="shared"/>
        <v>9.5579438543788198E-2</v>
      </c>
      <c r="E60" s="12">
        <f si="64" t="shared"/>
        <v>7.6873829405970373E-2</v>
      </c>
      <c r="F60" s="12" t="e">
        <f si="64" t="shared"/>
        <v>#DIV/0!</v>
      </c>
      <c r="G60" s="12">
        <f si="64" t="shared"/>
        <v>9.3190987489123786E-2</v>
      </c>
      <c r="H60" s="12"/>
      <c r="I60"/>
      <c r="M60" s="3" t="s">
        <v>214</v>
      </c>
      <c r="N60" s="12">
        <f si="54" t="shared"/>
        <v>0.12754612629086168</v>
      </c>
      <c r="O60" s="12">
        <f si="54" t="shared"/>
        <v>0.10250842711901267</v>
      </c>
      <c r="P60" s="12">
        <f si="54" t="shared"/>
        <v>8.8145718761173442E-2</v>
      </c>
      <c r="Q60" s="12">
        <f si="54" t="shared"/>
        <v>7.6680592434722708E-2</v>
      </c>
      <c r="R60" s="12" t="e">
        <f si="55" t="shared"/>
        <v>#DIV/0!</v>
      </c>
      <c r="S60" s="12">
        <f si="55" t="shared"/>
        <v>8.7861710085457095E-2</v>
      </c>
      <c r="T60" s="12"/>
      <c r="Y60" s="3" t="s">
        <v>214</v>
      </c>
      <c r="Z60" s="12">
        <f si="56" t="shared"/>
        <v>-3.2762474396467456E-3</v>
      </c>
      <c r="AA60" s="12">
        <f si="57" t="shared"/>
        <v>-8.854793368778438E-3</v>
      </c>
      <c r="AB60" s="12">
        <f si="58" t="shared"/>
        <v>-7.4337197826147561E-3</v>
      </c>
      <c r="AC60" s="12">
        <f si="59" t="shared"/>
        <v>-1.9323697124766503E-4</v>
      </c>
      <c r="AD60" s="12"/>
      <c r="AE60" s="12">
        <f si="60" t="shared"/>
        <v>-5.3292774036666907E-3</v>
      </c>
      <c r="AF60" s="12"/>
    </row>
    <row r="61" spans="1:32" x14ac:dyDescent="0.2">
      <c r="A61" s="3" t="s">
        <v>129</v>
      </c>
      <c r="B61" s="12">
        <f ref="B61:G61" si="65" t="shared">B44/B$47</f>
        <v>1.8867887156327503E-2</v>
      </c>
      <c r="C61" s="12">
        <f si="65" t="shared"/>
        <v>4.8253948609179795E-2</v>
      </c>
      <c r="D61" s="12">
        <f si="65" t="shared"/>
        <v>4.850644626361135E-2</v>
      </c>
      <c r="E61" s="12">
        <f si="65" t="shared"/>
        <v>5.2272555005903727E-2</v>
      </c>
      <c r="F61" s="12" t="e">
        <f si="65" t="shared"/>
        <v>#DIV/0!</v>
      </c>
      <c r="G61" s="12">
        <f si="65" t="shared"/>
        <v>4.9129155389559899E-2</v>
      </c>
      <c r="H61" s="12"/>
      <c r="I61"/>
      <c r="M61" s="3" t="s">
        <v>129</v>
      </c>
      <c r="N61" s="12">
        <f si="54" t="shared"/>
        <v>5.13946551956714E-2</v>
      </c>
      <c r="O61" s="12">
        <f si="54" t="shared"/>
        <v>5.2346680802479201E-2</v>
      </c>
      <c r="P61" s="12">
        <f si="54" t="shared"/>
        <v>5.6474852297686139E-2</v>
      </c>
      <c r="Q61" s="12">
        <f si="54" t="shared"/>
        <v>5.2504350227429455E-2</v>
      </c>
      <c r="R61" s="12" t="e">
        <f si="55" t="shared"/>
        <v>#DIV/0!</v>
      </c>
      <c r="S61" s="12">
        <f si="55" t="shared"/>
        <v>5.3167928806375865E-2</v>
      </c>
      <c r="T61" s="12"/>
      <c r="Y61" s="3" t="s">
        <v>129</v>
      </c>
      <c r="Z61" s="12">
        <f si="56" t="shared"/>
        <v>3.2526768039343901E-2</v>
      </c>
      <c r="AA61" s="12">
        <f si="57" t="shared"/>
        <v>4.092732193299406E-3</v>
      </c>
      <c r="AB61" s="12">
        <f si="58" t="shared"/>
        <v>7.9684060340747889E-3</v>
      </c>
      <c r="AC61" s="12">
        <f si="59" t="shared"/>
        <v>2.3179522152572823E-4</v>
      </c>
      <c r="AD61" s="12"/>
      <c r="AE61" s="12">
        <f si="60" t="shared"/>
        <v>4.0387734168159661E-3</v>
      </c>
      <c r="AF61" s="12"/>
    </row>
    <row r="62" spans="1:32" x14ac:dyDescent="0.2">
      <c r="A62" s="3" t="s">
        <v>130</v>
      </c>
      <c r="B62" s="12">
        <f ref="B62:G62" si="66" t="shared">B45/B$47</f>
        <v>6.1312221933008629E-2</v>
      </c>
      <c r="C62" s="12">
        <f si="66" t="shared"/>
        <v>7.2124473298928501E-2</v>
      </c>
      <c r="D62" s="12">
        <f si="66" t="shared"/>
        <v>7.3383089590949885E-2</v>
      </c>
      <c r="E62" s="12">
        <f si="66" t="shared"/>
        <v>8.3333240377666581E-2</v>
      </c>
      <c r="F62" s="12" t="e">
        <f si="66" t="shared"/>
        <v>#DIV/0!</v>
      </c>
      <c r="G62" s="12">
        <f si="66" t="shared"/>
        <v>7.6970892302213448E-2</v>
      </c>
      <c r="H62" s="12"/>
      <c r="I62"/>
      <c r="M62" s="3" t="s">
        <v>130</v>
      </c>
      <c r="N62" s="12">
        <f si="54" t="shared"/>
        <v>7.6297606378992494E-2</v>
      </c>
      <c r="O62" s="12">
        <f si="54" t="shared"/>
        <v>6.950844071114011E-2</v>
      </c>
      <c r="P62" s="12">
        <f si="54" t="shared"/>
        <v>7.140896089081096E-2</v>
      </c>
      <c r="Q62" s="12">
        <f si="54" t="shared"/>
        <v>7.5200739170589795E-2</v>
      </c>
      <c r="R62" s="12" t="e">
        <f si="55" t="shared"/>
        <v>#DIV/0!</v>
      </c>
      <c r="S62" s="12">
        <f si="55" t="shared"/>
        <v>7.3164485771751303E-2</v>
      </c>
      <c r="T62" s="12"/>
      <c r="Y62" s="3" t="s">
        <v>130</v>
      </c>
      <c r="Z62" s="12">
        <f si="56" t="shared"/>
        <v>1.4985384445983865E-2</v>
      </c>
      <c r="AA62" s="12">
        <f si="57" t="shared"/>
        <v>-2.6160325877883917E-3</v>
      </c>
      <c r="AB62" s="12">
        <f si="58" t="shared"/>
        <v>-1.9741287001389246E-3</v>
      </c>
      <c r="AC62" s="12">
        <f si="59" t="shared"/>
        <v>-8.1325012070767866E-3</v>
      </c>
      <c r="AD62" s="12"/>
      <c r="AE62" s="12">
        <f si="60" t="shared"/>
        <v>-3.8064065304621447E-3</v>
      </c>
      <c r="AF62" s="12"/>
    </row>
    <row r="63" spans="1:32" x14ac:dyDescent="0.2">
      <c r="A63" s="8" t="s">
        <v>145</v>
      </c>
      <c r="B63" s="13">
        <f ref="B63:G63" si="67" t="shared">B46/B$47</f>
        <v>0.38894849656674846</v>
      </c>
      <c r="C63" s="13">
        <f si="67" t="shared"/>
        <v>0.34046760561440986</v>
      </c>
      <c r="D63" s="13">
        <f si="67" t="shared"/>
        <v>0.3469589892532845</v>
      </c>
      <c r="E63" s="13">
        <f si="67" t="shared"/>
        <v>0.33967644653245399</v>
      </c>
      <c r="F63" s="13" t="e">
        <f si="67" t="shared"/>
        <v>#DIV/0!</v>
      </c>
      <c r="G63" s="13">
        <f si="67" t="shared"/>
        <v>0.34320766992475243</v>
      </c>
      <c r="H63" s="34"/>
      <c r="I63"/>
      <c r="M63" s="8" t="s">
        <v>145</v>
      </c>
      <c r="N63" s="13">
        <f si="54" t="shared"/>
        <v>0.36645108589757042</v>
      </c>
      <c r="O63" s="13">
        <f si="54" t="shared"/>
        <v>0.35692077148915347</v>
      </c>
      <c r="P63" s="13">
        <f si="54" t="shared"/>
        <v>0.34818372976010081</v>
      </c>
      <c r="Q63" s="13">
        <f si="54" t="shared"/>
        <v>0.34582368218847975</v>
      </c>
      <c r="R63" s="13" t="e">
        <f si="55" t="shared"/>
        <v>#DIV/0!</v>
      </c>
      <c r="S63" s="13">
        <f si="55" t="shared"/>
        <v>0.35006840121278138</v>
      </c>
      <c r="T63" s="34"/>
      <c r="Y63" s="8" t="s">
        <v>145</v>
      </c>
      <c r="Z63" s="12">
        <f si="56" t="shared"/>
        <v>-2.2497410669178042E-2</v>
      </c>
      <c r="AA63" s="12">
        <f si="57" t="shared"/>
        <v>1.6453165874743603E-2</v>
      </c>
      <c r="AB63" s="12">
        <f si="58" t="shared"/>
        <v>1.2247405068163131E-3</v>
      </c>
      <c r="AC63" s="12">
        <f si="59" t="shared"/>
        <v>6.1472356560257624E-3</v>
      </c>
      <c r="AD63" s="12"/>
      <c r="AE63" s="12">
        <f si="60" t="shared"/>
        <v>6.8607312880289428E-3</v>
      </c>
      <c r="AF63" s="12"/>
    </row>
    <row ht="13.5" r="64" spans="1:32" thickBot="1" x14ac:dyDescent="0.25">
      <c r="A64" s="10" t="s">
        <v>220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220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220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68" t="s">
        <v>250</v>
      </c>
      <c r="Z70" s="268"/>
      <c r="AA70" s="268"/>
      <c r="AB70" s="268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220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220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220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7650.7393759999995</v>
      </c>
      <c r="C73" s="7">
        <f>output_NHTS!C284</f>
        <v>112643.94459</v>
      </c>
      <c r="D73" s="7">
        <f>output_NHTS!D284</f>
        <v>456460.67183499999</v>
      </c>
      <c r="E73" s="7">
        <f>output_NHTS!E284</f>
        <v>177751.32721799999</v>
      </c>
      <c r="F73" s="7">
        <f>output_NHTS!F284</f>
        <v>754506.68301899999</v>
      </c>
      <c r="M73" s="3" t="s">
        <v>210</v>
      </c>
      <c r="N73" s="7">
        <f>output!B284</f>
        <v>5611</v>
      </c>
      <c r="O73" s="7">
        <f>output!C284</f>
        <v>132549</v>
      </c>
      <c r="P73" s="7">
        <f>output!D284</f>
        <v>547118</v>
      </c>
      <c r="Q73" s="7">
        <f>output!E284</f>
        <v>166744</v>
      </c>
      <c r="R73" s="7">
        <f>output!F284</f>
        <v>852022</v>
      </c>
      <c r="Y73" s="3" t="s">
        <v>210</v>
      </c>
      <c r="Z73" s="7">
        <f ref="Z73:Z81" si="69" t="shared">N73-B73</f>
        <v>-2039.7393759999995</v>
      </c>
      <c r="AA73" s="7">
        <f ref="AA73:AA81" si="70" t="shared">O73-C73</f>
        <v>19905.055410000001</v>
      </c>
      <c r="AB73" s="7">
        <f ref="AB73:AB81" si="71" t="shared">P73-D73</f>
        <v>90657.328165000014</v>
      </c>
      <c r="AC73" s="7">
        <f ref="AC73:AC81" si="72" t="shared">Q73-E73</f>
        <v>-11007.327217999991</v>
      </c>
      <c r="AD73" s="7">
        <f ref="AD73:AD81" si="73" t="shared">R73-F73</f>
        <v>97515.316981000011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6458.2379679999995</v>
      </c>
      <c r="C74" s="7">
        <f>output_NHTS!C285</f>
        <v>48309.623449999999</v>
      </c>
      <c r="D74" s="7">
        <f>output_NHTS!D285</f>
        <v>136515.08105099999</v>
      </c>
      <c r="E74" s="7">
        <f>output_NHTS!E285</f>
        <v>45546.300457999998</v>
      </c>
      <c r="F74" s="7">
        <f>output_NHTS!F285</f>
        <v>236829.24292699998</v>
      </c>
      <c r="M74" s="3" t="s">
        <v>211</v>
      </c>
      <c r="N74" s="7">
        <f>output!B285</f>
        <v>5519</v>
      </c>
      <c r="O74" s="7">
        <f>output!C285</f>
        <v>58055</v>
      </c>
      <c r="P74" s="7">
        <f>output!D285</f>
        <v>128468</v>
      </c>
      <c r="Q74" s="7">
        <f>output!E285</f>
        <v>33606</v>
      </c>
      <c r="R74" s="7">
        <f>output!F285</f>
        <v>225648</v>
      </c>
      <c r="Y74" s="3" t="s">
        <v>211</v>
      </c>
      <c r="Z74" s="7">
        <f si="69" t="shared"/>
        <v>-939.23796799999946</v>
      </c>
      <c r="AA74" s="7">
        <f si="70" t="shared"/>
        <v>9745.3765500000009</v>
      </c>
      <c r="AB74" s="7">
        <f si="71" t="shared"/>
        <v>-8047.0810509999865</v>
      </c>
      <c r="AC74" s="7">
        <f si="72" t="shared"/>
        <v>-11940.300457999998</v>
      </c>
      <c r="AD74" s="7">
        <f si="73" t="shared"/>
        <v>-11181.242926999985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1774.578857</v>
      </c>
      <c r="C75" s="7">
        <f>output_NHTS!C286</f>
        <v>68751.419915000006</v>
      </c>
      <c r="D75" s="7">
        <f>output_NHTS!D286</f>
        <v>224678.81371399999</v>
      </c>
      <c r="E75" s="7">
        <f>output_NHTS!E286</f>
        <v>89887.027656000006</v>
      </c>
      <c r="F75" s="7">
        <f>output_NHTS!F286</f>
        <v>385091.840142</v>
      </c>
      <c r="M75" s="3" t="s">
        <v>212</v>
      </c>
      <c r="N75" s="7">
        <f>output!B286</f>
        <v>10146</v>
      </c>
      <c r="O75" s="7">
        <f>output!C286</f>
        <v>102071</v>
      </c>
      <c r="P75" s="7">
        <f>output!D286</f>
        <v>230667</v>
      </c>
      <c r="Q75" s="7">
        <f>output!E286</f>
        <v>58521</v>
      </c>
      <c r="R75" s="7">
        <f>output!F286</f>
        <v>401405</v>
      </c>
      <c r="Y75" s="3" t="s">
        <v>212</v>
      </c>
      <c r="Z75" s="7">
        <f si="69" t="shared"/>
        <v>8371.4211429999996</v>
      </c>
      <c r="AA75" s="7">
        <f si="70" t="shared"/>
        <v>33319.580084999994</v>
      </c>
      <c r="AB75" s="7">
        <f si="71" t="shared"/>
        <v>5988.186286000011</v>
      </c>
      <c r="AC75" s="7">
        <f si="72" t="shared"/>
        <v>-31366.027656000006</v>
      </c>
      <c r="AD75" s="7">
        <f si="73" t="shared"/>
        <v>16313.159857999999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17720.213324</v>
      </c>
      <c r="C76" s="7">
        <f>output_NHTS!C287</f>
        <v>92745.370620000002</v>
      </c>
      <c r="D76" s="7">
        <f>output_NHTS!D287</f>
        <v>361449.123356</v>
      </c>
      <c r="E76" s="7">
        <f>output_NHTS!E287</f>
        <v>139340.143843</v>
      </c>
      <c r="F76" s="7">
        <f>output_NHTS!F287</f>
        <v>611254.85114299995</v>
      </c>
      <c r="M76" s="3" t="s">
        <v>213</v>
      </c>
      <c r="N76" s="7">
        <f>output!B287</f>
        <v>18184</v>
      </c>
      <c r="O76" s="7">
        <f>output!C287</f>
        <v>134793</v>
      </c>
      <c r="P76" s="7">
        <f>output!D287</f>
        <v>394737</v>
      </c>
      <c r="Q76" s="7">
        <f>output!E287</f>
        <v>107141</v>
      </c>
      <c r="R76" s="7">
        <f>output!F287</f>
        <v>654855</v>
      </c>
      <c r="Y76" s="3" t="s">
        <v>213</v>
      </c>
      <c r="Z76" s="7">
        <f si="69" t="shared"/>
        <v>463.78667599999972</v>
      </c>
      <c r="AA76" s="7">
        <f si="70" t="shared"/>
        <v>42047.629379999998</v>
      </c>
      <c r="AB76" s="7">
        <f si="71" t="shared"/>
        <v>33287.876644000004</v>
      </c>
      <c r="AC76" s="7">
        <f si="72" t="shared"/>
        <v>-32199.143842999998</v>
      </c>
      <c r="AD76" s="7">
        <f si="73" t="shared"/>
        <v>43600.148857000051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14124.208322</v>
      </c>
      <c r="C77" s="7">
        <f>output_NHTS!C288</f>
        <v>81408.047716999994</v>
      </c>
      <c r="D77" s="7">
        <f>output_NHTS!D288</f>
        <v>252620.947587</v>
      </c>
      <c r="E77" s="7">
        <f>output_NHTS!E288</f>
        <v>81975.482625000004</v>
      </c>
      <c r="F77" s="7">
        <f>output_NHTS!F288</f>
        <v>430128.68625099998</v>
      </c>
      <c r="M77" s="3" t="s">
        <v>214</v>
      </c>
      <c r="N77" s="7">
        <f>output!B288</f>
        <v>13364</v>
      </c>
      <c r="O77" s="7">
        <f>output!C288</f>
        <v>89769</v>
      </c>
      <c r="P77" s="7">
        <f>output!D288</f>
        <v>258341</v>
      </c>
      <c r="Q77" s="7">
        <f>output!E288</f>
        <v>68836</v>
      </c>
      <c r="R77" s="7">
        <f>output!F288</f>
        <v>430310</v>
      </c>
      <c r="Y77" s="3" t="s">
        <v>214</v>
      </c>
      <c r="Z77" s="7">
        <f si="69" t="shared"/>
        <v>-760.20832200000041</v>
      </c>
      <c r="AA77" s="7">
        <f si="70" t="shared"/>
        <v>8360.952283000006</v>
      </c>
      <c r="AB77" s="7">
        <f si="71" t="shared"/>
        <v>5720.0524129999976</v>
      </c>
      <c r="AC77" s="7">
        <f si="72" t="shared"/>
        <v>-13139.482625000004</v>
      </c>
      <c r="AD77" s="7">
        <f si="73" t="shared"/>
        <v>181.31374900002265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3367.964262</v>
      </c>
      <c r="C78" s="7">
        <f>output_NHTS!C289</f>
        <v>37598.714247999997</v>
      </c>
      <c r="D78" s="7">
        <f>output_NHTS!D289</f>
        <v>132904.36211099999</v>
      </c>
      <c r="E78" s="7">
        <f>output_NHTS!E289</f>
        <v>57973.128640000003</v>
      </c>
      <c r="F78" s="7">
        <f>output_NHTS!F289</f>
        <v>231844.169261</v>
      </c>
      <c r="M78" s="3" t="s">
        <v>129</v>
      </c>
      <c r="N78" s="7">
        <f>output!B289</f>
        <v>5305</v>
      </c>
      <c r="O78" s="7">
        <f>output!C289</f>
        <v>46159</v>
      </c>
      <c r="P78" s="7">
        <f>output!D289</f>
        <v>162892</v>
      </c>
      <c r="Q78" s="7">
        <f>output!E289</f>
        <v>46028</v>
      </c>
      <c r="R78" s="7">
        <f>output!F289</f>
        <v>260384</v>
      </c>
      <c r="Y78" s="3" t="s">
        <v>129</v>
      </c>
      <c r="Z78" s="7">
        <f si="69" t="shared"/>
        <v>1937.035738</v>
      </c>
      <c r="AA78" s="7">
        <f si="70" t="shared"/>
        <v>8560.2857520000034</v>
      </c>
      <c r="AB78" s="7">
        <f si="71" t="shared"/>
        <v>29987.637889000005</v>
      </c>
      <c r="AC78" s="7">
        <f si="72" t="shared"/>
        <v>-11945.128640000003</v>
      </c>
      <c r="AD78" s="7">
        <f si="73" t="shared"/>
        <v>28539.830738999997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7851.6125620000003</v>
      </c>
      <c r="C79" s="7">
        <f>output_NHTS!C290</f>
        <v>46110.877368000001</v>
      </c>
      <c r="D79" s="7">
        <f>output_NHTS!D290</f>
        <v>208105.21577499999</v>
      </c>
      <c r="E79" s="7">
        <f>output_NHTS!E290</f>
        <v>87061.969079999995</v>
      </c>
      <c r="F79" s="7">
        <f>output_NHTS!F290</f>
        <v>349129.67478499998</v>
      </c>
      <c r="M79" s="3" t="s">
        <v>130</v>
      </c>
      <c r="N79" s="7">
        <f>output!B290</f>
        <v>8285</v>
      </c>
      <c r="O79" s="7">
        <f>output!C290</f>
        <v>74257</v>
      </c>
      <c r="P79" s="7">
        <f>output!D290</f>
        <v>216692</v>
      </c>
      <c r="Q79" s="7">
        <f>output!E290</f>
        <v>59079</v>
      </c>
      <c r="R79" s="7">
        <f>output!F290</f>
        <v>358313</v>
      </c>
      <c r="Y79" s="3" t="s">
        <v>130</v>
      </c>
      <c r="Z79" s="7">
        <f si="69" t="shared"/>
        <v>433.38743799999975</v>
      </c>
      <c r="AA79" s="7">
        <f si="70" t="shared"/>
        <v>28146.122631999999</v>
      </c>
      <c r="AB79" s="7">
        <f si="71" t="shared"/>
        <v>8586.7842250000103</v>
      </c>
      <c r="AC79" s="7">
        <f si="72" t="shared"/>
        <v>-27982.969079999995</v>
      </c>
      <c r="AD79" s="7">
        <f si="73" t="shared"/>
        <v>9183.3252150000189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38749.642702999998</v>
      </c>
      <c r="C80" s="7">
        <f>output_NHTS!C291</f>
        <v>267987.01716500003</v>
      </c>
      <c r="D80" s="7">
        <f>output_NHTS!D291</f>
        <v>927977.32186799997</v>
      </c>
      <c r="E80" s="7">
        <f>output_NHTS!E291</f>
        <v>334147.60237799998</v>
      </c>
      <c r="F80" s="7">
        <f>output_NHTS!F291</f>
        <v>1568861.584114</v>
      </c>
      <c r="M80" s="8" t="s">
        <v>145</v>
      </c>
      <c r="N80" s="7">
        <f>output!B291</f>
        <v>41235</v>
      </c>
      <c r="O80" s="7">
        <f>output!C291</f>
        <v>361926</v>
      </c>
      <c r="P80" s="7">
        <f>output!D291</f>
        <v>1026629</v>
      </c>
      <c r="Q80" s="7">
        <f>output!E291</f>
        <v>284604</v>
      </c>
      <c r="R80" s="7">
        <f>output!F291</f>
        <v>1714394</v>
      </c>
      <c r="Y80" s="8" t="s">
        <v>145</v>
      </c>
      <c r="Z80" s="7">
        <f si="69" t="shared"/>
        <v>2485.3572970000023</v>
      </c>
      <c r="AA80" s="7">
        <f si="70" t="shared"/>
        <v>93938.982834999973</v>
      </c>
      <c r="AB80" s="7">
        <f si="71" t="shared"/>
        <v>98651.67813200003</v>
      </c>
      <c r="AC80" s="7">
        <f si="72" t="shared"/>
        <v>-49543.602377999981</v>
      </c>
      <c r="AD80" s="7">
        <f si="73" t="shared"/>
        <v>145532.41588600003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220</v>
      </c>
      <c r="B81" s="11">
        <f>SUM(B73:B80)</f>
        <v>97697.197373999996</v>
      </c>
      <c r="C81" s="11">
        <f>SUM(C73:C80)</f>
        <v>755555.01507299999</v>
      </c>
      <c r="D81" s="11">
        <f>SUM(D73:D80)</f>
        <v>2700711.5372970002</v>
      </c>
      <c r="E81" s="11">
        <f>SUM(E73:E80)</f>
        <v>1013682.981898</v>
      </c>
      <c r="F81" s="11">
        <f>SUM(F73:F80)</f>
        <v>4567646.7316419994</v>
      </c>
      <c r="M81" s="10" t="s">
        <v>220</v>
      </c>
      <c r="N81" s="11">
        <f>SUM(N73:N80)</f>
        <v>107649</v>
      </c>
      <c r="O81" s="11">
        <f>SUM(O73:O80)</f>
        <v>999579</v>
      </c>
      <c r="P81" s="11">
        <f>SUM(P73:P80)</f>
        <v>2965544</v>
      </c>
      <c r="Q81" s="11">
        <f>SUM(Q73:Q80)</f>
        <v>824559</v>
      </c>
      <c r="R81" s="11">
        <f>SUM(R73:R80)</f>
        <v>4897331</v>
      </c>
      <c r="Y81" s="10" t="s">
        <v>220</v>
      </c>
      <c r="Z81" s="11">
        <f si="69" t="shared"/>
        <v>9951.8026260000042</v>
      </c>
      <c r="AA81" s="11">
        <f si="70" t="shared"/>
        <v>244023.98492700001</v>
      </c>
      <c r="AB81" s="11">
        <f si="71" t="shared"/>
        <v>264832.46270299982</v>
      </c>
      <c r="AC81" s="11">
        <f si="72" t="shared"/>
        <v>-189123.981898</v>
      </c>
      <c r="AD81" s="11">
        <f si="73" t="shared"/>
        <v>329684.26835800055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46567</v>
      </c>
      <c r="O83" s="53">
        <f>ToursByTourPurpose!O84</f>
        <v>344772</v>
      </c>
      <c r="P83" s="53">
        <f>ToursByTourPurpose!P84</f>
        <v>872165</v>
      </c>
      <c r="Q83" s="53">
        <f>ToursByTourPurpose!Q84</f>
        <v>238726</v>
      </c>
      <c r="R83" s="53">
        <f>ToursByTourPurpose!R84</f>
        <v>1502230</v>
      </c>
      <c r="Y83" s="3" t="s">
        <v>88</v>
      </c>
      <c r="Z83" s="7">
        <f ref="Z83:AD84" si="74" t="shared">N83-B83</f>
        <v>-3142.2615173259182</v>
      </c>
      <c r="AA83" s="7">
        <f si="74" t="shared"/>
        <v>81987.96811901714</v>
      </c>
      <c r="AB83" s="7">
        <f si="74" t="shared"/>
        <v>92213.961890724371</v>
      </c>
      <c r="AC83" s="7">
        <f si="74" t="shared"/>
        <v>-38034.668492415512</v>
      </c>
      <c r="AD83" s="7">
        <f si="74" t="shared"/>
        <v>133025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1.9653721337209591</v>
      </c>
      <c r="C84" s="38">
        <f>C81/C83</f>
        <v>2.875193784282895</v>
      </c>
      <c r="D84" s="38">
        <f>D81/D83</f>
        <v>3.4626680462455068</v>
      </c>
      <c r="E84" s="38">
        <f>E81/E83</f>
        <v>3.6626699430225558</v>
      </c>
      <c r="F84" s="38">
        <f>F81/F83</f>
        <v>3.3359845542793076</v>
      </c>
      <c r="M84" s="25" t="s">
        <v>91</v>
      </c>
      <c r="N84" s="38">
        <f>N81/N83</f>
        <v>2.3117014194601326</v>
      </c>
      <c r="O84" s="38">
        <f>O81/O83</f>
        <v>2.8992464585291149</v>
      </c>
      <c r="P84" s="38">
        <f>P81/P83</f>
        <v>3.4002098226826347</v>
      </c>
      <c r="Q84" s="38">
        <f>Q81/Q83</f>
        <v>3.4539974699027338</v>
      </c>
      <c r="R84" s="38">
        <f>R81/R83</f>
        <v>3.2600407394340416</v>
      </c>
      <c r="Y84" s="3" t="s">
        <v>91</v>
      </c>
      <c r="Z84" s="38">
        <f si="74" t="shared"/>
        <v>0.34632928573917354</v>
      </c>
      <c r="AA84" s="38">
        <f si="74" t="shared"/>
        <v>2.4052674246219929E-2</v>
      </c>
      <c r="AB84" s="38">
        <f si="74" t="shared"/>
        <v>-6.2458223562872117E-2</v>
      </c>
      <c r="AC84" s="38">
        <f si="74" t="shared"/>
        <v>-0.20867247311982196</v>
      </c>
      <c r="AD84" s="38">
        <f si="74" t="shared"/>
        <v>-7.5943814845266022E-2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68" t="s">
        <v>251</v>
      </c>
      <c r="Z87" s="268"/>
      <c r="AA87" s="268"/>
      <c r="AB87" s="268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220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220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220</v>
      </c>
    </row>
    <row r="90" spans="1:41" x14ac:dyDescent="0.2">
      <c r="A90" s="3" t="s">
        <v>210</v>
      </c>
      <c r="B90" s="12">
        <f ref="B90:F96" si="75" t="shared">B73/B$81</f>
        <v>7.831073543196726E-2</v>
      </c>
      <c r="C90" s="12">
        <f si="75" t="shared"/>
        <v>0.14908768037111977</v>
      </c>
      <c r="D90" s="12">
        <f si="75" t="shared"/>
        <v>0.16901496717855599</v>
      </c>
      <c r="E90" s="12">
        <f si="75" t="shared"/>
        <v>0.175351989125024</v>
      </c>
      <c r="F90" s="12">
        <f si="75" t="shared"/>
        <v>0.16518499072886189</v>
      </c>
      <c r="M90" s="3" t="s">
        <v>210</v>
      </c>
      <c r="N90" s="12">
        <f ref="N90:R98" si="76" t="shared">N73/N$81</f>
        <v>5.2123103791024535E-2</v>
      </c>
      <c r="O90" s="12">
        <f si="76" t="shared"/>
        <v>0.13260482663201209</v>
      </c>
      <c r="P90" s="12">
        <f si="76" t="shared"/>
        <v>0.1844916143547356</v>
      </c>
      <c r="Q90" s="12">
        <f si="76" t="shared"/>
        <v>0.20222203626423338</v>
      </c>
      <c r="R90" s="12">
        <f si="76" t="shared"/>
        <v>0.17397680491680059</v>
      </c>
      <c r="Y90" s="3" t="s">
        <v>210</v>
      </c>
      <c r="Z90" s="12">
        <f ref="Z90:Z98" si="77" t="shared">N90-B90</f>
        <v>-2.6187631640942725E-2</v>
      </c>
      <c r="AA90" s="12">
        <f ref="AA90:AA98" si="78" t="shared">O90-C90</f>
        <v>-1.6482853739107683E-2</v>
      </c>
      <c r="AB90" s="12">
        <f ref="AB90:AB98" si="79" t="shared">P90-D90</f>
        <v>1.5476647176179609E-2</v>
      </c>
      <c r="AC90" s="12">
        <f ref="AC90:AC98" si="80" t="shared">Q90-E90</f>
        <v>2.6870047139209374E-2</v>
      </c>
      <c r="AD90" s="12">
        <f ref="AD90:AD98" si="81" t="shared">R90-F90</f>
        <v>8.7918141879387013E-3</v>
      </c>
    </row>
    <row r="91" spans="1:41" x14ac:dyDescent="0.2">
      <c r="A91" s="3" t="s">
        <v>211</v>
      </c>
      <c r="B91" s="12">
        <f si="75" t="shared"/>
        <v>6.6104639043808644E-2</v>
      </c>
      <c r="C91" s="12">
        <f si="75" t="shared"/>
        <v>6.3939253245949845E-2</v>
      </c>
      <c r="D91" s="12">
        <f si="75" t="shared"/>
        <v>5.0547820145068409E-2</v>
      </c>
      <c r="E91" s="12">
        <f si="75" t="shared"/>
        <v>4.4931503508838636E-2</v>
      </c>
      <c r="F91" s="12">
        <f si="75" t="shared"/>
        <v>5.1849290639397472E-2</v>
      </c>
      <c r="M91" s="3" t="s">
        <v>211</v>
      </c>
      <c r="N91" s="12">
        <f si="76" t="shared"/>
        <v>5.126847439363115E-2</v>
      </c>
      <c r="O91" s="12">
        <f si="76" t="shared"/>
        <v>5.8079451449060057E-2</v>
      </c>
      <c r="P91" s="12">
        <f si="76" t="shared"/>
        <v>4.3320213761792105E-2</v>
      </c>
      <c r="Q91" s="12">
        <f si="76" t="shared"/>
        <v>4.0756331566328186E-2</v>
      </c>
      <c r="R91" s="12">
        <f si="76" t="shared"/>
        <v>4.6075709401712892E-2</v>
      </c>
      <c r="Y91" s="3" t="s">
        <v>211</v>
      </c>
      <c r="Z91" s="12">
        <f si="77" t="shared"/>
        <v>-1.4836164650177494E-2</v>
      </c>
      <c r="AA91" s="12">
        <f si="78" t="shared"/>
        <v>-5.8598017968897881E-3</v>
      </c>
      <c r="AB91" s="12">
        <f si="79" t="shared"/>
        <v>-7.2276063832763041E-3</v>
      </c>
      <c r="AC91" s="12">
        <f si="80" t="shared"/>
        <v>-4.17517194251045E-3</v>
      </c>
      <c r="AD91" s="12">
        <f si="81" t="shared"/>
        <v>-5.7735812376845802E-3</v>
      </c>
    </row>
    <row r="92" spans="1:41" x14ac:dyDescent="0.2">
      <c r="A92" s="3" t="s">
        <v>212</v>
      </c>
      <c r="B92" s="12">
        <f si="75" t="shared"/>
        <v>1.8164071280434353E-2</v>
      </c>
      <c r="C92" s="12">
        <f si="75" t="shared"/>
        <v>9.0994591450574119E-2</v>
      </c>
      <c r="D92" s="12">
        <f si="75" t="shared"/>
        <v>8.3192451548849661E-2</v>
      </c>
      <c r="E92" s="12">
        <f si="75" t="shared"/>
        <v>8.8673706929258411E-2</v>
      </c>
      <c r="F92" s="12">
        <f si="75" t="shared"/>
        <v>8.4308586623897105E-2</v>
      </c>
      <c r="M92" s="3" t="s">
        <v>212</v>
      </c>
      <c r="N92" s="12">
        <f si="76" t="shared"/>
        <v>9.425075941253519E-2</v>
      </c>
      <c r="O92" s="12">
        <f si="76" t="shared"/>
        <v>0.1021139899897857</v>
      </c>
      <c r="P92" s="12">
        <f si="76" t="shared"/>
        <v>7.7782356289436277E-2</v>
      </c>
      <c r="Q92" s="12">
        <f si="76" t="shared"/>
        <v>7.0972483472983738E-2</v>
      </c>
      <c r="R92" s="12">
        <f si="76" t="shared"/>
        <v>8.1964033062090352E-2</v>
      </c>
      <c r="Y92" s="3" t="s">
        <v>212</v>
      </c>
      <c r="Z92" s="12">
        <f si="77" t="shared"/>
        <v>7.6086688132100844E-2</v>
      </c>
      <c r="AA92" s="12">
        <f si="78" t="shared"/>
        <v>1.1119398539211581E-2</v>
      </c>
      <c r="AB92" s="12">
        <f si="79" t="shared"/>
        <v>-5.4100952594133833E-3</v>
      </c>
      <c r="AC92" s="12">
        <f si="80" t="shared"/>
        <v>-1.7701223456274673E-2</v>
      </c>
      <c r="AD92" s="12">
        <f si="81" t="shared"/>
        <v>-2.3445535618067531E-3</v>
      </c>
    </row>
    <row r="93" spans="1:41" x14ac:dyDescent="0.2">
      <c r="A93" s="3" t="s">
        <v>213</v>
      </c>
      <c r="B93" s="12">
        <f si="75" t="shared"/>
        <v>0.18137893205026426</v>
      </c>
      <c r="C93" s="12">
        <f si="75" t="shared"/>
        <v>0.12275131363007254</v>
      </c>
      <c r="D93" s="12">
        <f si="75" t="shared"/>
        <v>0.13383477589678289</v>
      </c>
      <c r="E93" s="12">
        <f si="75" t="shared"/>
        <v>0.1374592908545256</v>
      </c>
      <c r="F93" s="12">
        <f si="75" t="shared"/>
        <v>0.1338227071959357</v>
      </c>
      <c r="M93" s="3" t="s">
        <v>213</v>
      </c>
      <c r="N93" s="12">
        <f si="76" t="shared"/>
        <v>0.16891935828479596</v>
      </c>
      <c r="O93" s="12">
        <f si="76" t="shared"/>
        <v>0.13484977175390839</v>
      </c>
      <c r="P93" s="12">
        <f si="76" t="shared"/>
        <v>0.13310778730647732</v>
      </c>
      <c r="Q93" s="12">
        <f si="76" t="shared"/>
        <v>0.12993733620032041</v>
      </c>
      <c r="R93" s="12">
        <f si="76" t="shared"/>
        <v>0.13371671222549589</v>
      </c>
      <c r="Y93" s="3" t="s">
        <v>213</v>
      </c>
      <c r="Z93" s="12">
        <f si="77" t="shared"/>
        <v>-1.2459573765468301E-2</v>
      </c>
      <c r="AA93" s="12">
        <f si="78" t="shared"/>
        <v>1.2098458123835851E-2</v>
      </c>
      <c r="AB93" s="12">
        <f si="79" t="shared"/>
        <v>-7.2698859030556617E-4</v>
      </c>
      <c r="AC93" s="12">
        <f si="80" t="shared"/>
        <v>-7.5219546542051874E-3</v>
      </c>
      <c r="AD93" s="12">
        <f si="81" t="shared"/>
        <v>-1.0599497043980999E-4</v>
      </c>
    </row>
    <row r="94" spans="1:41" x14ac:dyDescent="0.2">
      <c r="A94" s="3" t="s">
        <v>214</v>
      </c>
      <c r="B94" s="12">
        <f si="75" t="shared"/>
        <v>0.14457127432151759</v>
      </c>
      <c r="C94" s="12">
        <f si="75" t="shared"/>
        <v>0.10774602258332511</v>
      </c>
      <c r="D94" s="12">
        <f si="75" t="shared"/>
        <v>9.3538663458976809E-2</v>
      </c>
      <c r="E94" s="12">
        <f si="75" t="shared"/>
        <v>8.0868954188725486E-2</v>
      </c>
      <c r="F94" s="12">
        <f si="75" t="shared"/>
        <v>9.4168553638642558E-2</v>
      </c>
      <c r="M94" s="3" t="s">
        <v>214</v>
      </c>
      <c r="N94" s="12">
        <f si="76" t="shared"/>
        <v>0.12414420942136016</v>
      </c>
      <c r="O94" s="12">
        <f si="76" t="shared"/>
        <v>8.9806808666448579E-2</v>
      </c>
      <c r="P94" s="12">
        <f si="76" t="shared"/>
        <v>8.7114202318360479E-2</v>
      </c>
      <c r="Q94" s="12">
        <f si="76" t="shared"/>
        <v>8.3482200788542724E-2</v>
      </c>
      <c r="R94" s="12">
        <f si="76" t="shared"/>
        <v>8.7866227543125022E-2</v>
      </c>
      <c r="Y94" s="3" t="s">
        <v>214</v>
      </c>
      <c r="Z94" s="12">
        <f si="77" t="shared"/>
        <v>-2.0427064900157429E-2</v>
      </c>
      <c r="AA94" s="12">
        <f si="78" t="shared"/>
        <v>-1.7939213916876529E-2</v>
      </c>
      <c r="AB94" s="12">
        <f si="79" t="shared"/>
        <v>-6.4244611406163304E-3</v>
      </c>
      <c r="AC94" s="12">
        <f si="80" t="shared"/>
        <v>2.6132465998172372E-3</v>
      </c>
      <c r="AD94" s="12">
        <f si="81" t="shared"/>
        <v>-6.3023260955175353E-3</v>
      </c>
    </row>
    <row r="95" spans="1:41" x14ac:dyDescent="0.2">
      <c r="A95" s="3" t="s">
        <v>129</v>
      </c>
      <c r="B95" s="12">
        <f si="75" t="shared"/>
        <v>3.4473499266380297E-2</v>
      </c>
      <c r="C95" s="12">
        <f si="75" t="shared"/>
        <v>4.9763039749484421E-2</v>
      </c>
      <c r="D95" s="12">
        <f si="75" t="shared"/>
        <v>4.9210869163767476E-2</v>
      </c>
      <c r="E95" s="12">
        <f si="75" t="shared"/>
        <v>5.7190590821059518E-2</v>
      </c>
      <c r="F95" s="12">
        <f si="75" t="shared"/>
        <v>5.0757902894485792E-2</v>
      </c>
      <c r="M95" s="3" t="s">
        <v>129</v>
      </c>
      <c r="N95" s="12">
        <f si="76" t="shared"/>
        <v>4.928053209969438E-2</v>
      </c>
      <c r="O95" s="12">
        <f si="76" t="shared"/>
        <v>4.6178441123713082E-2</v>
      </c>
      <c r="P95" s="12">
        <f si="76" t="shared"/>
        <v>5.4928202043200168E-2</v>
      </c>
      <c r="Q95" s="12">
        <f si="76" t="shared"/>
        <v>5.5821354202670759E-2</v>
      </c>
      <c r="R95" s="12">
        <f si="76" t="shared"/>
        <v>5.3168552421717051E-2</v>
      </c>
      <c r="Y95" s="3" t="s">
        <v>129</v>
      </c>
      <c r="Z95" s="12">
        <f si="77" t="shared"/>
        <v>1.4807032833314082E-2</v>
      </c>
      <c r="AA95" s="12">
        <f si="78" t="shared"/>
        <v>-3.5845986257713389E-3</v>
      </c>
      <c r="AB95" s="12">
        <f si="79" t="shared"/>
        <v>5.7173328794326919E-3</v>
      </c>
      <c r="AC95" s="12">
        <f si="80" t="shared"/>
        <v>-1.3692366183887597E-3</v>
      </c>
      <c r="AD95" s="12">
        <f si="81" t="shared"/>
        <v>2.4106495272312595E-3</v>
      </c>
    </row>
    <row r="96" spans="1:41" x14ac:dyDescent="0.2">
      <c r="A96" s="3" t="s">
        <v>130</v>
      </c>
      <c r="B96" s="12">
        <f si="75" t="shared"/>
        <v>8.0366814740271533E-2</v>
      </c>
      <c r="C96" s="12">
        <f si="75" t="shared"/>
        <v>6.102914605569109E-2</v>
      </c>
      <c r="D96" s="12">
        <f si="75" t="shared"/>
        <v>7.7055699174478118E-2</v>
      </c>
      <c r="E96" s="12">
        <f si="75" t="shared"/>
        <v>8.588678179936185E-2</v>
      </c>
      <c r="F96" s="12">
        <f si="75" t="shared"/>
        <v>7.6435349600579378E-2</v>
      </c>
      <c r="M96" s="3" t="s">
        <v>130</v>
      </c>
      <c r="N96" s="12">
        <f si="76" t="shared"/>
        <v>7.6963093015262565E-2</v>
      </c>
      <c r="O96" s="12">
        <f si="76" t="shared"/>
        <v>7.4288275363928208E-2</v>
      </c>
      <c r="P96" s="12">
        <f si="76" t="shared"/>
        <v>7.3069898811145617E-2</v>
      </c>
      <c r="Q96" s="12">
        <f si="76" t="shared"/>
        <v>7.1649208849821538E-2</v>
      </c>
      <c r="R96" s="12">
        <f si="76" t="shared"/>
        <v>7.3164954543607524E-2</v>
      </c>
      <c r="Y96" s="3" t="s">
        <v>130</v>
      </c>
      <c r="Z96" s="12">
        <f si="77" t="shared"/>
        <v>-3.403721725008968E-3</v>
      </c>
      <c r="AA96" s="12">
        <f si="78" t="shared"/>
        <v>1.3259129308237118E-2</v>
      </c>
      <c r="AB96" s="12">
        <f si="79" t="shared"/>
        <v>-3.9858003633325007E-3</v>
      </c>
      <c r="AC96" s="12">
        <f si="80" t="shared"/>
        <v>-1.4237572949540311E-2</v>
      </c>
      <c r="AD96" s="12">
        <f si="81" t="shared"/>
        <v>-3.2703950569718532E-3</v>
      </c>
    </row>
    <row r="97" spans="1:36" x14ac:dyDescent="0.2">
      <c r="A97" s="8" t="s">
        <v>145</v>
      </c>
      <c r="B97" s="13">
        <f ref="B97:F98" si="82" t="shared">B80/B$81</f>
        <v>0.39663003386535611</v>
      </c>
      <c r="C97" s="13">
        <f si="82" t="shared"/>
        <v>0.35468895291378316</v>
      </c>
      <c r="D97" s="13">
        <f si="82" t="shared"/>
        <v>0.34360475343352054</v>
      </c>
      <c r="E97" s="13">
        <f si="82" t="shared"/>
        <v>0.32963718277320647</v>
      </c>
      <c r="F97" s="13">
        <f si="82" t="shared"/>
        <v>0.34347261867820023</v>
      </c>
      <c r="M97" s="8" t="s">
        <v>145</v>
      </c>
      <c r="N97" s="13">
        <f si="76" t="shared"/>
        <v>0.38305046958169608</v>
      </c>
      <c r="O97" s="13">
        <f si="76" t="shared"/>
        <v>0.3620784350211439</v>
      </c>
      <c r="P97" s="13">
        <f si="76" t="shared"/>
        <v>0.34618572511485246</v>
      </c>
      <c r="Q97" s="13">
        <f si="76" t="shared"/>
        <v>0.34515904865509928</v>
      </c>
      <c r="R97" s="13">
        <f si="76" t="shared"/>
        <v>0.35006700588545064</v>
      </c>
      <c r="Y97" s="8" t="s">
        <v>145</v>
      </c>
      <c r="Z97" s="12">
        <f si="77" t="shared"/>
        <v>-1.3579564283660028E-2</v>
      </c>
      <c r="AA97" s="12">
        <f si="78" t="shared"/>
        <v>7.3894821073607342E-3</v>
      </c>
      <c r="AB97" s="12">
        <f si="79" t="shared"/>
        <v>2.5809716813319228E-3</v>
      </c>
      <c r="AC97" s="12">
        <f si="80" t="shared"/>
        <v>1.5521865881892805E-2</v>
      </c>
      <c r="AD97" s="12">
        <f si="81" t="shared"/>
        <v>6.5943872072504184E-3</v>
      </c>
    </row>
    <row ht="13.5" r="98" spans="1:36" thickBot="1" x14ac:dyDescent="0.25">
      <c r="A98" s="10" t="s">
        <v>220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220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220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6" x14ac:dyDescent="0.2">
      <c r="A100" s="25"/>
      <c r="M100" s="25"/>
    </row>
    <row r="101" spans="1:36" x14ac:dyDescent="0.2">
      <c r="A101" s="25"/>
      <c r="M101" s="25"/>
    </row>
    <row r="102" spans="1:36" x14ac:dyDescent="0.2">
      <c r="R102" s="25"/>
      <c r="S102" s="25"/>
      <c r="T102" s="25"/>
      <c r="U102" s="25"/>
      <c r="V102" s="25"/>
      <c r="W102" s="25"/>
    </row>
    <row r="103" spans="1:36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6" x14ac:dyDescent="0.2">
      <c r="A104" s="2" t="s">
        <v>309</v>
      </c>
      <c r="F104" s="25"/>
      <c r="G104" s="25"/>
      <c r="H104" s="25"/>
      <c r="I104" s="25"/>
      <c r="J104" s="25"/>
      <c r="M104" s="2" t="s">
        <v>310</v>
      </c>
      <c r="R104" s="25"/>
      <c r="S104" s="25"/>
      <c r="T104" s="25"/>
      <c r="U104" s="25"/>
      <c r="V104" s="25"/>
      <c r="W104" s="25"/>
      <c r="Y104" s="268" t="s">
        <v>311</v>
      </c>
      <c r="Z104" s="268"/>
      <c r="AA104" s="268"/>
      <c r="AD104" s="25"/>
      <c r="AE104" s="25"/>
      <c r="AF104" s="25"/>
      <c r="AG104" s="25"/>
      <c r="AH104" s="25"/>
    </row>
    <row ht="13.5" r="105" spans="1:36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6" x14ac:dyDescent="0.2">
      <c r="A106" s="5" t="s">
        <v>144</v>
      </c>
      <c r="B106" s="159">
        <v>1</v>
      </c>
      <c r="C106" s="159">
        <v>2</v>
      </c>
      <c r="D106" s="159">
        <v>3</v>
      </c>
      <c r="E106" s="159">
        <v>4</v>
      </c>
      <c r="F106" s="159">
        <v>5</v>
      </c>
      <c r="G106" s="159">
        <v>6</v>
      </c>
      <c r="H106" s="6">
        <v>7</v>
      </c>
      <c r="I106" s="6">
        <v>8</v>
      </c>
      <c r="J106" s="6">
        <v>9</v>
      </c>
      <c r="K106" s="6">
        <v>10</v>
      </c>
      <c r="L106" s="6" t="s">
        <v>220</v>
      </c>
      <c r="M106" s="5" t="s">
        <v>144</v>
      </c>
      <c r="N106" s="6">
        <f>B106</f>
        <v>1</v>
      </c>
      <c r="O106" s="6">
        <f ref="O106:S106" si="83" t="shared">C106</f>
        <v>2</v>
      </c>
      <c r="P106" s="6">
        <f si="83" t="shared"/>
        <v>3</v>
      </c>
      <c r="Q106" s="6">
        <f si="83" t="shared"/>
        <v>4</v>
      </c>
      <c r="R106" s="6">
        <f si="83" t="shared"/>
        <v>5</v>
      </c>
      <c r="S106" s="6">
        <f si="83" t="shared"/>
        <v>6</v>
      </c>
      <c r="T106" s="6">
        <f>H106</f>
        <v>7</v>
      </c>
      <c r="U106" s="6">
        <f ref="U106:W106" si="84" t="shared">I106</f>
        <v>8</v>
      </c>
      <c r="V106" s="6">
        <f si="84" t="shared"/>
        <v>9</v>
      </c>
      <c r="W106" s="6">
        <f si="84" t="shared"/>
        <v>10</v>
      </c>
      <c r="X106" s="6" t="s">
        <v>220</v>
      </c>
      <c r="Y106" s="5" t="s">
        <v>144</v>
      </c>
      <c r="Z106" s="6">
        <f>B106</f>
        <v>1</v>
      </c>
      <c r="AA106" s="6">
        <f ref="AA106:AF106" si="85" t="shared">C106</f>
        <v>2</v>
      </c>
      <c r="AB106" s="6">
        <f si="85" t="shared"/>
        <v>3</v>
      </c>
      <c r="AC106" s="6">
        <f si="85" t="shared"/>
        <v>4</v>
      </c>
      <c r="AD106" s="6">
        <f si="85" t="shared"/>
        <v>5</v>
      </c>
      <c r="AE106" s="6">
        <f si="85" t="shared"/>
        <v>6</v>
      </c>
      <c r="AF106" s="6">
        <f si="85" t="shared"/>
        <v>7</v>
      </c>
      <c r="AG106" s="6">
        <f ref="AG106" si="86" t="shared">I106</f>
        <v>8</v>
      </c>
      <c r="AH106" s="6">
        <f ref="AH106" si="87" t="shared">J106</f>
        <v>9</v>
      </c>
      <c r="AI106" s="6">
        <f ref="AI106" si="88" t="shared">K106</f>
        <v>10</v>
      </c>
      <c r="AJ106" s="6" t="s">
        <v>220</v>
      </c>
    </row>
    <row r="107" spans="1:36" x14ac:dyDescent="0.2">
      <c r="A107" s="3" t="s">
        <v>210</v>
      </c>
      <c r="B107" s="7">
        <f>output_NHTS!B295</f>
        <v>362223.02008500003</v>
      </c>
      <c r="C107" s="7">
        <f>output_NHTS!C295</f>
        <v>30866.747369000001</v>
      </c>
      <c r="D107" s="7">
        <f>output_NHTS!D295</f>
        <v>29329.588594000001</v>
      </c>
      <c r="E107" s="7">
        <f>output_NHTS!E295</f>
        <v>121504.608291</v>
      </c>
      <c r="F107" s="7">
        <f>output_NHTS!F295</f>
        <v>66141.565451000002</v>
      </c>
      <c r="G107" s="7">
        <f>output_NHTS!G295</f>
        <v>84953.074322999993</v>
      </c>
      <c r="H107" s="7">
        <f>output_NHTS!H295</f>
        <v>46534.304622000003</v>
      </c>
      <c r="I107" s="7">
        <f>output_NHTS!I295</f>
        <v>0</v>
      </c>
      <c r="J107" s="7">
        <f>output_NHTS!J295</f>
        <v>0</v>
      </c>
      <c r="K107" s="7">
        <f>output_NHTS!K295</f>
        <v>0</v>
      </c>
      <c r="L107" s="7">
        <f>SUM(B107:K107)</f>
        <v>741552.90873500006</v>
      </c>
      <c r="M107" s="3" t="s">
        <v>210</v>
      </c>
      <c r="N107" s="7">
        <f>output!B295</f>
        <v>415382</v>
      </c>
      <c r="O107" s="7">
        <f>output!C295</f>
        <v>34499</v>
      </c>
      <c r="P107" s="7">
        <f>output!D295</f>
        <v>26466</v>
      </c>
      <c r="Q107" s="7">
        <f>output!E295</f>
        <v>139828</v>
      </c>
      <c r="R107" s="7">
        <f>output!F295</f>
        <v>72494</v>
      </c>
      <c r="S107" s="7">
        <f>output!G295</f>
        <v>112034</v>
      </c>
      <c r="T107" s="7">
        <f>output!H295</f>
        <v>51319</v>
      </c>
      <c r="U107" s="7">
        <f>output!I295</f>
        <v>0</v>
      </c>
      <c r="V107" s="7">
        <f>output!J295</f>
        <v>0</v>
      </c>
      <c r="W107" s="7">
        <f>output!K295</f>
        <v>0</v>
      </c>
      <c r="X107" s="7">
        <f>SUM(N107:W107)</f>
        <v>852022</v>
      </c>
      <c r="Y107" s="3" t="s">
        <v>210</v>
      </c>
      <c r="Z107" s="7">
        <f ref="Z107:Z115" si="89" t="shared">N107-B107</f>
        <v>53158.979914999974</v>
      </c>
      <c r="AA107" s="7">
        <f ref="AA107:AA115" si="90" t="shared">O107-C107</f>
        <v>3632.2526309999994</v>
      </c>
      <c r="AB107" s="7">
        <f ref="AB107:AB115" si="91" t="shared">P107-D107</f>
        <v>-2863.5885940000007</v>
      </c>
      <c r="AC107" s="7">
        <f ref="AC107:AC115" si="92" t="shared">Q107-E107</f>
        <v>18323.391709000003</v>
      </c>
      <c r="AD107" s="7">
        <f ref="AD107" si="93" t="shared">R107-F107</f>
        <v>6352.4345489999978</v>
      </c>
      <c r="AE107" s="7">
        <f ref="AE107:AF114" si="94" t="shared">S107-G107</f>
        <v>27080.925677000007</v>
      </c>
      <c r="AF107" s="7">
        <f si="94" t="shared"/>
        <v>4784.6953779999967</v>
      </c>
      <c r="AG107" s="7">
        <f ref="AG107:AG115" si="95" t="shared">U107-I107</f>
        <v>0</v>
      </c>
      <c r="AH107" s="7">
        <f ref="AH107:AH115" si="96" t="shared">V107-J107</f>
        <v>0</v>
      </c>
      <c r="AI107" s="7">
        <f ref="AI107:AI115" si="97" t="shared">W107-K107</f>
        <v>0</v>
      </c>
      <c r="AJ107" s="7">
        <f ref="AJ107:AJ115" si="98" t="shared">X107-L107</f>
        <v>110469.09126499994</v>
      </c>
    </row>
    <row r="108" spans="1:36" x14ac:dyDescent="0.2">
      <c r="A108" s="3" t="s">
        <v>211</v>
      </c>
      <c r="B108" s="7">
        <f>output_NHTS!B296</f>
        <v>92707.451356000005</v>
      </c>
      <c r="C108" s="7">
        <f>output_NHTS!C296</f>
        <v>11527.694677</v>
      </c>
      <c r="D108" s="7">
        <f>output_NHTS!D296</f>
        <v>9121.5710920000001</v>
      </c>
      <c r="E108" s="7">
        <f>output_NHTS!E296</f>
        <v>47437.302640000002</v>
      </c>
      <c r="F108" s="7">
        <f>output_NHTS!F296</f>
        <v>21531.844647999998</v>
      </c>
      <c r="G108" s="7">
        <f>output_NHTS!G296</f>
        <v>38145.341646000001</v>
      </c>
      <c r="H108" s="7">
        <f>output_NHTS!H296</f>
        <v>14555.456324000001</v>
      </c>
      <c r="I108" s="7">
        <f>output_NHTS!I296</f>
        <v>0</v>
      </c>
      <c r="J108" s="7">
        <f>output_NHTS!J296</f>
        <v>0</v>
      </c>
      <c r="K108" s="7">
        <f>output_NHTS!K296</f>
        <v>0</v>
      </c>
      <c r="L108" s="7">
        <f ref="L108:L114" si="99" t="shared">SUM(B108:K108)</f>
        <v>235026.66238299999</v>
      </c>
      <c r="M108" s="3" t="s">
        <v>211</v>
      </c>
      <c r="N108" s="7">
        <f>output!B296</f>
        <v>82958</v>
      </c>
      <c r="O108" s="7">
        <f>output!C296</f>
        <v>11662</v>
      </c>
      <c r="P108" s="7">
        <f>output!D296</f>
        <v>8590</v>
      </c>
      <c r="Q108" s="7">
        <f>output!E296</f>
        <v>46859</v>
      </c>
      <c r="R108" s="7">
        <f>output!F296</f>
        <v>25125</v>
      </c>
      <c r="S108" s="7">
        <f>output!G296</f>
        <v>33517</v>
      </c>
      <c r="T108" s="7">
        <f>output!H296</f>
        <v>16937</v>
      </c>
      <c r="U108" s="7">
        <f>output!I296</f>
        <v>0</v>
      </c>
      <c r="V108" s="7">
        <f>output!J296</f>
        <v>0</v>
      </c>
      <c r="W108" s="7">
        <f>output!K296</f>
        <v>0</v>
      </c>
      <c r="X108" s="7">
        <f ref="X108:X114" si="100" t="shared">SUM(N108:W108)</f>
        <v>225648</v>
      </c>
      <c r="Y108" s="3" t="s">
        <v>211</v>
      </c>
      <c r="Z108" s="7">
        <f si="89" t="shared"/>
        <v>-9749.451356000005</v>
      </c>
      <c r="AA108" s="7">
        <f si="90" t="shared"/>
        <v>134.3053230000005</v>
      </c>
      <c r="AB108" s="7">
        <f si="91" t="shared"/>
        <v>-531.57109200000014</v>
      </c>
      <c r="AC108" s="7">
        <f ref="AC108:AC114" si="101" t="shared">Q108-E108</f>
        <v>-578.3026400000017</v>
      </c>
      <c r="AD108" s="7">
        <f ref="AD108:AD115" si="102" t="shared">R108-F108</f>
        <v>3593.1553520000016</v>
      </c>
      <c r="AE108" s="7">
        <f ref="AE108:AF115" si="103" t="shared">S108-G108</f>
        <v>-4628.3416460000008</v>
      </c>
      <c r="AF108" s="7">
        <f si="94" t="shared"/>
        <v>2381.5436759999993</v>
      </c>
      <c r="AG108" s="7">
        <f si="95" t="shared"/>
        <v>0</v>
      </c>
      <c r="AH108" s="7">
        <f si="96" t="shared"/>
        <v>0</v>
      </c>
      <c r="AI108" s="7">
        <f si="97" t="shared"/>
        <v>0</v>
      </c>
      <c r="AJ108" s="7">
        <f si="98" t="shared"/>
        <v>-9378.662382999988</v>
      </c>
    </row>
    <row r="109" spans="1:36" x14ac:dyDescent="0.2">
      <c r="A109" s="3" t="s">
        <v>212</v>
      </c>
      <c r="B109" s="7">
        <f>output_NHTS!B297</f>
        <v>168833.39603999999</v>
      </c>
      <c r="C109" s="7">
        <f>output_NHTS!C297</f>
        <v>18213.677115999999</v>
      </c>
      <c r="D109" s="7">
        <f>output_NHTS!D297</f>
        <v>12788.912130000001</v>
      </c>
      <c r="E109" s="7">
        <f>output_NHTS!E297</f>
        <v>70621.785321999996</v>
      </c>
      <c r="F109" s="7">
        <f>output_NHTS!F297</f>
        <v>36512.208509000004</v>
      </c>
      <c r="G109" s="7">
        <f>output_NHTS!G297</f>
        <v>52446.046419999999</v>
      </c>
      <c r="H109" s="7">
        <f>output_NHTS!H297</f>
        <v>21756.020904000001</v>
      </c>
      <c r="I109" s="7">
        <f>output_NHTS!I297</f>
        <v>0</v>
      </c>
      <c r="J109" s="7">
        <f>output_NHTS!J297</f>
        <v>0</v>
      </c>
      <c r="K109" s="7">
        <f>output_NHTS!K297</f>
        <v>0</v>
      </c>
      <c r="L109" s="7">
        <f si="99" t="shared"/>
        <v>381172.04644100001</v>
      </c>
      <c r="M109" s="3" t="s">
        <v>212</v>
      </c>
      <c r="N109" s="7">
        <f>output!B297</f>
        <v>177766</v>
      </c>
      <c r="O109" s="7">
        <f>output!C297</f>
        <v>18339</v>
      </c>
      <c r="P109" s="7">
        <f>output!D297</f>
        <v>11958</v>
      </c>
      <c r="Q109" s="7">
        <f>output!E297</f>
        <v>74954</v>
      </c>
      <c r="R109" s="7">
        <f>output!F297</f>
        <v>36036</v>
      </c>
      <c r="S109" s="7">
        <f>output!G297</f>
        <v>57623</v>
      </c>
      <c r="T109" s="7">
        <f>output!H297</f>
        <v>24729</v>
      </c>
      <c r="U109" s="7">
        <f>output!I297</f>
        <v>0</v>
      </c>
      <c r="V109" s="7">
        <f>output!J297</f>
        <v>0</v>
      </c>
      <c r="W109" s="7">
        <f>output!K297</f>
        <v>0</v>
      </c>
      <c r="X109" s="7">
        <f si="100" t="shared"/>
        <v>401405</v>
      </c>
      <c r="Y109" s="3" t="s">
        <v>212</v>
      </c>
      <c r="Z109" s="7">
        <f si="89" t="shared"/>
        <v>8932.6039600000076</v>
      </c>
      <c r="AA109" s="7">
        <f si="90" t="shared"/>
        <v>125.32288400000107</v>
      </c>
      <c r="AB109" s="7">
        <f si="91" t="shared"/>
        <v>-830.91213000000062</v>
      </c>
      <c r="AC109" s="7">
        <f si="101" t="shared"/>
        <v>4332.2146780000039</v>
      </c>
      <c r="AD109" s="7">
        <f si="102" t="shared"/>
        <v>-476.20850900000369</v>
      </c>
      <c r="AE109" s="7">
        <f si="103" t="shared"/>
        <v>5176.9535800000012</v>
      </c>
      <c r="AF109" s="7">
        <f si="94" t="shared"/>
        <v>2972.9790959999991</v>
      </c>
      <c r="AG109" s="7">
        <f si="95" t="shared"/>
        <v>0</v>
      </c>
      <c r="AH109" s="7">
        <f si="96" t="shared"/>
        <v>0</v>
      </c>
      <c r="AI109" s="7">
        <f si="97" t="shared"/>
        <v>0</v>
      </c>
      <c r="AJ109" s="7">
        <f si="98" t="shared"/>
        <v>20232.953558999987</v>
      </c>
    </row>
    <row r="110" spans="1:36" x14ac:dyDescent="0.2">
      <c r="A110" s="3" t="s">
        <v>213</v>
      </c>
      <c r="B110" s="7">
        <f>output_NHTS!B298</f>
        <v>248787.749037</v>
      </c>
      <c r="C110" s="7">
        <f>output_NHTS!C298</f>
        <v>30665.373542000001</v>
      </c>
      <c r="D110" s="7">
        <f>output_NHTS!D298</f>
        <v>21496.692535999999</v>
      </c>
      <c r="E110" s="7">
        <f>output_NHTS!E298</f>
        <v>109326.41708699999</v>
      </c>
      <c r="F110" s="7">
        <f>output_NHTS!F298</f>
        <v>67262.242433000007</v>
      </c>
      <c r="G110" s="7">
        <f>output_NHTS!G298</f>
        <v>78660.798599000002</v>
      </c>
      <c r="H110" s="7">
        <f>output_NHTS!H298</f>
        <v>46449.854822000001</v>
      </c>
      <c r="I110" s="7">
        <f>output_NHTS!I298</f>
        <v>0</v>
      </c>
      <c r="J110" s="7">
        <f>output_NHTS!J298</f>
        <v>0</v>
      </c>
      <c r="K110" s="7">
        <f>output_NHTS!K298</f>
        <v>0</v>
      </c>
      <c r="L110" s="7">
        <f si="99" t="shared"/>
        <v>602649.12805599999</v>
      </c>
      <c r="M110" s="3" t="s">
        <v>213</v>
      </c>
      <c r="N110" s="7">
        <f>output!B298</f>
        <v>290397</v>
      </c>
      <c r="O110" s="7">
        <f>output!C298</f>
        <v>34110</v>
      </c>
      <c r="P110" s="7">
        <f>output!D298</f>
        <v>23267</v>
      </c>
      <c r="Q110" s="7">
        <f>output!E298</f>
        <v>110264</v>
      </c>
      <c r="R110" s="7">
        <f>output!F298</f>
        <v>61976</v>
      </c>
      <c r="S110" s="7">
        <f>output!G298</f>
        <v>89475</v>
      </c>
      <c r="T110" s="7">
        <f>output!H298</f>
        <v>45366</v>
      </c>
      <c r="U110" s="7">
        <f>output!I298</f>
        <v>0</v>
      </c>
      <c r="V110" s="7">
        <f>output!J298</f>
        <v>0</v>
      </c>
      <c r="W110" s="7">
        <f>output!K298</f>
        <v>0</v>
      </c>
      <c r="X110" s="7">
        <f si="100" t="shared"/>
        <v>654855</v>
      </c>
      <c r="Y110" s="3" t="s">
        <v>213</v>
      </c>
      <c r="Z110" s="7">
        <f si="89" t="shared"/>
        <v>41609.250962999999</v>
      </c>
      <c r="AA110" s="7">
        <f si="90" t="shared"/>
        <v>3444.6264579999988</v>
      </c>
      <c r="AB110" s="7">
        <f si="91" t="shared"/>
        <v>1770.3074640000013</v>
      </c>
      <c r="AC110" s="7">
        <f si="101" t="shared"/>
        <v>937.58291300000565</v>
      </c>
      <c r="AD110" s="7">
        <f si="102" t="shared"/>
        <v>-5286.2424330000067</v>
      </c>
      <c r="AE110" s="7">
        <f si="103" t="shared"/>
        <v>10814.201400999998</v>
      </c>
      <c r="AF110" s="7">
        <f si="94" t="shared"/>
        <v>-1083.8548220000011</v>
      </c>
      <c r="AG110" s="7">
        <f si="95" t="shared"/>
        <v>0</v>
      </c>
      <c r="AH110" s="7">
        <f si="96" t="shared"/>
        <v>0</v>
      </c>
      <c r="AI110" s="7">
        <f si="97" t="shared"/>
        <v>0</v>
      </c>
      <c r="AJ110" s="7">
        <f si="98" t="shared"/>
        <v>52205.871944000013</v>
      </c>
    </row>
    <row r="111" spans="1:36" x14ac:dyDescent="0.2">
      <c r="A111" s="3" t="s">
        <v>214</v>
      </c>
      <c r="B111" s="7">
        <f>output_NHTS!B299</f>
        <v>178578.421707</v>
      </c>
      <c r="C111" s="7">
        <f>output_NHTS!C299</f>
        <v>20033.036784</v>
      </c>
      <c r="D111" s="7">
        <f>output_NHTS!D299</f>
        <v>14331.162624000001</v>
      </c>
      <c r="E111" s="7">
        <f>output_NHTS!E299</f>
        <v>74237.256227000005</v>
      </c>
      <c r="F111" s="7">
        <f>output_NHTS!F299</f>
        <v>44720.095308999997</v>
      </c>
      <c r="G111" s="7">
        <f>output_NHTS!G299</f>
        <v>61806.126255999996</v>
      </c>
      <c r="H111" s="7">
        <f>output_NHTS!H299</f>
        <v>29945.612476999999</v>
      </c>
      <c r="I111" s="7">
        <f>output_NHTS!I299</f>
        <v>0</v>
      </c>
      <c r="J111" s="7">
        <f>output_NHTS!J299</f>
        <v>0</v>
      </c>
      <c r="K111" s="7">
        <f>output_NHTS!K299</f>
        <v>0</v>
      </c>
      <c r="L111" s="7">
        <f si="99" t="shared"/>
        <v>423651.71138400002</v>
      </c>
      <c r="M111" s="3" t="s">
        <v>214</v>
      </c>
      <c r="N111" s="7">
        <f>output!B299</f>
        <v>191978</v>
      </c>
      <c r="O111" s="7">
        <f>output!C299</f>
        <v>22498</v>
      </c>
      <c r="P111" s="7">
        <f>output!D299</f>
        <v>14984</v>
      </c>
      <c r="Q111" s="7">
        <f>output!E299</f>
        <v>72481</v>
      </c>
      <c r="R111" s="7">
        <f>output!F299</f>
        <v>40153</v>
      </c>
      <c r="S111" s="7">
        <f>output!G299</f>
        <v>58669</v>
      </c>
      <c r="T111" s="7">
        <f>output!H299</f>
        <v>29547</v>
      </c>
      <c r="U111" s="7">
        <f>output!I299</f>
        <v>0</v>
      </c>
      <c r="V111" s="7">
        <f>output!J299</f>
        <v>0</v>
      </c>
      <c r="W111" s="7">
        <f>output!K299</f>
        <v>0</v>
      </c>
      <c r="X111" s="7">
        <f si="100" t="shared"/>
        <v>430310</v>
      </c>
      <c r="Y111" s="3" t="s">
        <v>214</v>
      </c>
      <c r="Z111" s="7">
        <f si="89" t="shared"/>
        <v>13399.578292999999</v>
      </c>
      <c r="AA111" s="7">
        <f si="90" t="shared"/>
        <v>2464.9632160000001</v>
      </c>
      <c r="AB111" s="7">
        <f si="91" t="shared"/>
        <v>652.83737599999949</v>
      </c>
      <c r="AC111" s="7">
        <f si="101" t="shared"/>
        <v>-1756.2562270000053</v>
      </c>
      <c r="AD111" s="7">
        <f si="102" t="shared"/>
        <v>-4567.0953089999966</v>
      </c>
      <c r="AE111" s="7">
        <f si="103" t="shared"/>
        <v>-3137.1262559999959</v>
      </c>
      <c r="AF111" s="7">
        <f si="94" t="shared"/>
        <v>-398.61247699999876</v>
      </c>
      <c r="AG111" s="7">
        <f si="95" t="shared"/>
        <v>0</v>
      </c>
      <c r="AH111" s="7">
        <f si="96" t="shared"/>
        <v>0</v>
      </c>
      <c r="AI111" s="7">
        <f si="97" t="shared"/>
        <v>0</v>
      </c>
      <c r="AJ111" s="7">
        <f si="98" t="shared"/>
        <v>6658.2886159999762</v>
      </c>
    </row>
    <row r="112" spans="1:36" x14ac:dyDescent="0.2">
      <c r="A112" s="3" t="s">
        <v>129</v>
      </c>
      <c r="B112" s="7">
        <f>output_NHTS!B300</f>
        <v>108908.454795</v>
      </c>
      <c r="C112" s="7">
        <f>output_NHTS!C300</f>
        <v>6766.6271909999996</v>
      </c>
      <c r="D112" s="7">
        <f>output_NHTS!D300</f>
        <v>6367.3829900000001</v>
      </c>
      <c r="E112" s="7">
        <f>output_NHTS!E300</f>
        <v>32586.195974999999</v>
      </c>
      <c r="F112" s="7">
        <f>output_NHTS!F300</f>
        <v>21788.588424000001</v>
      </c>
      <c r="G112" s="7">
        <f>output_NHTS!G300</f>
        <v>33464.457975999998</v>
      </c>
      <c r="H112" s="7">
        <f>output_NHTS!H300</f>
        <v>16261.348900999999</v>
      </c>
      <c r="I112" s="7">
        <f>output_NHTS!I300</f>
        <v>0</v>
      </c>
      <c r="J112" s="7">
        <f>output_NHTS!J300</f>
        <v>0</v>
      </c>
      <c r="K112" s="7">
        <f>output_NHTS!K300</f>
        <v>0</v>
      </c>
      <c r="L112" s="7">
        <f si="99" t="shared"/>
        <v>226143.05625200001</v>
      </c>
      <c r="M112" s="3" t="s">
        <v>129</v>
      </c>
      <c r="N112" s="7">
        <f>output!B300</f>
        <v>120336</v>
      </c>
      <c r="O112" s="7">
        <f>output!C300</f>
        <v>12465</v>
      </c>
      <c r="P112" s="7">
        <f>output!D300</f>
        <v>9011</v>
      </c>
      <c r="Q112" s="7">
        <f>output!E300</f>
        <v>43115</v>
      </c>
      <c r="R112" s="7">
        <f>output!F300</f>
        <v>23280</v>
      </c>
      <c r="S112" s="7">
        <f>output!G300</f>
        <v>35093</v>
      </c>
      <c r="T112" s="7">
        <f>output!H300</f>
        <v>17084</v>
      </c>
      <c r="U112" s="7">
        <f>output!I300</f>
        <v>0</v>
      </c>
      <c r="V112" s="7">
        <f>output!J300</f>
        <v>0</v>
      </c>
      <c r="W112" s="7">
        <f>output!K300</f>
        <v>0</v>
      </c>
      <c r="X112" s="7">
        <f si="100" t="shared"/>
        <v>260384</v>
      </c>
      <c r="Y112" s="3" t="s">
        <v>129</v>
      </c>
      <c r="Z112" s="7">
        <f si="89" t="shared"/>
        <v>11427.545205000002</v>
      </c>
      <c r="AA112" s="7">
        <f si="90" t="shared"/>
        <v>5698.3728090000004</v>
      </c>
      <c r="AB112" s="7">
        <f si="91" t="shared"/>
        <v>2643.6170099999999</v>
      </c>
      <c r="AC112" s="7">
        <f si="101" t="shared"/>
        <v>10528.804025000001</v>
      </c>
      <c r="AD112" s="7">
        <f si="102" t="shared"/>
        <v>1491.4115759999986</v>
      </c>
      <c r="AE112" s="7">
        <f si="103" t="shared"/>
        <v>1628.5420240000021</v>
      </c>
      <c r="AF112" s="7">
        <f si="94" t="shared"/>
        <v>822.65109900000061</v>
      </c>
      <c r="AG112" s="7">
        <f si="95" t="shared"/>
        <v>0</v>
      </c>
      <c r="AH112" s="7">
        <f si="96" t="shared"/>
        <v>0</v>
      </c>
      <c r="AI112" s="7">
        <f si="97" t="shared"/>
        <v>0</v>
      </c>
      <c r="AJ112" s="7">
        <f si="98" t="shared"/>
        <v>34240.943747999991</v>
      </c>
    </row>
    <row r="113" spans="1:36" x14ac:dyDescent="0.2">
      <c r="A113" s="3" t="s">
        <v>130</v>
      </c>
      <c r="B113" s="7">
        <f>output_NHTS!B301</f>
        <v>153443.597977</v>
      </c>
      <c r="C113" s="7">
        <f>output_NHTS!C301</f>
        <v>13350.307844999999</v>
      </c>
      <c r="D113" s="7">
        <f>output_NHTS!D301</f>
        <v>12254.552008000001</v>
      </c>
      <c r="E113" s="7">
        <f>output_NHTS!E301</f>
        <v>58140.319019000002</v>
      </c>
      <c r="F113" s="7">
        <f>output_NHTS!F301</f>
        <v>41865.676441000003</v>
      </c>
      <c r="G113" s="7">
        <f>output_NHTS!G301</f>
        <v>47111.059312999998</v>
      </c>
      <c r="H113" s="7">
        <f>output_NHTS!H301</f>
        <v>19590.003130000001</v>
      </c>
      <c r="I113" s="7">
        <f>output_NHTS!I301</f>
        <v>0</v>
      </c>
      <c r="J113" s="7">
        <f>output_NHTS!J301</f>
        <v>0</v>
      </c>
      <c r="K113" s="7">
        <f>output_NHTS!K301</f>
        <v>0</v>
      </c>
      <c r="L113" s="7">
        <f si="99" t="shared"/>
        <v>345755.51573300007</v>
      </c>
      <c r="M113" s="3" t="s">
        <v>130</v>
      </c>
      <c r="N113" s="7">
        <f>output!B301</f>
        <v>147236</v>
      </c>
      <c r="O113" s="7">
        <f>output!C301</f>
        <v>18958</v>
      </c>
      <c r="P113" s="7">
        <f>output!D301</f>
        <v>14051</v>
      </c>
      <c r="Q113" s="7">
        <f>output!E301</f>
        <v>64438</v>
      </c>
      <c r="R113" s="7">
        <f>output!F301</f>
        <v>36003</v>
      </c>
      <c r="S113" s="7">
        <f>output!G301</f>
        <v>52274</v>
      </c>
      <c r="T113" s="7">
        <f>output!H301</f>
        <v>25353</v>
      </c>
      <c r="U113" s="7">
        <f>output!I301</f>
        <v>0</v>
      </c>
      <c r="V113" s="7">
        <f>output!J301</f>
        <v>0</v>
      </c>
      <c r="W113" s="7">
        <f>output!K301</f>
        <v>0</v>
      </c>
      <c r="X113" s="7">
        <f si="100" t="shared"/>
        <v>358313</v>
      </c>
      <c r="Y113" s="3" t="s">
        <v>130</v>
      </c>
      <c r="Z113" s="7">
        <f si="89" t="shared"/>
        <v>-6207.5979769999976</v>
      </c>
      <c r="AA113" s="7">
        <f si="90" t="shared"/>
        <v>5607.6921550000006</v>
      </c>
      <c r="AB113" s="7">
        <f si="91" t="shared"/>
        <v>1796.4479919999994</v>
      </c>
      <c r="AC113" s="7">
        <f si="101" t="shared"/>
        <v>6297.6809809999977</v>
      </c>
      <c r="AD113" s="7">
        <f si="102" t="shared"/>
        <v>-5862.6764410000033</v>
      </c>
      <c r="AE113" s="7">
        <f si="103" t="shared"/>
        <v>5162.9406870000021</v>
      </c>
      <c r="AF113" s="7">
        <f si="94" t="shared"/>
        <v>5762.996869999999</v>
      </c>
      <c r="AG113" s="7">
        <f si="95" t="shared"/>
        <v>0</v>
      </c>
      <c r="AH113" s="7">
        <f si="96" t="shared"/>
        <v>0</v>
      </c>
      <c r="AI113" s="7">
        <f si="97" t="shared"/>
        <v>0</v>
      </c>
      <c r="AJ113" s="7">
        <f si="98" t="shared"/>
        <v>12557.484266999934</v>
      </c>
    </row>
    <row r="114" spans="1:36" x14ac:dyDescent="0.2">
      <c r="A114" s="8" t="s">
        <v>145</v>
      </c>
      <c r="B114" s="7">
        <f>output_NHTS!B302</f>
        <v>716145.20801499998</v>
      </c>
      <c r="C114" s="7">
        <f>output_NHTS!C302</f>
        <v>70495.894277999992</v>
      </c>
      <c r="D114" s="7">
        <f>output_NHTS!D302</f>
        <v>54275.669998999998</v>
      </c>
      <c r="E114" s="7">
        <f>output_NHTS!E302</f>
        <v>254412.137487</v>
      </c>
      <c r="F114" s="7">
        <f>output_NHTS!F302</f>
        <v>154961.106738</v>
      </c>
      <c r="G114" s="7">
        <f>output_NHTS!G302</f>
        <v>197883.07560099999</v>
      </c>
      <c r="H114" s="7">
        <f>output_NHTS!H302</f>
        <v>92148.317607000005</v>
      </c>
      <c r="I114" s="7">
        <f>output_NHTS!I302</f>
        <v>0</v>
      </c>
      <c r="J114" s="7">
        <f>output_NHTS!J302</f>
        <v>0</v>
      </c>
      <c r="K114" s="7">
        <f>output_NHTS!K302</f>
        <v>0</v>
      </c>
      <c r="L114" s="7">
        <f si="99" t="shared"/>
        <v>1540321.4097250002</v>
      </c>
      <c r="M114" s="8" t="s">
        <v>145</v>
      </c>
      <c r="N114" s="7">
        <f>output!B302</f>
        <v>828922</v>
      </c>
      <c r="O114" s="7">
        <f>output!C302</f>
        <v>74006</v>
      </c>
      <c r="P114" s="7">
        <f>output!D302</f>
        <v>47783</v>
      </c>
      <c r="Q114" s="7">
        <f>output!E302</f>
        <v>293408</v>
      </c>
      <c r="R114" s="7">
        <f>output!F302</f>
        <v>133756</v>
      </c>
      <c r="S114" s="7">
        <f>output!G302</f>
        <v>240129</v>
      </c>
      <c r="T114" s="7">
        <f>output!H302</f>
        <v>96390</v>
      </c>
      <c r="U114" s="7">
        <f>output!I302</f>
        <v>0</v>
      </c>
      <c r="V114" s="7">
        <f>output!J302</f>
        <v>0</v>
      </c>
      <c r="W114" s="7">
        <f>output!K302</f>
        <v>0</v>
      </c>
      <c r="X114" s="7">
        <f si="100" t="shared"/>
        <v>1714394</v>
      </c>
      <c r="Y114" s="8" t="s">
        <v>145</v>
      </c>
      <c r="Z114" s="7">
        <f si="89" t="shared"/>
        <v>112776.79198500002</v>
      </c>
      <c r="AA114" s="7">
        <f si="90" t="shared"/>
        <v>3510.1057220000075</v>
      </c>
      <c r="AB114" s="7">
        <f si="91" t="shared"/>
        <v>-6492.6699989999979</v>
      </c>
      <c r="AC114" s="7">
        <f si="101" t="shared"/>
        <v>38995.862513</v>
      </c>
      <c r="AD114" s="7">
        <f si="102" t="shared"/>
        <v>-21205.106738000002</v>
      </c>
      <c r="AE114" s="7">
        <f si="103" t="shared"/>
        <v>42245.92439900001</v>
      </c>
      <c r="AF114" s="7">
        <f si="94" t="shared"/>
        <v>4241.6823929999955</v>
      </c>
      <c r="AG114" s="7">
        <f si="95" t="shared"/>
        <v>0</v>
      </c>
      <c r="AH114" s="7">
        <f si="96" t="shared"/>
        <v>0</v>
      </c>
      <c r="AI114" s="7">
        <f si="97" t="shared"/>
        <v>0</v>
      </c>
      <c r="AJ114" s="7">
        <f si="98" t="shared"/>
        <v>174072.59027499985</v>
      </c>
    </row>
    <row ht="13.5" r="115" spans="1:36" thickBot="1" x14ac:dyDescent="0.25">
      <c r="A115" s="10" t="s">
        <v>220</v>
      </c>
      <c r="B115" s="11">
        <f>SUM(B107:B114)</f>
        <v>2029627.299012</v>
      </c>
      <c r="C115" s="11">
        <f>SUM(C107:C114)</f>
        <v>201919.358802</v>
      </c>
      <c r="D115" s="11">
        <f>SUM(D107:D114)</f>
        <v>159965.531973</v>
      </c>
      <c r="E115" s="11">
        <f>SUM(E107:E114)</f>
        <v>768266.0220479999</v>
      </c>
      <c r="F115" s="11">
        <f ref="F115:G115" si="104" t="shared">SUM(F107:F114)</f>
        <v>454783.32795300003</v>
      </c>
      <c r="G115" s="11">
        <f si="104" t="shared"/>
        <v>594469.98013399995</v>
      </c>
      <c r="H115" s="11">
        <f ref="H115:K115" si="105" t="shared">SUM(H107:H114)</f>
        <v>287240.918787</v>
      </c>
      <c r="I115" s="11">
        <f si="105" t="shared"/>
        <v>0</v>
      </c>
      <c r="J115" s="11">
        <f si="105" t="shared"/>
        <v>0</v>
      </c>
      <c r="K115" s="11">
        <f si="105" t="shared"/>
        <v>0</v>
      </c>
      <c r="L115" s="11">
        <f>SUM(L107:L114)</f>
        <v>4496272.4387090001</v>
      </c>
      <c r="M115" s="10" t="s">
        <v>220</v>
      </c>
      <c r="N115" s="11">
        <f>SUM(N107:N114)</f>
        <v>2254975</v>
      </c>
      <c r="O115" s="11">
        <f>SUM(O107:O114)</f>
        <v>226537</v>
      </c>
      <c r="P115" s="11">
        <f>SUM(P107:P114)</f>
        <v>156110</v>
      </c>
      <c r="Q115" s="11">
        <f>SUM(Q107:Q114)</f>
        <v>845347</v>
      </c>
      <c r="R115" s="11">
        <f ref="R115:S115" si="106" t="shared">SUM(R107:R114)</f>
        <v>428823</v>
      </c>
      <c r="S115" s="11">
        <f si="106" t="shared"/>
        <v>678814</v>
      </c>
      <c r="T115" s="11">
        <f ref="T115:W115" si="107" t="shared">SUM(T107:T114)</f>
        <v>306725</v>
      </c>
      <c r="U115" s="11">
        <f si="107" t="shared"/>
        <v>0</v>
      </c>
      <c r="V115" s="11">
        <f si="107" t="shared"/>
        <v>0</v>
      </c>
      <c r="W115" s="11">
        <f si="107" t="shared"/>
        <v>0</v>
      </c>
      <c r="X115" s="11">
        <f>SUM(X107:X114)</f>
        <v>4897331</v>
      </c>
      <c r="Y115" s="10" t="s">
        <v>220</v>
      </c>
      <c r="Z115" s="11">
        <f si="89" t="shared"/>
        <v>225347.70098800003</v>
      </c>
      <c r="AA115" s="11">
        <f si="90" t="shared"/>
        <v>24617.641197999998</v>
      </c>
      <c r="AB115" s="11">
        <f si="91" t="shared"/>
        <v>-3855.5319730000047</v>
      </c>
      <c r="AC115" s="11">
        <f si="92" t="shared"/>
        <v>77080.977952000103</v>
      </c>
      <c r="AD115" s="11">
        <f si="102" t="shared"/>
        <v>-25960.327953000029</v>
      </c>
      <c r="AE115" s="11">
        <f si="103" t="shared"/>
        <v>84344.019866000046</v>
      </c>
      <c r="AF115" s="11">
        <f si="103" t="shared"/>
        <v>19484.081212999998</v>
      </c>
      <c r="AG115" s="11">
        <f si="95" t="shared"/>
        <v>0</v>
      </c>
      <c r="AH115" s="11">
        <f si="96" t="shared"/>
        <v>0</v>
      </c>
      <c r="AI115" s="11">
        <f si="97" t="shared"/>
        <v>0</v>
      </c>
      <c r="AJ115" s="11">
        <f si="98" t="shared"/>
        <v>401058.56129099987</v>
      </c>
    </row>
    <row r="116" spans="1:36" x14ac:dyDescent="0.2">
      <c r="G116" s="25"/>
      <c r="H116" s="25"/>
      <c r="I116" s="25"/>
      <c r="J116" s="25"/>
      <c r="K116" s="25"/>
      <c r="L116" s="25"/>
      <c r="S116" s="25"/>
      <c r="T116" s="25"/>
      <c r="U116" s="25"/>
      <c r="V116" s="25"/>
      <c r="W116" s="25"/>
      <c r="X116" s="25"/>
      <c r="AE116" s="25"/>
      <c r="AF116" s="25"/>
      <c r="AG116" s="25"/>
      <c r="AH116" s="25"/>
      <c r="AI116" s="25"/>
      <c r="AJ116" s="25"/>
    </row>
    <row r="117" spans="1:36" x14ac:dyDescent="0.2">
      <c r="A117" s="25" t="s">
        <v>88</v>
      </c>
      <c r="B117" s="7">
        <f>ToursByTourPurpose!B118</f>
        <v>571262.1889448663</v>
      </c>
      <c r="C117" s="7">
        <f>ToursByTourPurpose!C118</f>
        <v>74462</v>
      </c>
      <c r="D117" s="7">
        <f>ToursByTourPurpose!D118</f>
        <v>61201.999999999993</v>
      </c>
      <c r="E117" s="7">
        <f>ToursByTourPurpose!E118</f>
        <v>239449.81105513356</v>
      </c>
      <c r="F117" s="7">
        <f>ToursByTourPurpose!F118</f>
        <v>148325</v>
      </c>
      <c r="G117" s="7">
        <f>ToursByTourPurpose!G118</f>
        <v>168740.99999999997</v>
      </c>
      <c r="H117" s="7">
        <f>ToursByTourPurpose!H118</f>
        <v>105763</v>
      </c>
      <c r="I117" s="7">
        <f>ToursByTourPurpose!I118</f>
        <v>0</v>
      </c>
      <c r="J117" s="7">
        <f>ToursByTourPurpose!J118</f>
        <v>0</v>
      </c>
      <c r="K117" s="7">
        <f>ToursByTourPurpose!K118</f>
        <v>0</v>
      </c>
      <c r="L117" s="7">
        <f>ToursByTourPurpose!L118</f>
        <v>1369205</v>
      </c>
      <c r="M117" s="25" t="s">
        <v>88</v>
      </c>
      <c r="N117" s="7">
        <f>ToursByTourPurpose!N118</f>
        <v>610048</v>
      </c>
      <c r="O117" s="7">
        <f>ToursByTourPurpose!O118</f>
        <v>79684</v>
      </c>
      <c r="P117" s="7">
        <f>ToursByTourPurpose!P118</f>
        <v>62628</v>
      </c>
      <c r="Q117" s="7">
        <f>ToursByTourPurpose!Q118</f>
        <v>274057</v>
      </c>
      <c r="R117" s="7">
        <f>ToursByTourPurpose!R118</f>
        <v>158939</v>
      </c>
      <c r="S117" s="7">
        <f>ToursByTourPurpose!S118</f>
        <v>200422</v>
      </c>
      <c r="T117" s="7">
        <f>ToursByTourPurpose!T118</f>
        <v>116452</v>
      </c>
      <c r="U117" s="7">
        <f>ToursByTourPurpose!U118</f>
        <v>0</v>
      </c>
      <c r="V117" s="7">
        <f>ToursByTourPurpose!V118</f>
        <v>0</v>
      </c>
      <c r="W117" s="7">
        <f>ToursByTourPurpose!W118</f>
        <v>0</v>
      </c>
      <c r="X117" s="7">
        <f>ToursByTourPurpose!X118</f>
        <v>1502230</v>
      </c>
      <c r="Y117" s="3" t="s">
        <v>88</v>
      </c>
      <c r="Z117" s="7">
        <f ref="Z117:AC118" si="108" t="shared">N117-B117</f>
        <v>38785.811055133701</v>
      </c>
      <c r="AA117" s="7">
        <f si="108" t="shared"/>
        <v>5222</v>
      </c>
      <c r="AB117" s="7">
        <f si="108" t="shared"/>
        <v>1426.0000000000073</v>
      </c>
      <c r="AC117" s="7">
        <f si="108" t="shared"/>
        <v>34607.188944866444</v>
      </c>
      <c r="AD117" s="7">
        <f ref="AD117:AD118" si="109" t="shared">R117-F117</f>
        <v>10614</v>
      </c>
      <c r="AE117" s="7">
        <f ref="AE117:AF118" si="110" t="shared">S117-G117</f>
        <v>31681.000000000029</v>
      </c>
      <c r="AF117" s="7">
        <f si="110" t="shared"/>
        <v>10689</v>
      </c>
      <c r="AG117" s="7">
        <f ref="AG117:AG118" si="111" t="shared">U117-I117</f>
        <v>0</v>
      </c>
      <c r="AH117" s="7">
        <f ref="AH117:AH118" si="112" t="shared">V117-J117</f>
        <v>0</v>
      </c>
      <c r="AI117" s="7">
        <f ref="AI117:AI118" si="113" t="shared">W117-K117</f>
        <v>0</v>
      </c>
      <c r="AJ117" s="7">
        <f>X117-L117</f>
        <v>133025</v>
      </c>
    </row>
    <row r="118" spans="1:36" x14ac:dyDescent="0.2">
      <c r="A118" s="25" t="s">
        <v>91</v>
      </c>
      <c r="B118" s="38">
        <f>B115/B117</f>
        <v>3.5528822636778497</v>
      </c>
      <c r="C118" s="38">
        <f>C115/C117</f>
        <v>2.7117101179393517</v>
      </c>
      <c r="D118" s="38">
        <f>D115/D117</f>
        <v>2.6137304658834681</v>
      </c>
      <c r="E118" s="38">
        <f>E115/E117</f>
        <v>3.208463680395663</v>
      </c>
      <c r="F118" s="38">
        <f ref="F118:H118" si="114" t="shared">F115/F117</f>
        <v>3.0661272742491152</v>
      </c>
      <c r="G118" s="38">
        <f si="114" t="shared"/>
        <v>3.5229729593519066</v>
      </c>
      <c r="H118" s="38">
        <f si="114" t="shared"/>
        <v>2.7158923138243054</v>
      </c>
      <c r="I118" s="38" t="e">
        <f ref="I118:K118" si="115" t="shared">I115/I117</f>
        <v>#DIV/0!</v>
      </c>
      <c r="J118" s="38" t="e">
        <f si="115" t="shared"/>
        <v>#DIV/0!</v>
      </c>
      <c r="K118" s="38" t="e">
        <f si="115" t="shared"/>
        <v>#DIV/0!</v>
      </c>
      <c r="L118" s="38">
        <f>L115/L117</f>
        <v>3.2838562806219667</v>
      </c>
      <c r="M118" s="25" t="s">
        <v>91</v>
      </c>
      <c r="N118" s="38">
        <f>N115/N117</f>
        <v>3.6963894644355855</v>
      </c>
      <c r="O118" s="38">
        <f>O115/O117</f>
        <v>2.842942121379449</v>
      </c>
      <c r="P118" s="38">
        <f>P115/P117</f>
        <v>2.4926550424730154</v>
      </c>
      <c r="Q118" s="38">
        <f>Q115/Q117</f>
        <v>3.0845663493360869</v>
      </c>
      <c r="R118" s="38">
        <f ref="R118:S118" si="116" t="shared">R115/R117</f>
        <v>2.6980350952252121</v>
      </c>
      <c r="S118" s="38">
        <f si="116" t="shared"/>
        <v>3.3869235912225206</v>
      </c>
      <c r="T118" s="38">
        <f ref="T118:W118" si="117" t="shared">T115/T117</f>
        <v>2.6339178373922301</v>
      </c>
      <c r="U118" s="38" t="e">
        <f si="117" t="shared"/>
        <v>#DIV/0!</v>
      </c>
      <c r="V118" s="38" t="e">
        <f si="117" t="shared"/>
        <v>#DIV/0!</v>
      </c>
      <c r="W118" s="38" t="e">
        <f si="117" t="shared"/>
        <v>#DIV/0!</v>
      </c>
      <c r="X118" s="38">
        <f>X115/X117</f>
        <v>3.2600407394340416</v>
      </c>
      <c r="Y118" s="3" t="s">
        <v>91</v>
      </c>
      <c r="Z118" s="38">
        <f si="108" t="shared"/>
        <v>0.14350720075773582</v>
      </c>
      <c r="AA118" s="38">
        <f si="108" t="shared"/>
        <v>0.13123200344009733</v>
      </c>
      <c r="AB118" s="38">
        <f si="108" t="shared"/>
        <v>-0.12107542341045274</v>
      </c>
      <c r="AC118" s="38">
        <f si="108" t="shared"/>
        <v>-0.12389733105957612</v>
      </c>
      <c r="AD118" s="38">
        <f si="109" t="shared"/>
        <v>-0.36809217902390312</v>
      </c>
      <c r="AE118" s="38">
        <f si="110" t="shared"/>
        <v>-0.13604936812938595</v>
      </c>
      <c r="AF118" s="38">
        <f si="110" t="shared"/>
        <v>-8.1974476432075338E-2</v>
      </c>
      <c r="AG118" s="38" t="e">
        <f si="111" t="shared"/>
        <v>#DIV/0!</v>
      </c>
      <c r="AH118" s="38" t="e">
        <f si="112" t="shared"/>
        <v>#DIV/0!</v>
      </c>
      <c r="AI118" s="38" t="e">
        <f si="113" t="shared"/>
        <v>#DIV/0!</v>
      </c>
      <c r="AJ118" s="38">
        <f>X118-L118</f>
        <v>-2.381554118792506E-2</v>
      </c>
    </row>
    <row r="119" spans="1:36" x14ac:dyDescent="0.2">
      <c r="G119" s="25"/>
      <c r="H119" s="25"/>
      <c r="I119" s="25"/>
      <c r="J119" s="25"/>
      <c r="K119" s="25"/>
      <c r="L119" s="25"/>
      <c r="S119" s="25"/>
      <c r="T119" s="25"/>
      <c r="U119" s="25"/>
      <c r="V119" s="25"/>
      <c r="W119" s="25"/>
      <c r="X119" s="25"/>
      <c r="AE119" s="25"/>
      <c r="AF119" s="25"/>
      <c r="AG119" s="25"/>
      <c r="AH119" s="25"/>
      <c r="AI119" s="25"/>
      <c r="AJ119" s="25"/>
    </row>
    <row r="120" spans="1:36" x14ac:dyDescent="0.2">
      <c r="A120" s="2" t="s">
        <v>175</v>
      </c>
      <c r="G120" s="25"/>
      <c r="H120" s="25"/>
      <c r="I120" s="25"/>
      <c r="J120" s="25"/>
      <c r="K120" s="25"/>
      <c r="L120" s="25"/>
      <c r="M120" s="2" t="s">
        <v>175</v>
      </c>
      <c r="S120" s="25"/>
      <c r="T120" s="25"/>
      <c r="U120" s="25"/>
      <c r="V120" s="25"/>
      <c r="W120" s="25"/>
      <c r="X120" s="25"/>
      <c r="Y120" s="2" t="s">
        <v>175</v>
      </c>
      <c r="AE120" s="25"/>
      <c r="AF120" s="25"/>
      <c r="AG120" s="25"/>
      <c r="AH120" s="25"/>
      <c r="AI120" s="25"/>
      <c r="AJ120" s="25"/>
    </row>
    <row r="121" spans="1:36" x14ac:dyDescent="0.2">
      <c r="A121" s="2" t="s">
        <v>314</v>
      </c>
      <c r="G121" s="25"/>
      <c r="H121" s="25"/>
      <c r="I121" s="25"/>
      <c r="J121" s="25"/>
      <c r="K121" s="25"/>
      <c r="L121" s="25"/>
      <c r="M121" s="2" t="s">
        <v>313</v>
      </c>
      <c r="S121" s="25"/>
      <c r="T121" s="25"/>
      <c r="U121" s="25"/>
      <c r="V121" s="25"/>
      <c r="W121" s="25"/>
      <c r="X121" s="25"/>
      <c r="Y121" s="268" t="s">
        <v>312</v>
      </c>
      <c r="Z121" s="268"/>
      <c r="AA121" s="268"/>
      <c r="AE121" s="25"/>
      <c r="AF121" s="25"/>
      <c r="AG121" s="25"/>
      <c r="AH121" s="25"/>
      <c r="AI121" s="25"/>
      <c r="AJ121" s="25"/>
    </row>
    <row ht="13.5" r="122" spans="1:36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K122" s="25"/>
      <c r="L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X122" s="25"/>
      <c r="Z122" s="15"/>
      <c r="AA122" s="15"/>
      <c r="AB122" s="15"/>
      <c r="AC122" s="15"/>
      <c r="AD122" s="15"/>
      <c r="AE122" s="25"/>
      <c r="AF122" s="25"/>
      <c r="AG122" s="25"/>
      <c r="AH122" s="25"/>
      <c r="AI122" s="25"/>
      <c r="AJ122" s="25"/>
    </row>
    <row r="123" spans="1:36" x14ac:dyDescent="0.2">
      <c r="A123" s="5" t="s">
        <v>144</v>
      </c>
      <c r="B123" s="6">
        <f>B106</f>
        <v>1</v>
      </c>
      <c r="C123" s="6">
        <f ref="C123:G123" si="118" t="shared">C106</f>
        <v>2</v>
      </c>
      <c r="D123" s="6">
        <f si="118" t="shared"/>
        <v>3</v>
      </c>
      <c r="E123" s="6">
        <f si="118" t="shared"/>
        <v>4</v>
      </c>
      <c r="F123" s="6">
        <f si="118" t="shared"/>
        <v>5</v>
      </c>
      <c r="G123" s="6">
        <f si="118" t="shared"/>
        <v>6</v>
      </c>
      <c r="H123" s="6">
        <f>H106</f>
        <v>7</v>
      </c>
      <c r="I123" s="6">
        <f ref="I123:K123" si="119" t="shared">I106</f>
        <v>8</v>
      </c>
      <c r="J123" s="6">
        <f si="119" t="shared"/>
        <v>9</v>
      </c>
      <c r="K123" s="6">
        <f si="119" t="shared"/>
        <v>10</v>
      </c>
      <c r="L123" s="6" t="s">
        <v>220</v>
      </c>
      <c r="M123" s="5" t="s">
        <v>144</v>
      </c>
      <c r="N123" s="6">
        <f>B106</f>
        <v>1</v>
      </c>
      <c r="O123" s="6">
        <f ref="O123:S123" si="120" t="shared">C106</f>
        <v>2</v>
      </c>
      <c r="P123" s="6">
        <f si="120" t="shared"/>
        <v>3</v>
      </c>
      <c r="Q123" s="6">
        <f si="120" t="shared"/>
        <v>4</v>
      </c>
      <c r="R123" s="6">
        <f si="120" t="shared"/>
        <v>5</v>
      </c>
      <c r="S123" s="6">
        <f si="120" t="shared"/>
        <v>6</v>
      </c>
      <c r="T123" s="6">
        <f>H106</f>
        <v>7</v>
      </c>
      <c r="U123" s="6">
        <f ref="U123:W123" si="121" t="shared">I106</f>
        <v>8</v>
      </c>
      <c r="V123" s="6">
        <f si="121" t="shared"/>
        <v>9</v>
      </c>
      <c r="W123" s="6">
        <f si="121" t="shared"/>
        <v>10</v>
      </c>
      <c r="X123" s="6" t="s">
        <v>220</v>
      </c>
      <c r="Y123" s="5" t="s">
        <v>144</v>
      </c>
      <c r="Z123" s="6">
        <f>B106</f>
        <v>1</v>
      </c>
      <c r="AA123" s="6">
        <f ref="AA123:AF123" si="122" t="shared">C106</f>
        <v>2</v>
      </c>
      <c r="AB123" s="6">
        <f si="122" t="shared"/>
        <v>3</v>
      </c>
      <c r="AC123" s="6">
        <f si="122" t="shared"/>
        <v>4</v>
      </c>
      <c r="AD123" s="6">
        <f si="122" t="shared"/>
        <v>5</v>
      </c>
      <c r="AE123" s="6">
        <f si="122" t="shared"/>
        <v>6</v>
      </c>
      <c r="AF123" s="6">
        <f si="122" t="shared"/>
        <v>7</v>
      </c>
      <c r="AG123" s="6">
        <f ref="AG123" si="123" t="shared">I106</f>
        <v>8</v>
      </c>
      <c r="AH123" s="6">
        <f ref="AH123" si="124" t="shared">J106</f>
        <v>9</v>
      </c>
      <c r="AI123" s="6">
        <f ref="AI123" si="125" t="shared">K106</f>
        <v>10</v>
      </c>
      <c r="AJ123" s="6" t="s">
        <v>220</v>
      </c>
    </row>
    <row r="124" spans="1:36" x14ac:dyDescent="0.2">
      <c r="A124" s="3" t="s">
        <v>210</v>
      </c>
      <c r="B124" s="12">
        <f ref="B124:G130" si="126" t="shared">B107/B$115</f>
        <v>0.1784677513262293</v>
      </c>
      <c r="C124" s="12">
        <f si="126" t="shared"/>
        <v>0.15286670655124063</v>
      </c>
      <c r="D124" s="12">
        <f>D107/D$115</f>
        <v>0.18334942679370725</v>
      </c>
      <c r="E124" s="12">
        <f>E107/E$115</f>
        <v>0.15815434342273776</v>
      </c>
      <c r="F124" s="12">
        <f ref="F124:G124" si="127" t="shared">F107/F$115</f>
        <v>0.145435334555262</v>
      </c>
      <c r="G124" s="12">
        <f si="127" t="shared"/>
        <v>0.14290557498605844</v>
      </c>
      <c r="H124" s="12">
        <f ref="H124:K124" si="128" t="shared">H107/H$115</f>
        <v>0.1620044414929161</v>
      </c>
      <c r="I124" s="12" t="e">
        <f si="128" t="shared"/>
        <v>#DIV/0!</v>
      </c>
      <c r="J124" s="12" t="e">
        <f si="128" t="shared"/>
        <v>#DIV/0!</v>
      </c>
      <c r="K124" s="12" t="e">
        <f si="128" t="shared"/>
        <v>#DIV/0!</v>
      </c>
      <c r="L124" s="12">
        <f ref="L124:L132" si="129" t="shared">L107/L$115</f>
        <v>0.16492615134947644</v>
      </c>
      <c r="M124" s="3" t="s">
        <v>210</v>
      </c>
      <c r="N124" s="12">
        <f ref="N124:S132" si="130" t="shared">N107/N$115</f>
        <v>0.18420692025410482</v>
      </c>
      <c r="O124" s="12">
        <f si="130" t="shared"/>
        <v>0.15228858861907768</v>
      </c>
      <c r="P124" s="12">
        <f si="130" t="shared"/>
        <v>0.16953430273525077</v>
      </c>
      <c r="Q124" s="12">
        <f si="130" t="shared"/>
        <v>0.16540899772519452</v>
      </c>
      <c r="R124" s="12">
        <f si="130" t="shared"/>
        <v>0.16905343230190545</v>
      </c>
      <c r="S124" s="12">
        <f si="130" t="shared"/>
        <v>0.16504373804900901</v>
      </c>
      <c r="T124" s="12">
        <f ref="T124:W124" si="131" t="shared">T107/T$115</f>
        <v>0.16731273942456598</v>
      </c>
      <c r="U124" s="12" t="e">
        <f si="131" t="shared"/>
        <v>#DIV/0!</v>
      </c>
      <c r="V124" s="12" t="e">
        <f si="131" t="shared"/>
        <v>#DIV/0!</v>
      </c>
      <c r="W124" s="12" t="e">
        <f si="131" t="shared"/>
        <v>#DIV/0!</v>
      </c>
      <c r="X124" s="12">
        <f ref="X124:X132" si="132" t="shared">X107/X$115</f>
        <v>0.17397680491680059</v>
      </c>
      <c r="Y124" s="3" t="s">
        <v>210</v>
      </c>
      <c r="Z124" s="12">
        <f ref="Z124:Z132" si="133" t="shared">N124-B124</f>
        <v>5.7391689278755154E-3</v>
      </c>
      <c r="AA124" s="12">
        <f ref="AA124:AA132" si="134" t="shared">O124-C124</f>
        <v>-5.7811793216294705E-4</v>
      </c>
      <c r="AB124" s="12">
        <f ref="AB124:AB132" si="135" t="shared">P124-D124</f>
        <v>-1.3815124058456474E-2</v>
      </c>
      <c r="AC124" s="12">
        <f>Q124-E124</f>
        <v>7.2546543024567534E-3</v>
      </c>
      <c r="AD124" s="12">
        <f>R124-F124</f>
        <v>2.3618097746643446E-2</v>
      </c>
      <c r="AE124" s="12">
        <f>S124-G124</f>
        <v>2.2138163062950578E-2</v>
      </c>
      <c r="AF124" s="12">
        <f>T124-H124</f>
        <v>5.3082979316498857E-3</v>
      </c>
      <c r="AG124" s="12" t="e">
        <f ref="AG124:AI132" si="136" t="shared">U124-I124</f>
        <v>#DIV/0!</v>
      </c>
      <c r="AH124" s="12" t="e">
        <f si="136" t="shared"/>
        <v>#DIV/0!</v>
      </c>
      <c r="AI124" s="12" t="e">
        <f si="136" t="shared"/>
        <v>#DIV/0!</v>
      </c>
      <c r="AJ124" s="12">
        <f ref="AJ124:AJ132" si="137" t="shared">X124-L124</f>
        <v>9.0506535673241517E-3</v>
      </c>
    </row>
    <row r="125" spans="1:36" x14ac:dyDescent="0.2">
      <c r="A125" s="3" t="s">
        <v>211</v>
      </c>
      <c r="B125" s="12">
        <f si="126" t="shared"/>
        <v>4.5677081403629603E-2</v>
      </c>
      <c r="C125" s="12">
        <f si="126" t="shared"/>
        <v>5.7090586783726548E-2</v>
      </c>
      <c r="D125" s="12">
        <f si="126" t="shared"/>
        <v>5.7022103321230456E-2</v>
      </c>
      <c r="E125" s="12">
        <f si="126" t="shared"/>
        <v>6.1745933411898574E-2</v>
      </c>
      <c r="F125" s="12">
        <f si="126" t="shared"/>
        <v>4.7345281422069251E-2</v>
      </c>
      <c r="G125" s="12">
        <f si="126" t="shared"/>
        <v>6.4166977174190745E-2</v>
      </c>
      <c r="H125" s="12">
        <f ref="H125:K125" si="138" t="shared">H108/H$115</f>
        <v>5.067333855310991E-2</v>
      </c>
      <c r="I125" s="12" t="e">
        <f si="138" t="shared"/>
        <v>#DIV/0!</v>
      </c>
      <c r="J125" s="12" t="e">
        <f si="138" t="shared"/>
        <v>#DIV/0!</v>
      </c>
      <c r="K125" s="12" t="e">
        <f si="138" t="shared"/>
        <v>#DIV/0!</v>
      </c>
      <c r="L125" s="12">
        <f si="129" t="shared"/>
        <v>5.2271446089348271E-2</v>
      </c>
      <c r="M125" s="3" t="s">
        <v>211</v>
      </c>
      <c r="N125" s="12">
        <f si="130" t="shared"/>
        <v>3.6788877925475895E-2</v>
      </c>
      <c r="O125" s="12">
        <f si="130" t="shared"/>
        <v>5.1479449273187164E-2</v>
      </c>
      <c r="P125" s="12">
        <f si="130" t="shared"/>
        <v>5.5025302671193391E-2</v>
      </c>
      <c r="Q125" s="12">
        <f si="130" t="shared"/>
        <v>5.5431674803364771E-2</v>
      </c>
      <c r="R125" s="12">
        <f ref="R125:S125" si="139" t="shared">R108/R$115</f>
        <v>5.8590607313506973E-2</v>
      </c>
      <c r="S125" s="12">
        <f si="139" t="shared"/>
        <v>4.937582312680646E-2</v>
      </c>
      <c r="T125" s="12">
        <f ref="T125:W125" si="140" t="shared">T108/T$115</f>
        <v>5.5218844241584485E-2</v>
      </c>
      <c r="U125" s="12" t="e">
        <f si="140" t="shared"/>
        <v>#DIV/0!</v>
      </c>
      <c r="V125" s="12" t="e">
        <f si="140" t="shared"/>
        <v>#DIV/0!</v>
      </c>
      <c r="W125" s="12" t="e">
        <f si="140" t="shared"/>
        <v>#DIV/0!</v>
      </c>
      <c r="X125" s="12">
        <f si="132" t="shared"/>
        <v>4.6075709401712892E-2</v>
      </c>
      <c r="Y125" s="3" t="s">
        <v>211</v>
      </c>
      <c r="Z125" s="12">
        <f si="133" t="shared"/>
        <v>-8.8882034781537084E-3</v>
      </c>
      <c r="AA125" s="12">
        <f si="134" t="shared"/>
        <v>-5.6111375105393838E-3</v>
      </c>
      <c r="AB125" s="12">
        <f si="135" t="shared"/>
        <v>-1.9968006500370658E-3</v>
      </c>
      <c r="AC125" s="12">
        <f ref="AC125:AC132" si="141" t="shared">Q125-E125</f>
        <v>-6.3142586085338029E-3</v>
      </c>
      <c r="AD125" s="12">
        <f ref="AD125:AD132" si="142" t="shared">R125-F125</f>
        <v>1.1245325891437723E-2</v>
      </c>
      <c r="AE125" s="12">
        <f ref="AE125:AF132" si="143" t="shared">S125-G125</f>
        <v>-1.4791154047384285E-2</v>
      </c>
      <c r="AF125" s="12">
        <f ref="AF125:AF131" si="144" t="shared">T125-H125</f>
        <v>4.5455056884745743E-3</v>
      </c>
      <c r="AG125" s="12" t="e">
        <f si="136" t="shared"/>
        <v>#DIV/0!</v>
      </c>
      <c r="AH125" s="12" t="e">
        <f si="136" t="shared"/>
        <v>#DIV/0!</v>
      </c>
      <c r="AI125" s="12" t="e">
        <f si="136" t="shared"/>
        <v>#DIV/0!</v>
      </c>
      <c r="AJ125" s="12">
        <f si="137" t="shared"/>
        <v>-6.1957366876353795E-3</v>
      </c>
    </row>
    <row r="126" spans="1:36" x14ac:dyDescent="0.2">
      <c r="A126" s="3" t="s">
        <v>212</v>
      </c>
      <c r="B126" s="12">
        <f si="126" t="shared"/>
        <v>8.3184432985398946E-2</v>
      </c>
      <c r="C126" s="12">
        <f si="126" t="shared"/>
        <v>9.0202728574728386E-2</v>
      </c>
      <c r="D126" s="12">
        <f si="126" t="shared"/>
        <v>7.9947923607434343E-2</v>
      </c>
      <c r="E126" s="12">
        <f si="126" t="shared"/>
        <v>9.1923608874098658E-2</v>
      </c>
      <c r="F126" s="12">
        <f si="126" t="shared"/>
        <v>8.0284843935117575E-2</v>
      </c>
      <c r="G126" s="12">
        <f si="126" t="shared"/>
        <v>8.8223204152677467E-2</v>
      </c>
      <c r="H126" s="12">
        <f ref="H126:K126" si="145" t="shared">H109/H$115</f>
        <v>7.5741370678920963E-2</v>
      </c>
      <c r="I126" s="12" t="e">
        <f si="145" t="shared"/>
        <v>#DIV/0!</v>
      </c>
      <c r="J126" s="12" t="e">
        <f si="145" t="shared"/>
        <v>#DIV/0!</v>
      </c>
      <c r="K126" s="12" t="e">
        <f si="145" t="shared"/>
        <v>#DIV/0!</v>
      </c>
      <c r="L126" s="12">
        <f si="129" t="shared"/>
        <v>8.4775122423507918E-2</v>
      </c>
      <c r="M126" s="3" t="s">
        <v>212</v>
      </c>
      <c r="N126" s="12">
        <f si="130" t="shared"/>
        <v>7.8832803024423775E-2</v>
      </c>
      <c r="O126" s="12">
        <f si="130" t="shared"/>
        <v>8.0953663198506207E-2</v>
      </c>
      <c r="P126" s="12">
        <f si="130" t="shared"/>
        <v>7.6599833450771898E-2</v>
      </c>
      <c r="Q126" s="12">
        <f si="130" t="shared"/>
        <v>8.8666547583418409E-2</v>
      </c>
      <c r="R126" s="12">
        <f ref="R126:S126" si="146" t="shared">R109/R$115</f>
        <v>8.4034671647742781E-2</v>
      </c>
      <c r="S126" s="12">
        <f si="146" t="shared"/>
        <v>8.4887760122802414E-2</v>
      </c>
      <c r="T126" s="12">
        <f ref="T126:W126" si="147" t="shared">T109/T$115</f>
        <v>8.0622707637134236E-2</v>
      </c>
      <c r="U126" s="12" t="e">
        <f si="147" t="shared"/>
        <v>#DIV/0!</v>
      </c>
      <c r="V126" s="12" t="e">
        <f si="147" t="shared"/>
        <v>#DIV/0!</v>
      </c>
      <c r="W126" s="12" t="e">
        <f si="147" t="shared"/>
        <v>#DIV/0!</v>
      </c>
      <c r="X126" s="12">
        <f si="132" t="shared"/>
        <v>8.1964033062090352E-2</v>
      </c>
      <c r="Y126" s="3" t="s">
        <v>212</v>
      </c>
      <c r="Z126" s="12">
        <f si="133" t="shared"/>
        <v>-4.3516299609751702E-3</v>
      </c>
      <c r="AA126" s="12">
        <f si="134" t="shared"/>
        <v>-9.2490653762221792E-3</v>
      </c>
      <c r="AB126" s="12">
        <f si="135" t="shared"/>
        <v>-3.3480901566624449E-3</v>
      </c>
      <c r="AC126" s="12">
        <f si="141" t="shared"/>
        <v>-3.2570612906802493E-3</v>
      </c>
      <c r="AD126" s="12">
        <f si="142" t="shared"/>
        <v>3.7498277126252061E-3</v>
      </c>
      <c r="AE126" s="12">
        <f si="143" t="shared"/>
        <v>-3.3354440298750537E-3</v>
      </c>
      <c r="AF126" s="12">
        <f si="144" t="shared"/>
        <v>4.8813369582132726E-3</v>
      </c>
      <c r="AG126" s="12" t="e">
        <f si="136" t="shared"/>
        <v>#DIV/0!</v>
      </c>
      <c r="AH126" s="12" t="e">
        <f si="136" t="shared"/>
        <v>#DIV/0!</v>
      </c>
      <c r="AI126" s="12" t="e">
        <f si="136" t="shared"/>
        <v>#DIV/0!</v>
      </c>
      <c r="AJ126" s="12">
        <f si="137" t="shared"/>
        <v>-2.8110893614175653E-3</v>
      </c>
    </row>
    <row r="127" spans="1:36" x14ac:dyDescent="0.2">
      <c r="A127" s="3" t="s">
        <v>213</v>
      </c>
      <c r="B127" s="12">
        <f si="126" t="shared"/>
        <v>0.12257804630343073</v>
      </c>
      <c r="C127" s="12">
        <f si="126" t="shared"/>
        <v>0.15186940828229423</v>
      </c>
      <c r="D127" s="12">
        <f si="126" t="shared"/>
        <v>0.13438327789031668</v>
      </c>
      <c r="E127" s="12">
        <f si="126" t="shared"/>
        <v>0.14230281432408509</v>
      </c>
      <c r="F127" s="12">
        <f si="126" t="shared"/>
        <v>0.14789953434693912</v>
      </c>
      <c r="G127" s="12">
        <f si="126" t="shared"/>
        <v>0.13232089294276728</v>
      </c>
      <c r="H127" s="12">
        <f ref="H127:K127" si="148" t="shared">H110/H$115</f>
        <v>0.16171043811638941</v>
      </c>
      <c r="I127" s="12" t="e">
        <f si="148" t="shared"/>
        <v>#DIV/0!</v>
      </c>
      <c r="J127" s="12" t="e">
        <f si="148" t="shared"/>
        <v>#DIV/0!</v>
      </c>
      <c r="K127" s="12" t="e">
        <f si="148" t="shared"/>
        <v>#DIV/0!</v>
      </c>
      <c r="L127" s="12">
        <f si="129" t="shared"/>
        <v>0.13403305432911816</v>
      </c>
      <c r="M127" s="3" t="s">
        <v>213</v>
      </c>
      <c r="N127" s="12">
        <f si="130" t="shared"/>
        <v>0.12878058515061142</v>
      </c>
      <c r="O127" s="12">
        <f si="130" t="shared"/>
        <v>0.15057142983265426</v>
      </c>
      <c r="P127" s="12">
        <f si="130" t="shared"/>
        <v>0.14904234193837679</v>
      </c>
      <c r="Q127" s="12">
        <f si="130" t="shared"/>
        <v>0.13043637701440947</v>
      </c>
      <c r="R127" s="12">
        <f ref="R127:S127" si="149" t="shared">R110/R$115</f>
        <v>0.14452583000445404</v>
      </c>
      <c r="S127" s="12">
        <f si="149" t="shared"/>
        <v>0.13181077585317921</v>
      </c>
      <c r="T127" s="12">
        <f ref="T127:W127" si="150" t="shared">T110/T$115</f>
        <v>0.14790447469231396</v>
      </c>
      <c r="U127" s="12" t="e">
        <f si="150" t="shared"/>
        <v>#DIV/0!</v>
      </c>
      <c r="V127" s="12" t="e">
        <f si="150" t="shared"/>
        <v>#DIV/0!</v>
      </c>
      <c r="W127" s="12" t="e">
        <f si="150" t="shared"/>
        <v>#DIV/0!</v>
      </c>
      <c r="X127" s="12">
        <f si="132" t="shared"/>
        <v>0.13371671222549589</v>
      </c>
      <c r="Y127" s="3" t="s">
        <v>213</v>
      </c>
      <c r="Z127" s="12">
        <f si="133" t="shared"/>
        <v>6.2025388471806803E-3</v>
      </c>
      <c r="AA127" s="12">
        <f si="134" t="shared"/>
        <v>-1.2979784496399693E-3</v>
      </c>
      <c r="AB127" s="12">
        <f si="135" t="shared"/>
        <v>1.4659064048060111E-2</v>
      </c>
      <c r="AC127" s="12">
        <f si="141" t="shared"/>
        <v>-1.1866437309675626E-2</v>
      </c>
      <c r="AD127" s="12">
        <f si="142" t="shared"/>
        <v>-3.3737043424850732E-3</v>
      </c>
      <c r="AE127" s="12">
        <f si="143" t="shared"/>
        <v>-5.1011708958806357E-4</v>
      </c>
      <c r="AF127" s="12">
        <f si="144" t="shared"/>
        <v>-1.3805963424075446E-2</v>
      </c>
      <c r="AG127" s="12" t="e">
        <f si="136" t="shared"/>
        <v>#DIV/0!</v>
      </c>
      <c r="AH127" s="12" t="e">
        <f si="136" t="shared"/>
        <v>#DIV/0!</v>
      </c>
      <c r="AI127" s="12" t="e">
        <f si="136" t="shared"/>
        <v>#DIV/0!</v>
      </c>
      <c r="AJ127" s="12">
        <f si="137" t="shared"/>
        <v>-3.1634210362227466E-4</v>
      </c>
    </row>
    <row r="128" spans="1:36" x14ac:dyDescent="0.2">
      <c r="A128" s="3" t="s">
        <v>214</v>
      </c>
      <c r="B128" s="12">
        <f si="126" t="shared"/>
        <v>8.7985819758105335E-2</v>
      </c>
      <c r="C128" s="12">
        <f si="126" t="shared"/>
        <v>9.9213056652206311E-2</v>
      </c>
      <c r="D128" s="12">
        <f si="126" t="shared"/>
        <v>8.9589066139691295E-2</v>
      </c>
      <c r="E128" s="12">
        <f si="126" t="shared"/>
        <v>9.6629623198879147E-2</v>
      </c>
      <c r="F128" s="12">
        <f si="126" t="shared"/>
        <v>9.8332750037885372E-2</v>
      </c>
      <c r="G128" s="12">
        <f si="126" t="shared"/>
        <v>0.10396845647625172</v>
      </c>
      <c r="H128" s="12">
        <f ref="H128:K128" si="151" t="shared">H111/H$115</f>
        <v>0.10425259953720523</v>
      </c>
      <c r="I128" s="12" t="e">
        <f si="151" t="shared"/>
        <v>#DIV/0!</v>
      </c>
      <c r="J128" s="12" t="e">
        <f si="151" t="shared"/>
        <v>#DIV/0!</v>
      </c>
      <c r="K128" s="12" t="e">
        <f si="151" t="shared"/>
        <v>#DIV/0!</v>
      </c>
      <c r="L128" s="12">
        <f si="129" t="shared"/>
        <v>9.4222873982618749E-2</v>
      </c>
      <c r="M128" s="3" t="s">
        <v>214</v>
      </c>
      <c r="N128" s="12">
        <f si="130" t="shared"/>
        <v>8.5135311921418197E-2</v>
      </c>
      <c r="O128" s="12">
        <f si="130" t="shared"/>
        <v>9.9312695056436695E-2</v>
      </c>
      <c r="P128" s="12">
        <f si="130" t="shared"/>
        <v>9.598360130677086E-2</v>
      </c>
      <c r="Q128" s="12">
        <f si="130" t="shared"/>
        <v>8.5741121693221831E-2</v>
      </c>
      <c r="R128" s="12">
        <f ref="R128:S128" si="152" t="shared">R111/R$115</f>
        <v>9.3635369371512261E-2</v>
      </c>
      <c r="S128" s="12">
        <f si="152" t="shared"/>
        <v>8.6428682967646511E-2</v>
      </c>
      <c r="T128" s="12">
        <f ref="T128:W128" si="153" t="shared">T111/T$115</f>
        <v>9.633058929008069E-2</v>
      </c>
      <c r="U128" s="12" t="e">
        <f si="153" t="shared"/>
        <v>#DIV/0!</v>
      </c>
      <c r="V128" s="12" t="e">
        <f si="153" t="shared"/>
        <v>#DIV/0!</v>
      </c>
      <c r="W128" s="12" t="e">
        <f si="153" t="shared"/>
        <v>#DIV/0!</v>
      </c>
      <c r="X128" s="12">
        <f si="132" t="shared"/>
        <v>8.7866227543125022E-2</v>
      </c>
      <c r="Y128" s="3" t="s">
        <v>214</v>
      </c>
      <c r="Z128" s="12">
        <f si="133" t="shared"/>
        <v>-2.8505078366871384E-3</v>
      </c>
      <c r="AA128" s="12">
        <f si="134" t="shared"/>
        <v>9.9638404230384392E-5</v>
      </c>
      <c r="AB128" s="12">
        <f si="135" t="shared"/>
        <v>6.3945351670795653E-3</v>
      </c>
      <c r="AC128" s="12">
        <f si="141" t="shared"/>
        <v>-1.0888501505657316E-2</v>
      </c>
      <c r="AD128" s="12">
        <f si="142" t="shared"/>
        <v>-4.6973806663731105E-3</v>
      </c>
      <c r="AE128" s="12">
        <f si="143" t="shared"/>
        <v>-1.7539773508605208E-2</v>
      </c>
      <c r="AF128" s="12">
        <f si="144" t="shared"/>
        <v>-7.9220102471245363E-3</v>
      </c>
      <c r="AG128" s="12" t="e">
        <f si="136" t="shared"/>
        <v>#DIV/0!</v>
      </c>
      <c r="AH128" s="12" t="e">
        <f si="136" t="shared"/>
        <v>#DIV/0!</v>
      </c>
      <c r="AI128" s="12" t="e">
        <f si="136" t="shared"/>
        <v>#DIV/0!</v>
      </c>
      <c r="AJ128" s="12">
        <f si="137" t="shared"/>
        <v>-6.3566464394937267E-3</v>
      </c>
    </row>
    <row r="129" spans="1:36" x14ac:dyDescent="0.2">
      <c r="A129" s="3" t="s">
        <v>129</v>
      </c>
      <c r="B129" s="12">
        <f si="126" t="shared"/>
        <v>5.3659336789574824E-2</v>
      </c>
      <c r="C129" s="12">
        <f si="126" t="shared"/>
        <v>3.3511532678921006E-2</v>
      </c>
      <c r="D129" s="12">
        <f si="126" t="shared"/>
        <v>3.9804718625726994E-2</v>
      </c>
      <c r="E129" s="12">
        <f si="126" t="shared"/>
        <v>4.2415250759279412E-2</v>
      </c>
      <c r="F129" s="12">
        <f si="126" t="shared"/>
        <v>4.7909822292895844E-2</v>
      </c>
      <c r="G129" s="12">
        <f si="126" t="shared"/>
        <v>5.6292931677486467E-2</v>
      </c>
      <c r="H129" s="12">
        <f ref="H129:K129" si="154" t="shared">H112/H$115</f>
        <v>5.6612229795360056E-2</v>
      </c>
      <c r="I129" s="12" t="e">
        <f si="154" t="shared"/>
        <v>#DIV/0!</v>
      </c>
      <c r="J129" s="12" t="e">
        <f si="154" t="shared"/>
        <v>#DIV/0!</v>
      </c>
      <c r="K129" s="12" t="e">
        <f si="154" t="shared"/>
        <v>#DIV/0!</v>
      </c>
      <c r="L129" s="12">
        <f si="129" t="shared"/>
        <v>5.0295674769416709E-2</v>
      </c>
      <c r="M129" s="3" t="s">
        <v>129</v>
      </c>
      <c r="N129" s="12">
        <f si="130" t="shared"/>
        <v>5.3364671448685681E-2</v>
      </c>
      <c r="O129" s="12">
        <f si="130" t="shared"/>
        <v>5.5024124094518775E-2</v>
      </c>
      <c r="P129" s="12">
        <f si="130" t="shared"/>
        <v>5.7722119018640702E-2</v>
      </c>
      <c r="Q129" s="12">
        <f si="130" t="shared"/>
        <v>5.1002724325040487E-2</v>
      </c>
      <c r="R129" s="12">
        <f ref="R129:S129" si="155" t="shared">R112/R$115</f>
        <v>5.428813286600765E-2</v>
      </c>
      <c r="S129" s="12">
        <f si="155" t="shared"/>
        <v>5.1697519497240774E-2</v>
      </c>
      <c r="T129" s="12">
        <f ref="T129:W129" si="156" t="shared">T112/T$115</f>
        <v>5.569810090471921E-2</v>
      </c>
      <c r="U129" s="12" t="e">
        <f si="156" t="shared"/>
        <v>#DIV/0!</v>
      </c>
      <c r="V129" s="12" t="e">
        <f si="156" t="shared"/>
        <v>#DIV/0!</v>
      </c>
      <c r="W129" s="12" t="e">
        <f si="156" t="shared"/>
        <v>#DIV/0!</v>
      </c>
      <c r="X129" s="12">
        <f si="132" t="shared"/>
        <v>5.3168552421717051E-2</v>
      </c>
      <c r="Y129" s="3" t="s">
        <v>129</v>
      </c>
      <c r="Z129" s="12">
        <f si="133" t="shared"/>
        <v>-2.9466534088914281E-4</v>
      </c>
      <c r="AA129" s="12">
        <f si="134" t="shared"/>
        <v>2.1512591415597769E-2</v>
      </c>
      <c r="AB129" s="12">
        <f si="135" t="shared"/>
        <v>1.7917400392913709E-2</v>
      </c>
      <c r="AC129" s="12">
        <f si="141" t="shared"/>
        <v>8.5874735657610751E-3</v>
      </c>
      <c r="AD129" s="12">
        <f si="142" t="shared"/>
        <v>6.3783105731118062E-3</v>
      </c>
      <c r="AE129" s="12">
        <f si="143" t="shared"/>
        <v>-4.5954121802456935E-3</v>
      </c>
      <c r="AF129" s="12">
        <f si="144" t="shared"/>
        <v>-9.1412889064084596E-4</v>
      </c>
      <c r="AG129" s="12" t="e">
        <f si="136" t="shared"/>
        <v>#DIV/0!</v>
      </c>
      <c r="AH129" s="12" t="e">
        <f si="136" t="shared"/>
        <v>#DIV/0!</v>
      </c>
      <c r="AI129" s="12" t="e">
        <f si="136" t="shared"/>
        <v>#DIV/0!</v>
      </c>
      <c r="AJ129" s="12">
        <f si="137" t="shared"/>
        <v>2.8728776523003416E-3</v>
      </c>
    </row>
    <row r="130" spans="1:36" x14ac:dyDescent="0.2">
      <c r="A130" s="3" t="s">
        <v>130</v>
      </c>
      <c r="B130" s="12">
        <f si="126" t="shared"/>
        <v>7.5601859539283209E-2</v>
      </c>
      <c r="C130" s="12">
        <f si="126" t="shared"/>
        <v>6.6117027729328176E-2</v>
      </c>
      <c r="D130" s="12">
        <f si="126" t="shared"/>
        <v>7.6607453223538194E-2</v>
      </c>
      <c r="E130" s="12">
        <f si="126" t="shared"/>
        <v>7.5677327059203853E-2</v>
      </c>
      <c r="F130" s="12">
        <f si="126" t="shared"/>
        <v>9.2056313122645186E-2</v>
      </c>
      <c r="G130" s="12">
        <f si="126" t="shared"/>
        <v>7.924884500034915E-2</v>
      </c>
      <c r="H130" s="12">
        <f ref="H130:K130" si="157" t="shared">H113/H$115</f>
        <v>6.8200600432303762E-2</v>
      </c>
      <c r="I130" s="12" t="e">
        <f si="157" t="shared"/>
        <v>#DIV/0!</v>
      </c>
      <c r="J130" s="12" t="e">
        <f si="157" t="shared"/>
        <v>#DIV/0!</v>
      </c>
      <c r="K130" s="12" t="e">
        <f si="157" t="shared"/>
        <v>#DIV/0!</v>
      </c>
      <c r="L130" s="12">
        <f si="129" t="shared"/>
        <v>7.6898257489102617E-2</v>
      </c>
      <c r="M130" s="3" t="s">
        <v>130</v>
      </c>
      <c r="N130" s="12">
        <f si="130" t="shared"/>
        <v>6.5293850264415351E-2</v>
      </c>
      <c r="O130" s="12">
        <f si="130" t="shared"/>
        <v>8.3686108670989731E-2</v>
      </c>
      <c r="P130" s="12">
        <f si="130" t="shared"/>
        <v>9.0007046313496888E-2</v>
      </c>
      <c r="Q130" s="12">
        <f si="130" t="shared"/>
        <v>7.6226685609578085E-2</v>
      </c>
      <c r="R130" s="12">
        <f ref="R130:S130" si="158" t="shared">R113/R$115</f>
        <v>8.3957716820226527E-2</v>
      </c>
      <c r="S130" s="12">
        <f si="158" t="shared"/>
        <v>7.7007840144723005E-2</v>
      </c>
      <c r="T130" s="12">
        <f ref="T130:W130" si="159" t="shared">T113/T$115</f>
        <v>8.2657103268400034E-2</v>
      </c>
      <c r="U130" s="12" t="e">
        <f si="159" t="shared"/>
        <v>#DIV/0!</v>
      </c>
      <c r="V130" s="12" t="e">
        <f si="159" t="shared"/>
        <v>#DIV/0!</v>
      </c>
      <c r="W130" s="12" t="e">
        <f si="159" t="shared"/>
        <v>#DIV/0!</v>
      </c>
      <c r="X130" s="12">
        <f si="132" t="shared"/>
        <v>7.3164954543607524E-2</v>
      </c>
      <c r="Y130" s="3" t="s">
        <v>130</v>
      </c>
      <c r="Z130" s="12">
        <f si="133" t="shared"/>
        <v>-1.0308009274867858E-2</v>
      </c>
      <c r="AA130" s="12">
        <f si="134" t="shared"/>
        <v>1.7569080941661555E-2</v>
      </c>
      <c r="AB130" s="12">
        <f si="135" t="shared"/>
        <v>1.3399593089958695E-2</v>
      </c>
      <c r="AC130" s="12">
        <f si="141" t="shared"/>
        <v>5.4935855037423209E-4</v>
      </c>
      <c r="AD130" s="12">
        <f si="142" t="shared"/>
        <v>-8.0985963024186591E-3</v>
      </c>
      <c r="AE130" s="12">
        <f si="143" t="shared"/>
        <v>-2.2410048556261442E-3</v>
      </c>
      <c r="AF130" s="12">
        <f si="144" t="shared"/>
        <v>1.4456502836096272E-2</v>
      </c>
      <c r="AG130" s="12" t="e">
        <f si="136" t="shared"/>
        <v>#DIV/0!</v>
      </c>
      <c r="AH130" s="12" t="e">
        <f si="136" t="shared"/>
        <v>#DIV/0!</v>
      </c>
      <c r="AI130" s="12" t="e">
        <f si="136" t="shared"/>
        <v>#DIV/0!</v>
      </c>
      <c r="AJ130" s="12">
        <f si="137" t="shared"/>
        <v>-3.7333029454950928E-3</v>
      </c>
    </row>
    <row r="131" spans="1:36" x14ac:dyDescent="0.2">
      <c r="A131" s="8" t="s">
        <v>145</v>
      </c>
      <c r="B131" s="12">
        <f ref="B131:G132" si="160" t="shared">B114/B$115</f>
        <v>0.35284567189434807</v>
      </c>
      <c r="C131" s="12">
        <f si="160" t="shared"/>
        <v>0.34912895274755468</v>
      </c>
      <c r="D131" s="12">
        <f si="160" t="shared"/>
        <v>0.33929603039835476</v>
      </c>
      <c r="E131" s="12">
        <f si="160" t="shared"/>
        <v>0.33115109894981765</v>
      </c>
      <c r="F131" s="12">
        <f si="160" t="shared"/>
        <v>0.34073612028718564</v>
      </c>
      <c r="G131" s="12">
        <f si="160" t="shared"/>
        <v>0.33287311759021876</v>
      </c>
      <c r="H131" s="12">
        <f ref="H131:K131" si="161" t="shared">H114/H$115</f>
        <v>0.3208049813937946</v>
      </c>
      <c r="I131" s="12" t="e">
        <f si="161" t="shared"/>
        <v>#DIV/0!</v>
      </c>
      <c r="J131" s="12" t="e">
        <f si="161" t="shared"/>
        <v>#DIV/0!</v>
      </c>
      <c r="K131" s="12" t="e">
        <f si="161" t="shared"/>
        <v>#DIV/0!</v>
      </c>
      <c r="L131" s="12">
        <f si="129" t="shared"/>
        <v>0.34257741956741117</v>
      </c>
      <c r="M131" s="8" t="s">
        <v>145</v>
      </c>
      <c r="N131" s="12">
        <f si="130" t="shared"/>
        <v>0.36759698001086488</v>
      </c>
      <c r="O131" s="12">
        <f si="130" t="shared"/>
        <v>0.32668394125462946</v>
      </c>
      <c r="P131" s="12">
        <f si="130" t="shared"/>
        <v>0.30608545256549868</v>
      </c>
      <c r="Q131" s="12">
        <f si="130" t="shared"/>
        <v>0.34708587124577245</v>
      </c>
      <c r="R131" s="12">
        <f ref="R131:S131" si="162" t="shared">R114/R$115</f>
        <v>0.31191423967464432</v>
      </c>
      <c r="S131" s="12">
        <f si="162" t="shared"/>
        <v>0.35374786023859262</v>
      </c>
      <c r="T131" s="12">
        <f ref="T131:W131" si="163" t="shared">T114/T$115</f>
        <v>0.31425544054120141</v>
      </c>
      <c r="U131" s="12" t="e">
        <f si="163" t="shared"/>
        <v>#DIV/0!</v>
      </c>
      <c r="V131" s="12" t="e">
        <f si="163" t="shared"/>
        <v>#DIV/0!</v>
      </c>
      <c r="W131" s="12" t="e">
        <f si="163" t="shared"/>
        <v>#DIV/0!</v>
      </c>
      <c r="X131" s="12">
        <f si="132" t="shared"/>
        <v>0.35006700588545064</v>
      </c>
      <c r="Y131" s="8" t="s">
        <v>145</v>
      </c>
      <c r="Z131" s="12">
        <f si="133" t="shared"/>
        <v>1.4751308116516815E-2</v>
      </c>
      <c r="AA131" s="12">
        <f si="134" t="shared"/>
        <v>-2.2445011492925215E-2</v>
      </c>
      <c r="AB131" s="12">
        <f si="135" t="shared"/>
        <v>-3.3210577832856081E-2</v>
      </c>
      <c r="AC131" s="12">
        <f si="141" t="shared"/>
        <v>1.5934772295954802E-2</v>
      </c>
      <c r="AD131" s="12">
        <f si="142" t="shared"/>
        <v>-2.8821880612541317E-2</v>
      </c>
      <c r="AE131" s="12">
        <f si="143" t="shared"/>
        <v>2.0874742648373856E-2</v>
      </c>
      <c r="AF131" s="12">
        <f si="144" t="shared"/>
        <v>-6.5495408525931831E-3</v>
      </c>
      <c r="AG131" s="12" t="e">
        <f si="136" t="shared"/>
        <v>#DIV/0!</v>
      </c>
      <c r="AH131" s="12" t="e">
        <f si="136" t="shared"/>
        <v>#DIV/0!</v>
      </c>
      <c r="AI131" s="12" t="e">
        <f si="136" t="shared"/>
        <v>#DIV/0!</v>
      </c>
      <c r="AJ131" s="12">
        <f si="137" t="shared"/>
        <v>7.4895863180394762E-3</v>
      </c>
    </row>
    <row ht="13.5" r="132" spans="1:36" thickBot="1" x14ac:dyDescent="0.25">
      <c r="A132" s="10" t="s">
        <v>220</v>
      </c>
      <c r="B132" s="14">
        <f si="160" t="shared"/>
        <v>1</v>
      </c>
      <c r="C132" s="14">
        <f si="160" t="shared"/>
        <v>1</v>
      </c>
      <c r="D132" s="14">
        <f si="160" t="shared"/>
        <v>1</v>
      </c>
      <c r="E132" s="14">
        <f>E115/E$115</f>
        <v>1</v>
      </c>
      <c r="F132" s="14">
        <f ref="F132:G132" si="164" t="shared">F115/F$115</f>
        <v>1</v>
      </c>
      <c r="G132" s="14">
        <f si="164" t="shared"/>
        <v>1</v>
      </c>
      <c r="H132" s="14">
        <f ref="H132:K132" si="165" t="shared">H115/H$115</f>
        <v>1</v>
      </c>
      <c r="I132" s="14" t="e">
        <f si="165" t="shared"/>
        <v>#DIV/0!</v>
      </c>
      <c r="J132" s="14" t="e">
        <f si="165" t="shared"/>
        <v>#DIV/0!</v>
      </c>
      <c r="K132" s="14" t="e">
        <f si="165" t="shared"/>
        <v>#DIV/0!</v>
      </c>
      <c r="L132" s="14">
        <f si="129" t="shared"/>
        <v>1</v>
      </c>
      <c r="M132" s="10" t="s">
        <v>220</v>
      </c>
      <c r="N132" s="14">
        <f si="130" t="shared"/>
        <v>1</v>
      </c>
      <c r="O132" s="14">
        <f si="130" t="shared"/>
        <v>1</v>
      </c>
      <c r="P132" s="14">
        <f si="130" t="shared"/>
        <v>1</v>
      </c>
      <c r="Q132" s="14">
        <f si="130" t="shared"/>
        <v>1</v>
      </c>
      <c r="R132" s="14">
        <f si="130" t="shared"/>
        <v>1</v>
      </c>
      <c r="S132" s="14">
        <f si="130" t="shared"/>
        <v>1</v>
      </c>
      <c r="T132" s="14">
        <f ref="T132:W132" si="166" t="shared">T115/T$115</f>
        <v>1</v>
      </c>
      <c r="U132" s="14" t="e">
        <f si="166" t="shared"/>
        <v>#DIV/0!</v>
      </c>
      <c r="V132" s="14" t="e">
        <f si="166" t="shared"/>
        <v>#DIV/0!</v>
      </c>
      <c r="W132" s="14" t="e">
        <f si="166" t="shared"/>
        <v>#DIV/0!</v>
      </c>
      <c r="X132" s="14">
        <f si="132" t="shared"/>
        <v>1</v>
      </c>
      <c r="Y132" s="10" t="s">
        <v>220</v>
      </c>
      <c r="Z132" s="14">
        <f si="133" t="shared"/>
        <v>0</v>
      </c>
      <c r="AA132" s="14">
        <f si="134" t="shared"/>
        <v>0</v>
      </c>
      <c r="AB132" s="14">
        <f si="135" t="shared"/>
        <v>0</v>
      </c>
      <c r="AC132" s="14">
        <f si="141" t="shared"/>
        <v>0</v>
      </c>
      <c r="AD132" s="14">
        <f si="142" t="shared"/>
        <v>0</v>
      </c>
      <c r="AE132" s="14">
        <f si="143" t="shared"/>
        <v>0</v>
      </c>
      <c r="AF132" s="14">
        <f si="143" t="shared"/>
        <v>0</v>
      </c>
      <c r="AG132" s="14" t="e">
        <f si="136" t="shared"/>
        <v>#DIV/0!</v>
      </c>
      <c r="AH132" s="14" t="e">
        <f si="136" t="shared"/>
        <v>#DIV/0!</v>
      </c>
      <c r="AI132" s="14" t="e">
        <f si="136" t="shared"/>
        <v>#DIV/0!</v>
      </c>
      <c r="AJ132" s="14">
        <f si="137" t="shared"/>
        <v>0</v>
      </c>
    </row>
    <row r="133" spans="1:36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6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6" x14ac:dyDescent="0.2">
      <c r="F135" s="103"/>
      <c r="R135" s="103"/>
      <c r="S135" s="25"/>
      <c r="T135" s="25"/>
      <c r="U135" s="25"/>
      <c r="V135" s="25"/>
      <c r="W135" s="25"/>
    </row>
    <row r="136" spans="1:36" x14ac:dyDescent="0.2">
      <c r="R136" s="25"/>
      <c r="S136" s="25"/>
      <c r="T136" s="25"/>
      <c r="U136" s="25"/>
      <c r="V136" s="25"/>
      <c r="W136" s="25"/>
    </row>
    <row r="137" spans="1:36" x14ac:dyDescent="0.2">
      <c r="R137" s="25"/>
      <c r="S137" s="25"/>
      <c r="T137" s="25"/>
      <c r="U137" s="25"/>
      <c r="V137" s="25"/>
      <c r="W137" s="25"/>
    </row>
    <row r="138" spans="1:36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J124:AJ132 AD124:AI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I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Z351"/>
  <sheetViews>
    <sheetView topLeftCell="A313" workbookViewId="0">
      <selection activeCell="A342" sqref="A342:O351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103469</v>
      </c>
      <c r="C4">
        <f si="0" t="shared"/>
        <v>9688</v>
      </c>
      <c r="D4">
        <f si="0" t="shared"/>
        <v>41305</v>
      </c>
      <c r="E4">
        <f si="0" t="shared"/>
        <v>98291</v>
      </c>
      <c r="F4">
        <f si="0" t="shared"/>
        <v>27317</v>
      </c>
      <c r="G4">
        <f si="0" t="shared"/>
        <v>25611</v>
      </c>
      <c r="H4">
        <f si="0" t="shared"/>
        <v>27893</v>
      </c>
      <c r="I4">
        <f ref="I4:J7" si="1" t="shared">V4*$B$1</f>
        <v>0</v>
      </c>
      <c r="J4">
        <f si="1" t="shared"/>
        <v>333574</v>
      </c>
      <c r="N4">
        <v>0</v>
      </c>
      <c r="O4" s="105" t="n">
        <v>141562.0</v>
      </c>
      <c r="P4" s="105" t="n">
        <v>9642.0</v>
      </c>
      <c r="Q4" s="105" t="n">
        <v>41027.0</v>
      </c>
      <c r="R4" s="105" t="n">
        <v>98871.0</v>
      </c>
      <c r="S4" s="105" t="n">
        <v>27506.0</v>
      </c>
      <c r="T4" s="105" t="n">
        <v>25103.0</v>
      </c>
      <c r="U4" s="105" t="n">
        <v>27156.0</v>
      </c>
      <c r="V4" s="105" t="n">
        <v>0.0</v>
      </c>
      <c r="W4">
        <f>SUM(O4:V4)</f>
        <v>333574</v>
      </c>
    </row>
    <row r="5" spans="1:23" x14ac:dyDescent="0.2">
      <c r="A5">
        <v>1</v>
      </c>
      <c r="B5">
        <f si="0" t="shared"/>
        <v>385370</v>
      </c>
      <c r="C5">
        <f si="0" t="shared"/>
        <v>30319</v>
      </c>
      <c r="D5">
        <f si="0" t="shared"/>
        <v>72985</v>
      </c>
      <c r="E5">
        <f si="0" t="shared"/>
        <v>80138</v>
      </c>
      <c r="F5">
        <f si="0" t="shared"/>
        <v>22389</v>
      </c>
      <c r="G5">
        <f si="0" t="shared"/>
        <v>22379</v>
      </c>
      <c r="H5">
        <f si="0" t="shared"/>
        <v>126952</v>
      </c>
      <c r="I5">
        <f si="1" t="shared"/>
        <v>0</v>
      </c>
      <c r="J5">
        <f si="1" t="shared"/>
        <v>740532</v>
      </c>
      <c r="N5">
        <v>1</v>
      </c>
      <c r="O5" s="105" t="n">
        <v>351428.0</v>
      </c>
      <c r="P5" s="105" t="n">
        <v>26727.0</v>
      </c>
      <c r="Q5" s="105" t="n">
        <v>73596.0</v>
      </c>
      <c r="R5" s="105" t="n">
        <v>81085.0</v>
      </c>
      <c r="S5" s="105" t="n">
        <v>21853.0</v>
      </c>
      <c r="T5" s="105" t="n">
        <v>22745.0</v>
      </c>
      <c r="U5" s="105" t="n">
        <v>127541.0</v>
      </c>
      <c r="V5" s="105" t="n">
        <v>0.0</v>
      </c>
      <c r="W5">
        <f>SUM(O5:V5)</f>
        <v>740532</v>
      </c>
    </row>
    <row r="6" spans="1:23" x14ac:dyDescent="0.2">
      <c r="A6">
        <v>2</v>
      </c>
      <c r="B6">
        <f si="0" t="shared"/>
        <v>157372</v>
      </c>
      <c r="C6">
        <f si="0" t="shared"/>
        <v>30367</v>
      </c>
      <c r="D6">
        <f si="0" t="shared"/>
        <v>36917</v>
      </c>
      <c r="E6">
        <f si="0" t="shared"/>
        <v>41127</v>
      </c>
      <c r="F6">
        <f si="0" t="shared"/>
        <v>8742</v>
      </c>
      <c r="G6">
        <f si="0" t="shared"/>
        <v>6991</v>
      </c>
      <c r="H6">
        <f si="0" t="shared"/>
        <v>48634</v>
      </c>
      <c r="I6">
        <f si="1" t="shared"/>
        <v>0</v>
      </c>
      <c r="J6">
        <f si="1" t="shared"/>
        <v>330150</v>
      </c>
      <c r="N6">
        <v>2</v>
      </c>
      <c r="O6" s="105" t="n">
        <v>151115.0</v>
      </c>
      <c r="P6" s="105" t="n">
        <v>30239.0</v>
      </c>
      <c r="Q6" s="105" t="n">
        <v>36849.0</v>
      </c>
      <c r="R6" s="105" t="n">
        <v>40479.0</v>
      </c>
      <c r="S6" s="105" t="n">
        <v>8856.0</v>
      </c>
      <c r="T6" s="105" t="n">
        <v>7093.0</v>
      </c>
      <c r="U6" s="105" t="n">
        <v>48129.0</v>
      </c>
      <c r="V6" s="105" t="n">
        <v>0.0</v>
      </c>
      <c r="W6">
        <f>SUM(O6:V6)</f>
        <v>330150</v>
      </c>
    </row>
    <row r="7" spans="1:23" x14ac:dyDescent="0.2">
      <c r="A7">
        <v>3</v>
      </c>
      <c r="B7">
        <f si="0" t="shared"/>
        <v>36334</v>
      </c>
      <c r="C7">
        <f si="0" t="shared"/>
        <v>13763</v>
      </c>
      <c r="D7">
        <f si="0" t="shared"/>
        <v>13736</v>
      </c>
      <c r="E7">
        <f si="0" t="shared"/>
        <v>20964</v>
      </c>
      <c r="F7">
        <f si="0" t="shared"/>
        <v>2362</v>
      </c>
      <c r="G7">
        <f si="0" t="shared"/>
        <v>1357</v>
      </c>
      <c r="H7">
        <f si="0" t="shared"/>
        <v>9458</v>
      </c>
      <c r="I7">
        <f si="1" t="shared"/>
        <v>0</v>
      </c>
      <c r="J7">
        <f si="1" t="shared"/>
        <v>97974</v>
      </c>
      <c r="N7">
        <v>3</v>
      </c>
      <c r="O7" s="105" t="n">
        <v>38379.0</v>
      </c>
      <c r="P7" s="105" t="n">
        <v>17462.0</v>
      </c>
      <c r="Q7" s="105" t="n">
        <v>13455.0</v>
      </c>
      <c r="R7" s="105" t="n">
        <v>20440.0</v>
      </c>
      <c r="S7" s="105" t="n">
        <v>2457.0</v>
      </c>
      <c r="T7" s="105" t="n">
        <v>1497.0</v>
      </c>
      <c r="U7" s="105" t="n">
        <v>9429.0</v>
      </c>
      <c r="V7" s="105" t="n">
        <v>0.0</v>
      </c>
      <c r="W7">
        <f>SUM(O7:V7)</f>
        <v>97974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B23" si="2" t="shared">O11*$B$1</f>
        <v>103469</v>
      </c>
      <c r="C11">
        <f ref="C11:C23" si="3" t="shared">P11*$B$1</f>
        <v>9688</v>
      </c>
      <c r="D11">
        <f ref="D11:D23" si="4" t="shared">Q11*$B$1</f>
        <v>41305</v>
      </c>
      <c r="E11">
        <f ref="E11:E23" si="5" t="shared">R11*$B$1</f>
        <v>98291</v>
      </c>
      <c r="F11">
        <f ref="F11:F23" si="6" t="shared">S11*$B$1</f>
        <v>27317</v>
      </c>
      <c r="G11">
        <f ref="G11:G23" si="7" t="shared">T11*$B$1</f>
        <v>25611</v>
      </c>
      <c r="H11">
        <f ref="H11:H23" si="8" t="shared">U11*$B$1</f>
        <v>27893</v>
      </c>
      <c r="I11">
        <f ref="I11:I23" si="9" t="shared">V11*$B$1</f>
        <v>0</v>
      </c>
      <c r="J11">
        <f ref="J11:J23" si="10" t="shared">W11*$B$1</f>
        <v>333574</v>
      </c>
      <c r="N11" t="s">
        <v>225</v>
      </c>
      <c r="O11" s="105" t="n">
        <v>141562.0</v>
      </c>
      <c r="P11" s="105" t="n">
        <v>9642.0</v>
      </c>
      <c r="Q11" s="105" t="n">
        <v>41027.0</v>
      </c>
      <c r="R11" s="105" t="n">
        <v>98871.0</v>
      </c>
      <c r="S11" s="105" t="n">
        <v>27506.0</v>
      </c>
      <c r="T11" s="105" t="n">
        <v>25103.0</v>
      </c>
      <c r="U11" s="105" t="n">
        <v>27156.0</v>
      </c>
      <c r="V11" s="105" t="n">
        <v>0.0</v>
      </c>
      <c r="W11">
        <f>SUM(O11:V11)</f>
        <v>333574</v>
      </c>
    </row>
    <row r="12" spans="1:23" x14ac:dyDescent="0.2">
      <c r="A12" s="95" t="s">
        <v>230</v>
      </c>
      <c r="B12">
        <f si="2" t="shared"/>
        <v>187146</v>
      </c>
      <c r="C12">
        <f si="3" t="shared"/>
        <v>2264</v>
      </c>
      <c r="D12">
        <f si="4" t="shared"/>
        <v>29002</v>
      </c>
      <c r="E12">
        <f si="5" t="shared"/>
        <v>39092</v>
      </c>
      <c r="F12">
        <f si="6" t="shared"/>
        <v>15056</v>
      </c>
      <c r="G12">
        <f si="7" t="shared"/>
        <v>17842</v>
      </c>
      <c r="H12">
        <f si="8" t="shared"/>
        <v>81612</v>
      </c>
      <c r="I12">
        <f si="9" t="shared"/>
        <v>0</v>
      </c>
      <c r="J12">
        <f si="10" t="shared"/>
        <v>372014</v>
      </c>
      <c r="N12" s="95" t="s">
        <v>230</v>
      </c>
      <c r="O12" s="105" t="n">
        <v>166680.0</v>
      </c>
      <c r="P12" s="105" t="n">
        <v>2170.0</v>
      </c>
      <c r="Q12" s="105" t="n">
        <v>29110.0</v>
      </c>
      <c r="R12" s="105" t="n">
        <v>39569.0</v>
      </c>
      <c r="S12" s="105" t="n">
        <v>14791.0</v>
      </c>
      <c r="T12" s="105" t="n">
        <v>18153.0</v>
      </c>
      <c r="U12" s="105" t="n">
        <v>81344.0</v>
      </c>
      <c r="V12" s="105" t="n">
        <v>0.0</v>
      </c>
      <c r="W12">
        <f ref="W12:W23" si="11" t="shared">SUM(O12:V12)</f>
        <v>372014</v>
      </c>
    </row>
    <row r="13" spans="1:23" x14ac:dyDescent="0.2">
      <c r="A13" s="93" t="s">
        <v>231</v>
      </c>
      <c r="B13">
        <f si="2" t="shared"/>
        <v>96183</v>
      </c>
      <c r="C13">
        <f si="3" t="shared"/>
        <v>5836</v>
      </c>
      <c r="D13">
        <f si="4" t="shared"/>
        <v>21377</v>
      </c>
      <c r="E13">
        <f si="5" t="shared"/>
        <v>21198</v>
      </c>
      <c r="F13">
        <f si="6" t="shared"/>
        <v>4407</v>
      </c>
      <c r="G13">
        <f si="7" t="shared"/>
        <v>2938</v>
      </c>
      <c r="H13">
        <f si="8" t="shared"/>
        <v>27592</v>
      </c>
      <c r="I13">
        <f si="9" t="shared"/>
        <v>0</v>
      </c>
      <c r="J13">
        <f si="10" t="shared"/>
        <v>179531</v>
      </c>
      <c r="N13" s="93" t="s">
        <v>231</v>
      </c>
      <c r="O13" s="105" t="n">
        <v>91776.0</v>
      </c>
      <c r="P13" s="105" t="n">
        <v>5363.0</v>
      </c>
      <c r="Q13" s="105" t="n">
        <v>21708.0</v>
      </c>
      <c r="R13" s="105" t="n">
        <v>21257.0</v>
      </c>
      <c r="S13" s="105" t="n">
        <v>4260.0</v>
      </c>
      <c r="T13" s="105" t="n">
        <v>2887.0</v>
      </c>
      <c r="U13" s="105" t="n">
        <v>27967.0</v>
      </c>
      <c r="V13" s="105" t="n">
        <v>0.0</v>
      </c>
      <c r="W13">
        <f si="11" t="shared"/>
        <v>179531</v>
      </c>
    </row>
    <row r="14" spans="1:23" x14ac:dyDescent="0.2">
      <c r="A14" s="93" t="s">
        <v>207</v>
      </c>
      <c r="B14">
        <f si="2" t="shared"/>
        <v>56813</v>
      </c>
      <c r="C14">
        <f si="3" t="shared"/>
        <v>7734</v>
      </c>
      <c r="D14">
        <f si="4" t="shared"/>
        <v>14058</v>
      </c>
      <c r="E14">
        <f si="5" t="shared"/>
        <v>12555</v>
      </c>
      <c r="F14">
        <f si="6" t="shared"/>
        <v>1974</v>
      </c>
      <c r="G14">
        <f si="7" t="shared"/>
        <v>1153</v>
      </c>
      <c r="H14">
        <f si="8" t="shared"/>
        <v>12055</v>
      </c>
      <c r="I14">
        <f si="9" t="shared"/>
        <v>0</v>
      </c>
      <c r="J14">
        <f si="10" t="shared"/>
        <v>106342</v>
      </c>
      <c r="N14" s="93" t="s">
        <v>207</v>
      </c>
      <c r="O14" s="105" t="n">
        <v>53215.0</v>
      </c>
      <c r="P14" s="105" t="n">
        <v>6744.0</v>
      </c>
      <c r="Q14" s="105" t="n">
        <v>14063.0</v>
      </c>
      <c r="R14" s="105" t="n">
        <v>12808.0</v>
      </c>
      <c r="S14" s="105" t="n">
        <v>1887.0</v>
      </c>
      <c r="T14" s="105" t="n">
        <v>1185.0</v>
      </c>
      <c r="U14" s="105" t="n">
        <v>12321.0</v>
      </c>
      <c r="V14" s="105" t="n">
        <v>0.0</v>
      </c>
      <c r="W14">
        <f si="11" t="shared"/>
        <v>106342</v>
      </c>
    </row>
    <row r="15" spans="1:23" x14ac:dyDescent="0.2">
      <c r="A15" t="s">
        <v>9</v>
      </c>
      <c r="B15">
        <f si="2" t="shared"/>
        <v>45166</v>
      </c>
      <c r="C15">
        <f si="3" t="shared"/>
        <v>14480</v>
      </c>
      <c r="D15">
        <f si="4" t="shared"/>
        <v>8547</v>
      </c>
      <c r="E15">
        <f si="5" t="shared"/>
        <v>7293</v>
      </c>
      <c r="F15">
        <f si="6" t="shared"/>
        <v>952</v>
      </c>
      <c r="G15">
        <f si="7" t="shared"/>
        <v>444</v>
      </c>
      <c r="H15">
        <f si="8" t="shared"/>
        <v>5498</v>
      </c>
      <c r="I15">
        <f si="9" t="shared"/>
        <v>0</v>
      </c>
      <c r="J15">
        <f si="10" t="shared"/>
        <v>82380</v>
      </c>
      <c r="N15" t="s">
        <v>9</v>
      </c>
      <c r="O15" s="105" t="n">
        <v>39738.0</v>
      </c>
      <c r="P15" s="105" t="n">
        <v>12450.0</v>
      </c>
      <c r="Q15" s="105" t="n">
        <v>8715.0</v>
      </c>
      <c r="R15" s="105" t="n">
        <v>7451.0</v>
      </c>
      <c r="S15" s="105" t="n">
        <v>915.0</v>
      </c>
      <c r="T15" s="105" t="n">
        <v>517.0</v>
      </c>
      <c r="U15" s="105" t="n">
        <v>5689.0</v>
      </c>
      <c r="V15" s="105" t="n">
        <v>0.0</v>
      </c>
      <c r="W15">
        <f si="11" t="shared"/>
        <v>82380</v>
      </c>
    </row>
    <row r="16" spans="1:23" x14ac:dyDescent="0.2">
      <c r="A16" s="95" t="s">
        <v>232</v>
      </c>
      <c r="B16">
        <f si="2" t="shared"/>
        <v>56049</v>
      </c>
      <c r="C16">
        <f si="3" t="shared"/>
        <v>2126</v>
      </c>
      <c r="D16">
        <f si="4" t="shared"/>
        <v>9722</v>
      </c>
      <c r="E16">
        <f si="5" t="shared"/>
        <v>12660</v>
      </c>
      <c r="F16">
        <f si="6" t="shared"/>
        <v>4225</v>
      </c>
      <c r="G16">
        <f si="7" t="shared"/>
        <v>4088</v>
      </c>
      <c r="H16">
        <f si="8" t="shared"/>
        <v>24188</v>
      </c>
      <c r="I16">
        <f si="9" t="shared"/>
        <v>0</v>
      </c>
      <c r="J16">
        <f si="10" t="shared"/>
        <v>113058</v>
      </c>
      <c r="N16" s="95" t="s">
        <v>232</v>
      </c>
      <c r="O16" s="105" t="n">
        <v>51567.0</v>
      </c>
      <c r="P16" s="105" t="n">
        <v>2471.0</v>
      </c>
      <c r="Q16" s="105" t="n">
        <v>9575.0</v>
      </c>
      <c r="R16" s="105" t="n">
        <v>12410.0</v>
      </c>
      <c r="S16" s="105" t="n">
        <v>4325.0</v>
      </c>
      <c r="T16" s="105" t="n">
        <v>4178.0</v>
      </c>
      <c r="U16" s="105" t="n">
        <v>23478.0</v>
      </c>
      <c r="V16" s="105" t="n">
        <v>0.0</v>
      </c>
      <c r="W16">
        <f si="11" t="shared"/>
        <v>113058</v>
      </c>
    </row>
    <row r="17" spans="1:23" x14ac:dyDescent="0.2">
      <c r="A17" s="93" t="s">
        <v>233</v>
      </c>
      <c r="B17">
        <f si="2" t="shared"/>
        <v>44174</v>
      </c>
      <c r="C17">
        <f si="3" t="shared"/>
        <v>6658</v>
      </c>
      <c r="D17">
        <f si="4" t="shared"/>
        <v>10446</v>
      </c>
      <c r="E17">
        <f si="5" t="shared"/>
        <v>10694</v>
      </c>
      <c r="F17">
        <f si="6" t="shared"/>
        <v>2356</v>
      </c>
      <c r="G17">
        <f si="7" t="shared"/>
        <v>1518</v>
      </c>
      <c r="H17">
        <f si="8" t="shared"/>
        <v>12963</v>
      </c>
      <c r="I17">
        <f si="9" t="shared"/>
        <v>0</v>
      </c>
      <c r="J17">
        <f si="10" t="shared"/>
        <v>88809</v>
      </c>
      <c r="N17" s="93" t="s">
        <v>233</v>
      </c>
      <c r="O17" s="105" t="n">
        <v>44105.0</v>
      </c>
      <c r="P17" s="105" t="n">
        <v>6861.0</v>
      </c>
      <c r="Q17" s="105" t="n">
        <v>10644.0</v>
      </c>
      <c r="R17" s="105" t="n">
        <v>10428.0</v>
      </c>
      <c r="S17" s="105" t="n">
        <v>2323.0</v>
      </c>
      <c r="T17" s="105" t="n">
        <v>1569.0</v>
      </c>
      <c r="U17" s="105" t="n">
        <v>13439.0</v>
      </c>
      <c r="V17" s="105" t="n">
        <v>0.0</v>
      </c>
      <c r="W17">
        <f si="11" t="shared"/>
        <v>88809</v>
      </c>
    </row>
    <row r="18" spans="1:23" x14ac:dyDescent="0.2">
      <c r="A18" s="93" t="s">
        <v>208</v>
      </c>
      <c r="B18">
        <f si="2" t="shared"/>
        <v>31607</v>
      </c>
      <c r="C18">
        <f si="3" t="shared"/>
        <v>9114</v>
      </c>
      <c r="D18">
        <f si="4" t="shared"/>
        <v>9214</v>
      </c>
      <c r="E18">
        <f si="5" t="shared"/>
        <v>9291</v>
      </c>
      <c r="F18">
        <f si="6" t="shared"/>
        <v>1288</v>
      </c>
      <c r="G18">
        <f si="7" t="shared"/>
        <v>920</v>
      </c>
      <c r="H18">
        <f si="8" t="shared"/>
        <v>7302</v>
      </c>
      <c r="I18">
        <f si="9" t="shared"/>
        <v>0</v>
      </c>
      <c r="J18">
        <f si="10" t="shared"/>
        <v>68736</v>
      </c>
      <c r="N18" s="93" t="s">
        <v>208</v>
      </c>
      <c r="O18" s="105" t="n">
        <v>30777.0</v>
      </c>
      <c r="P18" s="105" t="n">
        <v>8832.0</v>
      </c>
      <c r="Q18" s="105" t="n">
        <v>9188.0</v>
      </c>
      <c r="R18" s="105" t="n">
        <v>9187.0</v>
      </c>
      <c r="S18" s="105" t="n">
        <v>1348.0</v>
      </c>
      <c r="T18" s="105" t="n">
        <v>894.0</v>
      </c>
      <c r="U18" s="105" t="n">
        <v>7129.0</v>
      </c>
      <c r="V18" s="105" t="n">
        <v>0.0</v>
      </c>
      <c r="W18">
        <f si="11" t="shared"/>
        <v>68736</v>
      </c>
    </row>
    <row r="19" spans="1:23" x14ac:dyDescent="0.2">
      <c r="A19" t="s">
        <v>10</v>
      </c>
      <c r="B19">
        <f si="2" t="shared"/>
        <v>25522</v>
      </c>
      <c r="C19">
        <f si="3" t="shared"/>
        <v>12462</v>
      </c>
      <c r="D19">
        <f si="4" t="shared"/>
        <v>7534</v>
      </c>
      <c r="E19">
        <f si="5" t="shared"/>
        <v>8480</v>
      </c>
      <c r="F19">
        <f si="6" t="shared"/>
        <v>873</v>
      </c>
      <c r="G19">
        <f si="7" t="shared"/>
        <v>464</v>
      </c>
      <c r="H19">
        <f si="8" t="shared"/>
        <v>4087</v>
      </c>
      <c r="I19">
        <f si="9" t="shared"/>
        <v>0</v>
      </c>
      <c r="J19">
        <f si="10" t="shared"/>
        <v>59422</v>
      </c>
      <c r="N19" t="s">
        <v>10</v>
      </c>
      <c r="O19" s="105" t="n">
        <v>24658.0</v>
      </c>
      <c r="P19" s="105" t="n">
        <v>12075.0</v>
      </c>
      <c r="Q19" s="105" t="n">
        <v>7442.0</v>
      </c>
      <c r="R19" s="105" t="n">
        <v>8452.0</v>
      </c>
      <c r="S19" s="105" t="n">
        <v>860.0</v>
      </c>
      <c r="T19" s="105" t="n">
        <v>450.0</v>
      </c>
      <c r="U19" s="105" t="n">
        <v>4020.0</v>
      </c>
      <c r="V19" s="105" t="n">
        <v>0.0</v>
      </c>
      <c r="W19">
        <f si="11" t="shared"/>
        <v>59422</v>
      </c>
    </row>
    <row r="20" spans="1:23" x14ac:dyDescent="0.2">
      <c r="A20" s="95" t="s">
        <v>226</v>
      </c>
      <c r="B20">
        <f si="2" t="shared"/>
        <v>10507</v>
      </c>
      <c r="C20">
        <f si="3" t="shared"/>
        <v>1417</v>
      </c>
      <c r="D20">
        <f si="4" t="shared"/>
        <v>3115</v>
      </c>
      <c r="E20">
        <f si="5" t="shared"/>
        <v>5141</v>
      </c>
      <c r="F20">
        <f si="6" t="shared"/>
        <v>916</v>
      </c>
      <c r="G20">
        <f si="7" t="shared"/>
        <v>625</v>
      </c>
      <c r="H20">
        <f si="8" t="shared"/>
        <v>3857</v>
      </c>
      <c r="I20">
        <f si="9" t="shared"/>
        <v>0</v>
      </c>
      <c r="J20">
        <f si="10" t="shared"/>
        <v>25578</v>
      </c>
      <c r="N20" s="95" t="s">
        <v>226</v>
      </c>
      <c r="O20" s="105" t="n">
        <v>10699.0</v>
      </c>
      <c r="P20" s="105" t="n">
        <v>2069.0</v>
      </c>
      <c r="Q20" s="105" t="n">
        <v>3092.0</v>
      </c>
      <c r="R20" s="105" t="n">
        <v>4890.0</v>
      </c>
      <c r="S20" s="105" t="n">
        <v>992.0</v>
      </c>
      <c r="T20" s="105" t="n">
        <v>685.0</v>
      </c>
      <c r="U20" s="105" t="n">
        <v>3841.0</v>
      </c>
      <c r="V20" s="105" t="n">
        <v>0.0</v>
      </c>
      <c r="W20">
        <f si="11" t="shared"/>
        <v>25578</v>
      </c>
    </row>
    <row r="21" spans="1:23" x14ac:dyDescent="0.2">
      <c r="A21" s="93" t="s">
        <v>229</v>
      </c>
      <c r="B21">
        <f si="2" t="shared"/>
        <v>10664</v>
      </c>
      <c r="C21">
        <f si="3" t="shared"/>
        <v>3749</v>
      </c>
      <c r="D21">
        <f si="4" t="shared"/>
        <v>4081</v>
      </c>
      <c r="E21">
        <f si="5" t="shared"/>
        <v>5468</v>
      </c>
      <c r="F21">
        <f si="6" t="shared"/>
        <v>672</v>
      </c>
      <c r="G21">
        <f si="7" t="shared"/>
        <v>391</v>
      </c>
      <c r="H21">
        <f si="8" t="shared"/>
        <v>3014</v>
      </c>
      <c r="I21">
        <f si="9" t="shared"/>
        <v>0</v>
      </c>
      <c r="J21">
        <f si="10" t="shared"/>
        <v>28039</v>
      </c>
      <c r="N21" s="93" t="s">
        <v>229</v>
      </c>
      <c r="O21" s="105" t="n">
        <v>11481.0</v>
      </c>
      <c r="P21" s="105" t="n">
        <v>4979.0</v>
      </c>
      <c r="Q21" s="105" t="n">
        <v>3995.0</v>
      </c>
      <c r="R21" s="105" t="n">
        <v>5410.0</v>
      </c>
      <c r="S21" s="105" t="n">
        <v>707.0</v>
      </c>
      <c r="T21" s="105" t="n">
        <v>436.0</v>
      </c>
      <c r="U21" s="105" t="n">
        <v>3000.0</v>
      </c>
      <c r="V21" s="105" t="n">
        <v>0.0</v>
      </c>
      <c r="W21">
        <f si="11" t="shared"/>
        <v>28039</v>
      </c>
    </row>
    <row r="22" spans="1:23" x14ac:dyDescent="0.2">
      <c r="A22" s="93" t="s">
        <v>11</v>
      </c>
      <c r="B22">
        <f si="2" t="shared"/>
        <v>8214</v>
      </c>
      <c r="C22">
        <f si="3" t="shared"/>
        <v>4220</v>
      </c>
      <c r="D22">
        <f si="4" t="shared"/>
        <v>3669</v>
      </c>
      <c r="E22">
        <f si="5" t="shared"/>
        <v>5186</v>
      </c>
      <c r="F22">
        <f si="6" t="shared"/>
        <v>492</v>
      </c>
      <c r="G22">
        <f si="7" t="shared"/>
        <v>229</v>
      </c>
      <c r="H22">
        <f si="8" t="shared"/>
        <v>1684</v>
      </c>
      <c r="I22">
        <f si="9" t="shared"/>
        <v>0</v>
      </c>
      <c r="J22">
        <f si="10" t="shared"/>
        <v>23694</v>
      </c>
      <c r="N22" s="93" t="s">
        <v>11</v>
      </c>
      <c r="O22" s="105" t="n">
        <v>8834.0</v>
      </c>
      <c r="P22" s="105" t="n">
        <v>5100.0</v>
      </c>
      <c r="Q22" s="105" t="n">
        <v>3558.0</v>
      </c>
      <c r="R22" s="105" t="n">
        <v>5075.0</v>
      </c>
      <c r="S22" s="105" t="n">
        <v>464.0</v>
      </c>
      <c r="T22" s="105" t="n">
        <v>245.0</v>
      </c>
      <c r="U22" s="105" t="n">
        <v>1677.0</v>
      </c>
      <c r="V22" s="105" t="n">
        <v>0.0</v>
      </c>
      <c r="W22">
        <f si="11" t="shared"/>
        <v>23694</v>
      </c>
    </row>
    <row r="23" spans="1:23" x14ac:dyDescent="0.2">
      <c r="A23" t="s">
        <v>206</v>
      </c>
      <c r="B23">
        <f si="2" t="shared"/>
        <v>6935</v>
      </c>
      <c r="C23">
        <f si="3" t="shared"/>
        <v>4374</v>
      </c>
      <c r="D23">
        <f si="4" t="shared"/>
        <v>2871</v>
      </c>
      <c r="E23">
        <f si="5" t="shared"/>
        <v>5162</v>
      </c>
      <c r="F23">
        <f si="6" t="shared"/>
        <v>282</v>
      </c>
      <c r="G23">
        <f si="7" t="shared"/>
        <v>112</v>
      </c>
      <c r="H23">
        <f si="8" t="shared"/>
        <v>884</v>
      </c>
      <c r="I23">
        <f si="9" t="shared"/>
        <v>0</v>
      </c>
      <c r="J23">
        <f si="10" t="shared"/>
        <v>20620</v>
      </c>
      <c r="N23" t="s">
        <v>206</v>
      </c>
      <c r="O23" s="105" t="n">
        <v>7362.0</v>
      </c>
      <c r="P23" s="105" t="n">
        <v>5313.0</v>
      </c>
      <c r="Q23" s="105" t="n">
        <v>2810.0</v>
      </c>
      <c r="R23" s="105" t="n">
        <v>5063.0</v>
      </c>
      <c r="S23" s="105" t="n">
        <v>294.0</v>
      </c>
      <c r="T23" s="105" t="n">
        <v>131.0</v>
      </c>
      <c r="U23" s="105" t="n">
        <v>890.0</v>
      </c>
      <c r="V23" s="105" t="n">
        <v>0.0</v>
      </c>
      <c r="W23">
        <f si="11" t="shared"/>
        <v>20620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H32" si="12" t="shared">O29*$B$1</f>
        <v>160494</v>
      </c>
      <c r="C29">
        <f si="12" t="shared"/>
        <v>27408</v>
      </c>
      <c r="D29">
        <f si="12" t="shared"/>
        <v>164943</v>
      </c>
      <c r="E29">
        <f si="12" t="shared"/>
        <v>240520</v>
      </c>
      <c r="F29">
        <f si="12" t="shared"/>
        <v>50487</v>
      </c>
      <c r="G29">
        <f si="12" t="shared"/>
        <v>54576</v>
      </c>
      <c r="H29">
        <f si="12" t="shared"/>
        <v>212937</v>
      </c>
      <c r="I29">
        <f ref="I29:J32" si="13" t="shared">V29*$B$1</f>
        <v>0</v>
      </c>
      <c r="J29">
        <f si="13" t="shared"/>
        <v>911365</v>
      </c>
      <c r="N29" t="s">
        <v>225</v>
      </c>
      <c r="O29" s="105" t="n">
        <v>213008.0</v>
      </c>
      <c r="P29" s="105" t="n">
        <v>37782.0</v>
      </c>
      <c r="Q29" s="105" t="n">
        <v>164927.0</v>
      </c>
      <c r="R29" s="105" t="n">
        <v>240875.0</v>
      </c>
      <c r="S29" s="105" t="n">
        <v>51531.0</v>
      </c>
      <c r="T29" s="105" t="n">
        <v>54877.0</v>
      </c>
      <c r="U29" s="105" t="n">
        <v>212255.0</v>
      </c>
      <c r="V29" s="105" t="n">
        <v>0.0</v>
      </c>
      <c r="W29">
        <f>SUM(O29:V29)</f>
        <v>911365</v>
      </c>
    </row>
    <row r="30" spans="1:23" x14ac:dyDescent="0.2">
      <c r="A30" t="s">
        <v>234</v>
      </c>
      <c r="B30">
        <f si="12" t="shared"/>
        <v>1329</v>
      </c>
      <c r="C30">
        <f si="12" t="shared"/>
        <v>28</v>
      </c>
      <c r="D30">
        <f si="12" t="shared"/>
        <v>0</v>
      </c>
      <c r="E30">
        <f si="12" t="shared"/>
        <v>0</v>
      </c>
      <c r="F30">
        <f si="12" t="shared"/>
        <v>355</v>
      </c>
      <c r="G30">
        <f si="12" t="shared"/>
        <v>104</v>
      </c>
      <c r="H30">
        <f si="12" t="shared"/>
        <v>0</v>
      </c>
      <c r="I30">
        <f si="13" t="shared"/>
        <v>0</v>
      </c>
      <c r="J30">
        <f si="13" t="shared"/>
        <v>1816</v>
      </c>
      <c r="N30" t="s">
        <v>234</v>
      </c>
      <c r="O30" s="105" t="n">
        <v>1192.0</v>
      </c>
      <c r="P30" s="105" t="n">
        <v>77.0</v>
      </c>
      <c r="Q30" s="105" t="n">
        <v>0.0</v>
      </c>
      <c r="R30" s="105" t="n">
        <v>0.0</v>
      </c>
      <c r="S30" s="105" t="n">
        <v>341.0</v>
      </c>
      <c r="T30" s="105" t="n">
        <v>76.0</v>
      </c>
      <c r="U30" s="105" t="n">
        <v>0.0</v>
      </c>
      <c r="V30" s="105" t="n">
        <v>0.0</v>
      </c>
      <c r="W30">
        <f>SUM(O30:V30)</f>
        <v>1816</v>
      </c>
    </row>
    <row r="31" spans="1:23" x14ac:dyDescent="0.2">
      <c r="A31" t="s">
        <v>235</v>
      </c>
      <c r="B31">
        <f si="12" t="shared"/>
        <v>446709</v>
      </c>
      <c r="C31">
        <f si="12" t="shared"/>
        <v>51794</v>
      </c>
      <c r="D31">
        <f si="12" t="shared"/>
        <v>0</v>
      </c>
      <c r="E31">
        <f si="12" t="shared"/>
        <v>0</v>
      </c>
      <c r="F31">
        <f si="12" t="shared"/>
        <v>8902</v>
      </c>
      <c r="G31">
        <f si="12" t="shared"/>
        <v>1435</v>
      </c>
      <c r="H31">
        <f si="12" t="shared"/>
        <v>0</v>
      </c>
      <c r="I31">
        <f si="13" t="shared"/>
        <v>0</v>
      </c>
      <c r="J31">
        <f si="13" t="shared"/>
        <v>508840</v>
      </c>
      <c r="N31" t="s">
        <v>235</v>
      </c>
      <c r="O31" s="105" t="n">
        <v>406731.0</v>
      </c>
      <c r="P31" s="105" t="n">
        <v>42525.0</v>
      </c>
      <c r="Q31" s="105" t="n">
        <v>0.0</v>
      </c>
      <c r="R31" s="105" t="n">
        <v>0.0</v>
      </c>
      <c r="S31" s="105" t="n">
        <v>7825.0</v>
      </c>
      <c r="T31" s="105" t="n">
        <v>1308.0</v>
      </c>
      <c r="U31" s="105" t="n">
        <v>0.0</v>
      </c>
      <c r="V31" s="105" t="n">
        <v>0.0</v>
      </c>
      <c r="W31">
        <f>SUM(O31:V31)</f>
        <v>508840</v>
      </c>
    </row>
    <row r="32" spans="1:23" x14ac:dyDescent="0.2">
      <c r="A32" t="s">
        <v>173</v>
      </c>
      <c r="B32">
        <f si="12" t="shared"/>
        <v>73917</v>
      </c>
      <c r="C32">
        <f si="12" t="shared"/>
        <v>4896</v>
      </c>
      <c r="D32">
        <f si="12" t="shared"/>
        <v>0</v>
      </c>
      <c r="E32">
        <f si="12" t="shared"/>
        <v>0</v>
      </c>
      <c r="F32">
        <f si="12" t="shared"/>
        <v>1066</v>
      </c>
      <c r="G32">
        <f si="12" t="shared"/>
        <v>223</v>
      </c>
      <c r="H32">
        <f si="12" t="shared"/>
        <v>0</v>
      </c>
      <c r="I32">
        <f si="13" t="shared"/>
        <v>0</v>
      </c>
      <c r="J32">
        <f si="13" t="shared"/>
        <v>80102</v>
      </c>
      <c r="N32" t="s">
        <v>173</v>
      </c>
      <c r="O32" s="105" t="n">
        <v>61524.0</v>
      </c>
      <c r="P32" s="105" t="n">
        <v>3685.0</v>
      </c>
      <c r="Q32" s="105" t="n">
        <v>0.0</v>
      </c>
      <c r="R32" s="105" t="n">
        <v>0.0</v>
      </c>
      <c r="S32" s="105" t="n">
        <v>975.0</v>
      </c>
      <c r="T32" s="105" t="n">
        <v>177.0</v>
      </c>
      <c r="U32" s="105" t="n">
        <v>0.0</v>
      </c>
      <c r="V32" s="105" t="n">
        <v>0.0</v>
      </c>
      <c r="W32">
        <f>SUM(O32:V32)</f>
        <v>80102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H39" si="14" t="shared">O36*$B$1</f>
        <v>674512</v>
      </c>
      <c r="C36">
        <f si="14" t="shared"/>
        <v>84137</v>
      </c>
      <c r="D36">
        <f si="14" t="shared"/>
        <v>164943</v>
      </c>
      <c r="E36">
        <f si="14" t="shared"/>
        <v>240520</v>
      </c>
      <c r="F36">
        <f si="14" t="shared"/>
        <v>47753</v>
      </c>
      <c r="G36">
        <f si="14" t="shared"/>
        <v>32916</v>
      </c>
      <c r="H36">
        <f si="14" t="shared"/>
        <v>52152</v>
      </c>
      <c r="I36">
        <f ref="I36:J39" si="15" t="shared">V36*$B$1</f>
        <v>0</v>
      </c>
      <c r="J36">
        <f si="15" t="shared"/>
        <v>1296933</v>
      </c>
      <c r="N36" t="s">
        <v>225</v>
      </c>
      <c r="O36" s="105" t="n">
        <v>672031.0</v>
      </c>
      <c r="P36" s="105" t="n">
        <v>84070.0</v>
      </c>
      <c r="Q36" s="105" t="n">
        <v>164927.0</v>
      </c>
      <c r="R36" s="105" t="n">
        <v>240875.0</v>
      </c>
      <c r="S36" s="105" t="n">
        <v>46555.0</v>
      </c>
      <c r="T36" s="105" t="n">
        <v>32123.0</v>
      </c>
      <c r="U36" s="105" t="n">
        <v>51140.0</v>
      </c>
      <c r="V36" s="105" t="n">
        <v>0.0</v>
      </c>
      <c r="W36">
        <f>SUM(O36:V36)</f>
        <v>1296933</v>
      </c>
    </row>
    <row r="37" spans="1:23" x14ac:dyDescent="0.2">
      <c r="A37" t="s">
        <v>234</v>
      </c>
      <c r="B37">
        <f si="14" t="shared"/>
        <v>2188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577</v>
      </c>
      <c r="G37">
        <f si="14" t="shared"/>
        <v>187</v>
      </c>
      <c r="H37">
        <f si="14" t="shared"/>
        <v>0</v>
      </c>
      <c r="I37">
        <f si="15" t="shared"/>
        <v>0</v>
      </c>
      <c r="J37">
        <f si="15" t="shared"/>
        <v>2952</v>
      </c>
      <c r="N37" t="s">
        <v>234</v>
      </c>
      <c r="O37" s="105" t="n">
        <v>2365.0</v>
      </c>
      <c r="P37" s="105" t="n">
        <v>0.0</v>
      </c>
      <c r="Q37" s="105" t="n">
        <v>0.0</v>
      </c>
      <c r="R37" s="105" t="n">
        <v>0.0</v>
      </c>
      <c r="S37" s="105" t="n">
        <v>545.0</v>
      </c>
      <c r="T37" s="105" t="n">
        <v>228.0</v>
      </c>
      <c r="U37" s="105" t="n">
        <v>0.0</v>
      </c>
      <c r="V37" s="105" t="n">
        <v>0.0</v>
      </c>
      <c r="W37">
        <f>SUM(O37:V37)</f>
        <v>2952</v>
      </c>
    </row>
    <row r="38" spans="1:23" x14ac:dyDescent="0.2">
      <c r="A38" t="s">
        <v>235</v>
      </c>
      <c r="B38">
        <f si="14" t="shared"/>
        <v>5603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11815</v>
      </c>
      <c r="G38">
        <f si="14" t="shared"/>
        <v>22014</v>
      </c>
      <c r="H38">
        <f si="14" t="shared"/>
        <v>151292</v>
      </c>
      <c r="I38">
        <f si="15" t="shared"/>
        <v>0</v>
      </c>
      <c r="J38">
        <f si="15" t="shared"/>
        <v>190724</v>
      </c>
      <c r="N38" t="s">
        <v>235</v>
      </c>
      <c r="O38" s="105" t="n">
        <v>7676.0</v>
      </c>
      <c r="P38" s="105" t="n">
        <v>0.0</v>
      </c>
      <c r="Q38" s="105" t="n">
        <v>0.0</v>
      </c>
      <c r="R38" s="105" t="n">
        <v>0.0</v>
      </c>
      <c r="S38" s="105" t="n">
        <v>12813.0</v>
      </c>
      <c r="T38" s="105" t="n">
        <v>22733.0</v>
      </c>
      <c r="U38" s="105" t="n">
        <v>151449.0</v>
      </c>
      <c r="V38" s="105" t="n">
        <v>0.0</v>
      </c>
      <c r="W38">
        <f>SUM(O38:V38)</f>
        <v>190724</v>
      </c>
    </row>
    <row r="39" spans="1:23" x14ac:dyDescent="0.2">
      <c r="A39" t="s">
        <v>173</v>
      </c>
      <c r="B39">
        <f si="14" t="shared"/>
        <v>241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665</v>
      </c>
      <c r="G39">
        <f si="14" t="shared"/>
        <v>1218</v>
      </c>
      <c r="H39">
        <f si="14" t="shared"/>
        <v>9188</v>
      </c>
      <c r="I39">
        <f si="15" t="shared"/>
        <v>0</v>
      </c>
      <c r="J39">
        <f si="15" t="shared"/>
        <v>11312</v>
      </c>
      <c r="N39" t="s">
        <v>173</v>
      </c>
      <c r="O39" s="105" t="n">
        <v>411.0</v>
      </c>
      <c r="P39" s="105" t="n">
        <v>0.0</v>
      </c>
      <c r="Q39" s="105" t="n">
        <v>0.0</v>
      </c>
      <c r="R39" s="105" t="n">
        <v>0.0</v>
      </c>
      <c r="S39" s="105" t="n">
        <v>759.0</v>
      </c>
      <c r="T39" s="105" t="n">
        <v>1349.0</v>
      </c>
      <c r="U39" s="105" t="n">
        <v>9362.0</v>
      </c>
      <c r="V39" s="105" t="n">
        <v>0.0</v>
      </c>
      <c r="W39">
        <f>SUM(O39:V39)</f>
        <v>11312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H46" si="16" t="shared">O43*$B$1</f>
        <v>588686</v>
      </c>
      <c r="C43">
        <f si="16" t="shared"/>
        <v>51264</v>
      </c>
      <c r="D43">
        <f si="16" t="shared"/>
        <v>152598</v>
      </c>
      <c r="E43">
        <f si="16" t="shared"/>
        <v>194730</v>
      </c>
      <c r="F43">
        <f si="16" t="shared"/>
        <v>55326</v>
      </c>
      <c r="G43">
        <f si="16" t="shared"/>
        <v>53631</v>
      </c>
      <c r="H43">
        <f si="16" t="shared"/>
        <v>197132</v>
      </c>
      <c r="I43">
        <f ref="I43:J46" si="17" t="shared">V43*$B$1</f>
        <v>0</v>
      </c>
      <c r="J43">
        <f si="17" t="shared"/>
        <v>1293367</v>
      </c>
      <c r="N43" t="s">
        <v>225</v>
      </c>
      <c r="O43" s="105" t="n">
        <v>589681.0</v>
      </c>
      <c r="P43" s="105" t="n">
        <v>49316.0</v>
      </c>
      <c r="Q43" s="105" t="n">
        <v>152788.0</v>
      </c>
      <c r="R43" s="105" t="n">
        <v>195567.0</v>
      </c>
      <c r="S43" s="105" t="n">
        <v>55320.0</v>
      </c>
      <c r="T43" s="105" t="n">
        <v>53750.0</v>
      </c>
      <c r="U43" s="105" t="n">
        <v>196353.0</v>
      </c>
      <c r="V43" s="105" t="n">
        <v>0.0</v>
      </c>
      <c r="W43">
        <f>SUM(O43:V43)</f>
        <v>1293367</v>
      </c>
    </row>
    <row r="44" spans="1:23" x14ac:dyDescent="0.2">
      <c r="A44" t="s">
        <v>234</v>
      </c>
      <c r="B44">
        <f si="16" t="shared"/>
        <v>48501</v>
      </c>
      <c r="C44">
        <f si="16" t="shared"/>
        <v>14096</v>
      </c>
      <c r="D44">
        <f si="16" t="shared"/>
        <v>0</v>
      </c>
      <c r="E44">
        <f si="16" t="shared"/>
        <v>0</v>
      </c>
      <c r="F44">
        <f si="16" t="shared"/>
        <v>1350</v>
      </c>
      <c r="G44">
        <f si="16" t="shared"/>
        <v>836</v>
      </c>
      <c r="H44">
        <f si="16" t="shared"/>
        <v>7821</v>
      </c>
      <c r="I44">
        <f si="17" t="shared"/>
        <v>0</v>
      </c>
      <c r="J44">
        <f si="17" t="shared"/>
        <v>72604</v>
      </c>
      <c r="N44" t="s">
        <v>234</v>
      </c>
      <c r="O44" s="105" t="n">
        <v>46150.0</v>
      </c>
      <c r="P44" s="105" t="n">
        <v>11559.0</v>
      </c>
      <c r="Q44" s="105" t="n">
        <v>0.0</v>
      </c>
      <c r="R44" s="105" t="n">
        <v>0.0</v>
      </c>
      <c r="S44" s="105" t="n">
        <v>1245.0</v>
      </c>
      <c r="T44" s="105" t="n">
        <v>869.0</v>
      </c>
      <c r="U44" s="105" t="n">
        <v>7946.0</v>
      </c>
      <c r="V44" s="105" t="n">
        <v>0.0</v>
      </c>
      <c r="W44">
        <f>SUM(O44:V44)</f>
        <v>72604</v>
      </c>
    </row>
    <row r="45" spans="1:23" x14ac:dyDescent="0.2">
      <c r="A45" t="s">
        <v>235</v>
      </c>
      <c r="B45">
        <f si="16" t="shared"/>
        <v>22194</v>
      </c>
      <c r="C45">
        <f si="16" t="shared"/>
        <v>12943</v>
      </c>
      <c r="D45">
        <f si="16" t="shared"/>
        <v>8064</v>
      </c>
      <c r="E45">
        <f si="16" t="shared"/>
        <v>28279</v>
      </c>
      <c r="F45">
        <f si="16" t="shared"/>
        <v>2439</v>
      </c>
      <c r="G45">
        <f si="16" t="shared"/>
        <v>998</v>
      </c>
      <c r="H45">
        <f si="16" t="shared"/>
        <v>3582</v>
      </c>
      <c r="I45">
        <f si="17" t="shared"/>
        <v>0</v>
      </c>
      <c r="J45">
        <f si="17" t="shared"/>
        <v>78499</v>
      </c>
      <c r="N45" t="s">
        <v>235</v>
      </c>
      <c r="O45" s="105" t="n">
        <v>23373.0</v>
      </c>
      <c r="P45" s="105" t="n">
        <v>16711.0</v>
      </c>
      <c r="Q45" s="105" t="n">
        <v>7945.0</v>
      </c>
      <c r="R45" s="105" t="n">
        <v>27976.0</v>
      </c>
      <c r="S45" s="105" t="n">
        <v>2396.0</v>
      </c>
      <c r="T45" s="105" t="n">
        <v>947.0</v>
      </c>
      <c r="U45" s="105" t="n">
        <v>3580.0</v>
      </c>
      <c r="V45" s="105" t="n">
        <v>0.0</v>
      </c>
      <c r="W45">
        <f>SUM(O45:V45)</f>
        <v>78499</v>
      </c>
    </row>
    <row r="46" spans="1:23" x14ac:dyDescent="0.2">
      <c r="A46" t="s">
        <v>173</v>
      </c>
      <c r="B46">
        <f si="16" t="shared"/>
        <v>23156</v>
      </c>
      <c r="C46">
        <f si="16" t="shared"/>
        <v>5831</v>
      </c>
      <c r="D46">
        <f si="16" t="shared"/>
        <v>4281</v>
      </c>
      <c r="E46">
        <f si="16" t="shared"/>
        <v>17498</v>
      </c>
      <c r="F46">
        <f si="16" t="shared"/>
        <v>1695</v>
      </c>
      <c r="G46">
        <f si="16" t="shared"/>
        <v>873</v>
      </c>
      <c r="H46">
        <f si="16" t="shared"/>
        <v>4384</v>
      </c>
      <c r="I46">
        <f si="17" t="shared"/>
        <v>0</v>
      </c>
      <c r="J46">
        <f si="17" t="shared"/>
        <v>57718</v>
      </c>
      <c r="N46" t="s">
        <v>173</v>
      </c>
      <c r="O46" s="105" t="n">
        <v>23280.0</v>
      </c>
      <c r="P46" s="105" t="n">
        <v>6482.0</v>
      </c>
      <c r="Q46" s="105" t="n">
        <v>4194.0</v>
      </c>
      <c r="R46" s="105" t="n">
        <v>17329.0</v>
      </c>
      <c r="S46" s="105" t="n">
        <v>1711.0</v>
      </c>
      <c r="T46" s="105" t="n">
        <v>872.0</v>
      </c>
      <c r="U46" s="105" t="n">
        <v>4367.0</v>
      </c>
      <c r="V46" s="105" t="n">
        <v>0.0</v>
      </c>
      <c r="W46">
        <f>SUM(O46:V46)</f>
        <v>57718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H53" si="18" t="shared">O50*$B$1</f>
        <v>518878</v>
      </c>
      <c r="C50">
        <f si="18" t="shared"/>
        <v>31477</v>
      </c>
      <c r="D50">
        <f si="18" t="shared"/>
        <v>78986</v>
      </c>
      <c r="E50">
        <f si="18" t="shared"/>
        <v>170788</v>
      </c>
      <c r="F50">
        <f si="18" t="shared"/>
        <v>55271</v>
      </c>
      <c r="G50">
        <f si="18" t="shared"/>
        <v>52062</v>
      </c>
      <c r="H50">
        <f si="18" t="shared"/>
        <v>179687</v>
      </c>
      <c r="I50">
        <f ref="I50:J53" si="19" t="shared">V50*$B$1</f>
        <v>0</v>
      </c>
      <c r="J50">
        <f si="19" t="shared"/>
        <v>1087149</v>
      </c>
      <c r="N50" t="s">
        <v>225</v>
      </c>
      <c r="O50" s="105" t="n">
        <v>520484.0</v>
      </c>
      <c r="P50" s="105" t="n">
        <v>29557.0</v>
      </c>
      <c r="Q50" s="105" t="n">
        <v>79102.0</v>
      </c>
      <c r="R50" s="105" t="n">
        <v>171379.0</v>
      </c>
      <c r="S50" s="105" t="n">
        <v>55024.0</v>
      </c>
      <c r="T50" s="105" t="n">
        <v>52005.0</v>
      </c>
      <c r="U50" s="105" t="n">
        <v>178850.0</v>
      </c>
      <c r="V50" s="105" t="n">
        <v>0.0</v>
      </c>
      <c r="W50">
        <f>SUM(O50:V50)</f>
        <v>1087149</v>
      </c>
    </row>
    <row r="51" spans="1:23" x14ac:dyDescent="0.2">
      <c r="A51" t="s">
        <v>234</v>
      </c>
      <c r="B51">
        <f si="18" t="shared"/>
        <v>108225</v>
      </c>
      <c r="C51">
        <f si="18" t="shared"/>
        <v>39281</v>
      </c>
      <c r="D51">
        <f si="18" t="shared"/>
        <v>24713</v>
      </c>
      <c r="E51">
        <f si="18" t="shared"/>
        <v>22540</v>
      </c>
      <c r="F51">
        <f si="18" t="shared"/>
        <v>1914</v>
      </c>
      <c r="G51">
        <f si="18" t="shared"/>
        <v>1508</v>
      </c>
      <c r="H51">
        <f si="18" t="shared"/>
        <v>17453</v>
      </c>
      <c r="I51">
        <f si="19" t="shared"/>
        <v>0</v>
      </c>
      <c r="J51">
        <f si="19" t="shared"/>
        <v>215634</v>
      </c>
      <c r="N51" t="s">
        <v>234</v>
      </c>
      <c r="O51" s="105" t="n">
        <v>104140.0</v>
      </c>
      <c r="P51" s="105" t="n">
        <v>36500.0</v>
      </c>
      <c r="Q51" s="105" t="n">
        <v>24602.0</v>
      </c>
      <c r="R51" s="105" t="n">
        <v>22532.0</v>
      </c>
      <c r="S51" s="105" t="n">
        <v>1954.0</v>
      </c>
      <c r="T51" s="105" t="n">
        <v>1584.0</v>
      </c>
      <c r="U51" s="105" t="n">
        <v>17737.0</v>
      </c>
      <c r="V51" s="105" t="n">
        <v>0.0</v>
      </c>
      <c r="W51">
        <f>SUM(O51:V51)</f>
        <v>215634</v>
      </c>
    </row>
    <row r="52" spans="1:23" x14ac:dyDescent="0.2">
      <c r="A52" t="s">
        <v>235</v>
      </c>
      <c r="B52">
        <f si="18" t="shared"/>
        <v>33315</v>
      </c>
      <c r="C52">
        <f si="18" t="shared"/>
        <v>7971</v>
      </c>
      <c r="D52">
        <f si="18" t="shared"/>
        <v>32913</v>
      </c>
      <c r="E52">
        <f si="18" t="shared"/>
        <v>25148</v>
      </c>
      <c r="F52">
        <f si="18" t="shared"/>
        <v>2117</v>
      </c>
      <c r="G52">
        <f si="18" t="shared"/>
        <v>1646</v>
      </c>
      <c r="H52">
        <f si="18" t="shared"/>
        <v>9458</v>
      </c>
      <c r="I52">
        <f si="19" t="shared"/>
        <v>0</v>
      </c>
      <c r="J52">
        <f si="19" t="shared"/>
        <v>112568</v>
      </c>
      <c r="N52" t="s">
        <v>235</v>
      </c>
      <c r="O52" s="105" t="n">
        <v>33701.0</v>
      </c>
      <c r="P52" s="105" t="n">
        <v>10287.0</v>
      </c>
      <c r="Q52" s="105" t="n">
        <v>32904.0</v>
      </c>
      <c r="R52" s="105" t="n">
        <v>24907.0</v>
      </c>
      <c r="S52" s="105" t="n">
        <v>2166.0</v>
      </c>
      <c r="T52" s="105" t="n">
        <v>1726.0</v>
      </c>
      <c r="U52" s="105" t="n">
        <v>9264.0</v>
      </c>
      <c r="V52" s="105" t="n">
        <v>0.0</v>
      </c>
      <c r="W52">
        <f>SUM(O52:V52)</f>
        <v>112568</v>
      </c>
    </row>
    <row r="53" spans="1:23" x14ac:dyDescent="0.2">
      <c r="A53" t="s">
        <v>173</v>
      </c>
      <c r="B53">
        <f si="18" t="shared"/>
        <v>22110</v>
      </c>
      <c r="C53">
        <f si="18" t="shared"/>
        <v>5405</v>
      </c>
      <c r="D53">
        <f si="18" t="shared"/>
        <v>28330</v>
      </c>
      <c r="E53">
        <f si="18" t="shared"/>
        <v>22038</v>
      </c>
      <c r="F53">
        <f si="18" t="shared"/>
        <v>1508</v>
      </c>
      <c r="G53">
        <f si="18" t="shared"/>
        <v>1122</v>
      </c>
      <c r="H53">
        <f si="18" t="shared"/>
        <v>6318</v>
      </c>
      <c r="I53">
        <f si="19" t="shared"/>
        <v>0</v>
      </c>
      <c r="J53">
        <f si="19" t="shared"/>
        <v>86831</v>
      </c>
      <c r="N53" t="s">
        <v>173</v>
      </c>
      <c r="O53" s="105" t="n">
        <v>24152.0</v>
      </c>
      <c r="P53" s="105" t="n">
        <v>7725.0</v>
      </c>
      <c r="Q53" s="105" t="n">
        <v>28319.0</v>
      </c>
      <c r="R53" s="105" t="n">
        <v>22055.0</v>
      </c>
      <c r="S53" s="105" t="n">
        <v>1528.0</v>
      </c>
      <c r="T53" s="105" t="n">
        <v>1123.0</v>
      </c>
      <c r="U53" s="105" t="n">
        <v>6380.0</v>
      </c>
      <c r="V53" s="105" t="n">
        <v>0.0</v>
      </c>
      <c r="W53">
        <f>SUM(O53:V53)</f>
        <v>86831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H60" si="20" t="shared">O57*$B$1</f>
        <v>569711</v>
      </c>
      <c r="C57">
        <f si="20" t="shared"/>
        <v>35321</v>
      </c>
      <c r="D57">
        <f si="20" t="shared"/>
        <v>103287</v>
      </c>
      <c r="E57">
        <f si="20" t="shared"/>
        <v>173378</v>
      </c>
      <c r="F57">
        <f si="20" t="shared"/>
        <v>53804</v>
      </c>
      <c r="G57">
        <f si="20" t="shared"/>
        <v>54923</v>
      </c>
      <c r="H57">
        <f si="20" t="shared"/>
        <v>197885</v>
      </c>
      <c r="I57">
        <f ref="I57:J60" si="21" t="shared">V57*$B$1</f>
        <v>0</v>
      </c>
      <c r="J57">
        <f si="21" t="shared"/>
        <v>1188309</v>
      </c>
      <c r="N57" t="s">
        <v>225</v>
      </c>
      <c r="O57" s="105" t="n">
        <v>570815.0</v>
      </c>
      <c r="P57" s="105" t="n">
        <v>34223.0</v>
      </c>
      <c r="Q57" s="105" t="n">
        <v>103054.0</v>
      </c>
      <c r="R57" s="105" t="n">
        <v>173728.0</v>
      </c>
      <c r="S57" s="105" t="n">
        <v>53923.0</v>
      </c>
      <c r="T57" s="105" t="n">
        <v>54916.0</v>
      </c>
      <c r="U57" s="105" t="n">
        <v>197286.0</v>
      </c>
      <c r="V57" s="105" t="n">
        <v>0.0</v>
      </c>
      <c r="W57">
        <f>SUM(O57:V57)</f>
        <v>1188309</v>
      </c>
    </row>
    <row r="58" spans="1:23" x14ac:dyDescent="0.2">
      <c r="A58" t="s">
        <v>234</v>
      </c>
      <c r="B58">
        <f si="20" t="shared"/>
        <v>73767</v>
      </c>
      <c r="C58">
        <f si="20" t="shared"/>
        <v>37138</v>
      </c>
      <c r="D58">
        <f si="20" t="shared"/>
        <v>21734</v>
      </c>
      <c r="E58">
        <f si="20" t="shared"/>
        <v>22632</v>
      </c>
      <c r="F58">
        <f si="20" t="shared"/>
        <v>2333</v>
      </c>
      <c r="G58">
        <f si="20" t="shared"/>
        <v>442</v>
      </c>
      <c r="H58">
        <f si="20" t="shared"/>
        <v>7497</v>
      </c>
      <c r="I58">
        <f si="21" t="shared"/>
        <v>0</v>
      </c>
      <c r="J58">
        <f si="21" t="shared"/>
        <v>165543</v>
      </c>
      <c r="N58" t="s">
        <v>234</v>
      </c>
      <c r="O58" s="105" t="n">
        <v>71687.0</v>
      </c>
      <c r="P58" s="105" t="n">
        <v>35119.0</v>
      </c>
      <c r="Q58" s="105" t="n">
        <v>22022.0</v>
      </c>
      <c r="R58" s="105" t="n">
        <v>22620.0</v>
      </c>
      <c r="S58" s="105" t="n">
        <v>2240.0</v>
      </c>
      <c r="T58" s="105" t="n">
        <v>452.0</v>
      </c>
      <c r="U58" s="105" t="n">
        <v>7530.0</v>
      </c>
      <c r="V58" s="105" t="n">
        <v>0.0</v>
      </c>
      <c r="W58">
        <f>SUM(O58:V58)</f>
        <v>165543</v>
      </c>
    </row>
    <row r="59" spans="1:23" x14ac:dyDescent="0.2">
      <c r="A59" t="s">
        <v>235</v>
      </c>
      <c r="B59">
        <f si="20" t="shared"/>
        <v>23710</v>
      </c>
      <c r="C59">
        <f si="20" t="shared"/>
        <v>7157</v>
      </c>
      <c r="D59">
        <f si="20" t="shared"/>
        <v>21468</v>
      </c>
      <c r="E59">
        <f si="20" t="shared"/>
        <v>25182</v>
      </c>
      <c r="F59">
        <f si="20" t="shared"/>
        <v>3036</v>
      </c>
      <c r="G59">
        <f si="20" t="shared"/>
        <v>591</v>
      </c>
      <c r="H59">
        <f si="20" t="shared"/>
        <v>4525</v>
      </c>
      <c r="I59">
        <f si="21" t="shared"/>
        <v>0</v>
      </c>
      <c r="J59">
        <f si="21" t="shared"/>
        <v>85669</v>
      </c>
      <c r="N59" t="s">
        <v>235</v>
      </c>
      <c r="O59" s="105" t="n">
        <v>23724.0</v>
      </c>
      <c r="P59" s="105" t="n">
        <v>8871.0</v>
      </c>
      <c r="Q59" s="105" t="n">
        <v>21468.0</v>
      </c>
      <c r="R59" s="105" t="n">
        <v>25068.0</v>
      </c>
      <c r="S59" s="105" t="n">
        <v>2849.0</v>
      </c>
      <c r="T59" s="105" t="n">
        <v>662.0</v>
      </c>
      <c r="U59" s="105" t="n">
        <v>4365.0</v>
      </c>
      <c r="V59" s="105" t="n">
        <v>0.0</v>
      </c>
      <c r="W59">
        <f>SUM(O59:V59)</f>
        <v>85669</v>
      </c>
    </row>
    <row r="60" spans="1:23" x14ac:dyDescent="0.2">
      <c r="A60" t="s">
        <v>173</v>
      </c>
      <c r="B60">
        <f si="20" t="shared"/>
        <v>15349</v>
      </c>
      <c r="C60">
        <f si="20" t="shared"/>
        <v>4519</v>
      </c>
      <c r="D60">
        <f si="20" t="shared"/>
        <v>18453</v>
      </c>
      <c r="E60">
        <f si="20" t="shared"/>
        <v>19326</v>
      </c>
      <c r="F60">
        <f si="20" t="shared"/>
        <v>1637</v>
      </c>
      <c r="G60">
        <f si="20" t="shared"/>
        <v>382</v>
      </c>
      <c r="H60">
        <f si="20" t="shared"/>
        <v>3023</v>
      </c>
      <c r="I60">
        <f si="21" t="shared"/>
        <v>0</v>
      </c>
      <c r="J60">
        <f si="21" t="shared"/>
        <v>62689</v>
      </c>
      <c r="N60" t="s">
        <v>173</v>
      </c>
      <c r="O60" s="105" t="n">
        <v>16256.0</v>
      </c>
      <c r="P60" s="105" t="n">
        <v>5857.0</v>
      </c>
      <c r="Q60" s="105" t="n">
        <v>18383.0</v>
      </c>
      <c r="R60" s="105" t="n">
        <v>19459.0</v>
      </c>
      <c r="S60" s="105" t="n">
        <v>1660.0</v>
      </c>
      <c r="T60" s="105" t="n">
        <v>408.0</v>
      </c>
      <c r="U60" s="105" t="n">
        <v>3065.0</v>
      </c>
      <c r="V60" s="105" t="n">
        <v>0.0</v>
      </c>
      <c r="W60">
        <f>SUM(O60:V60)</f>
        <v>62689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H67" si="22" t="shared">O64*$B$1</f>
        <v>580246</v>
      </c>
      <c r="C64">
        <f si="22" t="shared"/>
        <v>60622</v>
      </c>
      <c r="D64">
        <f si="22" t="shared"/>
        <v>131176</v>
      </c>
      <c r="E64">
        <f si="22" t="shared"/>
        <v>218908</v>
      </c>
      <c r="F64">
        <f si="22" t="shared"/>
        <v>54478</v>
      </c>
      <c r="G64">
        <f si="22" t="shared"/>
        <v>54866</v>
      </c>
      <c r="H64">
        <f si="22" t="shared"/>
        <v>198936</v>
      </c>
      <c r="I64">
        <f ref="I64:J67" si="23" t="shared">V64*$B$1</f>
        <v>0</v>
      </c>
      <c r="J64">
        <f si="23" t="shared"/>
        <v>1299232</v>
      </c>
      <c r="N64" t="s">
        <v>225</v>
      </c>
      <c r="O64" s="105" t="n">
        <v>581820.0</v>
      </c>
      <c r="P64" s="105" t="n">
        <v>59151.0</v>
      </c>
      <c r="Q64" s="105" t="n">
        <v>131084.0</v>
      </c>
      <c r="R64" s="105" t="n">
        <v>219488.0</v>
      </c>
      <c r="S64" s="105" t="n">
        <v>54405.0</v>
      </c>
      <c r="T64" s="105" t="n">
        <v>54929.0</v>
      </c>
      <c r="U64" s="105" t="n">
        <v>198107.0</v>
      </c>
      <c r="V64" s="105" t="n">
        <v>0.0</v>
      </c>
      <c r="W64">
        <f>SUM(O64:V64)</f>
        <v>1299232</v>
      </c>
    </row>
    <row r="65" spans="1:23" x14ac:dyDescent="0.2">
      <c r="A65" t="s">
        <v>234</v>
      </c>
      <c r="B65">
        <f si="22" t="shared"/>
        <v>65018</v>
      </c>
      <c r="C65">
        <f si="22" t="shared"/>
        <v>16295</v>
      </c>
      <c r="D65">
        <f si="22" t="shared"/>
        <v>12967</v>
      </c>
      <c r="E65">
        <f si="22" t="shared"/>
        <v>8802</v>
      </c>
      <c r="F65">
        <f si="22" t="shared"/>
        <v>2505</v>
      </c>
      <c r="G65">
        <f si="22" t="shared"/>
        <v>700</v>
      </c>
      <c r="H65">
        <f si="22" t="shared"/>
        <v>8031</v>
      </c>
      <c r="I65">
        <f si="23" t="shared"/>
        <v>0</v>
      </c>
      <c r="J65">
        <f si="23" t="shared"/>
        <v>114318</v>
      </c>
      <c r="N65" t="s">
        <v>234</v>
      </c>
      <c r="O65" s="105" t="n">
        <v>61291.0</v>
      </c>
      <c r="P65" s="105" t="n">
        <v>15875.0</v>
      </c>
      <c r="Q65" s="105" t="n">
        <v>12959.0</v>
      </c>
      <c r="R65" s="105" t="n">
        <v>8742.0</v>
      </c>
      <c r="S65" s="105" t="n">
        <v>2317.0</v>
      </c>
      <c r="T65" s="105" t="n">
        <v>659.0</v>
      </c>
      <c r="U65" s="105" t="n">
        <v>8156.0</v>
      </c>
      <c r="V65" s="105" t="n">
        <v>0.0</v>
      </c>
      <c r="W65">
        <f>SUM(O65:V65)</f>
        <v>114318</v>
      </c>
    </row>
    <row r="66" spans="1:23" x14ac:dyDescent="0.2">
      <c r="A66" t="s">
        <v>235</v>
      </c>
      <c r="B66">
        <f si="22" t="shared"/>
        <v>32997</v>
      </c>
      <c r="C66">
        <f si="22" t="shared"/>
        <v>6684</v>
      </c>
      <c r="D66">
        <f si="22" t="shared"/>
        <v>18897</v>
      </c>
      <c r="E66">
        <f si="22" t="shared"/>
        <v>11717</v>
      </c>
      <c r="F66">
        <f si="22" t="shared"/>
        <v>3528</v>
      </c>
      <c r="G66">
        <f si="22" t="shared"/>
        <v>673</v>
      </c>
      <c r="H66">
        <f si="22" t="shared"/>
        <v>5265</v>
      </c>
      <c r="I66">
        <f si="23" t="shared"/>
        <v>0</v>
      </c>
      <c r="J66">
        <f si="23" t="shared"/>
        <v>79761</v>
      </c>
      <c r="N66" t="s">
        <v>235</v>
      </c>
      <c r="O66" s="105" t="n">
        <v>35083.0</v>
      </c>
      <c r="P66" s="105" t="n">
        <v>8322.0</v>
      </c>
      <c r="Q66" s="105" t="n">
        <v>18896.0</v>
      </c>
      <c r="R66" s="105" t="n">
        <v>11553.0</v>
      </c>
      <c r="S66" s="105" t="n">
        <v>3617.0</v>
      </c>
      <c r="T66" s="105" t="n">
        <v>748.0</v>
      </c>
      <c r="U66" s="105" t="n">
        <v>5281.0</v>
      </c>
      <c r="V66" s="105" t="n">
        <v>0.0</v>
      </c>
      <c r="W66">
        <f>SUM(O66:V66)</f>
        <v>79761</v>
      </c>
    </row>
    <row r="67" spans="1:23" x14ac:dyDescent="0.2">
      <c r="A67" t="s">
        <v>173</v>
      </c>
      <c r="B67">
        <f si="22" t="shared"/>
        <v>4272</v>
      </c>
      <c r="C67">
        <f si="22" t="shared"/>
        <v>534</v>
      </c>
      <c r="D67">
        <f si="22" t="shared"/>
        <v>1901</v>
      </c>
      <c r="E67">
        <f si="22" t="shared"/>
        <v>1093</v>
      </c>
      <c r="F67">
        <f si="22" t="shared"/>
        <v>299</v>
      </c>
      <c r="G67">
        <f si="22" t="shared"/>
        <v>99</v>
      </c>
      <c r="H67">
        <f si="22" t="shared"/>
        <v>702</v>
      </c>
      <c r="I67">
        <f si="23" t="shared"/>
        <v>0</v>
      </c>
      <c r="J67">
        <f si="23" t="shared"/>
        <v>8900</v>
      </c>
      <c r="N67" t="s">
        <v>173</v>
      </c>
      <c r="O67" s="105" t="n">
        <v>4286.0</v>
      </c>
      <c r="P67" s="105" t="n">
        <v>722.0</v>
      </c>
      <c r="Q67" s="105" t="n">
        <v>1988.0</v>
      </c>
      <c r="R67" s="105" t="n">
        <v>1092.0</v>
      </c>
      <c r="S67" s="105" t="n">
        <v>333.0</v>
      </c>
      <c r="T67" s="105" t="n">
        <v>102.0</v>
      </c>
      <c r="U67" s="105" t="n">
        <v>702.0</v>
      </c>
      <c r="V67" s="105" t="n">
        <v>0.0</v>
      </c>
      <c r="W67">
        <f>SUM(O67:V67)</f>
        <v>8900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H74" si="24" t="shared">O71*$B$1</f>
        <v>584541</v>
      </c>
      <c r="C71">
        <f si="24" t="shared"/>
        <v>57220</v>
      </c>
      <c r="D71">
        <f si="24" t="shared"/>
        <v>127844</v>
      </c>
      <c r="E71">
        <f si="24" t="shared"/>
        <v>197039</v>
      </c>
      <c r="F71">
        <f si="24" t="shared"/>
        <v>56062</v>
      </c>
      <c r="G71">
        <f si="24" t="shared"/>
        <v>48383</v>
      </c>
      <c r="H71">
        <f si="24" t="shared"/>
        <v>143690</v>
      </c>
      <c r="I71">
        <f ref="I71:J74" si="25" t="shared">V71*$B$1</f>
        <v>0</v>
      </c>
      <c r="J71">
        <f si="25" t="shared"/>
        <v>1214779</v>
      </c>
      <c r="N71" t="s">
        <v>225</v>
      </c>
      <c r="O71" s="105" t="n">
        <v>588552.0</v>
      </c>
      <c r="P71" s="105" t="n">
        <v>56610.0</v>
      </c>
      <c r="Q71" s="105" t="n">
        <v>127748.0</v>
      </c>
      <c r="R71" s="105" t="n">
        <v>197688.0</v>
      </c>
      <c r="S71" s="105" t="n">
        <v>56061.0</v>
      </c>
      <c r="T71" s="105" t="n">
        <v>48494.0</v>
      </c>
      <c r="U71" s="105" t="n">
        <v>143134.0</v>
      </c>
      <c r="V71" s="105" t="n">
        <v>0.0</v>
      </c>
      <c r="W71">
        <f>SUM(O71:V71)</f>
        <v>1214779</v>
      </c>
    </row>
    <row r="72" spans="1:23" x14ac:dyDescent="0.2">
      <c r="A72" t="s">
        <v>234</v>
      </c>
      <c r="B72">
        <f si="24" t="shared"/>
        <v>36682</v>
      </c>
      <c r="C72">
        <f si="24" t="shared"/>
        <v>11333</v>
      </c>
      <c r="D72">
        <f si="24" t="shared"/>
        <v>5920</v>
      </c>
      <c r="E72">
        <f si="24" t="shared"/>
        <v>6978</v>
      </c>
      <c r="F72">
        <f si="24" t="shared"/>
        <v>894</v>
      </c>
      <c r="G72">
        <f si="24" t="shared"/>
        <v>1579</v>
      </c>
      <c r="H72">
        <f si="24" t="shared"/>
        <v>25338</v>
      </c>
      <c r="I72">
        <f si="25" t="shared"/>
        <v>0</v>
      </c>
      <c r="J72">
        <f si="25" t="shared"/>
        <v>88724</v>
      </c>
      <c r="N72" t="s">
        <v>234</v>
      </c>
      <c r="O72" s="105" t="n">
        <v>34546.0</v>
      </c>
      <c r="P72" s="105" t="n">
        <v>10386.0</v>
      </c>
      <c r="Q72" s="105" t="n">
        <v>5949.0</v>
      </c>
      <c r="R72" s="105" t="n">
        <v>6959.0</v>
      </c>
      <c r="S72" s="105" t="n">
        <v>843.0</v>
      </c>
      <c r="T72" s="105" t="n">
        <v>1567.0</v>
      </c>
      <c r="U72" s="105" t="n">
        <v>25829.0</v>
      </c>
      <c r="V72" s="105" t="n">
        <v>0.0</v>
      </c>
      <c r="W72">
        <f>SUM(O72:V72)</f>
        <v>88724</v>
      </c>
    </row>
    <row r="73" spans="1:23" x14ac:dyDescent="0.2">
      <c r="A73" t="s">
        <v>235</v>
      </c>
      <c r="B73">
        <f si="24" t="shared"/>
        <v>51388</v>
      </c>
      <c r="C73">
        <f si="24" t="shared"/>
        <v>14305</v>
      </c>
      <c r="D73">
        <f si="24" t="shared"/>
        <v>25762</v>
      </c>
      <c r="E73">
        <f si="24" t="shared"/>
        <v>30485</v>
      </c>
      <c r="F73">
        <f si="24" t="shared"/>
        <v>3249</v>
      </c>
      <c r="G73">
        <f si="24" t="shared"/>
        <v>5226</v>
      </c>
      <c r="H73">
        <f si="24" t="shared"/>
        <v>33795</v>
      </c>
      <c r="I73">
        <f si="25" t="shared"/>
        <v>0</v>
      </c>
      <c r="J73">
        <f si="25" t="shared"/>
        <v>164210</v>
      </c>
      <c r="N73" t="s">
        <v>235</v>
      </c>
      <c r="O73" s="105" t="n">
        <v>49354.0</v>
      </c>
      <c r="P73" s="105" t="n">
        <v>15589.0</v>
      </c>
      <c r="Q73" s="105" t="n">
        <v>25677.0</v>
      </c>
      <c r="R73" s="105" t="n">
        <v>30062.0</v>
      </c>
      <c r="S73" s="105" t="n">
        <v>3169.0</v>
      </c>
      <c r="T73" s="105" t="n">
        <v>5173.0</v>
      </c>
      <c r="U73" s="105" t="n">
        <v>33152.0</v>
      </c>
      <c r="V73" s="105" t="n">
        <v>0.0</v>
      </c>
      <c r="W73">
        <f>SUM(O73:V73)</f>
        <v>164210</v>
      </c>
    </row>
    <row r="74" spans="1:23" x14ac:dyDescent="0.2">
      <c r="A74" t="s">
        <v>173</v>
      </c>
      <c r="B74">
        <f si="24" t="shared"/>
        <v>9922</v>
      </c>
      <c r="C74">
        <f si="24" t="shared"/>
        <v>1270</v>
      </c>
      <c r="D74">
        <f si="24" t="shared"/>
        <v>5416</v>
      </c>
      <c r="E74">
        <f si="24" t="shared"/>
        <v>6017</v>
      </c>
      <c r="F74">
        <f si="24" t="shared"/>
        <v>605</v>
      </c>
      <c r="G74">
        <f si="24" t="shared"/>
        <v>1149</v>
      </c>
      <c r="H74">
        <f si="24" t="shared"/>
        <v>10059</v>
      </c>
      <c r="I74">
        <f si="25" t="shared"/>
        <v>0</v>
      </c>
      <c r="J74">
        <f si="25" t="shared"/>
        <v>34438</v>
      </c>
      <c r="N74" t="s">
        <v>173</v>
      </c>
      <c r="O74" s="105" t="n">
        <v>10030.0</v>
      </c>
      <c r="P74" s="105" t="n">
        <v>1483.0</v>
      </c>
      <c r="Q74" s="105" t="n">
        <v>5553.0</v>
      </c>
      <c r="R74" s="105" t="n">
        <v>6165.0</v>
      </c>
      <c r="S74" s="105" t="n">
        <v>599.0</v>
      </c>
      <c r="T74" s="105" t="n">
        <v>1204.0</v>
      </c>
      <c r="U74" s="105" t="n">
        <v>10097.0</v>
      </c>
      <c r="V74" s="105" t="n">
        <v>0.0</v>
      </c>
      <c r="W74">
        <f>SUM(O74:V74)</f>
        <v>34438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161823</v>
      </c>
      <c r="C80">
        <f si="26" t="shared"/>
        <v>27436</v>
      </c>
      <c r="D80">
        <f si="26" t="shared"/>
        <v>164943</v>
      </c>
      <c r="E80">
        <f si="26" t="shared"/>
        <v>240520</v>
      </c>
      <c r="F80">
        <f si="26" t="shared"/>
        <v>50842</v>
      </c>
      <c r="G80">
        <f si="26" t="shared"/>
        <v>54680</v>
      </c>
      <c r="H80">
        <f si="26" t="shared"/>
        <v>212937</v>
      </c>
      <c r="I80">
        <f ref="I80:J83" si="27" t="shared">V80*$B$1</f>
        <v>0</v>
      </c>
      <c r="J80">
        <f si="27" t="shared"/>
        <v>913181</v>
      </c>
      <c r="N80">
        <v>0</v>
      </c>
      <c r="O80" s="105" t="n">
        <v>214200.0</v>
      </c>
      <c r="P80" s="105" t="n">
        <v>37859.0</v>
      </c>
      <c r="Q80" s="105" t="n">
        <v>164927.0</v>
      </c>
      <c r="R80" s="105" t="n">
        <v>240875.0</v>
      </c>
      <c r="S80" s="105" t="n">
        <v>51872.0</v>
      </c>
      <c r="T80" s="105" t="n">
        <v>54953.0</v>
      </c>
      <c r="U80" s="105" t="n">
        <v>212255.0</v>
      </c>
      <c r="V80" s="105" t="n">
        <v>0.0</v>
      </c>
      <c r="W80">
        <f>SUM(O80:V80)</f>
        <v>913181</v>
      </c>
    </row>
    <row r="81" spans="1:23" x14ac:dyDescent="0.2">
      <c r="A81">
        <v>1</v>
      </c>
      <c r="B81">
        <f si="26" t="shared"/>
        <v>497767</v>
      </c>
      <c r="C81">
        <f si="26" t="shared"/>
        <v>53554</v>
      </c>
      <c r="D81">
        <f si="26" t="shared"/>
        <v>0</v>
      </c>
      <c r="E81">
        <f si="26" t="shared"/>
        <v>0</v>
      </c>
      <c r="F81">
        <f si="26" t="shared"/>
        <v>9529</v>
      </c>
      <c r="G81">
        <f si="26" t="shared"/>
        <v>1560</v>
      </c>
      <c r="H81">
        <f si="26" t="shared"/>
        <v>0</v>
      </c>
      <c r="I81">
        <f si="27" t="shared"/>
        <v>0</v>
      </c>
      <c r="J81">
        <f si="27" t="shared"/>
        <v>562410</v>
      </c>
      <c r="N81">
        <v>1</v>
      </c>
      <c r="O81" s="105" t="n">
        <v>442379.0</v>
      </c>
      <c r="P81" s="105" t="n">
        <v>43018.0</v>
      </c>
      <c r="Q81" s="105" t="n">
        <v>0.0</v>
      </c>
      <c r="R81" s="105" t="n">
        <v>0.0</v>
      </c>
      <c r="S81" s="105" t="n">
        <v>8430.0</v>
      </c>
      <c r="T81" s="105" t="n">
        <v>1381.0</v>
      </c>
      <c r="U81" s="105" t="n">
        <v>0.0</v>
      </c>
      <c r="V81" s="105" t="n">
        <v>0.0</v>
      </c>
      <c r="W81">
        <f>SUM(O81:V81)</f>
        <v>562410</v>
      </c>
    </row>
    <row r="82" spans="1:23" x14ac:dyDescent="0.2">
      <c r="A82">
        <v>2</v>
      </c>
      <c r="B82">
        <f si="26" t="shared"/>
        <v>21658</v>
      </c>
      <c r="C82">
        <f si="26" t="shared"/>
        <v>2972</v>
      </c>
      <c r="D82">
        <f si="26" t="shared"/>
        <v>0</v>
      </c>
      <c r="E82">
        <f si="26" t="shared"/>
        <v>0</v>
      </c>
      <c r="F82">
        <f si="26" t="shared"/>
        <v>415</v>
      </c>
      <c r="G82">
        <f si="26" t="shared"/>
        <v>93</v>
      </c>
      <c r="H82">
        <f si="26" t="shared"/>
        <v>0</v>
      </c>
      <c r="I82">
        <f si="27" t="shared"/>
        <v>0</v>
      </c>
      <c r="J82">
        <f si="27" t="shared"/>
        <v>25138</v>
      </c>
      <c r="N82">
        <v>2</v>
      </c>
      <c r="O82" s="105" t="n">
        <v>24465.0</v>
      </c>
      <c r="P82" s="105" t="n">
        <v>2990.0</v>
      </c>
      <c r="Q82" s="105" t="n">
        <v>0.0</v>
      </c>
      <c r="R82" s="105" t="n">
        <v>0.0</v>
      </c>
      <c r="S82" s="105" t="n">
        <v>356.0</v>
      </c>
      <c r="T82" s="105" t="n">
        <v>98.0</v>
      </c>
      <c r="U82" s="105" t="n">
        <v>0.0</v>
      </c>
      <c r="V82" s="105" t="n">
        <v>0.0</v>
      </c>
      <c r="W82">
        <f>SUM(O82:V82)</f>
        <v>25138</v>
      </c>
    </row>
    <row r="83" spans="1:23" x14ac:dyDescent="0.2">
      <c r="A83" t="s">
        <v>116</v>
      </c>
      <c r="B83">
        <f si="26" t="shared"/>
        <v>1297</v>
      </c>
      <c r="C83">
        <f si="26" t="shared"/>
        <v>175</v>
      </c>
      <c r="D83">
        <f si="26" t="shared"/>
        <v>0</v>
      </c>
      <c r="E83">
        <f si="26" t="shared"/>
        <v>0</v>
      </c>
      <c r="F83">
        <f si="26" t="shared"/>
        <v>24</v>
      </c>
      <c r="G83">
        <f si="26" t="shared"/>
        <v>5</v>
      </c>
      <c r="H83">
        <f si="26" t="shared"/>
        <v>0</v>
      </c>
      <c r="I83">
        <f si="27" t="shared"/>
        <v>0</v>
      </c>
      <c r="J83">
        <f si="27" t="shared"/>
        <v>1501</v>
      </c>
      <c r="N83" t="s">
        <v>116</v>
      </c>
      <c r="O83" s="105" t="n">
        <v>1440.0</v>
      </c>
      <c r="P83" s="105" t="n">
        <v>203.0</v>
      </c>
      <c r="Q83" s="105" t="n">
        <v>0.0</v>
      </c>
      <c r="R83" s="105" t="n">
        <v>0.0</v>
      </c>
      <c r="S83" s="105" t="n">
        <v>14.0</v>
      </c>
      <c r="T83" s="105" t="n">
        <v>6.0</v>
      </c>
      <c r="U83" s="105" t="n">
        <v>0.0</v>
      </c>
      <c r="V83" s="105" t="n">
        <v>0.0</v>
      </c>
      <c r="W83">
        <f>SUM(O83:V83)</f>
        <v>1501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676700</v>
      </c>
      <c r="C87">
        <f si="28" t="shared"/>
        <v>84137</v>
      </c>
      <c r="D87">
        <f si="28" t="shared"/>
        <v>164943</v>
      </c>
      <c r="E87">
        <f si="28" t="shared"/>
        <v>240520</v>
      </c>
      <c r="F87">
        <f si="28" t="shared"/>
        <v>48330</v>
      </c>
      <c r="G87">
        <f si="28" t="shared"/>
        <v>33103</v>
      </c>
      <c r="H87">
        <f si="28" t="shared"/>
        <v>52152</v>
      </c>
      <c r="I87">
        <f ref="I87:J90" si="29" t="shared">V87*$B$1</f>
        <v>0</v>
      </c>
      <c r="J87">
        <f si="29" t="shared"/>
        <v>1299885</v>
      </c>
      <c r="N87">
        <v>0</v>
      </c>
      <c r="O87" s="105" t="n">
        <v>674396.0</v>
      </c>
      <c r="P87" s="105" t="n">
        <v>84070.0</v>
      </c>
      <c r="Q87" s="105" t="n">
        <v>164927.0</v>
      </c>
      <c r="R87" s="105" t="n">
        <v>240875.0</v>
      </c>
      <c r="S87" s="105" t="n">
        <v>47100.0</v>
      </c>
      <c r="T87" s="105" t="n">
        <v>32351.0</v>
      </c>
      <c r="U87" s="105" t="n">
        <v>51140.0</v>
      </c>
      <c r="V87" s="105" t="n">
        <v>0.0</v>
      </c>
      <c r="W87">
        <f>SUM(O87:V87)</f>
        <v>1299885</v>
      </c>
    </row>
    <row r="88" spans="1:23" x14ac:dyDescent="0.2">
      <c r="A88">
        <v>1</v>
      </c>
      <c r="B88">
        <f si="28" t="shared"/>
        <v>5637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11046</v>
      </c>
      <c r="G88">
        <f si="28" t="shared"/>
        <v>21892</v>
      </c>
      <c r="H88">
        <f si="28" t="shared"/>
        <v>155544</v>
      </c>
      <c r="I88">
        <f si="29" t="shared"/>
        <v>0</v>
      </c>
      <c r="J88">
        <f si="29" t="shared"/>
        <v>194119</v>
      </c>
      <c r="N88">
        <v>1</v>
      </c>
      <c r="O88" s="105" t="n">
        <v>7785.0</v>
      </c>
      <c r="P88" s="105" t="n">
        <v>0.0</v>
      </c>
      <c r="Q88" s="105" t="n">
        <v>0.0</v>
      </c>
      <c r="R88" s="105" t="n">
        <v>0.0</v>
      </c>
      <c r="S88" s="105" t="n">
        <v>11930.0</v>
      </c>
      <c r="T88" s="105" t="n">
        <v>22730.0</v>
      </c>
      <c r="U88" s="105" t="n">
        <v>155724.0</v>
      </c>
      <c r="V88" s="105" t="n">
        <v>0.0</v>
      </c>
      <c r="W88">
        <f>SUM(O88:V88)</f>
        <v>194119</v>
      </c>
    </row>
    <row r="89" spans="1:23" x14ac:dyDescent="0.2">
      <c r="A89">
        <v>2</v>
      </c>
      <c r="B89">
        <f si="28" t="shared"/>
        <v>186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1333</v>
      </c>
      <c r="G89">
        <f si="28" t="shared"/>
        <v>1259</v>
      </c>
      <c r="H89">
        <f si="28" t="shared"/>
        <v>4884</v>
      </c>
      <c r="I89">
        <f si="29" t="shared"/>
        <v>0</v>
      </c>
      <c r="J89">
        <f si="29" t="shared"/>
        <v>7662</v>
      </c>
      <c r="N89">
        <v>2</v>
      </c>
      <c r="O89" s="105" t="n">
        <v>277.0</v>
      </c>
      <c r="P89" s="105" t="n">
        <v>0.0</v>
      </c>
      <c r="Q89" s="105" t="n">
        <v>0.0</v>
      </c>
      <c r="R89" s="105" t="n">
        <v>0.0</v>
      </c>
      <c r="S89" s="105" t="n">
        <v>1510.0</v>
      </c>
      <c r="T89" s="105" t="n">
        <v>1263.0</v>
      </c>
      <c r="U89" s="105" t="n">
        <v>4978.0</v>
      </c>
      <c r="V89" s="105" t="n">
        <v>0.0</v>
      </c>
      <c r="W89">
        <f>SUM(O89:V89)</f>
        <v>7662</v>
      </c>
    </row>
    <row r="90" spans="1:23" x14ac:dyDescent="0.2">
      <c r="A90" t="s">
        <v>116</v>
      </c>
      <c r="B90">
        <f si="28" t="shared"/>
        <v>22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101</v>
      </c>
      <c r="G90">
        <f si="28" t="shared"/>
        <v>84</v>
      </c>
      <c r="H90">
        <f si="28" t="shared"/>
        <v>357</v>
      </c>
      <c r="I90">
        <f si="29" t="shared"/>
        <v>0</v>
      </c>
      <c r="J90">
        <f si="29" t="shared"/>
        <v>564</v>
      </c>
      <c r="N90" t="s">
        <v>116</v>
      </c>
      <c r="O90" s="105" t="n">
        <v>26.0</v>
      </c>
      <c r="P90" s="105" t="n">
        <v>0.0</v>
      </c>
      <c r="Q90" s="105" t="n">
        <v>0.0</v>
      </c>
      <c r="R90" s="105" t="n">
        <v>0.0</v>
      </c>
      <c r="S90" s="105" t="n">
        <v>132.0</v>
      </c>
      <c r="T90" s="105" t="n">
        <v>94.0</v>
      </c>
      <c r="U90" s="105" t="n">
        <v>413.0</v>
      </c>
      <c r="V90" s="105" t="n">
        <v>0.0</v>
      </c>
      <c r="W90">
        <f>SUM(O90:V90)</f>
        <v>564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637187</v>
      </c>
      <c r="C94">
        <f si="30" t="shared"/>
        <v>65360</v>
      </c>
      <c r="D94">
        <f si="30" t="shared"/>
        <v>152598</v>
      </c>
      <c r="E94">
        <f si="30" t="shared"/>
        <v>194730</v>
      </c>
      <c r="F94">
        <f si="30" t="shared"/>
        <v>56676</v>
      </c>
      <c r="G94">
        <f si="30" t="shared"/>
        <v>54467</v>
      </c>
      <c r="H94">
        <f si="30" t="shared"/>
        <v>204953</v>
      </c>
      <c r="I94">
        <f ref="I94:J97" si="31" t="shared">V94*$B$1</f>
        <v>0</v>
      </c>
      <c r="J94">
        <f si="31" t="shared"/>
        <v>1365971</v>
      </c>
      <c r="N94">
        <v>0</v>
      </c>
      <c r="O94" s="105" t="n">
        <v>635831.0</v>
      </c>
      <c r="P94" s="105" t="n">
        <v>60875.0</v>
      </c>
      <c r="Q94" s="105" t="n">
        <v>152788.0</v>
      </c>
      <c r="R94" s="105" t="n">
        <v>195567.0</v>
      </c>
      <c r="S94" s="105" t="n">
        <v>56565.0</v>
      </c>
      <c r="T94" s="105" t="n">
        <v>54619.0</v>
      </c>
      <c r="U94" s="105" t="n">
        <v>204299.0</v>
      </c>
      <c r="V94" s="105" t="n">
        <v>0.0</v>
      </c>
      <c r="W94">
        <f>SUM(O94:V94)</f>
        <v>1365971</v>
      </c>
    </row>
    <row r="95" spans="1:23" x14ac:dyDescent="0.2">
      <c r="A95">
        <v>1</v>
      </c>
      <c r="B95">
        <f si="30" t="shared"/>
        <v>34410</v>
      </c>
      <c r="C95">
        <f si="30" t="shared"/>
        <v>13785</v>
      </c>
      <c r="D95">
        <f si="30" t="shared"/>
        <v>8040</v>
      </c>
      <c r="E95">
        <f si="30" t="shared"/>
        <v>22593</v>
      </c>
      <c r="F95">
        <f si="30" t="shared"/>
        <v>2932</v>
      </c>
      <c r="G95">
        <f si="30" t="shared"/>
        <v>1571</v>
      </c>
      <c r="H95">
        <f si="30" t="shared"/>
        <v>6613</v>
      </c>
      <c r="I95">
        <f si="31" t="shared"/>
        <v>0</v>
      </c>
      <c r="J95">
        <f si="31" t="shared"/>
        <v>89944</v>
      </c>
      <c r="N95">
        <v>1</v>
      </c>
      <c r="O95" s="105" t="n">
        <v>34692.0</v>
      </c>
      <c r="P95" s="105" t="n">
        <v>16242.0</v>
      </c>
      <c r="Q95" s="105" t="n">
        <v>8040.0</v>
      </c>
      <c r="R95" s="105" t="n">
        <v>22756.0</v>
      </c>
      <c r="S95" s="105" t="n">
        <v>2926.0</v>
      </c>
      <c r="T95" s="105" t="n">
        <v>1498.0</v>
      </c>
      <c r="U95" s="105" t="n">
        <v>6633.0</v>
      </c>
      <c r="V95" s="105" t="n">
        <v>0.0</v>
      </c>
      <c r="W95">
        <f>SUM(O95:V95)</f>
        <v>89944</v>
      </c>
    </row>
    <row r="96" spans="1:23" x14ac:dyDescent="0.2">
      <c r="A96">
        <v>2</v>
      </c>
      <c r="B96">
        <f si="30" t="shared"/>
        <v>8931</v>
      </c>
      <c r="C96">
        <f si="30" t="shared"/>
        <v>4061</v>
      </c>
      <c r="D96">
        <f si="30" t="shared"/>
        <v>3505</v>
      </c>
      <c r="E96">
        <f si="30" t="shared"/>
        <v>18815</v>
      </c>
      <c r="F96">
        <f si="30" t="shared"/>
        <v>1000</v>
      </c>
      <c r="G96">
        <f si="30" t="shared"/>
        <v>254</v>
      </c>
      <c r="H96">
        <f si="30" t="shared"/>
        <v>1123</v>
      </c>
      <c r="I96">
        <f si="31" t="shared"/>
        <v>0</v>
      </c>
      <c r="J96">
        <f si="31" t="shared"/>
        <v>37689</v>
      </c>
      <c r="N96">
        <v>2</v>
      </c>
      <c r="O96" s="105" t="n">
        <v>9726.0</v>
      </c>
      <c r="P96" s="105" t="n">
        <v>5722.0</v>
      </c>
      <c r="Q96" s="105" t="n">
        <v>3347.0</v>
      </c>
      <c r="R96" s="105" t="n">
        <v>18364.0</v>
      </c>
      <c r="S96" s="105" t="n">
        <v>963.0</v>
      </c>
      <c r="T96" s="105" t="n">
        <v>269.0</v>
      </c>
      <c r="U96" s="105" t="n">
        <v>1114.0</v>
      </c>
      <c r="V96" s="105" t="n">
        <v>0.0</v>
      </c>
      <c r="W96">
        <f>SUM(O96:V96)</f>
        <v>37689</v>
      </c>
    </row>
    <row r="97" spans="1:23" x14ac:dyDescent="0.2">
      <c r="A97" t="s">
        <v>116</v>
      </c>
      <c r="B97">
        <f si="30" t="shared"/>
        <v>2017</v>
      </c>
      <c r="C97">
        <f si="30" t="shared"/>
        <v>931</v>
      </c>
      <c r="D97">
        <f si="30" t="shared"/>
        <v>800</v>
      </c>
      <c r="E97">
        <f si="30" t="shared"/>
        <v>4382</v>
      </c>
      <c r="F97">
        <f si="30" t="shared"/>
        <v>202</v>
      </c>
      <c r="G97">
        <f si="30" t="shared"/>
        <v>46</v>
      </c>
      <c r="H97">
        <f si="30" t="shared"/>
        <v>248</v>
      </c>
      <c r="I97">
        <f si="31" t="shared"/>
        <v>0</v>
      </c>
      <c r="J97">
        <f si="31" t="shared"/>
        <v>8626</v>
      </c>
      <c r="N97" t="s">
        <v>116</v>
      </c>
      <c r="O97" s="105" t="n">
        <v>2235.0</v>
      </c>
      <c r="P97" s="105" t="n">
        <v>1231.0</v>
      </c>
      <c r="Q97" s="105" t="n">
        <v>752.0</v>
      </c>
      <c r="R97" s="105" t="n">
        <v>4188.0</v>
      </c>
      <c r="S97" s="105" t="n">
        <v>218.0</v>
      </c>
      <c r="T97" s="105" t="n">
        <v>52.0</v>
      </c>
      <c r="U97" s="105" t="n">
        <v>209.0</v>
      </c>
      <c r="V97" s="105" t="n">
        <v>0.0</v>
      </c>
      <c r="W97">
        <f>SUM(O97:V97)</f>
        <v>8626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627107</v>
      </c>
      <c r="C101">
        <f si="32" t="shared"/>
        <v>70758</v>
      </c>
      <c r="D101">
        <f si="32" t="shared"/>
        <v>103699</v>
      </c>
      <c r="E101">
        <f si="32" t="shared"/>
        <v>193328</v>
      </c>
      <c r="F101">
        <f si="32" t="shared"/>
        <v>57185</v>
      </c>
      <c r="G101">
        <f si="32" t="shared"/>
        <v>53570</v>
      </c>
      <c r="H101">
        <f si="32" t="shared"/>
        <v>197140</v>
      </c>
      <c r="I101">
        <f ref="I101:J104" si="33" t="shared">V101*$B$1</f>
        <v>0</v>
      </c>
      <c r="J101">
        <f si="33" t="shared"/>
        <v>1302787</v>
      </c>
      <c r="N101">
        <v>0</v>
      </c>
      <c r="O101" s="105" t="n">
        <v>624628.0</v>
      </c>
      <c r="P101" s="105" t="n">
        <v>66057.0</v>
      </c>
      <c r="Q101" s="105" t="n">
        <v>103704.0</v>
      </c>
      <c r="R101" s="105" t="n">
        <v>193911.0</v>
      </c>
      <c r="S101" s="105" t="n">
        <v>56978.0</v>
      </c>
      <c r="T101" s="105" t="n">
        <v>53589.0</v>
      </c>
      <c r="U101" s="105" t="n">
        <v>196587.0</v>
      </c>
      <c r="V101" s="105" t="n">
        <v>0.0</v>
      </c>
      <c r="W101">
        <f>SUM(O101:V101)</f>
        <v>1302787</v>
      </c>
    </row>
    <row r="102" spans="1:23" x14ac:dyDescent="0.2">
      <c r="A102">
        <v>1</v>
      </c>
      <c r="B102">
        <f si="32" t="shared"/>
        <v>48112</v>
      </c>
      <c r="C102">
        <f si="32" t="shared"/>
        <v>11746</v>
      </c>
      <c r="D102">
        <f si="32" t="shared"/>
        <v>49707</v>
      </c>
      <c r="E102">
        <f si="32" t="shared"/>
        <v>39299</v>
      </c>
      <c r="F102">
        <f si="32" t="shared"/>
        <v>3088</v>
      </c>
      <c r="G102">
        <f si="32" t="shared"/>
        <v>2292</v>
      </c>
      <c r="H102">
        <f si="32" t="shared"/>
        <v>14789</v>
      </c>
      <c r="I102">
        <f si="33" t="shared"/>
        <v>0</v>
      </c>
      <c r="J102">
        <f si="33" t="shared"/>
        <v>169033</v>
      </c>
      <c r="N102">
        <v>1</v>
      </c>
      <c r="O102" s="105" t="n">
        <v>50105.0</v>
      </c>
      <c r="P102" s="105" t="n">
        <v>15588.0</v>
      </c>
      <c r="Q102" s="105" t="n">
        <v>49760.0</v>
      </c>
      <c r="R102" s="105" t="n">
        <v>39025.0</v>
      </c>
      <c r="S102" s="105" t="n">
        <v>3116.0</v>
      </c>
      <c r="T102" s="105" t="n">
        <v>2337.0</v>
      </c>
      <c r="U102" s="105" t="n">
        <v>14704.0</v>
      </c>
      <c r="V102" s="105" t="n">
        <v>0.0</v>
      </c>
      <c r="W102">
        <f>SUM(O102:V102)</f>
        <v>169033</v>
      </c>
    </row>
    <row r="103" spans="1:23" x14ac:dyDescent="0.2">
      <c r="A103">
        <v>2</v>
      </c>
      <c r="B103">
        <f si="32" t="shared"/>
        <v>6565</v>
      </c>
      <c r="C103">
        <f si="32" t="shared"/>
        <v>1448</v>
      </c>
      <c r="D103">
        <f si="32" t="shared"/>
        <v>10382</v>
      </c>
      <c r="E103">
        <f si="32" t="shared"/>
        <v>7041</v>
      </c>
      <c r="F103">
        <f si="32" t="shared"/>
        <v>467</v>
      </c>
      <c r="G103">
        <f si="32" t="shared"/>
        <v>430</v>
      </c>
      <c r="H103">
        <f si="32" t="shared"/>
        <v>912</v>
      </c>
      <c r="I103">
        <f si="33" t="shared"/>
        <v>0</v>
      </c>
      <c r="J103">
        <f si="33" t="shared"/>
        <v>27245</v>
      </c>
      <c r="N103">
        <v>2</v>
      </c>
      <c r="O103" s="105" t="n">
        <v>6911.0</v>
      </c>
      <c r="P103" s="105" t="n">
        <v>2168.0</v>
      </c>
      <c r="Q103" s="105" t="n">
        <v>10265.0</v>
      </c>
      <c r="R103" s="105" t="n">
        <v>7118.0</v>
      </c>
      <c r="S103" s="105" t="n">
        <v>519.0</v>
      </c>
      <c r="T103" s="105" t="n">
        <v>465.0</v>
      </c>
      <c r="U103" s="105" t="n">
        <v>871.0</v>
      </c>
      <c r="V103" s="105" t="n">
        <v>0.0</v>
      </c>
      <c r="W103">
        <f>SUM(O103:V103)</f>
        <v>27245</v>
      </c>
    </row>
    <row r="104" spans="1:23" x14ac:dyDescent="0.2">
      <c r="A104" t="s">
        <v>116</v>
      </c>
      <c r="B104">
        <f si="32" t="shared"/>
        <v>761</v>
      </c>
      <c r="C104">
        <f si="32" t="shared"/>
        <v>185</v>
      </c>
      <c r="D104">
        <f si="32" t="shared"/>
        <v>1155</v>
      </c>
      <c r="E104">
        <f si="32" t="shared"/>
        <v>852</v>
      </c>
      <c r="F104">
        <f si="32" t="shared"/>
        <v>70</v>
      </c>
      <c r="G104">
        <f si="32" t="shared"/>
        <v>46</v>
      </c>
      <c r="H104">
        <f si="32" t="shared"/>
        <v>96</v>
      </c>
      <c r="I104">
        <f si="33" t="shared"/>
        <v>0</v>
      </c>
      <c r="J104">
        <f si="33" t="shared"/>
        <v>3165</v>
      </c>
      <c r="N104" t="s">
        <v>116</v>
      </c>
      <c r="O104" s="105" t="n">
        <v>840.0</v>
      </c>
      <c r="P104" s="105" t="n">
        <v>257.0</v>
      </c>
      <c r="Q104" s="105" t="n">
        <v>1198.0</v>
      </c>
      <c r="R104" s="105" t="n">
        <v>821.0</v>
      </c>
      <c r="S104" s="105" t="n">
        <v>59.0</v>
      </c>
      <c r="T104" s="105" t="n">
        <v>47.0</v>
      </c>
      <c r="U104" s="105" t="n">
        <v>93.0</v>
      </c>
      <c r="V104" s="105" t="n">
        <v>0.0</v>
      </c>
      <c r="W104">
        <f>SUM(O104:V104)</f>
        <v>3165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643479</v>
      </c>
      <c r="C108">
        <f si="34" t="shared"/>
        <v>72459</v>
      </c>
      <c r="D108">
        <f si="34" t="shared"/>
        <v>125021</v>
      </c>
      <c r="E108">
        <f si="34" t="shared"/>
        <v>196010</v>
      </c>
      <c r="F108">
        <f si="34" t="shared"/>
        <v>56137</v>
      </c>
      <c r="G108">
        <f si="34" t="shared"/>
        <v>55365</v>
      </c>
      <c r="H108">
        <f si="34" t="shared"/>
        <v>205382</v>
      </c>
      <c r="I108">
        <f ref="I108:J111" si="35" t="shared">V108*$B$1</f>
        <v>0</v>
      </c>
      <c r="J108">
        <f si="35" t="shared"/>
        <v>1353853</v>
      </c>
      <c r="N108">
        <v>0</v>
      </c>
      <c r="O108" s="105" t="n">
        <v>642502.0</v>
      </c>
      <c r="P108" s="105" t="n">
        <v>69342.0</v>
      </c>
      <c r="Q108" s="105" t="n">
        <v>125076.0</v>
      </c>
      <c r="R108" s="105" t="n">
        <v>196348.0</v>
      </c>
      <c r="S108" s="105" t="n">
        <v>56163.0</v>
      </c>
      <c r="T108" s="105" t="n">
        <v>55368.0</v>
      </c>
      <c r="U108" s="105" t="n">
        <v>204816.0</v>
      </c>
      <c r="V108" s="105" t="n">
        <v>0.0</v>
      </c>
      <c r="W108">
        <f>SUM(O108:V108)</f>
        <v>1353853</v>
      </c>
    </row>
    <row r="109" spans="1:23" x14ac:dyDescent="0.2">
      <c r="A109">
        <v>1</v>
      </c>
      <c r="B109">
        <f si="34" t="shared"/>
        <v>37063</v>
      </c>
      <c r="C109">
        <f si="34" t="shared"/>
        <v>11213</v>
      </c>
      <c r="D109">
        <f si="34" t="shared"/>
        <v>36957</v>
      </c>
      <c r="E109">
        <f si="34" t="shared"/>
        <v>41424</v>
      </c>
      <c r="F109">
        <f si="34" t="shared"/>
        <v>4346</v>
      </c>
      <c r="G109">
        <f si="34" t="shared"/>
        <v>909</v>
      </c>
      <c r="H109">
        <f si="34" t="shared"/>
        <v>7481</v>
      </c>
      <c r="I109">
        <f si="35" t="shared"/>
        <v>0</v>
      </c>
      <c r="J109">
        <f si="35" t="shared"/>
        <v>139393</v>
      </c>
      <c r="N109">
        <v>1</v>
      </c>
      <c r="O109" s="105" t="n">
        <v>37569.0</v>
      </c>
      <c r="P109" s="105" t="n">
        <v>13877.0</v>
      </c>
      <c r="Q109" s="105" t="n">
        <v>36983.0</v>
      </c>
      <c r="R109" s="105" t="n">
        <v>41484.0</v>
      </c>
      <c r="S109" s="105" t="n">
        <v>4160.0</v>
      </c>
      <c r="T109" s="105" t="n">
        <v>1001.0</v>
      </c>
      <c r="U109" s="105" t="n">
        <v>7361.0</v>
      </c>
      <c r="V109" s="105" t="n">
        <v>0.0</v>
      </c>
      <c r="W109">
        <f>SUM(O109:V109)</f>
        <v>139393</v>
      </c>
    </row>
    <row r="110" spans="1:23" x14ac:dyDescent="0.2">
      <c r="A110">
        <v>2</v>
      </c>
      <c r="B110">
        <f si="34" t="shared"/>
        <v>1855</v>
      </c>
      <c r="C110">
        <f si="34" t="shared"/>
        <v>428</v>
      </c>
      <c r="D110">
        <f si="34" t="shared"/>
        <v>2744</v>
      </c>
      <c r="E110">
        <f si="34" t="shared"/>
        <v>2875</v>
      </c>
      <c r="F110">
        <f si="34" t="shared"/>
        <v>303</v>
      </c>
      <c r="G110">
        <f si="34" t="shared"/>
        <v>61</v>
      </c>
      <c r="H110">
        <f si="34" t="shared"/>
        <v>72</v>
      </c>
      <c r="I110">
        <f si="35" t="shared"/>
        <v>0</v>
      </c>
      <c r="J110">
        <f si="35" t="shared"/>
        <v>8338</v>
      </c>
      <c r="N110">
        <v>2</v>
      </c>
      <c r="O110" s="105" t="n">
        <v>2237.0</v>
      </c>
      <c r="P110" s="105" t="n">
        <v>787.0</v>
      </c>
      <c r="Q110" s="105" t="n">
        <v>2676.0</v>
      </c>
      <c r="R110" s="105" t="n">
        <v>2829.0</v>
      </c>
      <c r="S110" s="105" t="n">
        <v>323.0</v>
      </c>
      <c r="T110" s="105" t="n">
        <v>64.0</v>
      </c>
      <c r="U110" s="105" t="n">
        <v>77.0</v>
      </c>
      <c r="V110" s="105" t="n">
        <v>0.0</v>
      </c>
      <c r="W110">
        <f>SUM(O110:V110)</f>
        <v>8338</v>
      </c>
    </row>
    <row r="111" spans="1:23" x14ac:dyDescent="0.2">
      <c r="A111" t="s">
        <v>116</v>
      </c>
      <c r="B111">
        <f si="34" t="shared"/>
        <v>148</v>
      </c>
      <c r="C111">
        <f si="34" t="shared"/>
        <v>37</v>
      </c>
      <c r="D111">
        <f si="34" t="shared"/>
        <v>221</v>
      </c>
      <c r="E111">
        <f si="34" t="shared"/>
        <v>211</v>
      </c>
      <c r="F111">
        <f si="34" t="shared"/>
        <v>24</v>
      </c>
      <c r="G111">
        <f si="34" t="shared"/>
        <v>3</v>
      </c>
      <c r="H111">
        <f si="34" t="shared"/>
        <v>2</v>
      </c>
      <c r="I111">
        <f si="35" t="shared"/>
        <v>0</v>
      </c>
      <c r="J111">
        <f si="35" t="shared"/>
        <v>646</v>
      </c>
      <c r="N111" t="s">
        <v>116</v>
      </c>
      <c r="O111" s="105" t="n">
        <v>176.0</v>
      </c>
      <c r="P111" s="105" t="n">
        <v>64.0</v>
      </c>
      <c r="Q111" s="105" t="n">
        <v>192.0</v>
      </c>
      <c r="R111" s="105" t="n">
        <v>214.0</v>
      </c>
      <c r="S111" s="105" t="n">
        <v>26.0</v>
      </c>
      <c r="T111" s="105" t="n">
        <v>5.0</v>
      </c>
      <c r="U111" s="105" t="n">
        <v>1.0</v>
      </c>
      <c r="V111" s="105" t="n">
        <v>0.0</v>
      </c>
      <c r="W111">
        <f>SUM(O111:V111)</f>
        <v>646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645269</v>
      </c>
      <c r="C115">
        <f si="36" t="shared"/>
        <v>76917</v>
      </c>
      <c r="D115">
        <f si="36" t="shared"/>
        <v>144143</v>
      </c>
      <c r="E115">
        <f si="36" t="shared"/>
        <v>227710</v>
      </c>
      <c r="F115">
        <f si="36" t="shared"/>
        <v>56983</v>
      </c>
      <c r="G115">
        <f si="36" t="shared"/>
        <v>55566</v>
      </c>
      <c r="H115">
        <f si="36" t="shared"/>
        <v>206967</v>
      </c>
      <c r="I115">
        <f ref="I115:J118" si="37" t="shared">V115*$B$1</f>
        <v>0</v>
      </c>
      <c r="J115">
        <f si="37" t="shared"/>
        <v>1413555</v>
      </c>
      <c r="N115">
        <v>0</v>
      </c>
      <c r="O115" s="105" t="n">
        <v>643113.0</v>
      </c>
      <c r="P115" s="105" t="n">
        <v>75026.0</v>
      </c>
      <c r="Q115" s="105" t="n">
        <v>144043.0</v>
      </c>
      <c r="R115" s="105" t="n">
        <v>228230.0</v>
      </c>
      <c r="S115" s="105" t="n">
        <v>56722.0</v>
      </c>
      <c r="T115" s="105" t="n">
        <v>55588.0</v>
      </c>
      <c r="U115" s="105" t="n">
        <v>206263.0</v>
      </c>
      <c r="V115" s="105" t="n">
        <v>0.0</v>
      </c>
      <c r="W115">
        <f>SUM(O115:V115)</f>
        <v>1413555</v>
      </c>
    </row>
    <row r="116" spans="1:23" x14ac:dyDescent="0.2">
      <c r="A116">
        <v>1</v>
      </c>
      <c r="B116">
        <f si="36" t="shared"/>
        <v>37276</v>
      </c>
      <c r="C116">
        <f si="36" t="shared"/>
        <v>7220</v>
      </c>
      <c r="D116">
        <f si="36" t="shared"/>
        <v>19173</v>
      </c>
      <c r="E116">
        <f si="36" t="shared"/>
        <v>11793</v>
      </c>
      <c r="F116">
        <f si="36" t="shared"/>
        <v>3827</v>
      </c>
      <c r="G116">
        <f si="36" t="shared"/>
        <v>772</v>
      </c>
      <c r="H116">
        <f si="36" t="shared"/>
        <v>5970</v>
      </c>
      <c r="I116">
        <f si="37" t="shared"/>
        <v>0</v>
      </c>
      <c r="J116">
        <f si="37" t="shared"/>
        <v>86031</v>
      </c>
      <c r="N116">
        <v>1</v>
      </c>
      <c r="O116" s="105" t="n">
        <v>39371.0</v>
      </c>
      <c r="P116" s="105" t="n">
        <v>9044.0</v>
      </c>
      <c r="Q116" s="105" t="n">
        <v>19250.0</v>
      </c>
      <c r="R116" s="105" t="n">
        <v>11647.0</v>
      </c>
      <c r="S116" s="105" t="n">
        <v>3950.0</v>
      </c>
      <c r="T116" s="105" t="n">
        <v>850.0</v>
      </c>
      <c r="U116" s="105" t="n">
        <v>5992.0</v>
      </c>
      <c r="V116" s="105" t="n">
        <v>0.0</v>
      </c>
      <c r="W116">
        <f>SUM(O116:V116)</f>
        <v>86031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1627</v>
      </c>
      <c r="E117">
        <f si="36" t="shared"/>
        <v>1017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2644</v>
      </c>
      <c r="N117">
        <v>2</v>
      </c>
      <c r="O117" s="105" t="n">
        <v>0.0</v>
      </c>
      <c r="P117" s="105" t="n">
        <v>0.0</v>
      </c>
      <c r="Q117" s="105" t="n">
        <v>1634.0</v>
      </c>
      <c r="R117" s="105" t="n">
        <v>998.0</v>
      </c>
      <c r="S117" s="105" t="n">
        <v>0.0</v>
      </c>
      <c r="T117" s="105" t="n">
        <v>0.0</v>
      </c>
      <c r="U117" s="105" t="n">
        <v>0.0</v>
      </c>
      <c r="V117" s="105" t="n">
        <v>0.0</v>
      </c>
      <c r="W117">
        <f>SUM(O117:V117)</f>
        <v>2644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621225</v>
      </c>
      <c r="C122">
        <f si="38" t="shared"/>
        <v>68553</v>
      </c>
      <c r="D122">
        <f si="38" t="shared"/>
        <v>133764</v>
      </c>
      <c r="E122">
        <f si="38" t="shared"/>
        <v>204017</v>
      </c>
      <c r="F122">
        <f si="38" t="shared"/>
        <v>56956</v>
      </c>
      <c r="G122">
        <f si="38" t="shared"/>
        <v>49962</v>
      </c>
      <c r="H122">
        <f si="38" t="shared"/>
        <v>169028</v>
      </c>
      <c r="I122">
        <f ref="I122:J125" si="39" t="shared">V122*$B$1</f>
        <v>0</v>
      </c>
      <c r="J122">
        <f si="39" t="shared"/>
        <v>1303505</v>
      </c>
      <c r="N122">
        <v>0</v>
      </c>
      <c r="O122" s="105" t="n">
        <v>623098.0</v>
      </c>
      <c r="P122" s="105" t="n">
        <v>66996.0</v>
      </c>
      <c r="Q122" s="105" t="n">
        <v>133697.0</v>
      </c>
      <c r="R122" s="105" t="n">
        <v>204647.0</v>
      </c>
      <c r="S122" s="105" t="n">
        <v>56904.0</v>
      </c>
      <c r="T122" s="105" t="n">
        <v>50061.0</v>
      </c>
      <c r="U122" s="105" t="n">
        <v>168963.0</v>
      </c>
      <c r="V122" s="105" t="n">
        <v>0.0</v>
      </c>
      <c r="W122">
        <f>SUM(O122:V122)</f>
        <v>1303505</v>
      </c>
    </row>
    <row r="123" spans="1:23" x14ac:dyDescent="0.2">
      <c r="A123">
        <v>1</v>
      </c>
      <c r="B123">
        <f si="38" t="shared"/>
        <v>58886</v>
      </c>
      <c r="C123">
        <f si="38" t="shared"/>
        <v>14757</v>
      </c>
      <c r="D123">
        <f si="38" t="shared"/>
        <v>28341</v>
      </c>
      <c r="E123">
        <f si="38" t="shared"/>
        <v>33076</v>
      </c>
      <c r="F123">
        <f si="38" t="shared"/>
        <v>3408</v>
      </c>
      <c r="G123">
        <f si="38" t="shared"/>
        <v>5890</v>
      </c>
      <c r="H123">
        <f si="38" t="shared"/>
        <v>40642</v>
      </c>
      <c r="I123">
        <f si="39" t="shared"/>
        <v>0</v>
      </c>
      <c r="J123">
        <f si="39" t="shared"/>
        <v>185000</v>
      </c>
      <c r="N123">
        <v>1</v>
      </c>
      <c r="O123" s="105" t="n">
        <v>56752.0</v>
      </c>
      <c r="P123" s="105" t="n">
        <v>15850.0</v>
      </c>
      <c r="Q123" s="105" t="n">
        <v>28390.0</v>
      </c>
      <c r="R123" s="105" t="n">
        <v>32805.0</v>
      </c>
      <c r="S123" s="105" t="n">
        <v>3362.0</v>
      </c>
      <c r="T123" s="105" t="n">
        <v>5883.0</v>
      </c>
      <c r="U123" s="105" t="n">
        <v>40081.0</v>
      </c>
      <c r="V123" s="105" t="n">
        <v>0.0</v>
      </c>
      <c r="W123">
        <f>SUM(O123:V123)</f>
        <v>185000</v>
      </c>
    </row>
    <row r="124" spans="1:23" x14ac:dyDescent="0.2">
      <c r="A124">
        <v>2</v>
      </c>
      <c r="B124">
        <f si="38" t="shared"/>
        <v>2300</v>
      </c>
      <c r="C124">
        <f si="38" t="shared"/>
        <v>792</v>
      </c>
      <c r="D124">
        <f si="38" t="shared"/>
        <v>2678</v>
      </c>
      <c r="E124">
        <f si="38" t="shared"/>
        <v>3247</v>
      </c>
      <c r="F124">
        <f si="38" t="shared"/>
        <v>412</v>
      </c>
      <c r="G124">
        <f si="38" t="shared"/>
        <v>457</v>
      </c>
      <c r="H124">
        <f si="38" t="shared"/>
        <v>3087</v>
      </c>
      <c r="I124">
        <f si="39" t="shared"/>
        <v>0</v>
      </c>
      <c r="J124">
        <f si="39" t="shared"/>
        <v>12973</v>
      </c>
      <c r="N124">
        <v>2</v>
      </c>
      <c r="O124" s="105" t="n">
        <v>2477.0</v>
      </c>
      <c r="P124" s="105" t="n">
        <v>1179.0</v>
      </c>
      <c r="Q124" s="105" t="n">
        <v>2657.0</v>
      </c>
      <c r="R124" s="105" t="n">
        <v>3220.0</v>
      </c>
      <c r="S124" s="105" t="n">
        <v>382.0</v>
      </c>
      <c r="T124" s="105" t="n">
        <v>463.0</v>
      </c>
      <c r="U124" s="105" t="n">
        <v>3021.0</v>
      </c>
      <c r="V124" s="105" t="n">
        <v>0.0</v>
      </c>
      <c r="W124">
        <f>SUM(O124:V124)</f>
        <v>12973</v>
      </c>
    </row>
    <row r="125" spans="1:23" x14ac:dyDescent="0.2">
      <c r="A125" t="s">
        <v>116</v>
      </c>
      <c r="B125">
        <f si="38" t="shared"/>
        <v>134</v>
      </c>
      <c r="C125">
        <f si="38" t="shared"/>
        <v>35</v>
      </c>
      <c r="D125">
        <f si="38" t="shared"/>
        <v>160</v>
      </c>
      <c r="E125">
        <f si="38" t="shared"/>
        <v>180</v>
      </c>
      <c r="F125">
        <f si="38" t="shared"/>
        <v>34</v>
      </c>
      <c r="G125">
        <f si="38" t="shared"/>
        <v>29</v>
      </c>
      <c r="H125">
        <f si="38" t="shared"/>
        <v>180</v>
      </c>
      <c r="I125">
        <f si="39" t="shared"/>
        <v>0</v>
      </c>
      <c r="J125">
        <f si="39" t="shared"/>
        <v>752</v>
      </c>
      <c r="N125" t="s">
        <v>116</v>
      </c>
      <c r="O125" s="105" t="n">
        <v>157.0</v>
      </c>
      <c r="P125" s="105" t="n">
        <v>45.0</v>
      </c>
      <c r="Q125" s="105" t="n">
        <v>183.0</v>
      </c>
      <c r="R125" s="105" t="n">
        <v>203.0</v>
      </c>
      <c r="S125" s="105" t="n">
        <v>24.0</v>
      </c>
      <c r="T125" s="105" t="n">
        <v>31.0</v>
      </c>
      <c r="U125" s="105" t="n">
        <v>190.0</v>
      </c>
      <c r="V125" s="105" t="n">
        <v>0.0</v>
      </c>
      <c r="W125">
        <f>SUM(O125:V125)</f>
        <v>752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485869</v>
      </c>
      <c r="C129">
        <f si="40" t="shared"/>
        <v>58938</v>
      </c>
      <c r="D129">
        <f si="40" t="shared"/>
        <v>544807</v>
      </c>
      <c r="N129">
        <v>0</v>
      </c>
      <c r="O129" s="105" t="n">
        <v>438096.0</v>
      </c>
      <c r="P129" s="105" t="n">
        <v>48972.0</v>
      </c>
      <c r="Q129">
        <f>SUM(O129:P129)</f>
        <v>544807</v>
      </c>
    </row>
    <row r="130" spans="1:17" x14ac:dyDescent="0.2">
      <c r="A130">
        <v>1</v>
      </c>
      <c r="B130">
        <f si="40" t="shared"/>
        <v>72325</v>
      </c>
      <c r="C130">
        <f si="40" t="shared"/>
        <v>13229</v>
      </c>
      <c r="D130">
        <f si="40" t="shared"/>
        <v>85554</v>
      </c>
      <c r="N130">
        <v>1</v>
      </c>
      <c r="O130" s="105" t="n">
        <v>68633.0</v>
      </c>
      <c r="P130" s="105" t="n">
        <v>11413.0</v>
      </c>
      <c r="Q130">
        <f>SUM(O130:P130)</f>
        <v>85554</v>
      </c>
    </row>
    <row r="131" spans="1:17" x14ac:dyDescent="0.2">
      <c r="A131">
        <v>2</v>
      </c>
      <c r="B131">
        <f si="40" t="shared"/>
        <v>4038</v>
      </c>
      <c r="C131">
        <f si="40" t="shared"/>
        <v>824</v>
      </c>
      <c r="D131">
        <f si="40" t="shared"/>
        <v>4862</v>
      </c>
      <c r="N131">
        <v>2</v>
      </c>
      <c r="O131" s="105" t="n">
        <v>3858.0</v>
      </c>
      <c r="P131" s="105" t="n">
        <v>666.0</v>
      </c>
      <c r="Q131">
        <f>SUM(O131:P131)</f>
        <v>4862</v>
      </c>
    </row>
    <row r="132" spans="1:17" x14ac:dyDescent="0.2">
      <c r="A132" t="s">
        <v>116</v>
      </c>
      <c r="B132">
        <f si="40" t="shared"/>
        <v>343</v>
      </c>
      <c r="C132">
        <f si="40" t="shared"/>
        <v>70</v>
      </c>
      <c r="D132">
        <f si="40" t="shared"/>
        <v>413</v>
      </c>
      <c r="N132" t="s">
        <v>116</v>
      </c>
      <c r="O132" s="105" t="n">
        <v>279.0</v>
      </c>
      <c r="P132" s="105" t="n">
        <v>66.0</v>
      </c>
      <c r="Q132">
        <f>SUM(O132:P132)</f>
        <v>413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17601</v>
      </c>
      <c r="C136">
        <f ref="C136:C142" si="42" t="shared">P136*$B$1</f>
        <v>846</v>
      </c>
      <c r="D136">
        <f ref="D136:D142" si="43" t="shared">Q136*$B$1</f>
        <v>18447</v>
      </c>
      <c r="N136" t="s">
        <v>210</v>
      </c>
      <c r="O136" s="105" t="n">
        <v>15237.0</v>
      </c>
      <c r="P136" s="105" t="n">
        <v>731.0</v>
      </c>
      <c r="Q136">
        <f>SUM(O136:P136)</f>
        <v>18447</v>
      </c>
    </row>
    <row r="137" spans="1:17" x14ac:dyDescent="0.2">
      <c r="A137" t="s">
        <v>211</v>
      </c>
      <c r="B137">
        <f si="41" t="shared"/>
        <v>367</v>
      </c>
      <c r="C137">
        <f si="42" t="shared"/>
        <v>135</v>
      </c>
      <c r="D137">
        <f si="43" t="shared"/>
        <v>502</v>
      </c>
      <c r="N137" t="s">
        <v>211</v>
      </c>
      <c r="O137" s="105" t="n">
        <v>440.0</v>
      </c>
      <c r="P137" s="105" t="n">
        <v>118.0</v>
      </c>
      <c r="Q137">
        <f ref="Q137:Q142" si="44" t="shared">SUM(O137:P137)</f>
        <v>502</v>
      </c>
    </row>
    <row r="138" spans="1:17" x14ac:dyDescent="0.2">
      <c r="A138" t="s">
        <v>212</v>
      </c>
      <c r="B138">
        <f si="41" t="shared"/>
        <v>4114</v>
      </c>
      <c r="C138">
        <f si="42" t="shared"/>
        <v>1181</v>
      </c>
      <c r="D138">
        <f si="43" t="shared"/>
        <v>5295</v>
      </c>
      <c r="N138" t="s">
        <v>212</v>
      </c>
      <c r="O138" s="105" t="n">
        <v>4235.0</v>
      </c>
      <c r="P138" s="105" t="n">
        <v>1092.0</v>
      </c>
      <c r="Q138">
        <f si="44" t="shared"/>
        <v>5295</v>
      </c>
    </row>
    <row r="139" spans="1:17" x14ac:dyDescent="0.2">
      <c r="A139" t="s">
        <v>36</v>
      </c>
      <c r="B139">
        <f si="41" t="shared"/>
        <v>14013</v>
      </c>
      <c r="C139">
        <f si="42" t="shared"/>
        <v>3602</v>
      </c>
      <c r="D139">
        <f si="43" t="shared"/>
        <v>17615</v>
      </c>
      <c r="N139" t="s">
        <v>36</v>
      </c>
      <c r="O139" s="105" t="n">
        <v>13405.0</v>
      </c>
      <c r="P139" s="105" t="n">
        <v>3002.0</v>
      </c>
      <c r="Q139">
        <f si="44" t="shared"/>
        <v>17615</v>
      </c>
    </row>
    <row r="140" spans="1:17" x14ac:dyDescent="0.2">
      <c r="A140" t="s">
        <v>214</v>
      </c>
      <c r="B140">
        <f si="41" t="shared"/>
        <v>7307</v>
      </c>
      <c r="C140">
        <f si="42" t="shared"/>
        <v>2630</v>
      </c>
      <c r="D140">
        <f si="43" t="shared"/>
        <v>9937</v>
      </c>
      <c r="N140" t="s">
        <v>214</v>
      </c>
      <c r="O140" s="105" t="n">
        <v>7222.0</v>
      </c>
      <c r="P140" s="105" t="n">
        <v>2297.0</v>
      </c>
      <c r="Q140">
        <f si="44" t="shared"/>
        <v>9937</v>
      </c>
    </row>
    <row r="141" spans="1:17" x14ac:dyDescent="0.2">
      <c r="A141" t="s">
        <v>129</v>
      </c>
      <c r="B141">
        <f si="41" t="shared"/>
        <v>33681</v>
      </c>
      <c r="C141">
        <f si="42" t="shared"/>
        <v>5827</v>
      </c>
      <c r="D141">
        <f si="43" t="shared"/>
        <v>39508</v>
      </c>
      <c r="N141" t="s">
        <v>129</v>
      </c>
      <c r="O141" s="105" t="n">
        <v>32381.0</v>
      </c>
      <c r="P141" s="105" t="n">
        <v>4989.0</v>
      </c>
      <c r="Q141">
        <f si="44" t="shared"/>
        <v>39508</v>
      </c>
    </row>
    <row r="142" spans="1:17" x14ac:dyDescent="0.2">
      <c r="A142" t="s">
        <v>130</v>
      </c>
      <c r="B142">
        <f si="41" t="shared"/>
        <v>4530</v>
      </c>
      <c r="C142">
        <f si="42" t="shared"/>
        <v>1007</v>
      </c>
      <c r="D142">
        <f si="43" t="shared"/>
        <v>5537</v>
      </c>
      <c r="N142" t="s">
        <v>130</v>
      </c>
      <c r="O142" s="105" t="n">
        <v>4478.0</v>
      </c>
      <c r="P142" s="105" t="n">
        <v>891.0</v>
      </c>
      <c r="Q142">
        <f si="44" t="shared"/>
        <v>5537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304399</v>
      </c>
      <c r="C148">
        <f si="45" t="shared"/>
        <v>142828</v>
      </c>
      <c r="D148">
        <f si="45" t="shared"/>
        <v>89188</v>
      </c>
      <c r="E148">
        <f si="45" t="shared"/>
        <v>149203</v>
      </c>
      <c r="F148">
        <f si="45" t="shared"/>
        <v>97617</v>
      </c>
      <c r="G148">
        <f si="45" t="shared"/>
        <v>97539</v>
      </c>
      <c r="H148">
        <f ref="H148:H154" si="46" t="shared">U148*$B$1</f>
        <v>154777</v>
      </c>
      <c r="I148">
        <f ref="I148:I154" si="47" t="shared">V148*$B$1</f>
        <v>1035551</v>
      </c>
      <c r="N148">
        <v>0</v>
      </c>
      <c r="O148" s="105" t="n">
        <v>268790.0</v>
      </c>
      <c r="P148" s="105" t="n">
        <v>145965.0</v>
      </c>
      <c r="Q148" s="105" t="n">
        <v>90795.0</v>
      </c>
      <c r="R148" s="105" t="n">
        <v>151575.0</v>
      </c>
      <c r="S148" s="105" t="n">
        <v>99406.0</v>
      </c>
      <c r="T148" s="105" t="n">
        <v>98654.0</v>
      </c>
      <c r="U148" s="105" t="n">
        <v>153829.0</v>
      </c>
      <c r="V148">
        <f>SUM(O148:U148)</f>
        <v>1035551</v>
      </c>
    </row>
    <row r="149" spans="1:22" x14ac:dyDescent="0.2">
      <c r="A149">
        <v>1</v>
      </c>
      <c r="B149">
        <f si="45" t="shared"/>
        <v>169480</v>
      </c>
      <c r="C149">
        <f si="45" t="shared"/>
        <v>44361</v>
      </c>
      <c r="D149">
        <f si="45" t="shared"/>
        <v>59678</v>
      </c>
      <c r="E149">
        <f si="45" t="shared"/>
        <v>65730</v>
      </c>
      <c r="F149">
        <f si="45" t="shared"/>
        <v>44951</v>
      </c>
      <c r="G149">
        <f si="45" t="shared"/>
        <v>24402</v>
      </c>
      <c r="H149">
        <f si="46" t="shared"/>
        <v>45295</v>
      </c>
      <c r="I149">
        <f si="47" t="shared"/>
        <v>453897</v>
      </c>
      <c r="N149">
        <v>1</v>
      </c>
      <c r="O149" s="105" t="n">
        <v>159017.0</v>
      </c>
      <c r="P149" s="105" t="n">
        <v>45758.0</v>
      </c>
      <c r="Q149" s="105" t="n">
        <v>62397.0</v>
      </c>
      <c r="R149" s="105" t="n">
        <v>68498.0</v>
      </c>
      <c r="S149" s="105" t="n">
        <v>46345.0</v>
      </c>
      <c r="T149" s="105" t="n">
        <v>25098.0</v>
      </c>
      <c r="U149" s="105" t="n">
        <v>45406.0</v>
      </c>
      <c r="V149">
        <f ref="V149:V154" si="48" t="shared">SUM(O149:U149)</f>
        <v>453897</v>
      </c>
    </row>
    <row r="150" spans="1:22" x14ac:dyDescent="0.2">
      <c r="A150">
        <v>2</v>
      </c>
      <c r="B150">
        <f si="45" t="shared"/>
        <v>93397</v>
      </c>
      <c r="C150">
        <f si="45" t="shared"/>
        <v>17311</v>
      </c>
      <c r="D150">
        <f si="45" t="shared"/>
        <v>29586</v>
      </c>
      <c r="E150">
        <f si="45" t="shared"/>
        <v>25576</v>
      </c>
      <c r="F150">
        <f si="45" t="shared"/>
        <v>17763</v>
      </c>
      <c r="G150">
        <f si="45" t="shared"/>
        <v>6780</v>
      </c>
      <c r="H150">
        <f si="46" t="shared"/>
        <v>13658</v>
      </c>
      <c r="I150">
        <f si="47" t="shared"/>
        <v>204071</v>
      </c>
      <c r="N150">
        <v>2</v>
      </c>
      <c r="O150" s="105" t="n">
        <v>85432.0</v>
      </c>
      <c r="P150" s="105" t="n">
        <v>17648.0</v>
      </c>
      <c r="Q150" s="105" t="n">
        <v>31192.0</v>
      </c>
      <c r="R150" s="105" t="n">
        <v>26890.0</v>
      </c>
      <c r="S150" s="105" t="n">
        <v>18411.0</v>
      </c>
      <c r="T150" s="105" t="n">
        <v>6742.0</v>
      </c>
      <c r="U150" s="105" t="n">
        <v>13491.0</v>
      </c>
      <c r="V150">
        <f si="48" t="shared"/>
        <v>204071</v>
      </c>
    </row>
    <row r="151" spans="1:22" x14ac:dyDescent="0.2">
      <c r="A151">
        <v>3</v>
      </c>
      <c r="B151">
        <f si="45" t="shared"/>
        <v>41422</v>
      </c>
      <c r="C151">
        <f si="45" t="shared"/>
        <v>5182</v>
      </c>
      <c r="D151">
        <f si="45" t="shared"/>
        <v>11772</v>
      </c>
      <c r="E151">
        <f si="45" t="shared"/>
        <v>7830</v>
      </c>
      <c r="F151">
        <f si="45" t="shared"/>
        <v>5683</v>
      </c>
      <c r="G151">
        <f si="45" t="shared"/>
        <v>1672</v>
      </c>
      <c r="H151">
        <f si="46" t="shared"/>
        <v>3736</v>
      </c>
      <c r="I151">
        <f si="47" t="shared"/>
        <v>77297</v>
      </c>
      <c r="N151">
        <v>3</v>
      </c>
      <c r="O151" s="105" t="n">
        <v>36358.0</v>
      </c>
      <c r="P151" s="105" t="n">
        <v>5328.0</v>
      </c>
      <c r="Q151" s="105" t="n">
        <v>12581.0</v>
      </c>
      <c r="R151" s="105" t="n">
        <v>8327.0</v>
      </c>
      <c r="S151" s="105" t="n">
        <v>5799.0</v>
      </c>
      <c r="T151" s="105" t="n">
        <v>1769.0</v>
      </c>
      <c r="U151" s="105" t="n">
        <v>3715.0</v>
      </c>
      <c r="V151">
        <f si="48" t="shared"/>
        <v>77297</v>
      </c>
    </row>
    <row r="152" spans="1:22" x14ac:dyDescent="0.2">
      <c r="A152">
        <v>4</v>
      </c>
      <c r="B152">
        <f si="45" t="shared"/>
        <v>16997</v>
      </c>
      <c r="C152">
        <f si="45" t="shared"/>
        <v>1444</v>
      </c>
      <c r="D152">
        <f si="45" t="shared"/>
        <v>4265</v>
      </c>
      <c r="E152">
        <f si="45" t="shared"/>
        <v>1869</v>
      </c>
      <c r="F152">
        <f si="45" t="shared"/>
        <v>1559</v>
      </c>
      <c r="G152">
        <f si="45" t="shared"/>
        <v>360</v>
      </c>
      <c r="H152">
        <f si="46" t="shared"/>
        <v>980</v>
      </c>
      <c r="I152">
        <f si="47" t="shared"/>
        <v>27474</v>
      </c>
      <c r="N152">
        <v>4</v>
      </c>
      <c r="O152" s="105" t="n">
        <v>14478.0</v>
      </c>
      <c r="P152" s="105" t="n">
        <v>1542.0</v>
      </c>
      <c r="Q152" s="105" t="n">
        <v>4683.0</v>
      </c>
      <c r="R152" s="105" t="n">
        <v>1907.0</v>
      </c>
      <c r="S152" s="105" t="n">
        <v>1610.0</v>
      </c>
      <c r="T152" s="105" t="n">
        <v>391.0</v>
      </c>
      <c r="U152" s="105" t="n">
        <v>1024.0</v>
      </c>
      <c r="V152">
        <f si="48" t="shared"/>
        <v>27474</v>
      </c>
    </row>
    <row r="153" spans="1:22" x14ac:dyDescent="0.2">
      <c r="A153">
        <v>5</v>
      </c>
      <c r="B153">
        <f si="45" t="shared"/>
        <v>6261</v>
      </c>
      <c r="C153">
        <f si="45" t="shared"/>
        <v>377</v>
      </c>
      <c r="D153">
        <f si="45" t="shared"/>
        <v>1387</v>
      </c>
      <c r="E153">
        <f si="45" t="shared"/>
        <v>354</v>
      </c>
      <c r="F153">
        <f si="45" t="shared"/>
        <v>302</v>
      </c>
      <c r="G153">
        <f si="45" t="shared"/>
        <v>56</v>
      </c>
      <c r="H153">
        <f si="46" t="shared"/>
        <v>220</v>
      </c>
      <c r="I153">
        <f si="47" t="shared"/>
        <v>8957</v>
      </c>
      <c r="N153">
        <v>5</v>
      </c>
      <c r="O153" s="105" t="n">
        <v>4995.0</v>
      </c>
      <c r="P153" s="105" t="n">
        <v>390.0</v>
      </c>
      <c r="Q153" s="105" t="n">
        <v>1485.0</v>
      </c>
      <c r="R153" s="105" t="n">
        <v>338.0</v>
      </c>
      <c r="S153" s="105" t="n">
        <v>333.0</v>
      </c>
      <c r="T153" s="105" t="n">
        <v>74.0</v>
      </c>
      <c r="U153" s="105" t="n">
        <v>254.0</v>
      </c>
      <c r="V153">
        <f si="48" t="shared"/>
        <v>8957</v>
      </c>
    </row>
    <row r="154" spans="1:22" x14ac:dyDescent="0.2">
      <c r="A154" t="s">
        <v>209</v>
      </c>
      <c r="B154">
        <f si="45" t="shared"/>
        <v>3680</v>
      </c>
      <c r="C154">
        <f si="45" t="shared"/>
        <v>134</v>
      </c>
      <c r="D154">
        <f si="45" t="shared"/>
        <v>619</v>
      </c>
      <c r="E154">
        <f si="45" t="shared"/>
        <v>71</v>
      </c>
      <c r="F154">
        <f si="45" t="shared"/>
        <v>69</v>
      </c>
      <c r="G154">
        <f si="45" t="shared"/>
        <v>18</v>
      </c>
      <c r="H154">
        <f si="46" t="shared"/>
        <v>73</v>
      </c>
      <c r="I154">
        <f si="47" t="shared"/>
        <v>4664</v>
      </c>
      <c r="N154" t="s">
        <v>209</v>
      </c>
      <c r="O154" s="105" t="n">
        <v>2913.0</v>
      </c>
      <c r="P154" s="105" t="n">
        <v>147.0</v>
      </c>
      <c r="Q154" s="105" t="n">
        <v>646.0</v>
      </c>
      <c r="R154" s="105" t="n">
        <v>86.0</v>
      </c>
      <c r="S154" s="105" t="n">
        <v>70.0</v>
      </c>
      <c r="T154" s="105" t="n">
        <v>10.0</v>
      </c>
      <c r="U154" s="105" t="n">
        <v>70.0</v>
      </c>
      <c r="V154">
        <f si="48" t="shared"/>
        <v>4664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460753</v>
      </c>
      <c r="C158">
        <f si="49" t="shared"/>
        <v>186027</v>
      </c>
      <c r="D158">
        <f si="49" t="shared"/>
        <v>133179</v>
      </c>
      <c r="E158">
        <f si="49" t="shared"/>
        <v>193953</v>
      </c>
      <c r="F158">
        <f si="49" t="shared"/>
        <v>127907</v>
      </c>
      <c r="G158">
        <f si="49" t="shared"/>
        <v>112359</v>
      </c>
      <c r="H158">
        <f ref="H158:H164" si="50" t="shared">U158*$B$1</f>
        <v>184069</v>
      </c>
      <c r="I158">
        <f ref="I158:I164" si="51" t="shared">V158*$B$1</f>
        <v>1398247</v>
      </c>
      <c r="N158">
        <v>0</v>
      </c>
      <c r="O158" s="105" t="n">
        <v>416124.0</v>
      </c>
      <c r="P158" s="105" t="n">
        <v>190536.0</v>
      </c>
      <c r="Q158" s="105" t="n">
        <v>136919.0</v>
      </c>
      <c r="R158" s="105" t="n">
        <v>198131.0</v>
      </c>
      <c r="S158" s="105" t="n">
        <v>130660.0</v>
      </c>
      <c r="T158" s="105" t="n">
        <v>113780.0</v>
      </c>
      <c r="U158" s="105" t="n">
        <v>183391.0</v>
      </c>
      <c r="V158">
        <f>SUM(O158:U158)</f>
        <v>1398247</v>
      </c>
    </row>
    <row r="159" spans="1:22" x14ac:dyDescent="0.2">
      <c r="A159">
        <v>1</v>
      </c>
      <c r="B159">
        <f si="49" t="shared"/>
        <v>123683</v>
      </c>
      <c r="C159">
        <f si="49" t="shared"/>
        <v>20960</v>
      </c>
      <c r="D159">
        <f si="49" t="shared"/>
        <v>46160</v>
      </c>
      <c r="E159">
        <f si="49" t="shared"/>
        <v>44068</v>
      </c>
      <c r="F159">
        <f si="49" t="shared"/>
        <v>30701</v>
      </c>
      <c r="G159">
        <f si="49" t="shared"/>
        <v>15176</v>
      </c>
      <c r="H159">
        <f si="50" t="shared"/>
        <v>28036</v>
      </c>
      <c r="I159">
        <f si="51" t="shared"/>
        <v>308784</v>
      </c>
      <c r="N159">
        <v>1</v>
      </c>
      <c r="O159" s="105" t="n">
        <v>112898.0</v>
      </c>
      <c r="P159" s="105" t="n">
        <v>21382.0</v>
      </c>
      <c r="Q159" s="105" t="n">
        <v>48673.0</v>
      </c>
      <c r="R159" s="105" t="n">
        <v>46404.0</v>
      </c>
      <c r="S159" s="105" t="n">
        <v>31682.0</v>
      </c>
      <c r="T159" s="105" t="n">
        <v>15593.0</v>
      </c>
      <c r="U159" s="105" t="n">
        <v>27809.0</v>
      </c>
      <c r="V159">
        <f ref="V159:V164" si="52" t="shared">SUM(O159:U159)</f>
        <v>308784</v>
      </c>
    </row>
    <row r="160" spans="1:22" x14ac:dyDescent="0.2">
      <c r="A160">
        <v>2</v>
      </c>
      <c r="B160">
        <f si="49" t="shared"/>
        <v>35475</v>
      </c>
      <c r="C160">
        <f si="49" t="shared"/>
        <v>3767</v>
      </c>
      <c r="D160">
        <f si="49" t="shared"/>
        <v>12612</v>
      </c>
      <c r="E160">
        <f si="49" t="shared"/>
        <v>10121</v>
      </c>
      <c r="F160">
        <f si="49" t="shared"/>
        <v>7344</v>
      </c>
      <c r="G160">
        <f si="49" t="shared"/>
        <v>2669</v>
      </c>
      <c r="H160">
        <f si="50" t="shared"/>
        <v>5245</v>
      </c>
      <c r="I160">
        <f si="51" t="shared"/>
        <v>77233</v>
      </c>
      <c r="N160">
        <v>2</v>
      </c>
      <c r="O160" s="105" t="n">
        <v>30494.0</v>
      </c>
      <c r="P160" s="105" t="n">
        <v>3921.0</v>
      </c>
      <c r="Q160" s="105" t="n">
        <v>13219.0</v>
      </c>
      <c r="R160" s="105" t="n">
        <v>10463.0</v>
      </c>
      <c r="S160" s="105" t="n">
        <v>7549.0</v>
      </c>
      <c r="T160" s="105" t="n">
        <v>2732.0</v>
      </c>
      <c r="U160" s="105" t="n">
        <v>5176.0</v>
      </c>
      <c r="V160">
        <f si="52" t="shared"/>
        <v>77233</v>
      </c>
    </row>
    <row r="161" spans="1:22" x14ac:dyDescent="0.2">
      <c r="A161">
        <v>3</v>
      </c>
      <c r="B161">
        <f si="49" t="shared"/>
        <v>11425</v>
      </c>
      <c r="C161">
        <f si="49" t="shared"/>
        <v>738</v>
      </c>
      <c r="D161">
        <f si="49" t="shared"/>
        <v>3499</v>
      </c>
      <c r="E161">
        <f si="49" t="shared"/>
        <v>2123</v>
      </c>
      <c r="F161">
        <f si="49" t="shared"/>
        <v>1667</v>
      </c>
      <c r="G161">
        <f si="49" t="shared"/>
        <v>546</v>
      </c>
      <c r="H161">
        <f si="50" t="shared"/>
        <v>1145</v>
      </c>
      <c r="I161">
        <f si="51" t="shared"/>
        <v>21143</v>
      </c>
      <c r="N161">
        <v>3</v>
      </c>
      <c r="O161" s="105" t="n">
        <v>9284.0</v>
      </c>
      <c r="P161" s="105" t="n">
        <v>768.0</v>
      </c>
      <c r="Q161" s="105" t="n">
        <v>3764.0</v>
      </c>
      <c r="R161" s="105" t="n">
        <v>2278.0</v>
      </c>
      <c r="S161" s="105" t="n">
        <v>1732.0</v>
      </c>
      <c r="T161" s="105" t="n">
        <v>546.0</v>
      </c>
      <c r="U161" s="105" t="n">
        <v>1149.0</v>
      </c>
      <c r="V161">
        <f si="52" t="shared"/>
        <v>21143</v>
      </c>
    </row>
    <row r="162" spans="1:22" x14ac:dyDescent="0.2">
      <c r="A162">
        <v>4</v>
      </c>
      <c r="B162">
        <f si="49" t="shared"/>
        <v>3188</v>
      </c>
      <c r="C162">
        <f si="49" t="shared"/>
        <v>122</v>
      </c>
      <c r="D162">
        <f si="49" t="shared"/>
        <v>812</v>
      </c>
      <c r="E162">
        <f si="49" t="shared"/>
        <v>322</v>
      </c>
      <c r="F162">
        <f si="49" t="shared"/>
        <v>282</v>
      </c>
      <c r="G162">
        <f si="49" t="shared"/>
        <v>66</v>
      </c>
      <c r="H162">
        <f si="50" t="shared"/>
        <v>206</v>
      </c>
      <c r="I162">
        <f si="51" t="shared"/>
        <v>4998</v>
      </c>
      <c r="N162">
        <v>4</v>
      </c>
      <c r="O162" s="105" t="n">
        <v>2478.0</v>
      </c>
      <c r="P162" s="105" t="n">
        <v>142.0</v>
      </c>
      <c r="Q162" s="105" t="n">
        <v>938.0</v>
      </c>
      <c r="R162" s="105" t="n">
        <v>301.0</v>
      </c>
      <c r="S162" s="105" t="n">
        <v>311.0</v>
      </c>
      <c r="T162" s="105" t="n">
        <v>77.0</v>
      </c>
      <c r="U162" s="105" t="n">
        <v>218.0</v>
      </c>
      <c r="V162">
        <f si="52" t="shared"/>
        <v>4998</v>
      </c>
    </row>
    <row r="163" spans="1:22" x14ac:dyDescent="0.2">
      <c r="A163">
        <v>5</v>
      </c>
      <c r="B163">
        <f si="49" t="shared"/>
        <v>652</v>
      </c>
      <c r="C163">
        <f si="49" t="shared"/>
        <v>16</v>
      </c>
      <c r="D163">
        <f si="49" t="shared"/>
        <v>143</v>
      </c>
      <c r="E163">
        <f si="49" t="shared"/>
        <v>36</v>
      </c>
      <c r="F163">
        <f si="49" t="shared"/>
        <v>34</v>
      </c>
      <c r="G163">
        <f si="49" t="shared"/>
        <v>8</v>
      </c>
      <c r="H163">
        <f si="50" t="shared"/>
        <v>31</v>
      </c>
      <c r="I163">
        <f si="51" t="shared"/>
        <v>920</v>
      </c>
      <c r="N163">
        <v>5</v>
      </c>
      <c r="O163" s="105" t="n">
        <v>470.0</v>
      </c>
      <c r="P163" s="105" t="n">
        <v>22.0</v>
      </c>
      <c r="Q163" s="105" t="n">
        <v>167.0</v>
      </c>
      <c r="R163" s="105" t="n">
        <v>34.0</v>
      </c>
      <c r="S163" s="105" t="n">
        <v>34.0</v>
      </c>
      <c r="T163" s="105" t="n">
        <v>6.0</v>
      </c>
      <c r="U163" s="105" t="n">
        <v>39.0</v>
      </c>
      <c r="V163">
        <f si="52" t="shared"/>
        <v>920</v>
      </c>
    </row>
    <row r="164" spans="1:22" x14ac:dyDescent="0.2">
      <c r="A164" t="s">
        <v>209</v>
      </c>
      <c r="B164">
        <f si="49" t="shared"/>
        <v>460</v>
      </c>
      <c r="C164">
        <f si="49" t="shared"/>
        <v>7</v>
      </c>
      <c r="D164">
        <f si="49" t="shared"/>
        <v>90</v>
      </c>
      <c r="E164">
        <f si="49" t="shared"/>
        <v>10</v>
      </c>
      <c r="F164">
        <f si="49" t="shared"/>
        <v>9</v>
      </c>
      <c r="G164">
        <f si="49" t="shared"/>
        <v>3</v>
      </c>
      <c r="H164">
        <f si="50" t="shared"/>
        <v>7</v>
      </c>
      <c r="I164">
        <f si="51" t="shared"/>
        <v>586</v>
      </c>
      <c r="N164" t="s">
        <v>209</v>
      </c>
      <c r="O164" s="105" t="n">
        <v>235.0</v>
      </c>
      <c r="P164" s="105" t="n">
        <v>7.0</v>
      </c>
      <c r="Q164" s="105" t="n">
        <v>99.0</v>
      </c>
      <c r="R164" s="105" t="n">
        <v>10.0</v>
      </c>
      <c r="S164" s="105" t="n">
        <v>6.0</v>
      </c>
      <c r="T164" s="105" t="n">
        <v>4.0</v>
      </c>
      <c r="U164" s="105" t="n">
        <v>7.0</v>
      </c>
      <c r="V164">
        <f si="52" t="shared"/>
        <v>586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389464</v>
      </c>
      <c r="C168">
        <f si="53" t="shared"/>
        <v>157392</v>
      </c>
      <c r="D168">
        <f si="53" t="shared"/>
        <v>124108</v>
      </c>
      <c r="E168">
        <f si="53" t="shared"/>
        <v>187221</v>
      </c>
      <c r="F168">
        <f si="53" t="shared"/>
        <v>123943</v>
      </c>
      <c r="G168">
        <f si="53" t="shared"/>
        <v>111453</v>
      </c>
      <c r="H168">
        <f ref="H168:H174" si="54" t="shared">U168*$B$1</f>
        <v>179782</v>
      </c>
      <c r="I168">
        <f ref="I168:I174" si="55" t="shared">V168*$B$1</f>
        <v>1273363</v>
      </c>
      <c r="N168">
        <v>0</v>
      </c>
      <c r="O168" s="105" t="n">
        <v>344880.0</v>
      </c>
      <c r="P168" s="105" t="n">
        <v>160914.0</v>
      </c>
      <c r="Q168" s="105" t="n">
        <v>127265.0</v>
      </c>
      <c r="R168" s="105" t="n">
        <v>191198.0</v>
      </c>
      <c r="S168" s="105" t="n">
        <v>126623.0</v>
      </c>
      <c r="T168" s="105" t="n">
        <v>112957.0</v>
      </c>
      <c r="U168" s="105" t="n">
        <v>178662.0</v>
      </c>
      <c r="V168">
        <f>SUM(O168:U168)</f>
        <v>1273363</v>
      </c>
    </row>
    <row r="169" spans="1:22" x14ac:dyDescent="0.2">
      <c r="A169">
        <v>1</v>
      </c>
      <c r="B169">
        <f si="53" t="shared"/>
        <v>168120</v>
      </c>
      <c r="C169">
        <f si="53" t="shared"/>
        <v>40193</v>
      </c>
      <c r="D169">
        <f si="53" t="shared"/>
        <v>54327</v>
      </c>
      <c r="E169">
        <f si="53" t="shared"/>
        <v>51289</v>
      </c>
      <c r="F169">
        <f si="53" t="shared"/>
        <v>35585</v>
      </c>
      <c r="G169">
        <f si="53" t="shared"/>
        <v>16782</v>
      </c>
      <c r="H169">
        <f si="54" t="shared"/>
        <v>32813</v>
      </c>
      <c r="I169">
        <f si="55" t="shared"/>
        <v>399109</v>
      </c>
      <c r="N169">
        <v>1</v>
      </c>
      <c r="O169" s="105" t="n">
        <v>156723.0</v>
      </c>
      <c r="P169" s="105" t="n">
        <v>41461.0</v>
      </c>
      <c r="Q169" s="105" t="n">
        <v>57347.0</v>
      </c>
      <c r="R169" s="105" t="n">
        <v>53693.0</v>
      </c>
      <c r="S169" s="105" t="n">
        <v>36733.0</v>
      </c>
      <c r="T169" s="105" t="n">
        <v>17162.0</v>
      </c>
      <c r="U169" s="105" t="n">
        <v>32855.0</v>
      </c>
      <c r="V169">
        <f ref="V169:V174" si="56" t="shared">SUM(O169:U169)</f>
        <v>399109</v>
      </c>
    </row>
    <row r="170" spans="1:22" x14ac:dyDescent="0.2">
      <c r="A170">
        <v>2</v>
      </c>
      <c r="B170">
        <f si="53" t="shared"/>
        <v>55693</v>
      </c>
      <c r="C170">
        <f si="53" t="shared"/>
        <v>11310</v>
      </c>
      <c r="D170">
        <f si="53" t="shared"/>
        <v>14072</v>
      </c>
      <c r="E170">
        <f si="53" t="shared"/>
        <v>10174</v>
      </c>
      <c r="F170">
        <f si="53" t="shared"/>
        <v>7104</v>
      </c>
      <c r="G170">
        <f si="53" t="shared"/>
        <v>2273</v>
      </c>
      <c r="H170">
        <f si="54" t="shared"/>
        <v>5146</v>
      </c>
      <c r="I170">
        <f si="55" t="shared"/>
        <v>105772</v>
      </c>
      <c r="N170">
        <v>2</v>
      </c>
      <c r="O170" s="105" t="n">
        <v>50745.0</v>
      </c>
      <c r="P170" s="105" t="n">
        <v>11557.0</v>
      </c>
      <c r="Q170" s="105" t="n">
        <v>14933.0</v>
      </c>
      <c r="R170" s="105" t="n">
        <v>10690.0</v>
      </c>
      <c r="S170" s="105" t="n">
        <v>7193.0</v>
      </c>
      <c r="T170" s="105" t="n">
        <v>2245.0</v>
      </c>
      <c r="U170" s="105" t="n">
        <v>5256.0</v>
      </c>
      <c r="V170">
        <f si="56" t="shared"/>
        <v>105772</v>
      </c>
    </row>
    <row r="171" spans="1:22" x14ac:dyDescent="0.2">
      <c r="A171">
        <v>3</v>
      </c>
      <c r="B171">
        <f si="53" t="shared"/>
        <v>15645</v>
      </c>
      <c r="C171">
        <f si="53" t="shared"/>
        <v>2200</v>
      </c>
      <c r="D171">
        <f si="53" t="shared"/>
        <v>3042</v>
      </c>
      <c r="E171">
        <f si="53" t="shared"/>
        <v>1635</v>
      </c>
      <c r="F171">
        <f si="53" t="shared"/>
        <v>1122</v>
      </c>
      <c r="G171">
        <f si="53" t="shared"/>
        <v>274</v>
      </c>
      <c r="H171">
        <f si="54" t="shared"/>
        <v>829</v>
      </c>
      <c r="I171">
        <f si="55" t="shared"/>
        <v>24747</v>
      </c>
      <c r="N171">
        <v>3</v>
      </c>
      <c r="O171" s="105" t="n">
        <v>13892.0</v>
      </c>
      <c r="P171" s="105" t="n">
        <v>2273.0</v>
      </c>
      <c r="Q171" s="105" t="n">
        <v>3243.0</v>
      </c>
      <c r="R171" s="105" t="n">
        <v>1764.0</v>
      </c>
      <c r="S171" s="105" t="n">
        <v>1176.0</v>
      </c>
      <c r="T171" s="105" t="n">
        <v>325.0</v>
      </c>
      <c r="U171" s="105" t="n">
        <v>844.0</v>
      </c>
      <c r="V171">
        <f si="56" t="shared"/>
        <v>24747</v>
      </c>
    </row>
    <row r="172" spans="1:22" x14ac:dyDescent="0.2">
      <c r="A172">
        <v>4</v>
      </c>
      <c r="B172">
        <f si="53" t="shared"/>
        <v>5026</v>
      </c>
      <c r="C172">
        <f si="53" t="shared"/>
        <v>442</v>
      </c>
      <c r="D172">
        <f si="53" t="shared"/>
        <v>739</v>
      </c>
      <c r="E172">
        <f si="53" t="shared"/>
        <v>273</v>
      </c>
      <c r="F172">
        <f si="53" t="shared"/>
        <v>169</v>
      </c>
      <c r="G172">
        <f si="53" t="shared"/>
        <v>39</v>
      </c>
      <c r="H172">
        <f si="54" t="shared"/>
        <v>141</v>
      </c>
      <c r="I172">
        <f si="55" t="shared"/>
        <v>6829</v>
      </c>
      <c r="N172">
        <v>4</v>
      </c>
      <c r="O172" s="105" t="n">
        <v>4265.0</v>
      </c>
      <c r="P172" s="105" t="n">
        <v>458.0</v>
      </c>
      <c r="Q172" s="105" t="n">
        <v>789.0</v>
      </c>
      <c r="R172" s="105" t="n">
        <v>248.0</v>
      </c>
      <c r="S172" s="105" t="n">
        <v>225.0</v>
      </c>
      <c r="T172" s="105" t="n">
        <v>43.0</v>
      </c>
      <c r="U172" s="105" t="n">
        <v>151.0</v>
      </c>
      <c r="V172">
        <f si="56" t="shared"/>
        <v>6829</v>
      </c>
    </row>
    <row r="173" spans="1:22" x14ac:dyDescent="0.2">
      <c r="A173">
        <v>5</v>
      </c>
      <c r="B173">
        <f si="53" t="shared"/>
        <v>876</v>
      </c>
      <c r="C173">
        <f si="53" t="shared"/>
        <v>68</v>
      </c>
      <c r="D173">
        <f si="53" t="shared"/>
        <v>123</v>
      </c>
      <c r="E173">
        <f si="53" t="shared"/>
        <v>33</v>
      </c>
      <c r="F173">
        <f si="53" t="shared"/>
        <v>11</v>
      </c>
      <c r="G173">
        <f si="53" t="shared"/>
        <v>4</v>
      </c>
      <c r="H173">
        <f si="54" t="shared"/>
        <v>15</v>
      </c>
      <c r="I173">
        <f si="55" t="shared"/>
        <v>1130</v>
      </c>
      <c r="N173">
        <v>5</v>
      </c>
      <c r="O173" s="105" t="n">
        <v>794.0</v>
      </c>
      <c r="P173" s="105" t="n">
        <v>81.0</v>
      </c>
      <c r="Q173" s="105" t="n">
        <v>131.0</v>
      </c>
      <c r="R173" s="105" t="n">
        <v>20.0</v>
      </c>
      <c r="S173" s="105" t="n">
        <v>21.0</v>
      </c>
      <c r="T173" s="105" t="n">
        <v>5.0</v>
      </c>
      <c r="U173" s="105" t="n">
        <v>15.0</v>
      </c>
      <c r="V173">
        <f si="56" t="shared"/>
        <v>1130</v>
      </c>
    </row>
    <row r="174" spans="1:22" x14ac:dyDescent="0.2">
      <c r="A174" t="s">
        <v>209</v>
      </c>
      <c r="B174">
        <f si="53" t="shared"/>
        <v>812</v>
      </c>
      <c r="C174">
        <f si="53" t="shared"/>
        <v>32</v>
      </c>
      <c r="D174">
        <f si="53" t="shared"/>
        <v>84</v>
      </c>
      <c r="E174">
        <f si="53" t="shared"/>
        <v>8</v>
      </c>
      <c r="F174">
        <f si="53" t="shared"/>
        <v>10</v>
      </c>
      <c r="G174">
        <f si="53" t="shared"/>
        <v>2</v>
      </c>
      <c r="H174">
        <f si="54" t="shared"/>
        <v>13</v>
      </c>
      <c r="I174">
        <f si="55" t="shared"/>
        <v>961</v>
      </c>
      <c r="N174" t="s">
        <v>209</v>
      </c>
      <c r="O174" s="105" t="n">
        <v>684.0</v>
      </c>
      <c r="P174" s="105" t="n">
        <v>34.0</v>
      </c>
      <c r="Q174" s="105" t="n">
        <v>71.0</v>
      </c>
      <c r="R174" s="105" t="n">
        <v>8.0</v>
      </c>
      <c r="S174" s="105" t="n">
        <v>3.0</v>
      </c>
      <c r="T174" s="105" t="n">
        <v>1.0</v>
      </c>
      <c r="U174" s="105" t="n">
        <v>6.0</v>
      </c>
      <c r="V174">
        <f si="56" t="shared"/>
        <v>961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544974</v>
      </c>
      <c r="C178">
        <f si="57" t="shared"/>
        <v>60023</v>
      </c>
      <c r="D178">
        <f si="57" t="shared"/>
        <v>0</v>
      </c>
      <c r="E178">
        <f si="57" t="shared"/>
        <v>0</v>
      </c>
      <c r="F178">
        <f si="57" t="shared"/>
        <v>10431</v>
      </c>
      <c r="G178">
        <f si="57" t="shared"/>
        <v>1761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617189</v>
      </c>
      <c r="N178" t="s">
        <v>210</v>
      </c>
      <c r="O178" s="105" t="n">
        <v>495629.0</v>
      </c>
      <c r="P178" s="105" t="n">
        <v>49607.0</v>
      </c>
      <c r="Q178" s="105" t="n">
        <v>0.0</v>
      </c>
      <c r="R178" s="105" t="n">
        <v>0.0</v>
      </c>
      <c r="S178" s="105" t="n">
        <v>9184.0</v>
      </c>
      <c r="T178" s="105" t="n">
        <v>1595.0</v>
      </c>
      <c r="U178" s="105" t="n">
        <v>0.0</v>
      </c>
      <c r="V178" s="105" t="n">
        <v>0.0</v>
      </c>
      <c r="W178">
        <f>SUM(O178:V178)</f>
        <v>617189</v>
      </c>
    </row>
    <row r="179" spans="1:23" x14ac:dyDescent="0.2">
      <c r="A179" t="s">
        <v>211</v>
      </c>
      <c r="B179">
        <f si="57" t="shared"/>
        <v>6075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14015</v>
      </c>
      <c r="G179">
        <f si="57" t="shared"/>
        <v>24662</v>
      </c>
      <c r="H179">
        <f si="57" t="shared"/>
        <v>166383</v>
      </c>
      <c r="I179">
        <f si="58" t="shared"/>
        <v>0</v>
      </c>
      <c r="J179">
        <f si="59" t="shared"/>
        <v>211135</v>
      </c>
      <c r="N179" t="s">
        <v>211</v>
      </c>
      <c r="O179" s="105" t="n">
        <v>8417.0</v>
      </c>
      <c r="P179" s="105" t="n">
        <v>0.0</v>
      </c>
      <c r="Q179" s="105" t="n">
        <v>0.0</v>
      </c>
      <c r="R179" s="105" t="n">
        <v>0.0</v>
      </c>
      <c r="S179" s="105" t="n">
        <v>15346.0</v>
      </c>
      <c r="T179" s="105" t="n">
        <v>25538.0</v>
      </c>
      <c r="U179" s="105" t="n">
        <v>166919.0</v>
      </c>
      <c r="V179" s="105" t="n">
        <v>0.0</v>
      </c>
      <c r="W179">
        <f ref="W179:W185" si="60" t="shared">SUM(O179:V179)</f>
        <v>211135</v>
      </c>
    </row>
    <row r="180" spans="1:23" x14ac:dyDescent="0.2">
      <c r="A180" t="s">
        <v>212</v>
      </c>
      <c r="B180">
        <f si="57" t="shared"/>
        <v>58323</v>
      </c>
      <c r="C180">
        <f si="57" t="shared"/>
        <v>24700</v>
      </c>
      <c r="D180">
        <f si="57" t="shared"/>
        <v>17450</v>
      </c>
      <c r="E180">
        <f si="57" t="shared"/>
        <v>73369</v>
      </c>
      <c r="F180">
        <f si="57" t="shared"/>
        <v>5538</v>
      </c>
      <c r="G180">
        <f si="57" t="shared"/>
        <v>2217</v>
      </c>
      <c r="H180">
        <f si="57" t="shared"/>
        <v>9603</v>
      </c>
      <c r="I180">
        <f si="58" t="shared"/>
        <v>0</v>
      </c>
      <c r="J180">
        <f si="59" t="shared"/>
        <v>191200</v>
      </c>
      <c r="N180" t="s">
        <v>212</v>
      </c>
      <c r="O180" s="105" t="n">
        <v>60849.0</v>
      </c>
      <c r="P180" s="105" t="n">
        <v>31379.0</v>
      </c>
      <c r="Q180" s="105" t="n">
        <v>16990.0</v>
      </c>
      <c r="R180" s="105" t="n">
        <v>72048.0</v>
      </c>
      <c r="S180" s="105" t="n">
        <v>5506.0</v>
      </c>
      <c r="T180" s="105" t="n">
        <v>2192.0</v>
      </c>
      <c r="U180" s="105" t="n">
        <v>9488.0</v>
      </c>
      <c r="V180" s="105" t="n">
        <v>0.0</v>
      </c>
      <c r="W180">
        <f si="60" t="shared"/>
        <v>191200</v>
      </c>
    </row>
    <row r="181" spans="1:23" x14ac:dyDescent="0.2">
      <c r="A181" t="s">
        <v>36</v>
      </c>
      <c r="B181">
        <f si="57" t="shared"/>
        <v>63525</v>
      </c>
      <c r="C181">
        <f si="57" t="shared"/>
        <v>15197</v>
      </c>
      <c r="D181">
        <f si="57" t="shared"/>
        <v>73936</v>
      </c>
      <c r="E181">
        <f si="57" t="shared"/>
        <v>55937</v>
      </c>
      <c r="F181">
        <f si="57" t="shared"/>
        <v>4232</v>
      </c>
      <c r="G181">
        <f si="57" t="shared"/>
        <v>3290</v>
      </c>
      <c r="H181">
        <f si="57" t="shared"/>
        <v>16901</v>
      </c>
      <c r="I181">
        <f si="58" t="shared"/>
        <v>0</v>
      </c>
      <c r="J181">
        <f si="59" t="shared"/>
        <v>233018</v>
      </c>
      <c r="N181" t="s">
        <v>36</v>
      </c>
      <c r="O181" s="105" t="n">
        <v>66447.0</v>
      </c>
      <c r="P181" s="105" t="n">
        <v>20695.0</v>
      </c>
      <c r="Q181" s="105" t="n">
        <v>73884.0</v>
      </c>
      <c r="R181" s="105" t="n">
        <v>55724.0</v>
      </c>
      <c r="S181" s="105" t="n">
        <v>4331.0</v>
      </c>
      <c r="T181" s="105" t="n">
        <v>3408.0</v>
      </c>
      <c r="U181" s="105" t="n">
        <v>16725.0</v>
      </c>
      <c r="V181" s="105" t="n">
        <v>0.0</v>
      </c>
      <c r="W181">
        <f si="60" t="shared"/>
        <v>233018</v>
      </c>
    </row>
    <row r="182" spans="1:23" x14ac:dyDescent="0.2">
      <c r="A182" t="s">
        <v>214</v>
      </c>
      <c r="B182">
        <f si="57" t="shared"/>
        <v>41217</v>
      </c>
      <c r="C182">
        <f si="57" t="shared"/>
        <v>12180</v>
      </c>
      <c r="D182">
        <f si="57" t="shared"/>
        <v>43108</v>
      </c>
      <c r="E182">
        <f si="57" t="shared"/>
        <v>47807</v>
      </c>
      <c r="F182">
        <f si="57" t="shared"/>
        <v>5024</v>
      </c>
      <c r="G182">
        <f si="57" t="shared"/>
        <v>1040</v>
      </c>
      <c r="H182">
        <f si="57" t="shared"/>
        <v>7631</v>
      </c>
      <c r="I182">
        <f si="58" t="shared"/>
        <v>0</v>
      </c>
      <c r="J182">
        <f si="59" t="shared"/>
        <v>158007</v>
      </c>
      <c r="N182" t="s">
        <v>214</v>
      </c>
      <c r="O182" s="105" t="n">
        <v>42571.0</v>
      </c>
      <c r="P182" s="105" t="n">
        <v>15643.0</v>
      </c>
      <c r="Q182" s="105" t="n">
        <v>42911.0</v>
      </c>
      <c r="R182" s="105" t="n">
        <v>47784.0</v>
      </c>
      <c r="S182" s="105" t="n">
        <v>4884.0</v>
      </c>
      <c r="T182" s="105" t="n">
        <v>1144.0</v>
      </c>
      <c r="U182" s="105" t="n">
        <v>7518.0</v>
      </c>
      <c r="V182" s="105" t="n">
        <v>0.0</v>
      </c>
      <c r="W182">
        <f si="60" t="shared"/>
        <v>158007</v>
      </c>
    </row>
    <row r="183" spans="1:23" x14ac:dyDescent="0.2">
      <c r="A183" t="s">
        <v>129</v>
      </c>
      <c r="B183">
        <f si="57" t="shared"/>
        <v>37276</v>
      </c>
      <c r="C183">
        <f si="57" t="shared"/>
        <v>7220</v>
      </c>
      <c r="D183">
        <f si="57" t="shared"/>
        <v>22427</v>
      </c>
      <c r="E183">
        <f si="57" t="shared"/>
        <v>13827</v>
      </c>
      <c r="F183">
        <f si="57" t="shared"/>
        <v>3827</v>
      </c>
      <c r="G183">
        <f si="57" t="shared"/>
        <v>772</v>
      </c>
      <c r="H183">
        <f si="57" t="shared"/>
        <v>5970</v>
      </c>
      <c r="I183">
        <f si="58" t="shared"/>
        <v>0</v>
      </c>
      <c r="J183">
        <f si="59" t="shared"/>
        <v>91319</v>
      </c>
      <c r="N183" t="s">
        <v>129</v>
      </c>
      <c r="O183" s="105" t="n">
        <v>39371.0</v>
      </c>
      <c r="P183" s="105" t="n">
        <v>9044.0</v>
      </c>
      <c r="Q183" s="105" t="n">
        <v>22518.0</v>
      </c>
      <c r="R183" s="105" t="n">
        <v>13643.0</v>
      </c>
      <c r="S183" s="105" t="n">
        <v>3950.0</v>
      </c>
      <c r="T183" s="105" t="n">
        <v>850.0</v>
      </c>
      <c r="U183" s="105" t="n">
        <v>5992.0</v>
      </c>
      <c r="V183" s="105" t="n">
        <v>0.0</v>
      </c>
      <c r="W183">
        <f si="60" t="shared"/>
        <v>91319</v>
      </c>
    </row>
    <row r="184" spans="1:23" x14ac:dyDescent="0.2">
      <c r="A184" t="s">
        <v>130</v>
      </c>
      <c r="B184">
        <f si="57" t="shared"/>
        <v>63888</v>
      </c>
      <c r="C184">
        <f si="57" t="shared"/>
        <v>16446</v>
      </c>
      <c r="D184">
        <f si="57" t="shared"/>
        <v>34177</v>
      </c>
      <c r="E184">
        <f si="57" t="shared"/>
        <v>40110</v>
      </c>
      <c r="F184">
        <f si="57" t="shared"/>
        <v>4334</v>
      </c>
      <c r="G184">
        <f si="57" t="shared"/>
        <v>6891</v>
      </c>
      <c r="H184">
        <f si="57" t="shared"/>
        <v>47356</v>
      </c>
      <c r="I184">
        <f si="58" t="shared"/>
        <v>0</v>
      </c>
      <c r="J184">
        <f si="59" t="shared"/>
        <v>213202</v>
      </c>
      <c r="N184" t="s">
        <v>130</v>
      </c>
      <c r="O184" s="105" t="n">
        <v>62177.0</v>
      </c>
      <c r="P184" s="105" t="n">
        <v>18343.0</v>
      </c>
      <c r="Q184" s="105" t="n">
        <v>34253.0</v>
      </c>
      <c r="R184" s="105" t="n">
        <v>39854.0</v>
      </c>
      <c r="S184" s="105" t="n">
        <v>4198.0</v>
      </c>
      <c r="T184" s="105" t="n">
        <v>6902.0</v>
      </c>
      <c r="U184" s="105" t="n">
        <v>46693.0</v>
      </c>
      <c r="V184" s="105" t="n">
        <v>0.0</v>
      </c>
      <c r="W184">
        <f si="60" t="shared"/>
        <v>213202</v>
      </c>
    </row>
    <row r="185" spans="1:23" x14ac:dyDescent="0.2">
      <c r="A185" t="s">
        <v>246</v>
      </c>
      <c r="B185">
        <f si="57" t="shared"/>
        <v>81613</v>
      </c>
      <c r="C185">
        <f si="57" t="shared"/>
        <v>14053</v>
      </c>
      <c r="D185">
        <f si="57" t="shared"/>
        <v>0</v>
      </c>
      <c r="E185">
        <f si="57" t="shared"/>
        <v>0</v>
      </c>
      <c r="F185">
        <f si="57" t="shared"/>
        <v>1051</v>
      </c>
      <c r="G185">
        <f si="57" t="shared"/>
        <v>124</v>
      </c>
      <c r="H185">
        <f si="57" t="shared"/>
        <v>0</v>
      </c>
      <c r="I185">
        <f si="58" t="shared"/>
        <v>0</v>
      </c>
      <c r="J185">
        <f si="59" t="shared"/>
        <v>96841</v>
      </c>
      <c r="N185" t="s">
        <v>246</v>
      </c>
      <c r="O185" s="105" t="n">
        <v>77398.0</v>
      </c>
      <c r="P185" s="105" t="n">
        <v>12033.0</v>
      </c>
      <c r="Q185" s="105" t="n">
        <v>0.0</v>
      </c>
      <c r="R185" s="105" t="n">
        <v>0.0</v>
      </c>
      <c r="S185" s="105" t="n">
        <v>981.0</v>
      </c>
      <c r="T185" s="105" t="n">
        <v>106.0</v>
      </c>
      <c r="U185" s="105" t="n">
        <v>0.0</v>
      </c>
      <c r="V185" s="105" t="n">
        <v>0.0</v>
      </c>
      <c r="W185">
        <f si="60" t="shared"/>
        <v>96841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D196" si="61" t="shared">O189*$B$1</f>
        <v>13291</v>
      </c>
      <c r="C189">
        <f si="61" t="shared"/>
        <v>123742</v>
      </c>
      <c r="D189">
        <f si="61" t="shared"/>
        <v>125733</v>
      </c>
      <c r="E189">
        <f ref="E189:E196" si="62" t="shared">R189*$B$1</f>
        <v>354366</v>
      </c>
      <c r="F189">
        <f ref="F189:F196" si="63" t="shared">S189*$B$1</f>
        <v>617132</v>
      </c>
      <c r="N189" t="s">
        <v>210</v>
      </c>
      <c r="O189" s="105" t="n">
        <v>11183.0</v>
      </c>
      <c r="P189" s="105" t="n">
        <v>110587.0</v>
      </c>
      <c r="Q189" s="105" t="n">
        <v>111396.0</v>
      </c>
      <c r="R189" s="105" t="n">
        <v>322802.0</v>
      </c>
      <c r="S189">
        <f>SUM(O189:R189)</f>
        <v>617132</v>
      </c>
    </row>
    <row r="190" spans="1:23" x14ac:dyDescent="0.2">
      <c r="A190" t="s">
        <v>211</v>
      </c>
      <c r="B190">
        <f si="61" t="shared"/>
        <v>14280</v>
      </c>
      <c r="C190">
        <f si="61" t="shared"/>
        <v>53558</v>
      </c>
      <c r="D190">
        <f si="61" t="shared"/>
        <v>35884</v>
      </c>
      <c r="E190">
        <f si="62" t="shared"/>
        <v>107406</v>
      </c>
      <c r="F190">
        <f si="63" t="shared"/>
        <v>211128</v>
      </c>
      <c r="N190" t="s">
        <v>211</v>
      </c>
      <c r="O190" s="105" t="n">
        <v>14578.0</v>
      </c>
      <c r="P190" s="105" t="n">
        <v>54285.0</v>
      </c>
      <c r="Q190" s="105" t="n">
        <v>36514.0</v>
      </c>
      <c r="R190" s="105" t="n">
        <v>110835.0</v>
      </c>
      <c r="S190">
        <f ref="S190:S196" si="64" t="shared">SUM(O190:R190)</f>
        <v>211128</v>
      </c>
    </row>
    <row r="191" spans="1:23" x14ac:dyDescent="0.2">
      <c r="A191" t="s">
        <v>212</v>
      </c>
      <c r="B191">
        <f si="61" t="shared"/>
        <v>14505</v>
      </c>
      <c r="C191">
        <f si="61" t="shared"/>
        <v>47179</v>
      </c>
      <c r="D191">
        <f si="61" t="shared"/>
        <v>33228</v>
      </c>
      <c r="E191">
        <f si="62" t="shared"/>
        <v>96272</v>
      </c>
      <c r="F191">
        <f si="63" t="shared"/>
        <v>191184</v>
      </c>
      <c r="N191" t="s">
        <v>212</v>
      </c>
      <c r="O191" s="105" t="n">
        <v>15183.0</v>
      </c>
      <c r="P191" s="105" t="n">
        <v>48995.0</v>
      </c>
      <c r="Q191" s="105" t="n">
        <v>34801.0</v>
      </c>
      <c r="R191" s="105" t="n">
        <v>99456.0</v>
      </c>
      <c r="S191">
        <f si="64" t="shared"/>
        <v>191184</v>
      </c>
    </row>
    <row r="192" spans="1:23" x14ac:dyDescent="0.2">
      <c r="A192" t="s">
        <v>36</v>
      </c>
      <c r="B192">
        <f si="61" t="shared"/>
        <v>19457</v>
      </c>
      <c r="C192">
        <f si="61" t="shared"/>
        <v>70616</v>
      </c>
      <c r="D192">
        <f si="61" t="shared"/>
        <v>44604</v>
      </c>
      <c r="E192">
        <f si="62" t="shared"/>
        <v>98312</v>
      </c>
      <c r="F192">
        <f si="63" t="shared"/>
        <v>232989</v>
      </c>
      <c r="N192" t="s">
        <v>36</v>
      </c>
      <c r="O192" s="105" t="n">
        <v>20007.0</v>
      </c>
      <c r="P192" s="105" t="n">
        <v>73040.0</v>
      </c>
      <c r="Q192" s="105" t="n">
        <v>46707.0</v>
      </c>
      <c r="R192" s="105" t="n">
        <v>101432.0</v>
      </c>
      <c r="S192">
        <f si="64" t="shared"/>
        <v>232989</v>
      </c>
    </row>
    <row r="193" spans="1:19" x14ac:dyDescent="0.2">
      <c r="A193" t="s">
        <v>214</v>
      </c>
      <c r="B193">
        <f si="61" t="shared"/>
        <v>15448</v>
      </c>
      <c r="C193">
        <f si="61" t="shared"/>
        <v>48409</v>
      </c>
      <c r="D193">
        <f si="61" t="shared"/>
        <v>30016</v>
      </c>
      <c r="E193">
        <f si="62" t="shared"/>
        <v>64115</v>
      </c>
      <c r="F193">
        <f si="63" t="shared"/>
        <v>157988</v>
      </c>
      <c r="N193" t="s">
        <v>214</v>
      </c>
      <c r="O193" s="105" t="n">
        <v>15924.0</v>
      </c>
      <c r="P193" s="105" t="n">
        <v>49816.0</v>
      </c>
      <c r="Q193" s="105" t="n">
        <v>30933.0</v>
      </c>
      <c r="R193" s="105" t="n">
        <v>65758.0</v>
      </c>
      <c r="S193">
        <f si="64" t="shared"/>
        <v>157988</v>
      </c>
    </row>
    <row r="194" spans="1:19" x14ac:dyDescent="0.2">
      <c r="A194" t="s">
        <v>129</v>
      </c>
      <c r="B194">
        <f si="61" t="shared"/>
        <v>6841</v>
      </c>
      <c r="C194">
        <f si="61" t="shared"/>
        <v>25105</v>
      </c>
      <c r="D194">
        <f si="61" t="shared"/>
        <v>18264</v>
      </c>
      <c r="E194">
        <f si="62" t="shared"/>
        <v>41097</v>
      </c>
      <c r="F194">
        <f si="63" t="shared"/>
        <v>91307</v>
      </c>
      <c r="N194" t="s">
        <v>129</v>
      </c>
      <c r="O194" s="105" t="n">
        <v>7009.0</v>
      </c>
      <c r="P194" s="105" t="n">
        <v>25933.0</v>
      </c>
      <c r="Q194" s="105" t="n">
        <v>19558.0</v>
      </c>
      <c r="R194" s="105" t="n">
        <v>42858.0</v>
      </c>
      <c r="S194">
        <f si="64" t="shared"/>
        <v>91307</v>
      </c>
    </row>
    <row r="195" spans="1:19" x14ac:dyDescent="0.2">
      <c r="A195" t="s">
        <v>130</v>
      </c>
      <c r="B195">
        <f si="61" t="shared"/>
        <v>14007</v>
      </c>
      <c r="C195">
        <f si="61" t="shared"/>
        <v>51698</v>
      </c>
      <c r="D195">
        <f si="61" t="shared"/>
        <v>39601</v>
      </c>
      <c r="E195">
        <f si="62" t="shared"/>
        <v>107872</v>
      </c>
      <c r="F195">
        <f si="63" t="shared"/>
        <v>213178</v>
      </c>
      <c r="N195" t="s">
        <v>130</v>
      </c>
      <c r="O195" s="105" t="n">
        <v>14126.0</v>
      </c>
      <c r="P195" s="105" t="n">
        <v>51980.0</v>
      </c>
      <c r="Q195" s="105" t="n">
        <v>39312.0</v>
      </c>
      <c r="R195" s="105" t="n">
        <v>106968.0</v>
      </c>
      <c r="S195">
        <f si="64" t="shared"/>
        <v>213178</v>
      </c>
    </row>
    <row r="196" spans="1:19" x14ac:dyDescent="0.2">
      <c r="A196" t="s">
        <v>246</v>
      </c>
      <c r="B196">
        <f si="61" t="shared"/>
        <v>2052</v>
      </c>
      <c r="C196">
        <f si="61" t="shared"/>
        <v>18452</v>
      </c>
      <c r="D196">
        <f si="61" t="shared"/>
        <v>19620</v>
      </c>
      <c r="E196">
        <f si="62" t="shared"/>
        <v>56706</v>
      </c>
      <c r="F196">
        <f si="63" t="shared"/>
        <v>96830</v>
      </c>
      <c r="N196" t="s">
        <v>246</v>
      </c>
      <c r="O196" s="105" t="n">
        <v>1726.0</v>
      </c>
      <c r="P196" s="105" t="n">
        <v>17210.0</v>
      </c>
      <c r="Q196" s="105" t="n">
        <v>17701.0</v>
      </c>
      <c r="R196" s="105" t="n">
        <v>53868.0</v>
      </c>
      <c r="S196">
        <f si="64" t="shared"/>
        <v>96830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4599</v>
      </c>
      <c r="C200">
        <f si="65" t="shared"/>
        <v>98867</v>
      </c>
      <c r="D200">
        <f si="65" t="shared"/>
        <v>394062</v>
      </c>
      <c r="E200">
        <f ref="E200:E207" si="66" t="shared">R200*$B$1</f>
        <v>119661</v>
      </c>
      <c r="F200">
        <f ref="F200:F207" si="67" t="shared">S200*$B$1</f>
        <v>617189</v>
      </c>
      <c r="N200" t="s">
        <v>210</v>
      </c>
      <c r="O200" s="105" t="n">
        <v>3685.0</v>
      </c>
      <c r="P200" s="105" t="n">
        <v>87526.0</v>
      </c>
      <c r="Q200" s="105" t="n">
        <v>357117.0</v>
      </c>
      <c r="R200" s="105" t="n">
        <v>107687.0</v>
      </c>
      <c r="S200">
        <f>SUM(O200:R200)</f>
        <v>617189</v>
      </c>
    </row>
    <row r="201" spans="1:19" x14ac:dyDescent="0.2">
      <c r="A201" t="s">
        <v>211</v>
      </c>
      <c r="B201">
        <f si="65" t="shared"/>
        <v>5409</v>
      </c>
      <c r="C201">
        <f si="65" t="shared"/>
        <v>54902</v>
      </c>
      <c r="D201">
        <f si="65" t="shared"/>
        <v>119641</v>
      </c>
      <c r="E201">
        <f si="66" t="shared"/>
        <v>31183</v>
      </c>
      <c r="F201">
        <f si="67" t="shared"/>
        <v>211135</v>
      </c>
      <c r="N201" t="s">
        <v>211</v>
      </c>
      <c r="O201" s="105" t="n">
        <v>5402.0</v>
      </c>
      <c r="P201" s="105" t="n">
        <v>56362.0</v>
      </c>
      <c r="Q201" s="105" t="n">
        <v>122558.0</v>
      </c>
      <c r="R201" s="105" t="n">
        <v>31898.0</v>
      </c>
      <c r="S201">
        <f ref="S201:S207" si="68" t="shared">SUM(O201:R201)</f>
        <v>211135</v>
      </c>
    </row>
    <row r="202" spans="1:19" x14ac:dyDescent="0.2">
      <c r="A202" t="s">
        <v>212</v>
      </c>
      <c r="B202">
        <f si="65" t="shared"/>
        <v>6979</v>
      </c>
      <c r="C202">
        <f si="65" t="shared"/>
        <v>54934</v>
      </c>
      <c r="D202">
        <f si="65" t="shared"/>
        <v>103928</v>
      </c>
      <c r="E202">
        <f si="66" t="shared"/>
        <v>25359</v>
      </c>
      <c r="F202">
        <f si="67" t="shared"/>
        <v>191200</v>
      </c>
      <c r="N202" t="s">
        <v>212</v>
      </c>
      <c r="O202" s="105" t="n">
        <v>7246.0</v>
      </c>
      <c r="P202" s="105" t="n">
        <v>57081.0</v>
      </c>
      <c r="Q202" s="105" t="n">
        <v>107706.0</v>
      </c>
      <c r="R202" s="105" t="n">
        <v>26419.0</v>
      </c>
      <c r="S202">
        <f si="68" t="shared"/>
        <v>191200</v>
      </c>
    </row>
    <row r="203" spans="1:19" x14ac:dyDescent="0.2">
      <c r="A203" t="s">
        <v>36</v>
      </c>
      <c r="B203">
        <f si="65" t="shared"/>
        <v>8557</v>
      </c>
      <c r="C203">
        <f si="65" t="shared"/>
        <v>52250</v>
      </c>
      <c r="D203">
        <f si="65" t="shared"/>
        <v>136441</v>
      </c>
      <c r="E203">
        <f si="66" t="shared"/>
        <v>35770</v>
      </c>
      <c r="F203">
        <f si="67" t="shared"/>
        <v>233018</v>
      </c>
      <c r="N203" t="s">
        <v>36</v>
      </c>
      <c r="O203" s="105" t="n">
        <v>8968.0</v>
      </c>
      <c r="P203" s="105" t="n">
        <v>53679.0</v>
      </c>
      <c r="Q203" s="105" t="n">
        <v>141660.0</v>
      </c>
      <c r="R203" s="105" t="n">
        <v>36907.0</v>
      </c>
      <c r="S203">
        <f si="68" t="shared"/>
        <v>233018</v>
      </c>
    </row>
    <row r="204" spans="1:19" x14ac:dyDescent="0.2">
      <c r="A204" t="s">
        <v>214</v>
      </c>
      <c r="B204">
        <f si="65" t="shared"/>
        <v>6564</v>
      </c>
      <c r="C204">
        <f si="65" t="shared"/>
        <v>36119</v>
      </c>
      <c r="D204">
        <f si="65" t="shared"/>
        <v>91583</v>
      </c>
      <c r="E204">
        <f si="66" t="shared"/>
        <v>23741</v>
      </c>
      <c r="F204">
        <f si="67" t="shared"/>
        <v>158007</v>
      </c>
      <c r="N204" t="s">
        <v>214</v>
      </c>
      <c r="O204" s="105" t="n">
        <v>6784.0</v>
      </c>
      <c r="P204" s="105" t="n">
        <v>37238.0</v>
      </c>
      <c r="Q204" s="105" t="n">
        <v>94321.0</v>
      </c>
      <c r="R204" s="105" t="n">
        <v>24112.0</v>
      </c>
      <c r="S204">
        <f si="68" t="shared"/>
        <v>158007</v>
      </c>
    </row>
    <row r="205" spans="1:19" x14ac:dyDescent="0.2">
      <c r="A205" t="s">
        <v>129</v>
      </c>
      <c r="B205">
        <f si="65" t="shared"/>
        <v>2970</v>
      </c>
      <c r="C205">
        <f si="65" t="shared"/>
        <v>18544</v>
      </c>
      <c r="D205">
        <f si="65" t="shared"/>
        <v>54868</v>
      </c>
      <c r="E205">
        <f si="66" t="shared"/>
        <v>14937</v>
      </c>
      <c r="F205">
        <f si="67" t="shared"/>
        <v>91319</v>
      </c>
      <c r="N205" t="s">
        <v>129</v>
      </c>
      <c r="O205" s="105" t="n">
        <v>3063.0</v>
      </c>
      <c r="P205" s="105" t="n">
        <v>19389.0</v>
      </c>
      <c r="Q205" s="105" t="n">
        <v>57245.0</v>
      </c>
      <c r="R205" s="105" t="n">
        <v>15671.0</v>
      </c>
      <c r="S205">
        <f si="68" t="shared"/>
        <v>91319</v>
      </c>
    </row>
    <row r="206" spans="1:19" x14ac:dyDescent="0.2">
      <c r="A206" t="s">
        <v>130</v>
      </c>
      <c r="B206">
        <f si="65" t="shared"/>
        <v>6162</v>
      </c>
      <c r="C206">
        <f si="65" t="shared"/>
        <v>46371</v>
      </c>
      <c r="D206">
        <f si="65" t="shared"/>
        <v>126592</v>
      </c>
      <c r="E206">
        <f si="66" t="shared"/>
        <v>34077</v>
      </c>
      <c r="F206">
        <f si="67" t="shared"/>
        <v>213202</v>
      </c>
      <c r="N206" t="s">
        <v>130</v>
      </c>
      <c r="O206" s="105" t="n">
        <v>6200.0</v>
      </c>
      <c r="P206" s="105" t="n">
        <v>46225.0</v>
      </c>
      <c r="Q206" s="105" t="n">
        <v>126099.0</v>
      </c>
      <c r="R206" s="105" t="n">
        <v>33896.0</v>
      </c>
      <c r="S206">
        <f si="68" t="shared"/>
        <v>213202</v>
      </c>
    </row>
    <row r="207" spans="1:19" x14ac:dyDescent="0.2">
      <c r="A207" t="s">
        <v>246</v>
      </c>
      <c r="B207">
        <f si="65" t="shared"/>
        <v>376</v>
      </c>
      <c r="C207">
        <f si="65" t="shared"/>
        <v>13156</v>
      </c>
      <c r="D207">
        <f si="65" t="shared"/>
        <v>63898</v>
      </c>
      <c r="E207">
        <f si="66" t="shared"/>
        <v>19411</v>
      </c>
      <c r="F207">
        <f si="67" t="shared"/>
        <v>96841</v>
      </c>
      <c r="N207" t="s">
        <v>246</v>
      </c>
      <c r="O207" s="105" t="n">
        <v>366.0</v>
      </c>
      <c r="P207" s="105" t="n">
        <v>12081.0</v>
      </c>
      <c r="Q207" s="105" t="n">
        <v>59677.0</v>
      </c>
      <c r="R207" s="105" t="n">
        <v>18394.0</v>
      </c>
      <c r="S207">
        <f si="68" t="shared"/>
        <v>96841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69" t="shared">O211*$B$1</f>
        <v>266252</v>
      </c>
      <c r="C211">
        <f si="69" t="shared"/>
        <v>28621</v>
      </c>
      <c r="D211">
        <f si="69" t="shared"/>
        <v>23216</v>
      </c>
      <c r="E211">
        <f si="69" t="shared"/>
        <v>110438</v>
      </c>
      <c r="F211">
        <f ref="F211:G218" si="70" t="shared">S211*$B$1</f>
        <v>62394</v>
      </c>
      <c r="G211">
        <f si="70" t="shared"/>
        <v>80739</v>
      </c>
      <c r="H211">
        <f ref="H211:H218" si="71" t="shared">U211*$B$1</f>
        <v>45529</v>
      </c>
      <c r="I211">
        <f ref="I211:I218" si="72" t="shared">V211*$B$1</f>
        <v>0</v>
      </c>
      <c r="J211">
        <f ref="J211:J218" si="73" t="shared">W211*$B$1</f>
        <v>0</v>
      </c>
      <c r="K211">
        <f ref="K211:K218" si="74" t="shared">X211*$B$1</f>
        <v>0</v>
      </c>
      <c r="L211">
        <f ref="L211:L218" si="75" t="shared">Y211*$B$1</f>
        <v>617189</v>
      </c>
      <c r="N211" t="s">
        <v>210</v>
      </c>
      <c r="O211" s="105" t="n">
        <v>239233.0</v>
      </c>
      <c r="P211" s="105" t="n">
        <v>24853.0</v>
      </c>
      <c r="Q211" s="105" t="n">
        <v>20774.0</v>
      </c>
      <c r="R211" s="105" t="n">
        <v>101627.0</v>
      </c>
      <c r="S211" s="105" t="n">
        <v>55716.0</v>
      </c>
      <c r="T211" s="105" t="n">
        <v>72456.0</v>
      </c>
      <c r="U211" t="n">
        <v>41356.0</v>
      </c>
      <c r="V211" t="n">
        <v>0.0</v>
      </c>
      <c r="W211" t="n">
        <v>0.0</v>
      </c>
      <c r="X211" t="n">
        <v>0.0</v>
      </c>
      <c r="Y211">
        <f>SUM(O211:X211)</f>
        <v>617189</v>
      </c>
    </row>
    <row r="212" spans="1:25" x14ac:dyDescent="0.2">
      <c r="A212" t="s">
        <v>211</v>
      </c>
      <c r="B212">
        <f si="69" t="shared"/>
        <v>76234</v>
      </c>
      <c r="C212">
        <f si="69" t="shared"/>
        <v>10992</v>
      </c>
      <c r="D212">
        <f si="69" t="shared"/>
        <v>8173</v>
      </c>
      <c r="E212">
        <f si="69" t="shared"/>
        <v>43620</v>
      </c>
      <c r="F212">
        <f si="70" t="shared"/>
        <v>23639</v>
      </c>
      <c r="G212">
        <f si="70" t="shared"/>
        <v>32137</v>
      </c>
      <c r="H212">
        <f si="71" t="shared"/>
        <v>16340</v>
      </c>
      <c r="I212">
        <f si="72" t="shared"/>
        <v>0</v>
      </c>
      <c r="J212">
        <f si="73" t="shared"/>
        <v>0</v>
      </c>
      <c r="K212">
        <f si="74" t="shared"/>
        <v>0</v>
      </c>
      <c r="L212">
        <f si="75" t="shared"/>
        <v>211135</v>
      </c>
      <c r="N212" t="s">
        <v>211</v>
      </c>
      <c r="O212" s="105" t="n">
        <v>80000.0</v>
      </c>
      <c r="P212" s="105" t="n">
        <v>11062.0</v>
      </c>
      <c r="Q212" s="105" t="n">
        <v>8246.0</v>
      </c>
      <c r="R212" s="105" t="n">
        <v>43209.0</v>
      </c>
      <c r="S212" s="105" t="n">
        <v>23626.0</v>
      </c>
      <c r="T212" s="105" t="n">
        <v>33524.0</v>
      </c>
      <c r="U212" t="n">
        <v>16553.0</v>
      </c>
      <c r="V212" t="n">
        <v>0.0</v>
      </c>
      <c r="W212" t="n">
        <v>0.0</v>
      </c>
      <c r="X212" t="n">
        <v>0.0</v>
      </c>
      <c r="Y212">
        <f ref="Y212:Y218" si="76" t="shared">SUM(O212:X212)</f>
        <v>211135</v>
      </c>
    </row>
    <row r="213" spans="1:25" x14ac:dyDescent="0.2">
      <c r="A213" t="s">
        <v>212</v>
      </c>
      <c r="B213">
        <f si="69" t="shared"/>
        <v>75737</v>
      </c>
      <c r="C213">
        <f si="69" t="shared"/>
        <v>9866</v>
      </c>
      <c r="D213">
        <f si="69" t="shared"/>
        <v>6904</v>
      </c>
      <c r="E213">
        <f si="69" t="shared"/>
        <v>36617</v>
      </c>
      <c r="F213">
        <f si="70" t="shared"/>
        <v>20265</v>
      </c>
      <c r="G213">
        <f si="70" t="shared"/>
        <v>28086</v>
      </c>
      <c r="H213">
        <f si="71" t="shared"/>
        <v>13725</v>
      </c>
      <c r="I213">
        <f si="72" t="shared"/>
        <v>0</v>
      </c>
      <c r="J213">
        <f si="73" t="shared"/>
        <v>0</v>
      </c>
      <c r="K213">
        <f si="74" t="shared"/>
        <v>0</v>
      </c>
      <c r="L213">
        <f si="75" t="shared"/>
        <v>191200</v>
      </c>
      <c r="N213" t="s">
        <v>212</v>
      </c>
      <c r="O213" s="105" t="n">
        <v>78560.0</v>
      </c>
      <c r="P213" s="105" t="n">
        <v>10578.0</v>
      </c>
      <c r="Q213" s="105" t="n">
        <v>7275.0</v>
      </c>
      <c r="R213" s="105" t="n">
        <v>37700.0</v>
      </c>
      <c r="S213" s="105" t="n">
        <v>20892.0</v>
      </c>
      <c r="T213" s="105" t="n">
        <v>29435.0</v>
      </c>
      <c r="U213" t="n">
        <v>14012.0</v>
      </c>
      <c r="V213" t="n">
        <v>0.0</v>
      </c>
      <c r="W213" t="n">
        <v>0.0</v>
      </c>
      <c r="X213" t="n">
        <v>0.0</v>
      </c>
      <c r="Y213">
        <f si="76" t="shared"/>
        <v>191200</v>
      </c>
    </row>
    <row r="214" spans="1:25" x14ac:dyDescent="0.2">
      <c r="A214" t="s">
        <v>36</v>
      </c>
      <c r="B214">
        <f si="69" t="shared"/>
        <v>94217</v>
      </c>
      <c r="C214">
        <f si="69" t="shared"/>
        <v>13539</v>
      </c>
      <c r="D214">
        <f si="69" t="shared"/>
        <v>9936</v>
      </c>
      <c r="E214">
        <f si="69" t="shared"/>
        <v>39532</v>
      </c>
      <c r="F214">
        <f si="70" t="shared"/>
        <v>25665</v>
      </c>
      <c r="G214">
        <f si="70" t="shared"/>
        <v>31197</v>
      </c>
      <c r="H214">
        <f si="71" t="shared"/>
        <v>18932</v>
      </c>
      <c r="I214">
        <f si="72" t="shared"/>
        <v>0</v>
      </c>
      <c r="J214">
        <f si="73" t="shared"/>
        <v>0</v>
      </c>
      <c r="K214">
        <f si="74" t="shared"/>
        <v>0</v>
      </c>
      <c r="L214">
        <f si="75" t="shared"/>
        <v>233018</v>
      </c>
      <c r="N214" t="s">
        <v>36</v>
      </c>
      <c r="O214" s="105" t="n">
        <v>97431.0</v>
      </c>
      <c r="P214" s="105" t="n">
        <v>14309.0</v>
      </c>
      <c r="Q214" s="105" t="n">
        <v>10316.0</v>
      </c>
      <c r="R214" s="105" t="n">
        <v>41035.0</v>
      </c>
      <c r="S214" s="105" t="n">
        <v>26461.0</v>
      </c>
      <c r="T214" s="105" t="n">
        <v>32008.0</v>
      </c>
      <c r="U214" t="n">
        <v>19654.0</v>
      </c>
      <c r="V214" t="n">
        <v>0.0</v>
      </c>
      <c r="W214" t="n">
        <v>0.0</v>
      </c>
      <c r="X214" t="n">
        <v>0.0</v>
      </c>
      <c r="Y214">
        <f si="76" t="shared"/>
        <v>233018</v>
      </c>
    </row>
    <row r="215" spans="1:25" x14ac:dyDescent="0.2">
      <c r="A215" t="s">
        <v>214</v>
      </c>
      <c r="B215">
        <f si="69" t="shared"/>
        <v>64730</v>
      </c>
      <c r="C215">
        <f si="69" t="shared"/>
        <v>8966</v>
      </c>
      <c r="D215">
        <f si="69" t="shared"/>
        <v>6616</v>
      </c>
      <c r="E215">
        <f si="69" t="shared"/>
        <v>27134</v>
      </c>
      <c r="F215">
        <f si="70" t="shared"/>
        <v>17139</v>
      </c>
      <c r="G215">
        <f si="70" t="shared"/>
        <v>20936</v>
      </c>
      <c r="H215">
        <f si="71" t="shared"/>
        <v>12486</v>
      </c>
      <c r="I215">
        <f si="72" t="shared"/>
        <v>0</v>
      </c>
      <c r="J215">
        <f si="73" t="shared"/>
        <v>0</v>
      </c>
      <c r="K215">
        <f si="74" t="shared"/>
        <v>0</v>
      </c>
      <c r="L215">
        <f si="75" t="shared"/>
        <v>158007</v>
      </c>
      <c r="N215" t="s">
        <v>214</v>
      </c>
      <c r="O215" s="105" t="n">
        <v>66562.0</v>
      </c>
      <c r="P215" s="105" t="n">
        <v>9427.0</v>
      </c>
      <c r="Q215" s="105" t="n">
        <v>6791.0</v>
      </c>
      <c r="R215" s="105" t="n">
        <v>27818.0</v>
      </c>
      <c r="S215" s="105" t="n">
        <v>17787.0</v>
      </c>
      <c r="T215" s="105" t="n">
        <v>21407.0</v>
      </c>
      <c r="U215" t="n">
        <v>12663.0</v>
      </c>
      <c r="V215" t="n">
        <v>0.0</v>
      </c>
      <c r="W215" t="n">
        <v>0.0</v>
      </c>
      <c r="X215" t="n">
        <v>0.0</v>
      </c>
      <c r="Y215">
        <f si="76" t="shared"/>
        <v>158007</v>
      </c>
    </row>
    <row r="216" spans="1:25" x14ac:dyDescent="0.2">
      <c r="A216" t="s">
        <v>129</v>
      </c>
      <c r="B216">
        <f si="69" t="shared"/>
        <v>38656</v>
      </c>
      <c r="C216">
        <f si="69" t="shared"/>
        <v>5115</v>
      </c>
      <c r="D216">
        <f si="69" t="shared"/>
        <v>3800</v>
      </c>
      <c r="E216">
        <f si="69" t="shared"/>
        <v>15330</v>
      </c>
      <c r="F216">
        <f si="70" t="shared"/>
        <v>9596</v>
      </c>
      <c r="G216">
        <f si="70" t="shared"/>
        <v>11635</v>
      </c>
      <c r="H216">
        <f si="71" t="shared"/>
        <v>7187</v>
      </c>
      <c r="I216">
        <f si="72" t="shared"/>
        <v>0</v>
      </c>
      <c r="J216">
        <f si="73" t="shared"/>
        <v>0</v>
      </c>
      <c r="K216">
        <f si="74" t="shared"/>
        <v>0</v>
      </c>
      <c r="L216">
        <f si="75" t="shared"/>
        <v>91319</v>
      </c>
      <c r="N216" t="s">
        <v>129</v>
      </c>
      <c r="O216" s="105" t="n">
        <v>40060.0</v>
      </c>
      <c r="P216" s="105" t="n">
        <v>5169.0</v>
      </c>
      <c r="Q216" s="105" t="n">
        <v>3977.0</v>
      </c>
      <c r="R216" s="105" t="n">
        <v>16383.0</v>
      </c>
      <c r="S216" s="105" t="n">
        <v>10086.0</v>
      </c>
      <c r="T216" s="105" t="n">
        <v>12343.0</v>
      </c>
      <c r="U216" t="n">
        <v>7350.0</v>
      </c>
      <c r="V216" t="n">
        <v>0.0</v>
      </c>
      <c r="W216" t="n">
        <v>0.0</v>
      </c>
      <c r="X216" t="n">
        <v>0.0</v>
      </c>
      <c r="Y216">
        <f si="76" t="shared"/>
        <v>91319</v>
      </c>
    </row>
    <row r="217" spans="1:25" x14ac:dyDescent="0.2">
      <c r="A217" t="s">
        <v>130</v>
      </c>
      <c r="B217">
        <f si="69" t="shared"/>
        <v>84072</v>
      </c>
      <c r="C217">
        <f si="69" t="shared"/>
        <v>11762</v>
      </c>
      <c r="D217">
        <f si="69" t="shared"/>
        <v>9022</v>
      </c>
      <c r="E217">
        <f si="69" t="shared"/>
        <v>38284</v>
      </c>
      <c r="F217">
        <f si="70" t="shared"/>
        <v>22616</v>
      </c>
      <c r="G217">
        <f si="70" t="shared"/>
        <v>30848</v>
      </c>
      <c r="H217">
        <f si="71" t="shared"/>
        <v>16598</v>
      </c>
      <c r="I217">
        <f si="72" t="shared"/>
        <v>0</v>
      </c>
      <c r="J217">
        <f si="73" t="shared"/>
        <v>0</v>
      </c>
      <c r="K217">
        <f si="74" t="shared"/>
        <v>0</v>
      </c>
      <c r="L217">
        <f si="75" t="shared"/>
        <v>213202</v>
      </c>
      <c r="N217" t="s">
        <v>130</v>
      </c>
      <c r="O217" s="105" t="n">
        <v>84157.0</v>
      </c>
      <c r="P217" s="105" t="n">
        <v>11746.0</v>
      </c>
      <c r="Q217" s="105" t="n">
        <v>8669.0</v>
      </c>
      <c r="R217" s="105" t="n">
        <v>37945.0</v>
      </c>
      <c r="S217" s="105" t="n">
        <v>22864.0</v>
      </c>
      <c r="T217" s="105" t="n">
        <v>30384.0</v>
      </c>
      <c r="U217" t="n">
        <v>16655.0</v>
      </c>
      <c r="V217" t="n">
        <v>0.0</v>
      </c>
      <c r="W217" t="n">
        <v>0.0</v>
      </c>
      <c r="X217" t="n">
        <v>0.0</v>
      </c>
      <c r="Y217">
        <f si="76" t="shared"/>
        <v>213202</v>
      </c>
    </row>
    <row r="218" spans="1:25" x14ac:dyDescent="0.2">
      <c r="A218" t="s">
        <v>246</v>
      </c>
      <c r="B218">
        <f si="69" t="shared"/>
        <v>41693</v>
      </c>
      <c r="C218">
        <f si="69" t="shared"/>
        <v>4550</v>
      </c>
      <c r="D218">
        <f si="69" t="shared"/>
        <v>3793</v>
      </c>
      <c r="E218">
        <f si="69" t="shared"/>
        <v>16971</v>
      </c>
      <c r="F218">
        <f si="70" t="shared"/>
        <v>9900</v>
      </c>
      <c r="G218">
        <f si="70" t="shared"/>
        <v>12500</v>
      </c>
      <c r="H218">
        <f si="71" t="shared"/>
        <v>7434</v>
      </c>
      <c r="I218">
        <f si="72" t="shared"/>
        <v>0</v>
      </c>
      <c r="J218">
        <f si="73" t="shared"/>
        <v>0</v>
      </c>
      <c r="K218">
        <f si="74" t="shared"/>
        <v>0</v>
      </c>
      <c r="L218">
        <f si="75" t="shared"/>
        <v>96841</v>
      </c>
      <c r="N218" t="s">
        <v>246</v>
      </c>
      <c r="O218" s="105" t="n">
        <v>38657.0</v>
      </c>
      <c r="P218" s="105" t="n">
        <v>3912.0</v>
      </c>
      <c r="Q218" s="105" t="n">
        <v>3465.0</v>
      </c>
      <c r="R218" s="105" t="n">
        <v>16393.0</v>
      </c>
      <c r="S218" s="105" t="n">
        <v>9315.0</v>
      </c>
      <c r="T218" s="105" t="n">
        <v>11714.0</v>
      </c>
      <c r="U218" t="n">
        <v>7062.0</v>
      </c>
      <c r="V218" t="n">
        <v>0.0</v>
      </c>
      <c r="W218" t="n">
        <v>0.0</v>
      </c>
      <c r="X218" t="n">
        <v>0.0</v>
      </c>
      <c r="Y218">
        <f si="76" t="shared"/>
        <v>96841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H228" si="77" t="shared">O222*$B$1</f>
        <v>111409</v>
      </c>
      <c r="C222">
        <f si="77" t="shared"/>
        <v>7177</v>
      </c>
      <c r="D222">
        <f si="77" t="shared"/>
        <v>0</v>
      </c>
      <c r="E222">
        <f si="77" t="shared"/>
        <v>0</v>
      </c>
      <c r="F222">
        <f si="77" t="shared"/>
        <v>2121</v>
      </c>
      <c r="G222">
        <f si="77" t="shared"/>
        <v>486</v>
      </c>
      <c r="H222">
        <f si="77" t="shared"/>
        <v>0</v>
      </c>
      <c r="I222">
        <f ref="I222:I228" si="78" t="shared">V222*$B$1</f>
        <v>0</v>
      </c>
      <c r="J222">
        <f ref="J222:J228" si="79" t="shared">W222*$B$1</f>
        <v>121193</v>
      </c>
      <c r="N222" t="s">
        <v>210</v>
      </c>
      <c r="O222" s="105" t="n">
        <v>91401.0</v>
      </c>
      <c r="P222" s="105" t="n">
        <v>5484.0</v>
      </c>
      <c r="Q222" s="105" t="n">
        <v>0.0</v>
      </c>
      <c r="R222" s="105" t="n">
        <v>0.0</v>
      </c>
      <c r="S222" s="105" t="n">
        <v>2006.0</v>
      </c>
      <c r="T222" s="105" t="n">
        <v>377.0</v>
      </c>
      <c r="U222" s="105" t="n">
        <v>0.0</v>
      </c>
      <c r="V222" s="105" t="n">
        <v>0.0</v>
      </c>
      <c r="W222">
        <f>SUM(O222:V222)</f>
        <v>121193</v>
      </c>
    </row>
    <row r="223" spans="1:25" x14ac:dyDescent="0.2">
      <c r="A223" t="s">
        <v>211</v>
      </c>
      <c r="B223">
        <f si="77" t="shared"/>
        <v>2444</v>
      </c>
      <c r="C223">
        <f si="77" t="shared"/>
        <v>0</v>
      </c>
      <c r="D223">
        <f si="77" t="shared"/>
        <v>0</v>
      </c>
      <c r="E223">
        <f si="77" t="shared"/>
        <v>0</v>
      </c>
      <c r="F223">
        <f si="77" t="shared"/>
        <v>1250</v>
      </c>
      <c r="G223">
        <f si="77" t="shared"/>
        <v>1409</v>
      </c>
      <c r="H223">
        <f si="77" t="shared"/>
        <v>8911</v>
      </c>
      <c r="I223">
        <f si="78" t="shared"/>
        <v>0</v>
      </c>
      <c r="J223">
        <f si="79" t="shared"/>
        <v>14014</v>
      </c>
      <c r="N223" t="s">
        <v>211</v>
      </c>
      <c r="O223" s="105" t="n">
        <v>2791.0</v>
      </c>
      <c r="P223" s="105" t="n">
        <v>0.0</v>
      </c>
      <c r="Q223" s="105" t="n">
        <v>0.0</v>
      </c>
      <c r="R223" s="105" t="n">
        <v>0.0</v>
      </c>
      <c r="S223" s="105" t="n">
        <v>1314.0</v>
      </c>
      <c r="T223" s="105" t="n">
        <v>1582.0</v>
      </c>
      <c r="U223" s="105" t="n">
        <v>9096.0</v>
      </c>
      <c r="V223" s="105" t="n">
        <v>0.0</v>
      </c>
      <c r="W223">
        <f ref="W223:W228" si="80" t="shared">SUM(O223:V223)</f>
        <v>14014</v>
      </c>
    </row>
    <row r="224" spans="1:25" x14ac:dyDescent="0.2">
      <c r="A224" t="s">
        <v>212</v>
      </c>
      <c r="B224">
        <f si="77" t="shared"/>
        <v>113695</v>
      </c>
      <c r="C224">
        <f si="77" t="shared"/>
        <v>30312</v>
      </c>
      <c r="D224">
        <f si="77" t="shared"/>
        <v>6300</v>
      </c>
      <c r="E224">
        <f si="77" t="shared"/>
        <v>27979</v>
      </c>
      <c r="F224">
        <f si="77" t="shared"/>
        <v>4838</v>
      </c>
      <c r="G224">
        <f si="77" t="shared"/>
        <v>2634</v>
      </c>
      <c r="H224">
        <f si="77" t="shared"/>
        <v>19239</v>
      </c>
      <c r="I224">
        <f si="78" t="shared"/>
        <v>0</v>
      </c>
      <c r="J224">
        <f si="79" t="shared"/>
        <v>204997</v>
      </c>
      <c r="N224" t="s">
        <v>212</v>
      </c>
      <c r="O224" s="105" t="n">
        <v>109270.0</v>
      </c>
      <c r="P224" s="105" t="n">
        <v>27323.0</v>
      </c>
      <c r="Q224" s="105" t="n">
        <v>6163.0</v>
      </c>
      <c r="R224" s="105" t="n">
        <v>27709.0</v>
      </c>
      <c r="S224" s="105" t="n">
        <v>4781.0</v>
      </c>
      <c r="T224" s="105" t="n">
        <v>2754.0</v>
      </c>
      <c r="U224" s="105" t="n">
        <v>19481.0</v>
      </c>
      <c r="V224" s="105" t="n">
        <v>0.0</v>
      </c>
      <c r="W224">
        <f si="80" t="shared"/>
        <v>204997</v>
      </c>
    </row>
    <row r="225" spans="1:23" x14ac:dyDescent="0.2">
      <c r="A225" t="s">
        <v>36</v>
      </c>
      <c r="B225">
        <f si="77" t="shared"/>
        <v>170924</v>
      </c>
      <c r="C225">
        <f si="77" t="shared"/>
        <v>59858</v>
      </c>
      <c r="D225">
        <f si="77" t="shared"/>
        <v>72772</v>
      </c>
      <c r="E225">
        <f si="77" t="shared"/>
        <v>61894</v>
      </c>
      <c r="F225">
        <f si="77" t="shared"/>
        <v>4653</v>
      </c>
      <c r="G225">
        <f si="77" t="shared"/>
        <v>3455</v>
      </c>
      <c r="H225">
        <f si="77" t="shared"/>
        <v>31024</v>
      </c>
      <c r="I225">
        <f si="78" t="shared"/>
        <v>0</v>
      </c>
      <c r="J225">
        <f si="79" t="shared"/>
        <v>404580</v>
      </c>
      <c r="N225" t="s">
        <v>36</v>
      </c>
      <c r="O225" s="105" t="n">
        <v>168173.0</v>
      </c>
      <c r="P225" s="105" t="n">
        <v>59885.0</v>
      </c>
      <c r="Q225" s="105" t="n">
        <v>72560.0</v>
      </c>
      <c r="R225" s="105" t="n">
        <v>61935.0</v>
      </c>
      <c r="S225" s="105" t="n">
        <v>4732.0</v>
      </c>
      <c r="T225" s="105" t="n">
        <v>3558.0</v>
      </c>
      <c r="U225" s="105" t="n">
        <v>31438.0</v>
      </c>
      <c r="V225" s="105" t="n">
        <v>0.0</v>
      </c>
      <c r="W225">
        <f si="80" t="shared"/>
        <v>404580</v>
      </c>
    </row>
    <row r="226" spans="1:23" x14ac:dyDescent="0.2">
      <c r="A226" t="s">
        <v>214</v>
      </c>
      <c r="B226">
        <f si="77" t="shared"/>
        <v>100778</v>
      </c>
      <c r="C226">
        <f si="77" t="shared"/>
        <v>47568</v>
      </c>
      <c r="D226">
        <f si="77" t="shared"/>
        <v>46963</v>
      </c>
      <c r="E226">
        <f si="77" t="shared"/>
        <v>49646</v>
      </c>
      <c r="F226">
        <f si="77" t="shared"/>
        <v>4622</v>
      </c>
      <c r="G226">
        <f si="77" t="shared"/>
        <v>927</v>
      </c>
      <c r="H226">
        <f si="77" t="shared"/>
        <v>12034</v>
      </c>
      <c r="I226">
        <f si="78" t="shared"/>
        <v>0</v>
      </c>
      <c r="J226">
        <f si="79" t="shared"/>
        <v>262538</v>
      </c>
      <c r="N226" t="s">
        <v>214</v>
      </c>
      <c r="O226" s="105" t="n">
        <v>99658.0</v>
      </c>
      <c r="P226" s="105" t="n">
        <v>46943.0</v>
      </c>
      <c r="Q226" s="105" t="n">
        <v>47019.0</v>
      </c>
      <c r="R226" s="105" t="n">
        <v>49729.0</v>
      </c>
      <c r="S226" s="105" t="n">
        <v>4541.0</v>
      </c>
      <c r="T226" s="105" t="n">
        <v>1008.0</v>
      </c>
      <c r="U226" s="105" t="n">
        <v>12078.0</v>
      </c>
      <c r="V226" s="105" t="n">
        <v>0.0</v>
      </c>
      <c r="W226">
        <f si="80" t="shared"/>
        <v>262538</v>
      </c>
    </row>
    <row r="227" spans="1:23" x14ac:dyDescent="0.2">
      <c r="A227" t="s">
        <v>129</v>
      </c>
      <c r="B227">
        <f si="77" t="shared"/>
        <v>72700</v>
      </c>
      <c r="C227">
        <f si="77" t="shared"/>
        <v>17884</v>
      </c>
      <c r="D227">
        <f si="77" t="shared"/>
        <v>15884</v>
      </c>
      <c r="E227">
        <f si="77" t="shared"/>
        <v>10597</v>
      </c>
      <c r="F227">
        <f si="77" t="shared"/>
        <v>2997</v>
      </c>
      <c r="G227">
        <f si="77" t="shared"/>
        <v>848</v>
      </c>
      <c r="H227">
        <f si="77" t="shared"/>
        <v>9227</v>
      </c>
      <c r="I227">
        <f si="78" t="shared"/>
        <v>0</v>
      </c>
      <c r="J227">
        <f si="79" t="shared"/>
        <v>130137</v>
      </c>
      <c r="N227" t="s">
        <v>129</v>
      </c>
      <c r="O227" s="105" t="n">
        <v>68764.0</v>
      </c>
      <c r="P227" s="105" t="n">
        <v>17711.0</v>
      </c>
      <c r="Q227" s="105" t="n">
        <v>15963.0</v>
      </c>
      <c r="R227" s="105" t="n">
        <v>10542.0</v>
      </c>
      <c r="S227" s="105" t="n">
        <v>2838.0</v>
      </c>
      <c r="T227" s="105" t="n">
        <v>800.0</v>
      </c>
      <c r="U227" s="105" t="n">
        <v>9374.0</v>
      </c>
      <c r="V227" s="105" t="n">
        <v>0.0</v>
      </c>
      <c r="W227">
        <f si="80" t="shared"/>
        <v>130137</v>
      </c>
    </row>
    <row r="228" spans="1:23" x14ac:dyDescent="0.2">
      <c r="A228" t="s">
        <v>130</v>
      </c>
      <c r="B228">
        <f si="77" t="shared"/>
        <v>52452</v>
      </c>
      <c r="C228">
        <f si="77" t="shared"/>
        <v>14230</v>
      </c>
      <c r="D228">
        <f si="77" t="shared"/>
        <v>12781</v>
      </c>
      <c r="E228">
        <f si="77" t="shared"/>
        <v>15106</v>
      </c>
      <c r="F228">
        <f si="77" t="shared"/>
        <v>1724</v>
      </c>
      <c r="G228">
        <f si="77" t="shared"/>
        <v>3106</v>
      </c>
      <c r="H228">
        <f si="77" t="shared"/>
        <v>40261</v>
      </c>
      <c r="I228">
        <f si="78" t="shared"/>
        <v>0</v>
      </c>
      <c r="J228">
        <f si="79" t="shared"/>
        <v>139660</v>
      </c>
      <c r="N228" t="s">
        <v>130</v>
      </c>
      <c r="O228" s="105" t="n">
        <v>50250.0</v>
      </c>
      <c r="P228" s="105" t="n">
        <v>13497.0</v>
      </c>
      <c r="Q228" s="105" t="n">
        <v>12997.0</v>
      </c>
      <c r="R228" s="105" t="n">
        <v>15242.0</v>
      </c>
      <c r="S228" s="105" t="n">
        <v>1645.0</v>
      </c>
      <c r="T228" s="105" t="n">
        <v>3166.0</v>
      </c>
      <c r="U228" s="105" t="n">
        <v>40829.0</v>
      </c>
      <c r="V228" s="105" t="n">
        <v>0.0</v>
      </c>
      <c r="W228">
        <f si="80" t="shared"/>
        <v>139660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D238" si="81" t="shared">O232*$B$1</f>
        <v>2207</v>
      </c>
      <c r="C232">
        <f si="81" t="shared"/>
        <v>23905</v>
      </c>
      <c r="D232">
        <f si="81" t="shared"/>
        <v>24351</v>
      </c>
      <c r="E232">
        <f ref="E232:E238" si="82" t="shared">R232*$B$1</f>
        <v>70722</v>
      </c>
      <c r="F232">
        <f ref="F232:F238" si="83" t="shared">S232*$B$1</f>
        <v>121185</v>
      </c>
      <c r="N232" t="s">
        <v>210</v>
      </c>
      <c r="O232" s="105" t="n">
        <v>1863.0</v>
      </c>
      <c r="P232" s="105" t="n">
        <v>19966.0</v>
      </c>
      <c r="Q232" s="105" t="n">
        <v>19993.0</v>
      </c>
      <c r="R232" s="105" t="n">
        <v>57444.0</v>
      </c>
      <c r="S232">
        <f>SUM(O232:R232)</f>
        <v>121185</v>
      </c>
    </row>
    <row r="233" spans="1:23" x14ac:dyDescent="0.2">
      <c r="A233" t="s">
        <v>211</v>
      </c>
      <c r="B233">
        <f si="81" t="shared"/>
        <v>649</v>
      </c>
      <c r="C233">
        <f si="81" t="shared"/>
        <v>3149</v>
      </c>
      <c r="D233">
        <f si="81" t="shared"/>
        <v>2523</v>
      </c>
      <c r="E233">
        <f si="82" t="shared"/>
        <v>7692</v>
      </c>
      <c r="F233">
        <f si="83" t="shared"/>
        <v>14013</v>
      </c>
      <c r="N233" t="s">
        <v>211</v>
      </c>
      <c r="O233" s="105" t="n">
        <v>647.0</v>
      </c>
      <c r="P233" s="105" t="n">
        <v>3309.0</v>
      </c>
      <c r="Q233" s="105" t="n">
        <v>2658.0</v>
      </c>
      <c r="R233" s="105" t="n">
        <v>8169.0</v>
      </c>
      <c r="S233">
        <f ref="S233:S238" si="84" t="shared">SUM(O233:R233)</f>
        <v>14013</v>
      </c>
    </row>
    <row r="234" spans="1:23" x14ac:dyDescent="0.2">
      <c r="A234" t="s">
        <v>212</v>
      </c>
      <c r="B234">
        <f si="81" t="shared"/>
        <v>8658</v>
      </c>
      <c r="C234">
        <f si="81" t="shared"/>
        <v>41040</v>
      </c>
      <c r="D234">
        <f si="81" t="shared"/>
        <v>37469</v>
      </c>
      <c r="E234">
        <f si="82" t="shared"/>
        <v>117820</v>
      </c>
      <c r="F234">
        <f si="83" t="shared"/>
        <v>204987</v>
      </c>
      <c r="N234" t="s">
        <v>212</v>
      </c>
      <c r="O234" s="105" t="n">
        <v>8351.0</v>
      </c>
      <c r="P234" s="105" t="n">
        <v>39433.0</v>
      </c>
      <c r="Q234" s="105" t="n">
        <v>35226.0</v>
      </c>
      <c r="R234" s="105" t="n">
        <v>114456.0</v>
      </c>
      <c r="S234">
        <f si="84" t="shared"/>
        <v>204987</v>
      </c>
    </row>
    <row r="235" spans="1:23" x14ac:dyDescent="0.2">
      <c r="A235" t="s">
        <v>36</v>
      </c>
      <c r="B235">
        <f si="81" t="shared"/>
        <v>25125</v>
      </c>
      <c r="C235">
        <f si="81" t="shared"/>
        <v>103659</v>
      </c>
      <c r="D235">
        <f si="81" t="shared"/>
        <v>78164</v>
      </c>
      <c r="E235">
        <f si="82" t="shared"/>
        <v>197585</v>
      </c>
      <c r="F235">
        <f si="83" t="shared"/>
        <v>404533</v>
      </c>
      <c r="N235" t="s">
        <v>36</v>
      </c>
      <c r="O235" s="105" t="n">
        <v>24864.0</v>
      </c>
      <c r="P235" s="105" t="n">
        <v>103745.0</v>
      </c>
      <c r="Q235" s="105" t="n">
        <v>77444.0</v>
      </c>
      <c r="R235" s="105" t="n">
        <v>196177.0</v>
      </c>
      <c r="S235">
        <f si="84" t="shared"/>
        <v>404533</v>
      </c>
    </row>
    <row r="236" spans="1:23" x14ac:dyDescent="0.2">
      <c r="A236" t="s">
        <v>214</v>
      </c>
      <c r="B236">
        <f si="81" t="shared"/>
        <v>18267</v>
      </c>
      <c r="C236">
        <f si="81" t="shared"/>
        <v>70180</v>
      </c>
      <c r="D236">
        <f si="81" t="shared"/>
        <v>50904</v>
      </c>
      <c r="E236">
        <f si="82" t="shared"/>
        <v>123145</v>
      </c>
      <c r="F236">
        <f si="83" t="shared"/>
        <v>262496</v>
      </c>
      <c r="N236" t="s">
        <v>214</v>
      </c>
      <c r="O236" s="105" t="n">
        <v>18327.0</v>
      </c>
      <c r="P236" s="105" t="n">
        <v>70398.0</v>
      </c>
      <c r="Q236" s="105" t="n">
        <v>50949.0</v>
      </c>
      <c r="R236" s="105" t="n">
        <v>121265.0</v>
      </c>
      <c r="S236">
        <f si="84" t="shared"/>
        <v>262496</v>
      </c>
    </row>
    <row r="237" spans="1:23" x14ac:dyDescent="0.2">
      <c r="A237" t="s">
        <v>129</v>
      </c>
      <c r="B237">
        <f si="81" t="shared"/>
        <v>6100</v>
      </c>
      <c r="C237">
        <f si="81" t="shared"/>
        <v>29184</v>
      </c>
      <c r="D237">
        <f si="81" t="shared"/>
        <v>26722</v>
      </c>
      <c r="E237">
        <f si="82" t="shared"/>
        <v>68115</v>
      </c>
      <c r="F237">
        <f si="83" t="shared"/>
        <v>130121</v>
      </c>
      <c r="N237" t="s">
        <v>129</v>
      </c>
      <c r="O237" s="105" t="n">
        <v>5961.0</v>
      </c>
      <c r="P237" s="105" t="n">
        <v>28812.0</v>
      </c>
      <c r="Q237" s="105" t="n">
        <v>25632.0</v>
      </c>
      <c r="R237" s="105" t="n">
        <v>65574.0</v>
      </c>
      <c r="S237">
        <f si="84" t="shared"/>
        <v>130121</v>
      </c>
    </row>
    <row r="238" spans="1:23" x14ac:dyDescent="0.2">
      <c r="A238" t="s">
        <v>130</v>
      </c>
      <c r="B238">
        <f si="81" t="shared"/>
        <v>6250</v>
      </c>
      <c r="C238">
        <f si="81" t="shared"/>
        <v>29220</v>
      </c>
      <c r="D238">
        <f si="81" t="shared"/>
        <v>26457</v>
      </c>
      <c r="E238">
        <f si="82" t="shared"/>
        <v>77719</v>
      </c>
      <c r="F238">
        <f si="83" t="shared"/>
        <v>139646</v>
      </c>
      <c r="N238" t="s">
        <v>130</v>
      </c>
      <c r="O238" s="105" t="n">
        <v>6342.0</v>
      </c>
      <c r="P238" s="105" t="n">
        <v>28656.0</v>
      </c>
      <c r="Q238" s="105" t="n">
        <v>25579.0</v>
      </c>
      <c r="R238" s="105" t="n">
        <v>77032.0</v>
      </c>
      <c r="S238">
        <f si="84" t="shared"/>
        <v>139646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D248" si="85" t="shared">O242*$B$1</f>
        <v>576</v>
      </c>
      <c r="C242">
        <f si="85" t="shared"/>
        <v>18202</v>
      </c>
      <c r="D242">
        <f si="85" t="shared"/>
        <v>78223</v>
      </c>
      <c r="E242">
        <f ref="E242:E248" si="86" t="shared">R242*$B$1</f>
        <v>24192</v>
      </c>
      <c r="F242">
        <f ref="F242:F248" si="87" t="shared">S242*$B$1</f>
        <v>121193</v>
      </c>
      <c r="N242" t="s">
        <v>210</v>
      </c>
      <c r="O242" s="105" t="n">
        <v>480.0</v>
      </c>
      <c r="P242" s="105" t="n">
        <v>14904.0</v>
      </c>
      <c r="Q242" s="105" t="n">
        <v>64182.0</v>
      </c>
      <c r="R242" s="105" t="n">
        <v>19702.0</v>
      </c>
      <c r="S242">
        <f>SUM(O242:R242)</f>
        <v>121193</v>
      </c>
    </row>
    <row r="243" spans="1:25" x14ac:dyDescent="0.2">
      <c r="A243" t="s">
        <v>211</v>
      </c>
      <c r="B243">
        <f si="85" t="shared"/>
        <v>107</v>
      </c>
      <c r="C243">
        <f si="85" t="shared"/>
        <v>3088</v>
      </c>
      <c r="D243">
        <f si="85" t="shared"/>
        <v>8492</v>
      </c>
      <c r="E243">
        <f si="86" t="shared"/>
        <v>2327</v>
      </c>
      <c r="F243">
        <f si="87" t="shared"/>
        <v>14014</v>
      </c>
      <c r="N243" t="s">
        <v>211</v>
      </c>
      <c r="O243" s="105" t="n">
        <v>124.0</v>
      </c>
      <c r="P243" s="105" t="n">
        <v>3305.0</v>
      </c>
      <c r="Q243" s="105" t="n">
        <v>8930.0</v>
      </c>
      <c r="R243" s="105" t="n">
        <v>2424.0</v>
      </c>
      <c r="S243">
        <f ref="S243:S248" si="88" t="shared">SUM(O243:R243)</f>
        <v>14014</v>
      </c>
    </row>
    <row r="244" spans="1:25" x14ac:dyDescent="0.2">
      <c r="A244" t="s">
        <v>212</v>
      </c>
      <c r="B244">
        <f si="85" t="shared"/>
        <v>3152</v>
      </c>
      <c r="C244">
        <f si="85" t="shared"/>
        <v>46251</v>
      </c>
      <c r="D244">
        <f si="85" t="shared"/>
        <v>123337</v>
      </c>
      <c r="E244">
        <f si="86" t="shared"/>
        <v>32257</v>
      </c>
      <c r="F244">
        <f si="87" t="shared"/>
        <v>204997</v>
      </c>
      <c r="N244" t="s">
        <v>212</v>
      </c>
      <c r="O244" s="105" t="n">
        <v>3163.0</v>
      </c>
      <c r="P244" s="105" t="n">
        <v>45133.0</v>
      </c>
      <c r="Q244" s="105" t="n">
        <v>118467.0</v>
      </c>
      <c r="R244" s="105" t="n">
        <v>30718.0</v>
      </c>
      <c r="S244">
        <f si="88" t="shared"/>
        <v>204997</v>
      </c>
    </row>
    <row r="245" spans="1:25" x14ac:dyDescent="0.2">
      <c r="A245" t="s">
        <v>36</v>
      </c>
      <c r="B245">
        <f si="85" t="shared"/>
        <v>9561</v>
      </c>
      <c r="C245">
        <f si="85" t="shared"/>
        <v>80188</v>
      </c>
      <c r="D245">
        <f si="85" t="shared"/>
        <v>246980</v>
      </c>
      <c r="E245">
        <f si="86" t="shared"/>
        <v>67851</v>
      </c>
      <c r="F245">
        <f si="87" t="shared"/>
        <v>404580</v>
      </c>
      <c r="N245" t="s">
        <v>36</v>
      </c>
      <c r="O245" s="105" t="n">
        <v>9625.0</v>
      </c>
      <c r="P245" s="105" t="n">
        <v>80248.0</v>
      </c>
      <c r="Q245" s="105" t="n">
        <v>245451.0</v>
      </c>
      <c r="R245" s="105" t="n">
        <v>66957.0</v>
      </c>
      <c r="S245">
        <f si="88" t="shared"/>
        <v>404580</v>
      </c>
    </row>
    <row r="246" spans="1:25" x14ac:dyDescent="0.2">
      <c r="A246" t="s">
        <v>214</v>
      </c>
      <c r="B246">
        <f si="85" t="shared"/>
        <v>6752</v>
      </c>
      <c r="C246">
        <f si="85" t="shared"/>
        <v>52322</v>
      </c>
      <c r="D246">
        <f si="85" t="shared"/>
        <v>160310</v>
      </c>
      <c r="E246">
        <f si="86" t="shared"/>
        <v>43154</v>
      </c>
      <c r="F246">
        <f si="87" t="shared"/>
        <v>262538</v>
      </c>
      <c r="N246" t="s">
        <v>214</v>
      </c>
      <c r="O246" s="105" t="n">
        <v>6879.0</v>
      </c>
      <c r="P246" s="105" t="n">
        <v>52869.0</v>
      </c>
      <c r="Q246" s="105" t="n">
        <v>158400.0</v>
      </c>
      <c r="R246" s="105" t="n">
        <v>42828.0</v>
      </c>
      <c r="S246">
        <f si="88" t="shared"/>
        <v>262538</v>
      </c>
    </row>
    <row r="247" spans="1:25" x14ac:dyDescent="0.2">
      <c r="A247" t="s">
        <v>129</v>
      </c>
      <c r="B247">
        <f si="85" t="shared"/>
        <v>2200</v>
      </c>
      <c r="C247">
        <f si="85" t="shared"/>
        <v>22548</v>
      </c>
      <c r="D247">
        <f si="85" t="shared"/>
        <v>82150</v>
      </c>
      <c r="E247">
        <f si="86" t="shared"/>
        <v>23239</v>
      </c>
      <c r="F247">
        <f si="87" t="shared"/>
        <v>130137</v>
      </c>
      <c r="N247" t="s">
        <v>129</v>
      </c>
      <c r="O247" s="105" t="n">
        <v>2236.0</v>
      </c>
      <c r="P247" s="105" t="n">
        <v>22267.0</v>
      </c>
      <c r="Q247" s="105" t="n">
        <v>79223.0</v>
      </c>
      <c r="R247" s="105" t="n">
        <v>22266.0</v>
      </c>
      <c r="S247">
        <f si="88" t="shared"/>
        <v>130137</v>
      </c>
    </row>
    <row r="248" spans="1:25" x14ac:dyDescent="0.2">
      <c r="A248" t="s">
        <v>130</v>
      </c>
      <c r="B248">
        <f si="85" t="shared"/>
        <v>2116</v>
      </c>
      <c r="C248">
        <f si="85" t="shared"/>
        <v>27165</v>
      </c>
      <c r="D248">
        <f si="85" t="shared"/>
        <v>86424</v>
      </c>
      <c r="E248">
        <f si="86" t="shared"/>
        <v>23955</v>
      </c>
      <c r="F248">
        <f si="87" t="shared"/>
        <v>139660</v>
      </c>
      <c r="N248" t="s">
        <v>130</v>
      </c>
      <c r="O248" s="105" t="n">
        <v>2112.0</v>
      </c>
      <c r="P248" s="105" t="n">
        <v>26887.0</v>
      </c>
      <c r="Q248" s="105" t="n">
        <v>85092.0</v>
      </c>
      <c r="R248" s="105" t="n">
        <v>23535.0</v>
      </c>
      <c r="S248">
        <f si="88" t="shared"/>
        <v>139660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F258" si="89" t="shared">O252*$B$1</f>
        <v>50248</v>
      </c>
      <c r="C252">
        <f si="89" t="shared"/>
        <v>5550</v>
      </c>
      <c r="D252">
        <f si="89" t="shared"/>
        <v>4749</v>
      </c>
      <c r="E252">
        <f si="89" t="shared"/>
        <v>22452</v>
      </c>
      <c r="F252">
        <f si="89" t="shared"/>
        <v>13078</v>
      </c>
      <c r="G252">
        <f ref="G252:G258" si="90" t="shared">T252*$B$1</f>
        <v>15650</v>
      </c>
      <c r="H252">
        <f ref="H252:H258" si="91" t="shared">U252*$B$1</f>
        <v>9466</v>
      </c>
      <c r="I252">
        <f ref="I252:I258" si="92" t="shared">V252*$B$1</f>
        <v>0</v>
      </c>
      <c r="J252">
        <f ref="J252:J258" si="93" t="shared">W252*$B$1</f>
        <v>0</v>
      </c>
      <c r="K252">
        <f ref="K252:K258" si="94" t="shared">X252*$B$1</f>
        <v>0</v>
      </c>
      <c r="L252">
        <f ref="L252:L258" si="95" t="shared">Y252*$B$1</f>
        <v>121193</v>
      </c>
      <c r="N252" t="s">
        <v>210</v>
      </c>
      <c r="O252" s="105" t="n">
        <v>41277.0</v>
      </c>
      <c r="P252" s="105" t="n">
        <v>4467.0</v>
      </c>
      <c r="Q252" s="105" t="n">
        <v>4035.0</v>
      </c>
      <c r="R252" s="105" t="n">
        <v>18040.0</v>
      </c>
      <c r="S252" t="n">
        <v>10677.0</v>
      </c>
      <c r="T252" t="n">
        <v>12924.0</v>
      </c>
      <c r="U252" t="n">
        <v>7848.0</v>
      </c>
      <c r="V252" t="n">
        <v>0.0</v>
      </c>
      <c r="W252" t="n">
        <v>0.0</v>
      </c>
      <c r="X252" t="n">
        <v>0.0</v>
      </c>
      <c r="Y252">
        <f>SUM(O252:X252)</f>
        <v>121193</v>
      </c>
    </row>
    <row r="253" spans="1:25" x14ac:dyDescent="0.2">
      <c r="A253" t="s">
        <v>211</v>
      </c>
      <c r="B253">
        <f si="89" t="shared"/>
        <v>4994</v>
      </c>
      <c r="C253">
        <f si="89" t="shared"/>
        <v>638</v>
      </c>
      <c r="D253">
        <f si="89" t="shared"/>
        <v>545</v>
      </c>
      <c r="E253">
        <f si="89" t="shared"/>
        <v>3165</v>
      </c>
      <c r="F253">
        <f si="89" t="shared"/>
        <v>1623</v>
      </c>
      <c r="G253">
        <f si="90" t="shared"/>
        <v>1983</v>
      </c>
      <c r="H253">
        <f si="91" t="shared"/>
        <v>1066</v>
      </c>
      <c r="I253">
        <f si="92" t="shared"/>
        <v>0</v>
      </c>
      <c r="J253">
        <f si="93" t="shared"/>
        <v>0</v>
      </c>
      <c r="K253">
        <f si="94" t="shared"/>
        <v>0</v>
      </c>
      <c r="L253">
        <f si="95" t="shared"/>
        <v>14014</v>
      </c>
      <c r="N253" t="s">
        <v>211</v>
      </c>
      <c r="O253" s="105" t="n">
        <v>5591.0</v>
      </c>
      <c r="P253" s="105" t="n">
        <v>700.0</v>
      </c>
      <c r="Q253" s="105" t="n">
        <v>538.0</v>
      </c>
      <c r="R253" s="105" t="n">
        <v>3005.0</v>
      </c>
      <c r="S253" t="n">
        <v>1662.0</v>
      </c>
      <c r="T253" t="n">
        <v>2225.0</v>
      </c>
      <c r="U253" t="n">
        <v>1062.0</v>
      </c>
      <c r="V253" t="n">
        <v>0.0</v>
      </c>
      <c r="W253" t="n">
        <v>0.0</v>
      </c>
      <c r="X253" t="n">
        <v>0.0</v>
      </c>
      <c r="Y253">
        <f ref="Y253:Y258" si="96" t="shared">SUM(O253:X253)</f>
        <v>14014</v>
      </c>
    </row>
    <row r="254" spans="1:25" x14ac:dyDescent="0.2">
      <c r="A254" t="s">
        <v>212</v>
      </c>
      <c r="B254">
        <f si="89" t="shared"/>
        <v>81028</v>
      </c>
      <c r="C254">
        <f si="89" t="shared"/>
        <v>10143</v>
      </c>
      <c r="D254">
        <f si="89" t="shared"/>
        <v>7257</v>
      </c>
      <c r="E254">
        <f si="89" t="shared"/>
        <v>39166</v>
      </c>
      <c r="F254">
        <f si="89" t="shared"/>
        <v>21427</v>
      </c>
      <c r="G254">
        <f si="90" t="shared"/>
        <v>30411</v>
      </c>
      <c r="H254">
        <f si="91" t="shared"/>
        <v>15565</v>
      </c>
      <c r="I254">
        <f si="92" t="shared"/>
        <v>0</v>
      </c>
      <c r="J254">
        <f si="93" t="shared"/>
        <v>0</v>
      </c>
      <c r="K254">
        <f si="94" t="shared"/>
        <v>0</v>
      </c>
      <c r="L254">
        <f si="95" t="shared"/>
        <v>204997</v>
      </c>
      <c r="N254" t="s">
        <v>212</v>
      </c>
      <c r="O254" s="105" t="n">
        <v>77755.0</v>
      </c>
      <c r="P254" s="105" t="n">
        <v>9486.0</v>
      </c>
      <c r="Q254" s="105" t="n">
        <v>7041.0</v>
      </c>
      <c r="R254" s="105" t="n">
        <v>38397.0</v>
      </c>
      <c r="S254" t="n">
        <v>20326.0</v>
      </c>
      <c r="T254" t="n">
        <v>29436.0</v>
      </c>
      <c r="U254" t="n">
        <v>15040.0</v>
      </c>
      <c r="V254" t="n">
        <v>0.0</v>
      </c>
      <c r="W254" t="n">
        <v>0.0</v>
      </c>
      <c r="X254" t="n">
        <v>0.0</v>
      </c>
      <c r="Y254">
        <f si="96" t="shared"/>
        <v>204997</v>
      </c>
    </row>
    <row r="255" spans="1:25" x14ac:dyDescent="0.2">
      <c r="A255" t="s">
        <v>36</v>
      </c>
      <c r="B255">
        <f si="89" t="shared"/>
        <v>159960</v>
      </c>
      <c r="C255">
        <f si="89" t="shared"/>
        <v>23412</v>
      </c>
      <c r="D255">
        <f si="89" t="shared"/>
        <v>17562</v>
      </c>
      <c r="E255">
        <f si="89" t="shared"/>
        <v>70431</v>
      </c>
      <c r="F255">
        <f si="89" t="shared"/>
        <v>44712</v>
      </c>
      <c r="G255">
        <f si="90" t="shared"/>
        <v>54908</v>
      </c>
      <c r="H255">
        <f si="91" t="shared"/>
        <v>33595</v>
      </c>
      <c r="I255">
        <f si="92" t="shared"/>
        <v>0</v>
      </c>
      <c r="J255">
        <f si="93" t="shared"/>
        <v>0</v>
      </c>
      <c r="K255">
        <f si="94" t="shared"/>
        <v>0</v>
      </c>
      <c r="L255">
        <f si="95" t="shared"/>
        <v>404580</v>
      </c>
      <c r="N255" t="s">
        <v>36</v>
      </c>
      <c r="O255" s="105" t="n">
        <v>157835.0</v>
      </c>
      <c r="P255" s="105" t="n">
        <v>23307.0</v>
      </c>
      <c r="Q255" s="105" t="n">
        <v>17601.0</v>
      </c>
      <c r="R255" s="105" t="n">
        <v>70994.0</v>
      </c>
      <c r="S255" t="n">
        <v>44700.0</v>
      </c>
      <c r="T255" t="n">
        <v>54413.0</v>
      </c>
      <c r="U255" t="n">
        <v>33431.0</v>
      </c>
      <c r="V255" t="n">
        <v>0.0</v>
      </c>
      <c r="W255" t="n">
        <v>0.0</v>
      </c>
      <c r="X255" t="n">
        <v>0.0</v>
      </c>
      <c r="Y255">
        <f si="96" t="shared"/>
        <v>404580</v>
      </c>
    </row>
    <row r="256" spans="1:25" x14ac:dyDescent="0.2">
      <c r="A256" t="s">
        <v>214</v>
      </c>
      <c r="B256">
        <f si="89" t="shared"/>
        <v>106110</v>
      </c>
      <c r="C256">
        <f si="89" t="shared"/>
        <v>15304</v>
      </c>
      <c r="D256">
        <f si="89" t="shared"/>
        <v>10826</v>
      </c>
      <c r="E256">
        <f si="89" t="shared"/>
        <v>45017</v>
      </c>
      <c r="F256">
        <f si="89" t="shared"/>
        <v>28507</v>
      </c>
      <c r="G256">
        <f si="90" t="shared"/>
        <v>35578</v>
      </c>
      <c r="H256">
        <f si="91" t="shared"/>
        <v>21196</v>
      </c>
      <c r="I256">
        <f si="92" t="shared"/>
        <v>0</v>
      </c>
      <c r="J256">
        <f si="93" t="shared"/>
        <v>0</v>
      </c>
      <c r="K256">
        <f si="94" t="shared"/>
        <v>0</v>
      </c>
      <c r="L256">
        <f si="95" t="shared"/>
        <v>262538</v>
      </c>
      <c r="N256" t="s">
        <v>214</v>
      </c>
      <c r="O256" s="105" t="n">
        <v>105359.0</v>
      </c>
      <c r="P256" s="105" t="n">
        <v>15172.0</v>
      </c>
      <c r="Q256" s="105" t="n">
        <v>11091.0</v>
      </c>
      <c r="R256" s="105" t="n">
        <v>44978.0</v>
      </c>
      <c r="S256" t="n">
        <v>28243.0</v>
      </c>
      <c r="T256" t="n">
        <v>35059.0</v>
      </c>
      <c r="U256" t="n">
        <v>21074.0</v>
      </c>
      <c r="V256" t="n">
        <v>0.0</v>
      </c>
      <c r="W256" t="n">
        <v>0.0</v>
      </c>
      <c r="X256" t="n">
        <v>0.0</v>
      </c>
      <c r="Y256">
        <f si="96" t="shared"/>
        <v>262538</v>
      </c>
    </row>
    <row r="257" spans="1:25" x14ac:dyDescent="0.2">
      <c r="A257" t="s">
        <v>129</v>
      </c>
      <c r="B257">
        <f si="89" t="shared"/>
        <v>51163</v>
      </c>
      <c r="C257">
        <f si="89" t="shared"/>
        <v>7253</v>
      </c>
      <c r="D257">
        <f si="89" t="shared"/>
        <v>5669</v>
      </c>
      <c r="E257">
        <f si="89" t="shared"/>
        <v>23616</v>
      </c>
      <c r="F257">
        <f si="89" t="shared"/>
        <v>14429</v>
      </c>
      <c r="G257">
        <f si="90" t="shared"/>
        <v>17334</v>
      </c>
      <c r="H257">
        <f si="91" t="shared"/>
        <v>10673</v>
      </c>
      <c r="I257">
        <f si="92" t="shared"/>
        <v>0</v>
      </c>
      <c r="J257">
        <f si="93" t="shared"/>
        <v>0</v>
      </c>
      <c r="K257">
        <f si="94" t="shared"/>
        <v>0</v>
      </c>
      <c r="L257">
        <f si="95" t="shared"/>
        <v>130137</v>
      </c>
      <c r="N257" t="s">
        <v>129</v>
      </c>
      <c r="O257" s="105" t="n">
        <v>49264.0</v>
      </c>
      <c r="P257" s="105" t="n">
        <v>7014.0</v>
      </c>
      <c r="Q257" s="105" t="n">
        <v>5437.0</v>
      </c>
      <c r="R257" s="105" t="n">
        <v>22780.0</v>
      </c>
      <c r="S257" t="n">
        <v>13931.0</v>
      </c>
      <c r="T257" t="n">
        <v>16916.0</v>
      </c>
      <c r="U257" t="n">
        <v>10650.0</v>
      </c>
      <c r="V257" t="n">
        <v>0.0</v>
      </c>
      <c r="W257" t="n">
        <v>0.0</v>
      </c>
      <c r="X257" t="n">
        <v>0.0</v>
      </c>
      <c r="Y257">
        <f si="96" t="shared"/>
        <v>130137</v>
      </c>
    </row>
    <row r="258" spans="1:25" x14ac:dyDescent="0.2">
      <c r="A258" t="s">
        <v>130</v>
      </c>
      <c r="B258">
        <f si="89" t="shared"/>
        <v>49980</v>
      </c>
      <c r="C258">
        <f si="89" t="shared"/>
        <v>8215</v>
      </c>
      <c r="D258">
        <f si="89" t="shared"/>
        <v>6600</v>
      </c>
      <c r="E258">
        <f si="89" t="shared"/>
        <v>26140</v>
      </c>
      <c r="F258">
        <f si="89" t="shared"/>
        <v>16565</v>
      </c>
      <c r="G258">
        <f si="90" t="shared"/>
        <v>20471</v>
      </c>
      <c r="H258">
        <f si="91" t="shared"/>
        <v>11689</v>
      </c>
      <c r="I258">
        <f si="92" t="shared"/>
        <v>0</v>
      </c>
      <c r="J258">
        <f si="93" t="shared"/>
        <v>0</v>
      </c>
      <c r="K258">
        <f si="94" t="shared"/>
        <v>0</v>
      </c>
      <c r="L258">
        <f si="95" t="shared"/>
        <v>139660</v>
      </c>
      <c r="N258" t="s">
        <v>130</v>
      </c>
      <c r="O258" s="105" t="n">
        <v>49193.0</v>
      </c>
      <c r="P258" s="105" t="n">
        <v>8194.0</v>
      </c>
      <c r="Q258" s="105" t="n">
        <v>6418.0</v>
      </c>
      <c r="R258" s="105" t="n">
        <v>26007.0</v>
      </c>
      <c r="S258" t="n">
        <v>15772.0</v>
      </c>
      <c r="T258" t="n">
        <v>20439.0</v>
      </c>
      <c r="U258" t="n">
        <v>11603.0</v>
      </c>
      <c r="V258" t="n">
        <v>0.0</v>
      </c>
      <c r="W258" t="n">
        <v>0.0</v>
      </c>
      <c r="X258" t="n">
        <v>0.0</v>
      </c>
      <c r="Y258">
        <f si="96" t="shared"/>
        <v>139660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H269" si="97" t="shared">O262*$B$1</f>
        <v>754366</v>
      </c>
      <c r="C262">
        <f si="97" t="shared"/>
        <v>81504</v>
      </c>
      <c r="D262">
        <f si="97" t="shared"/>
        <v>0</v>
      </c>
      <c r="E262">
        <f si="97" t="shared"/>
        <v>0</v>
      </c>
      <c r="F262">
        <f si="97" t="shared"/>
        <v>13761</v>
      </c>
      <c r="G262">
        <f si="97" t="shared"/>
        <v>2391</v>
      </c>
      <c r="H262">
        <f si="97" t="shared"/>
        <v>0</v>
      </c>
      <c r="I262">
        <f ref="I262:I269" si="98" t="shared">V262*$B$1</f>
        <v>0</v>
      </c>
      <c r="J262">
        <f ref="J262:J269" si="99" t="shared">W262*$B$1</f>
        <v>852022</v>
      </c>
      <c r="N262" t="s">
        <v>210</v>
      </c>
      <c r="O262" s="105" t="n">
        <v>678313.0</v>
      </c>
      <c r="P262" s="105" t="n">
        <v>67327.0</v>
      </c>
      <c r="Q262" s="105" t="n">
        <v>0.0</v>
      </c>
      <c r="R262" s="105" t="n">
        <v>0.0</v>
      </c>
      <c r="S262" s="105" t="n">
        <v>12320.0</v>
      </c>
      <c r="T262" s="105" t="n">
        <v>2098.0</v>
      </c>
      <c r="U262" s="105" t="n">
        <v>0.0</v>
      </c>
      <c r="V262" s="105" t="n">
        <v>0.0</v>
      </c>
      <c r="W262">
        <f>SUM(O262:V262)</f>
        <v>852022</v>
      </c>
    </row>
    <row r="263" spans="1:25" x14ac:dyDescent="0.2">
      <c r="A263" t="s">
        <v>211</v>
      </c>
      <c r="B263">
        <f si="97" t="shared"/>
        <v>8884</v>
      </c>
      <c r="C263">
        <f si="97" t="shared"/>
        <v>0</v>
      </c>
      <c r="D263">
        <f si="97" t="shared"/>
        <v>0</v>
      </c>
      <c r="E263">
        <f si="97" t="shared"/>
        <v>0</v>
      </c>
      <c r="F263">
        <f si="97" t="shared"/>
        <v>15374</v>
      </c>
      <c r="G263">
        <f si="97" t="shared"/>
        <v>26096</v>
      </c>
      <c r="H263">
        <f si="97" t="shared"/>
        <v>175294</v>
      </c>
      <c r="I263">
        <f si="98" t="shared"/>
        <v>0</v>
      </c>
      <c r="J263">
        <f si="99" t="shared"/>
        <v>225648</v>
      </c>
      <c r="N263" t="s">
        <v>211</v>
      </c>
      <c r="O263" s="105" t="n">
        <v>11642.0</v>
      </c>
      <c r="P263" s="105" t="n">
        <v>0.0</v>
      </c>
      <c r="Q263" s="105" t="n">
        <v>0.0</v>
      </c>
      <c r="R263" s="105" t="n">
        <v>0.0</v>
      </c>
      <c r="S263" s="105" t="n">
        <v>16746.0</v>
      </c>
      <c r="T263" s="105" t="n">
        <v>27150.0</v>
      </c>
      <c r="U263" s="105" t="n">
        <v>176015.0</v>
      </c>
      <c r="V263" s="105" t="n">
        <v>0.0</v>
      </c>
      <c r="W263">
        <f ref="W263:W269" si="100" t="shared">SUM(O263:V263)</f>
        <v>225648</v>
      </c>
    </row>
    <row r="264" spans="1:25" x14ac:dyDescent="0.2">
      <c r="A264" t="s">
        <v>212</v>
      </c>
      <c r="B264">
        <f si="97" t="shared"/>
        <v>176075</v>
      </c>
      <c r="C264">
        <f si="97" t="shared"/>
        <v>56116</v>
      </c>
      <c r="D264">
        <f si="97" t="shared"/>
        <v>23750</v>
      </c>
      <c r="E264">
        <f si="97" t="shared"/>
        <v>101348</v>
      </c>
      <c r="F264">
        <f si="97" t="shared"/>
        <v>10419</v>
      </c>
      <c r="G264">
        <f si="97" t="shared"/>
        <v>4855</v>
      </c>
      <c r="H264">
        <f si="97" t="shared"/>
        <v>28842</v>
      </c>
      <c r="I264">
        <f si="98" t="shared"/>
        <v>0</v>
      </c>
      <c r="J264">
        <f si="99" t="shared"/>
        <v>401405</v>
      </c>
      <c r="N264" t="s">
        <v>212</v>
      </c>
      <c r="O264" s="105" t="n">
        <v>174287.0</v>
      </c>
      <c r="P264" s="105" t="n">
        <v>59710.0</v>
      </c>
      <c r="Q264" s="105" t="n">
        <v>23153.0</v>
      </c>
      <c r="R264" s="105" t="n">
        <v>99757.0</v>
      </c>
      <c r="S264" s="105" t="n">
        <v>10343.0</v>
      </c>
      <c r="T264" s="105" t="n">
        <v>4951.0</v>
      </c>
      <c r="U264" s="105" t="n">
        <v>28969.0</v>
      </c>
      <c r="V264" s="105" t="n">
        <v>0.0</v>
      </c>
      <c r="W264">
        <f si="100" t="shared"/>
        <v>401405</v>
      </c>
    </row>
    <row r="265" spans="1:25" x14ac:dyDescent="0.2">
      <c r="A265" t="s">
        <v>36</v>
      </c>
      <c r="B265">
        <f si="97" t="shared"/>
        <v>248218</v>
      </c>
      <c r="C265">
        <f si="97" t="shared"/>
        <v>78437</v>
      </c>
      <c r="D265">
        <f si="97" t="shared"/>
        <v>146708</v>
      </c>
      <c r="E265">
        <f si="97" t="shared"/>
        <v>117831</v>
      </c>
      <c r="F265">
        <f si="97" t="shared"/>
        <v>8977</v>
      </c>
      <c r="G265">
        <f si="97" t="shared"/>
        <v>6759</v>
      </c>
      <c r="H265">
        <f si="97" t="shared"/>
        <v>47925</v>
      </c>
      <c r="I265">
        <f si="98" t="shared"/>
        <v>0</v>
      </c>
      <c r="J265">
        <f si="99" t="shared"/>
        <v>654855</v>
      </c>
      <c r="N265" t="s">
        <v>36</v>
      </c>
      <c r="O265" s="105" t="n">
        <v>247783.0</v>
      </c>
      <c r="P265" s="105" t="n">
        <v>83403.0</v>
      </c>
      <c r="Q265" s="105" t="n">
        <v>146444.0</v>
      </c>
      <c r="R265" s="105" t="n">
        <v>117659.0</v>
      </c>
      <c r="S265" s="105" t="n">
        <v>9142.0</v>
      </c>
      <c r="T265" s="105" t="n">
        <v>6975.0</v>
      </c>
      <c r="U265" s="105" t="n">
        <v>48163.0</v>
      </c>
      <c r="V265" s="105" t="n">
        <v>0.0</v>
      </c>
      <c r="W265">
        <f si="100" t="shared"/>
        <v>654855</v>
      </c>
    </row>
    <row r="266" spans="1:25" x14ac:dyDescent="0.2">
      <c r="A266" t="s">
        <v>214</v>
      </c>
      <c r="B266">
        <f si="97" t="shared"/>
        <v>149212</v>
      </c>
      <c r="C266">
        <f si="97" t="shared"/>
        <v>62216</v>
      </c>
      <c r="D266">
        <f si="97" t="shared"/>
        <v>90071</v>
      </c>
      <c r="E266">
        <f si="97" t="shared"/>
        <v>97453</v>
      </c>
      <c r="F266">
        <f si="97" t="shared"/>
        <v>9722</v>
      </c>
      <c r="G266">
        <f si="97" t="shared"/>
        <v>1971</v>
      </c>
      <c r="H266">
        <f si="97" t="shared"/>
        <v>19665</v>
      </c>
      <c r="I266">
        <f si="98" t="shared"/>
        <v>0</v>
      </c>
      <c r="J266">
        <f si="99" t="shared"/>
        <v>430310</v>
      </c>
      <c r="N266" t="s">
        <v>214</v>
      </c>
      <c r="O266" s="105" t="n">
        <v>149328.0</v>
      </c>
      <c r="P266" s="105" t="n">
        <v>64733.0</v>
      </c>
      <c r="Q266" s="105" t="n">
        <v>89930.0</v>
      </c>
      <c r="R266" s="105" t="n">
        <v>97513.0</v>
      </c>
      <c r="S266" s="105" t="n">
        <v>9498.0</v>
      </c>
      <c r="T266" s="105" t="n">
        <v>2154.0</v>
      </c>
      <c r="U266" s="105" t="n">
        <v>19596.0</v>
      </c>
      <c r="V266" s="105" t="n">
        <v>0.0</v>
      </c>
      <c r="W266">
        <f si="100" t="shared"/>
        <v>430310</v>
      </c>
    </row>
    <row r="267" spans="1:25" x14ac:dyDescent="0.2">
      <c r="A267" t="s">
        <v>129</v>
      </c>
      <c r="B267">
        <f si="97" t="shared"/>
        <v>143213</v>
      </c>
      <c r="C267">
        <f si="97" t="shared"/>
        <v>30263</v>
      </c>
      <c r="D267">
        <f si="97" t="shared"/>
        <v>38311</v>
      </c>
      <c r="E267">
        <f si="97" t="shared"/>
        <v>24424</v>
      </c>
      <c r="F267">
        <f si="97" t="shared"/>
        <v>7325</v>
      </c>
      <c r="G267">
        <f si="97" t="shared"/>
        <v>1651</v>
      </c>
      <c r="H267">
        <f si="97" t="shared"/>
        <v>15197</v>
      </c>
      <c r="I267">
        <f si="98" t="shared"/>
        <v>0</v>
      </c>
      <c r="J267">
        <f si="99" t="shared"/>
        <v>260384</v>
      </c>
      <c r="N267" t="s">
        <v>129</v>
      </c>
      <c r="O267" s="105" t="n">
        <v>140067.0</v>
      </c>
      <c r="P267" s="105" t="n">
        <v>31132.0</v>
      </c>
      <c r="Q267" s="105" t="n">
        <v>38481.0</v>
      </c>
      <c r="R267" s="105" t="n">
        <v>24185.0</v>
      </c>
      <c r="S267" s="105" t="n">
        <v>7260.0</v>
      </c>
      <c r="T267" s="105" t="n">
        <v>1674.0</v>
      </c>
      <c r="U267" s="105" t="n">
        <v>15366.0</v>
      </c>
      <c r="V267" s="105" t="n">
        <v>0.0</v>
      </c>
      <c r="W267">
        <f si="100" t="shared"/>
        <v>260384</v>
      </c>
    </row>
    <row r="268" spans="1:25" x14ac:dyDescent="0.2">
      <c r="A268" t="s">
        <v>130</v>
      </c>
      <c r="B268">
        <f si="97" t="shared"/>
        <v>120808</v>
      </c>
      <c r="C268">
        <f si="97" t="shared"/>
        <v>31599</v>
      </c>
      <c r="D268">
        <f si="97" t="shared"/>
        <v>46958</v>
      </c>
      <c r="E268">
        <f si="97" t="shared"/>
        <v>55216</v>
      </c>
      <c r="F268">
        <f si="97" t="shared"/>
        <v>6102</v>
      </c>
      <c r="G268">
        <f si="97" t="shared"/>
        <v>10013</v>
      </c>
      <c r="H268">
        <f si="97" t="shared"/>
        <v>87617</v>
      </c>
      <c r="I268">
        <f si="98" t="shared"/>
        <v>0</v>
      </c>
      <c r="J268">
        <f si="99" t="shared"/>
        <v>358313</v>
      </c>
      <c r="N268" t="s">
        <v>130</v>
      </c>
      <c r="O268" s="105" t="n">
        <v>116828.0</v>
      </c>
      <c r="P268" s="105" t="n">
        <v>32655.0</v>
      </c>
      <c r="Q268" s="105" t="n">
        <v>47250.0</v>
      </c>
      <c r="R268" s="105" t="n">
        <v>55096.0</v>
      </c>
      <c r="S268" s="105" t="n">
        <v>5887.0</v>
      </c>
      <c r="T268" s="105" t="n">
        <v>10080.0</v>
      </c>
      <c r="U268" s="105" t="n">
        <v>87522.0</v>
      </c>
      <c r="V268" s="105" t="n">
        <v>0.0</v>
      </c>
      <c r="W268">
        <f si="100" t="shared"/>
        <v>358313</v>
      </c>
    </row>
    <row r="269" spans="1:25" x14ac:dyDescent="0.2">
      <c r="A269" t="s">
        <v>145</v>
      </c>
      <c r="B269">
        <f si="97" t="shared"/>
        <v>815119</v>
      </c>
      <c r="C269">
        <f si="97" t="shared"/>
        <v>135734</v>
      </c>
      <c r="D269">
        <f si="97" t="shared"/>
        <v>191090</v>
      </c>
      <c r="E269">
        <f si="97" t="shared"/>
        <v>231016</v>
      </c>
      <c r="F269">
        <f si="97" t="shared"/>
        <v>47401</v>
      </c>
      <c r="G269">
        <f si="97" t="shared"/>
        <v>40629</v>
      </c>
      <c r="H269">
        <f si="97" t="shared"/>
        <v>253405</v>
      </c>
      <c r="I269">
        <f si="98" t="shared"/>
        <v>0</v>
      </c>
      <c r="J269">
        <f si="99" t="shared"/>
        <v>1714394</v>
      </c>
      <c r="N269" t="s">
        <v>145</v>
      </c>
      <c r="O269" s="105" t="n">
        <v>775414.0</v>
      </c>
      <c r="P269" s="105" t="n">
        <v>144704.0</v>
      </c>
      <c r="Q269" s="105" t="n">
        <v>190556.0</v>
      </c>
      <c r="R269" s="105" t="n">
        <v>229045.0</v>
      </c>
      <c r="S269" s="105" t="n">
        <v>47399.0</v>
      </c>
      <c r="T269" s="105" t="n">
        <v>41622.0</v>
      </c>
      <c r="U269" s="105" t="n">
        <v>252925.0</v>
      </c>
      <c r="V269" s="105" t="n">
        <v>0.0</v>
      </c>
      <c r="W269">
        <f si="100" t="shared"/>
        <v>1714394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D280" si="101" t="shared">O273*$B$1</f>
        <v>17771</v>
      </c>
      <c r="C273">
        <f si="101" t="shared"/>
        <v>169331</v>
      </c>
      <c r="D273">
        <f si="101" t="shared"/>
        <v>173084</v>
      </c>
      <c r="E273">
        <f ref="E273:E280" si="102" t="shared">R273*$B$1</f>
        <v>491758</v>
      </c>
      <c r="F273">
        <f ref="F273:F280" si="103" t="shared">S273*$B$1</f>
        <v>851944</v>
      </c>
      <c r="N273" t="s">
        <v>210</v>
      </c>
      <c r="O273" s="105" t="n">
        <v>14953.0</v>
      </c>
      <c r="P273" s="105" t="n">
        <v>150513.0</v>
      </c>
      <c r="Q273" s="105" t="n">
        <v>151914.0</v>
      </c>
      <c r="R273" s="105" t="n">
        <v>442616.0</v>
      </c>
      <c r="S273">
        <f>SUM(O273:R273)</f>
        <v>851944</v>
      </c>
    </row>
    <row r="274" spans="1:19" x14ac:dyDescent="0.2">
      <c r="A274" t="s">
        <v>211</v>
      </c>
      <c r="B274">
        <f si="101" t="shared"/>
        <v>14950</v>
      </c>
      <c r="C274">
        <f si="101" t="shared"/>
        <v>56832</v>
      </c>
      <c r="D274">
        <f si="101" t="shared"/>
        <v>38511</v>
      </c>
      <c r="E274">
        <f si="102" t="shared"/>
        <v>115347</v>
      </c>
      <c r="F274">
        <f si="103" t="shared"/>
        <v>225640</v>
      </c>
      <c r="N274" t="s">
        <v>211</v>
      </c>
      <c r="O274" s="105" t="n">
        <v>15249.0</v>
      </c>
      <c r="P274" s="105" t="n">
        <v>57723.0</v>
      </c>
      <c r="Q274" s="105" t="n">
        <v>39277.0</v>
      </c>
      <c r="R274" s="105" t="n">
        <v>119296.0</v>
      </c>
      <c r="S274">
        <f ref="S274:S280" si="104" t="shared">SUM(O274:R274)</f>
        <v>225640</v>
      </c>
    </row>
    <row r="275" spans="1:19" x14ac:dyDescent="0.2">
      <c r="A275" t="s">
        <v>212</v>
      </c>
      <c r="B275">
        <f si="101" t="shared"/>
        <v>23274</v>
      </c>
      <c r="C275">
        <f si="101" t="shared"/>
        <v>89139</v>
      </c>
      <c r="D275">
        <f si="101" t="shared"/>
        <v>71648</v>
      </c>
      <c r="E275">
        <f si="102" t="shared"/>
        <v>217317</v>
      </c>
      <c r="F275">
        <f si="103" t="shared"/>
        <v>401378</v>
      </c>
      <c r="N275" t="s">
        <v>212</v>
      </c>
      <c r="O275" s="105" t="n">
        <v>23634.0</v>
      </c>
      <c r="P275" s="105" t="n">
        <v>89304.0</v>
      </c>
      <c r="Q275" s="105" t="n">
        <v>70895.0</v>
      </c>
      <c r="R275" s="105" t="n">
        <v>217305.0</v>
      </c>
      <c r="S275">
        <f si="104" t="shared"/>
        <v>401378</v>
      </c>
    </row>
    <row r="276" spans="1:19" x14ac:dyDescent="0.2">
      <c r="A276" t="s">
        <v>36</v>
      </c>
      <c r="B276">
        <f si="101" t="shared"/>
        <v>44967</v>
      </c>
      <c r="C276">
        <f si="101" t="shared"/>
        <v>177590</v>
      </c>
      <c r="D276">
        <f si="101" t="shared"/>
        <v>126278</v>
      </c>
      <c r="E276">
        <f si="102" t="shared"/>
        <v>305941</v>
      </c>
      <c r="F276">
        <f si="103" t="shared"/>
        <v>654776</v>
      </c>
      <c r="N276" t="s">
        <v>36</v>
      </c>
      <c r="O276" s="105" t="n">
        <v>45192.0</v>
      </c>
      <c r="P276" s="105" t="n">
        <v>179885.0</v>
      </c>
      <c r="Q276" s="105" t="n">
        <v>127118.0</v>
      </c>
      <c r="R276" s="105" t="n">
        <v>307293.0</v>
      </c>
      <c r="S276">
        <f si="104" t="shared"/>
        <v>654776</v>
      </c>
    </row>
    <row r="277" spans="1:19" x14ac:dyDescent="0.2">
      <c r="A277" t="s">
        <v>214</v>
      </c>
      <c r="B277">
        <f si="101" t="shared"/>
        <v>34039</v>
      </c>
      <c r="C277">
        <f si="101" t="shared"/>
        <v>120668</v>
      </c>
      <c r="D277">
        <f si="101" t="shared"/>
        <v>82833</v>
      </c>
      <c r="E277">
        <f si="102" t="shared"/>
        <v>192705</v>
      </c>
      <c r="F277">
        <f si="103" t="shared"/>
        <v>430245</v>
      </c>
      <c r="N277" t="s">
        <v>214</v>
      </c>
      <c r="O277" s="105" t="n">
        <v>34497.0</v>
      </c>
      <c r="P277" s="105" t="n">
        <v>122171.0</v>
      </c>
      <c r="Q277" s="105" t="n">
        <v>83717.0</v>
      </c>
      <c r="R277" s="105" t="n">
        <v>192303.0</v>
      </c>
      <c r="S277">
        <f si="104" t="shared"/>
        <v>430245</v>
      </c>
    </row>
    <row r="278" spans="1:19" x14ac:dyDescent="0.2">
      <c r="A278" t="s">
        <v>129</v>
      </c>
      <c r="B278">
        <f si="101" t="shared"/>
        <v>13716</v>
      </c>
      <c r="C278">
        <f si="101" t="shared"/>
        <v>61620</v>
      </c>
      <c r="D278">
        <f si="101" t="shared"/>
        <v>53071</v>
      </c>
      <c r="E278">
        <f si="102" t="shared"/>
        <v>131948</v>
      </c>
      <c r="F278">
        <f si="103" t="shared"/>
        <v>260355</v>
      </c>
      <c r="N278" t="s">
        <v>129</v>
      </c>
      <c r="O278" s="105" t="n">
        <v>13635.0</v>
      </c>
      <c r="P278" s="105" t="n">
        <v>61654.0</v>
      </c>
      <c r="Q278" s="105" t="n">
        <v>52699.0</v>
      </c>
      <c r="R278" s="105" t="n">
        <v>130147.0</v>
      </c>
      <c r="S278">
        <f si="104" t="shared"/>
        <v>260355</v>
      </c>
    </row>
    <row r="279" spans="1:19" x14ac:dyDescent="0.2">
      <c r="A279" t="s">
        <v>130</v>
      </c>
      <c r="B279">
        <f si="101" t="shared"/>
        <v>20362</v>
      </c>
      <c r="C279">
        <f si="101" t="shared"/>
        <v>81822</v>
      </c>
      <c r="D279">
        <f si="101" t="shared"/>
        <v>67105</v>
      </c>
      <c r="E279">
        <f si="102" t="shared"/>
        <v>188986</v>
      </c>
      <c r="F279">
        <f si="103" t="shared"/>
        <v>358275</v>
      </c>
      <c r="N279" t="s">
        <v>130</v>
      </c>
      <c r="O279" s="105" t="n">
        <v>20555.0</v>
      </c>
      <c r="P279" s="105" t="n">
        <v>81479.0</v>
      </c>
      <c r="Q279" s="105" t="n">
        <v>65892.0</v>
      </c>
      <c r="R279" s="105" t="n">
        <v>187340.0</v>
      </c>
      <c r="S279">
        <f si="104" t="shared"/>
        <v>358275</v>
      </c>
    </row>
    <row r="280" spans="1:19" x14ac:dyDescent="0.2">
      <c r="A280" t="s">
        <v>145</v>
      </c>
      <c r="B280">
        <f si="101" t="shared"/>
        <v>97797</v>
      </c>
      <c r="C280">
        <f si="101" t="shared"/>
        <v>420150</v>
      </c>
      <c r="D280">
        <f si="101" t="shared"/>
        <v>327198</v>
      </c>
      <c r="E280">
        <f si="102" t="shared"/>
        <v>869085</v>
      </c>
      <c r="F280">
        <f si="103" t="shared"/>
        <v>1714230</v>
      </c>
      <c r="N280" t="s">
        <v>145</v>
      </c>
      <c r="O280" s="105" t="n">
        <v>97986.0</v>
      </c>
      <c r="P280" s="105" t="n">
        <v>414527.0</v>
      </c>
      <c r="Q280" s="105" t="n">
        <v>319124.0</v>
      </c>
      <c r="R280" s="105" t="n">
        <v>849860.0</v>
      </c>
      <c r="S280">
        <f si="104" t="shared"/>
        <v>1714230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D291" si="105" t="shared">O284*$B$1</f>
        <v>5611</v>
      </c>
      <c r="C284">
        <f si="105" t="shared"/>
        <v>132549</v>
      </c>
      <c r="D284">
        <f si="105" t="shared"/>
        <v>547118</v>
      </c>
      <c r="E284">
        <f ref="E284:E291" si="106" t="shared">R284*$B$1</f>
        <v>166744</v>
      </c>
      <c r="F284">
        <f ref="F284:F291" si="107" t="shared">S284*$B$1</f>
        <v>852022</v>
      </c>
      <c r="N284" t="s">
        <v>210</v>
      </c>
      <c r="O284" s="105" t="n">
        <v>4592.0</v>
      </c>
      <c r="P284" s="105" t="n">
        <v>116584.0</v>
      </c>
      <c r="Q284" s="105" t="n">
        <v>490167.0</v>
      </c>
      <c r="R284" s="105" t="n">
        <v>148715.0</v>
      </c>
      <c r="S284">
        <f>SUM(O284:R284)</f>
        <v>852022</v>
      </c>
    </row>
    <row r="285" spans="1:19" x14ac:dyDescent="0.2">
      <c r="A285" t="s">
        <v>211</v>
      </c>
      <c r="B285">
        <f si="105" t="shared"/>
        <v>5519</v>
      </c>
      <c r="C285">
        <f si="105" t="shared"/>
        <v>58055</v>
      </c>
      <c r="D285">
        <f si="105" t="shared"/>
        <v>128468</v>
      </c>
      <c r="E285">
        <f si="106" t="shared"/>
        <v>33606</v>
      </c>
      <c r="F285">
        <f si="107" t="shared"/>
        <v>225648</v>
      </c>
      <c r="N285" t="s">
        <v>211</v>
      </c>
      <c r="O285" s="105" t="n">
        <v>5529.0</v>
      </c>
      <c r="P285" s="105" t="n">
        <v>59740.0</v>
      </c>
      <c r="Q285" s="105" t="n">
        <v>131854.0</v>
      </c>
      <c r="R285" s="105" t="n">
        <v>34430.0</v>
      </c>
      <c r="S285">
        <f ref="S285:S291" si="108" t="shared">SUM(O285:R285)</f>
        <v>225648</v>
      </c>
    </row>
    <row r="286" spans="1:19" x14ac:dyDescent="0.2">
      <c r="A286" t="s">
        <v>212</v>
      </c>
      <c r="B286">
        <f si="105" t="shared"/>
        <v>10146</v>
      </c>
      <c r="C286">
        <f si="105" t="shared"/>
        <v>102071</v>
      </c>
      <c r="D286">
        <f si="105" t="shared"/>
        <v>230667</v>
      </c>
      <c r="E286">
        <f si="106" t="shared"/>
        <v>58521</v>
      </c>
      <c r="F286">
        <f si="107" t="shared"/>
        <v>401405</v>
      </c>
      <c r="N286" t="s">
        <v>212</v>
      </c>
      <c r="O286" s="105" t="n">
        <v>10420.0</v>
      </c>
      <c r="P286" s="105" t="n">
        <v>103142.0</v>
      </c>
      <c r="Q286" s="105" t="n">
        <v>229538.0</v>
      </c>
      <c r="R286" s="105" t="n">
        <v>58070.0</v>
      </c>
      <c r="S286">
        <f si="108" t="shared"/>
        <v>401405</v>
      </c>
    </row>
    <row r="287" spans="1:19" x14ac:dyDescent="0.2">
      <c r="A287" t="s">
        <v>36</v>
      </c>
      <c r="B287">
        <f si="105" t="shared"/>
        <v>18184</v>
      </c>
      <c r="C287">
        <f si="105" t="shared"/>
        <v>134793</v>
      </c>
      <c r="D287">
        <f si="105" t="shared"/>
        <v>394737</v>
      </c>
      <c r="E287">
        <f si="106" t="shared"/>
        <v>107141</v>
      </c>
      <c r="F287">
        <f si="107" t="shared"/>
        <v>654855</v>
      </c>
      <c r="N287" t="s">
        <v>36</v>
      </c>
      <c r="O287" s="105" t="n">
        <v>18647.0</v>
      </c>
      <c r="P287" s="105" t="n">
        <v>136094.0</v>
      </c>
      <c r="Q287" s="105" t="n">
        <v>397687.0</v>
      </c>
      <c r="R287" s="105" t="n">
        <v>107141.0</v>
      </c>
      <c r="S287">
        <f si="108" t="shared"/>
        <v>654855</v>
      </c>
    </row>
    <row r="288" spans="1:19" x14ac:dyDescent="0.2">
      <c r="A288" t="s">
        <v>214</v>
      </c>
      <c r="B288">
        <f si="105" t="shared"/>
        <v>13364</v>
      </c>
      <c r="C288">
        <f si="105" t="shared"/>
        <v>89769</v>
      </c>
      <c r="D288">
        <f si="105" t="shared"/>
        <v>258341</v>
      </c>
      <c r="E288">
        <f si="106" t="shared"/>
        <v>68836</v>
      </c>
      <c r="F288">
        <f si="107" t="shared"/>
        <v>430310</v>
      </c>
      <c r="N288" t="s">
        <v>214</v>
      </c>
      <c r="O288" s="105" t="n">
        <v>13704.0</v>
      </c>
      <c r="P288" s="105" t="n">
        <v>91403.0</v>
      </c>
      <c r="Q288" s="105" t="n">
        <v>258805.0</v>
      </c>
      <c r="R288" s="105" t="n">
        <v>68840.0</v>
      </c>
      <c r="S288">
        <f si="108" t="shared"/>
        <v>430310</v>
      </c>
    </row>
    <row r="289" spans="1:25" x14ac:dyDescent="0.2">
      <c r="A289" t="s">
        <v>129</v>
      </c>
      <c r="B289">
        <f si="105" t="shared"/>
        <v>5305</v>
      </c>
      <c r="C289">
        <f si="105" t="shared"/>
        <v>46159</v>
      </c>
      <c r="D289">
        <f si="105" t="shared"/>
        <v>162892</v>
      </c>
      <c r="E289">
        <f si="106" t="shared"/>
        <v>46028</v>
      </c>
      <c r="F289">
        <f si="107" t="shared"/>
        <v>260384</v>
      </c>
      <c r="N289" t="s">
        <v>129</v>
      </c>
      <c r="O289" s="105" t="n">
        <v>5438.0</v>
      </c>
      <c r="P289" s="105" t="n">
        <v>46098.0</v>
      </c>
      <c r="Q289" s="105" t="n">
        <v>161115.0</v>
      </c>
      <c r="R289" s="105" t="n">
        <v>45514.0</v>
      </c>
      <c r="S289">
        <f si="108" t="shared"/>
        <v>260384</v>
      </c>
    </row>
    <row r="290" spans="1:25" x14ac:dyDescent="0.2">
      <c r="A290" t="s">
        <v>130</v>
      </c>
      <c r="B290">
        <f si="105" t="shared"/>
        <v>8285</v>
      </c>
      <c r="C290">
        <f si="105" t="shared"/>
        <v>74257</v>
      </c>
      <c r="D290">
        <f si="105" t="shared"/>
        <v>216692</v>
      </c>
      <c r="E290">
        <f si="106" t="shared"/>
        <v>59079</v>
      </c>
      <c r="F290">
        <f si="107" t="shared"/>
        <v>358313</v>
      </c>
      <c r="N290" t="s">
        <v>130</v>
      </c>
      <c r="O290" s="105" t="n">
        <v>8319.0</v>
      </c>
      <c r="P290" s="105" t="n">
        <v>73804.0</v>
      </c>
      <c r="Q290" s="105" t="n">
        <v>214679.0</v>
      </c>
      <c r="R290" s="105" t="n">
        <v>58516.0</v>
      </c>
      <c r="S290">
        <f si="108" t="shared"/>
        <v>358313</v>
      </c>
    </row>
    <row r="291" spans="1:25" x14ac:dyDescent="0.2">
      <c r="A291" t="s">
        <v>145</v>
      </c>
      <c r="B291">
        <f si="105" t="shared"/>
        <v>41235</v>
      </c>
      <c r="C291">
        <f si="105" t="shared"/>
        <v>361926</v>
      </c>
      <c r="D291">
        <f si="105" t="shared"/>
        <v>1026629</v>
      </c>
      <c r="E291">
        <f si="106" t="shared"/>
        <v>284604</v>
      </c>
      <c r="F291">
        <f si="107" t="shared"/>
        <v>1714394</v>
      </c>
      <c r="N291" t="s">
        <v>145</v>
      </c>
      <c r="O291" s="105" t="n">
        <v>41344.0</v>
      </c>
      <c r="P291" s="105" t="n">
        <v>357464.0</v>
      </c>
      <c r="Q291" s="105" t="n">
        <v>1006395.0</v>
      </c>
      <c r="R291" s="105" t="n">
        <v>276462.0</v>
      </c>
      <c r="S291">
        <f si="108" t="shared"/>
        <v>1714394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109" t="shared">O295*$B$1</f>
        <v>415382</v>
      </c>
      <c r="C295">
        <f si="109" t="shared"/>
        <v>34499</v>
      </c>
      <c r="D295">
        <f si="109" t="shared"/>
        <v>26466</v>
      </c>
      <c r="E295">
        <f si="109" t="shared"/>
        <v>139828</v>
      </c>
      <c r="F295">
        <f si="109" t="shared"/>
        <v>72494</v>
      </c>
      <c r="G295">
        <f ref="G295:G302" si="110" t="shared">T295*$B$1</f>
        <v>112034</v>
      </c>
      <c r="H295">
        <f ref="H295:H302" si="111" t="shared">U295*$B$1</f>
        <v>51319</v>
      </c>
      <c r="I295">
        <f ref="I295:I302" si="112" t="shared">V295*$B$1</f>
        <v>0</v>
      </c>
      <c r="J295">
        <f ref="J295:J302" si="113" t="shared">W295*$B$1</f>
        <v>0</v>
      </c>
      <c r="K295">
        <f ref="K295:K302" si="114" t="shared">X295*$B$1</f>
        <v>0</v>
      </c>
      <c r="L295">
        <f ref="L295:L302" si="115" t="shared">Y295*$B$1</f>
        <v>852022</v>
      </c>
      <c r="N295" t="s">
        <v>210</v>
      </c>
      <c r="O295" s="105" t="n">
        <v>388176.0</v>
      </c>
      <c r="P295" s="105" t="n">
        <v>27495.0</v>
      </c>
      <c r="Q295" s="105" t="n">
        <v>20840.0</v>
      </c>
      <c r="R295" s="105" t="n">
        <v>132060.0</v>
      </c>
      <c r="S295" t="n">
        <v>57592.0</v>
      </c>
      <c r="T295" t="n">
        <v>90174.0</v>
      </c>
      <c r="U295" t="n">
        <v>43721.0</v>
      </c>
      <c r="V295" t="n">
        <v>0.0</v>
      </c>
      <c r="W295" t="n">
        <v>0.0</v>
      </c>
      <c r="X295" t="n">
        <v>0.0</v>
      </c>
      <c r="Y295">
        <f>SUM(O295:X295)</f>
        <v>852022</v>
      </c>
    </row>
    <row r="296" spans="1:25" x14ac:dyDescent="0.2">
      <c r="A296" t="s">
        <v>211</v>
      </c>
      <c r="B296">
        <f si="109" t="shared"/>
        <v>82958</v>
      </c>
      <c r="C296">
        <f si="109" t="shared"/>
        <v>11662</v>
      </c>
      <c r="D296">
        <f si="109" t="shared"/>
        <v>8590</v>
      </c>
      <c r="E296">
        <f si="109" t="shared"/>
        <v>46859</v>
      </c>
      <c r="F296">
        <f si="109" t="shared"/>
        <v>25125</v>
      </c>
      <c r="G296">
        <f si="110" t="shared"/>
        <v>33517</v>
      </c>
      <c r="H296">
        <f si="111" t="shared"/>
        <v>16937</v>
      </c>
      <c r="I296">
        <f si="112" t="shared"/>
        <v>0</v>
      </c>
      <c r="J296">
        <f si="113" t="shared"/>
        <v>0</v>
      </c>
      <c r="K296">
        <f si="114" t="shared"/>
        <v>0</v>
      </c>
      <c r="L296">
        <f si="115" t="shared"/>
        <v>225648</v>
      </c>
      <c r="N296" t="s">
        <v>211</v>
      </c>
      <c r="O296" s="105" t="n">
        <v>88523.0</v>
      </c>
      <c r="P296" s="105" t="n">
        <v>11796.0</v>
      </c>
      <c r="Q296" s="105" t="n">
        <v>8620.0</v>
      </c>
      <c r="R296" s="105" t="n">
        <v>45916.0</v>
      </c>
      <c r="S296" t="n">
        <v>24688.0</v>
      </c>
      <c r="T296" t="n">
        <v>35040.0</v>
      </c>
      <c r="U296" t="n">
        <v>16970.0</v>
      </c>
      <c r="V296" t="n">
        <v>0.0</v>
      </c>
      <c r="W296" t="n">
        <v>0.0</v>
      </c>
      <c r="X296" t="n">
        <v>0.0</v>
      </c>
      <c r="Y296">
        <f ref="Y296:Y302" si="116" t="shared">SUM(O296:X296)</f>
        <v>225648</v>
      </c>
    </row>
    <row r="297" spans="1:25" x14ac:dyDescent="0.2">
      <c r="A297" t="s">
        <v>212</v>
      </c>
      <c r="B297">
        <f si="109" t="shared"/>
        <v>177766</v>
      </c>
      <c r="C297">
        <f si="109" t="shared"/>
        <v>18339</v>
      </c>
      <c r="D297">
        <f si="109" t="shared"/>
        <v>11958</v>
      </c>
      <c r="E297">
        <f si="109" t="shared"/>
        <v>74954</v>
      </c>
      <c r="F297">
        <f si="109" t="shared"/>
        <v>36036</v>
      </c>
      <c r="G297">
        <f si="110" t="shared"/>
        <v>57623</v>
      </c>
      <c r="H297">
        <f si="111" t="shared"/>
        <v>24729</v>
      </c>
      <c r="I297">
        <f si="112" t="shared"/>
        <v>0</v>
      </c>
      <c r="J297">
        <f si="113" t="shared"/>
        <v>0</v>
      </c>
      <c r="K297">
        <f si="114" t="shared"/>
        <v>0</v>
      </c>
      <c r="L297">
        <f si="115" t="shared"/>
        <v>401405</v>
      </c>
      <c r="N297" t="s">
        <v>212</v>
      </c>
      <c r="O297" s="105" t="n">
        <v>184231.0</v>
      </c>
      <c r="P297" s="105" t="n">
        <v>17041.0</v>
      </c>
      <c r="Q297" s="105" t="n">
        <v>10543.0</v>
      </c>
      <c r="R297" s="105" t="n">
        <v>76009.0</v>
      </c>
      <c r="S297" t="n">
        <v>33195.0</v>
      </c>
      <c r="T297" t="n">
        <v>56260.0</v>
      </c>
      <c r="U297" t="n">
        <v>23891.0</v>
      </c>
      <c r="V297" t="n">
        <v>0.0</v>
      </c>
      <c r="W297" t="n">
        <v>0.0</v>
      </c>
      <c r="X297" t="n">
        <v>0.0</v>
      </c>
      <c r="Y297">
        <f si="116" t="shared"/>
        <v>401405</v>
      </c>
    </row>
    <row r="298" spans="1:25" x14ac:dyDescent="0.2">
      <c r="A298" t="s">
        <v>36</v>
      </c>
      <c r="B298">
        <f si="109" t="shared"/>
        <v>290397</v>
      </c>
      <c r="C298">
        <f si="109" t="shared"/>
        <v>34110</v>
      </c>
      <c r="D298">
        <f si="109" t="shared"/>
        <v>23267</v>
      </c>
      <c r="E298">
        <f si="109" t="shared"/>
        <v>110264</v>
      </c>
      <c r="F298">
        <f si="109" t="shared"/>
        <v>61976</v>
      </c>
      <c r="G298">
        <f si="110" t="shared"/>
        <v>89475</v>
      </c>
      <c r="H298">
        <f si="111" t="shared"/>
        <v>45366</v>
      </c>
      <c r="I298">
        <f si="112" t="shared"/>
        <v>0</v>
      </c>
      <c r="J298">
        <f si="113" t="shared"/>
        <v>0</v>
      </c>
      <c r="K298">
        <f si="114" t="shared"/>
        <v>0</v>
      </c>
      <c r="L298">
        <f si="115" t="shared"/>
        <v>654855</v>
      </c>
      <c r="N298" t="s">
        <v>36</v>
      </c>
      <c r="O298" s="105" t="n">
        <v>301819.0</v>
      </c>
      <c r="P298" s="105" t="n">
        <v>32967.0</v>
      </c>
      <c r="Q298" s="105" t="n">
        <v>21528.0</v>
      </c>
      <c r="R298" s="105" t="n">
        <v>114026.0</v>
      </c>
      <c r="S298" t="n">
        <v>58496.0</v>
      </c>
      <c r="T298" t="n">
        <v>85999.0</v>
      </c>
      <c r="U298" t="n">
        <v>44734.0</v>
      </c>
      <c r="V298" t="n">
        <v>0.0</v>
      </c>
      <c r="W298" t="n">
        <v>0.0</v>
      </c>
      <c r="X298" t="n">
        <v>0.0</v>
      </c>
      <c r="Y298">
        <f si="116" t="shared"/>
        <v>654855</v>
      </c>
    </row>
    <row r="299" spans="1:25" x14ac:dyDescent="0.2">
      <c r="A299" t="s">
        <v>214</v>
      </c>
      <c r="B299">
        <f si="109" t="shared"/>
        <v>191978</v>
      </c>
      <c r="C299">
        <f si="109" t="shared"/>
        <v>22498</v>
      </c>
      <c r="D299">
        <f si="109" t="shared"/>
        <v>14984</v>
      </c>
      <c r="E299">
        <f si="109" t="shared"/>
        <v>72481</v>
      </c>
      <c r="F299">
        <f si="109" t="shared"/>
        <v>40153</v>
      </c>
      <c r="G299">
        <f si="110" t="shared"/>
        <v>58669</v>
      </c>
      <c r="H299">
        <f si="111" t="shared"/>
        <v>29547</v>
      </c>
      <c r="I299">
        <f si="112" t="shared"/>
        <v>0</v>
      </c>
      <c r="J299">
        <f si="113" t="shared"/>
        <v>0</v>
      </c>
      <c r="K299">
        <f si="114" t="shared"/>
        <v>0</v>
      </c>
      <c r="L299">
        <f si="115" t="shared"/>
        <v>430310</v>
      </c>
      <c r="N299" t="s">
        <v>214</v>
      </c>
      <c r="O299" s="105" t="n">
        <v>199381.0</v>
      </c>
      <c r="P299" s="105" t="n">
        <v>21613.0</v>
      </c>
      <c r="Q299" s="105" t="n">
        <v>13926.0</v>
      </c>
      <c r="R299" s="105" t="n">
        <v>74600.0</v>
      </c>
      <c r="S299" t="n">
        <v>37772.0</v>
      </c>
      <c r="T299" t="n">
        <v>56445.0</v>
      </c>
      <c r="U299" t="n">
        <v>29015.0</v>
      </c>
      <c r="V299" t="n">
        <v>0.0</v>
      </c>
      <c r="W299" t="n">
        <v>0.0</v>
      </c>
      <c r="X299" t="n">
        <v>0.0</v>
      </c>
      <c r="Y299">
        <f si="116" t="shared"/>
        <v>430310</v>
      </c>
    </row>
    <row r="300" spans="1:25" x14ac:dyDescent="0.2">
      <c r="A300" t="s">
        <v>129</v>
      </c>
      <c r="B300">
        <f si="109" t="shared"/>
        <v>120336</v>
      </c>
      <c r="C300">
        <f si="109" t="shared"/>
        <v>12465</v>
      </c>
      <c r="D300">
        <f si="109" t="shared"/>
        <v>9011</v>
      </c>
      <c r="E300">
        <f si="109" t="shared"/>
        <v>43115</v>
      </c>
      <c r="F300">
        <f si="109" t="shared"/>
        <v>23280</v>
      </c>
      <c r="G300">
        <f si="110" t="shared"/>
        <v>35093</v>
      </c>
      <c r="H300">
        <f si="111" t="shared"/>
        <v>17084</v>
      </c>
      <c r="I300">
        <f si="112" t="shared"/>
        <v>0</v>
      </c>
      <c r="J300">
        <f si="113" t="shared"/>
        <v>0</v>
      </c>
      <c r="K300">
        <f si="114" t="shared"/>
        <v>0</v>
      </c>
      <c r="L300">
        <f si="115" t="shared"/>
        <v>260384</v>
      </c>
      <c r="N300" t="s">
        <v>129</v>
      </c>
      <c r="O300" s="105" t="n">
        <v>124795.0</v>
      </c>
      <c r="P300" s="105" t="n">
        <v>11309.0</v>
      </c>
      <c r="Q300" s="105" t="n">
        <v>7776.0</v>
      </c>
      <c r="R300" s="105" t="n">
        <v>45027.0</v>
      </c>
      <c r="S300" t="n">
        <v>20747.0</v>
      </c>
      <c r="T300" t="n">
        <v>32218.0</v>
      </c>
      <c r="U300" t="n">
        <v>16293.0</v>
      </c>
      <c r="V300" t="n">
        <v>0.0</v>
      </c>
      <c r="W300" t="n">
        <v>0.0</v>
      </c>
      <c r="X300" t="n">
        <v>0.0</v>
      </c>
      <c r="Y300">
        <f si="116" t="shared"/>
        <v>260384</v>
      </c>
    </row>
    <row r="301" spans="1:25" x14ac:dyDescent="0.2">
      <c r="A301" t="s">
        <v>130</v>
      </c>
      <c r="B301">
        <f si="109" t="shared"/>
        <v>147236</v>
      </c>
      <c r="C301">
        <f si="109" t="shared"/>
        <v>18958</v>
      </c>
      <c r="D301">
        <f si="109" t="shared"/>
        <v>14051</v>
      </c>
      <c r="E301">
        <f si="109" t="shared"/>
        <v>64438</v>
      </c>
      <c r="F301">
        <f si="109" t="shared"/>
        <v>36003</v>
      </c>
      <c r="G301">
        <f si="110" t="shared"/>
        <v>52274</v>
      </c>
      <c r="H301">
        <f si="111" t="shared"/>
        <v>25353</v>
      </c>
      <c r="I301">
        <f si="112" t="shared"/>
        <v>0</v>
      </c>
      <c r="J301">
        <f si="113" t="shared"/>
        <v>0</v>
      </c>
      <c r="K301">
        <f si="114" t="shared"/>
        <v>0</v>
      </c>
      <c r="L301">
        <f si="115" t="shared"/>
        <v>358313</v>
      </c>
      <c r="N301" t="s">
        <v>130</v>
      </c>
      <c r="O301" s="105" t="n">
        <v>149596.0</v>
      </c>
      <c r="P301" s="105" t="n">
        <v>18275.0</v>
      </c>
      <c r="Q301" s="105" t="n">
        <v>12730.0</v>
      </c>
      <c r="R301" s="105" t="n">
        <v>64603.0</v>
      </c>
      <c r="S301" t="n">
        <v>34357.0</v>
      </c>
      <c r="T301" t="n">
        <v>50731.0</v>
      </c>
      <c r="U301" t="n">
        <v>25026.0</v>
      </c>
      <c r="V301" t="n">
        <v>0.0</v>
      </c>
      <c r="W301" t="n">
        <v>0.0</v>
      </c>
      <c r="X301" t="n">
        <v>0.0</v>
      </c>
      <c r="Y301">
        <f si="116" t="shared"/>
        <v>358313</v>
      </c>
    </row>
    <row r="302" spans="1:25" x14ac:dyDescent="0.2">
      <c r="A302" t="s">
        <v>145</v>
      </c>
      <c r="B302">
        <f si="109" t="shared"/>
        <v>828922</v>
      </c>
      <c r="C302">
        <f si="109" t="shared"/>
        <v>74006</v>
      </c>
      <c r="D302">
        <f si="109" t="shared"/>
        <v>47783</v>
      </c>
      <c r="E302">
        <f si="109" t="shared"/>
        <v>293408</v>
      </c>
      <c r="F302">
        <f si="109" t="shared"/>
        <v>133756</v>
      </c>
      <c r="G302">
        <f si="110" t="shared"/>
        <v>240129</v>
      </c>
      <c r="H302">
        <f si="111" t="shared"/>
        <v>96390</v>
      </c>
      <c r="I302">
        <f si="112" t="shared"/>
        <v>0</v>
      </c>
      <c r="J302">
        <f si="113" t="shared"/>
        <v>0</v>
      </c>
      <c r="K302">
        <f si="114" t="shared"/>
        <v>0</v>
      </c>
      <c r="L302">
        <f si="115" t="shared"/>
        <v>1714394</v>
      </c>
      <c r="N302" t="s">
        <v>145</v>
      </c>
      <c r="O302" s="105" t="n">
        <v>854937.0</v>
      </c>
      <c r="P302" s="105" t="n">
        <v>65930.0</v>
      </c>
      <c r="Q302" s="105" t="n">
        <v>38468.0</v>
      </c>
      <c r="R302" s="105" t="n">
        <v>299170.0</v>
      </c>
      <c r="S302" t="n">
        <v>113090.0</v>
      </c>
      <c r="T302" t="n">
        <v>219098.0</v>
      </c>
      <c r="U302" t="n">
        <v>90972.0</v>
      </c>
      <c r="V302" t="n">
        <v>0.0</v>
      </c>
      <c r="W302" t="n">
        <v>0.0</v>
      </c>
      <c r="X302" t="n">
        <v>0.0</v>
      </c>
      <c r="Y302">
        <f si="116" t="shared"/>
        <v>1714394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17" t="shared">O306*$B$1</f>
        <v>682545</v>
      </c>
      <c r="N306" t="s">
        <v>21</v>
      </c>
      <c r="O306" s="105" t="n">
        <v>682484.0</v>
      </c>
    </row>
    <row r="307" spans="1:15" x14ac:dyDescent="0.2">
      <c r="A307" t="s">
        <v>22</v>
      </c>
      <c r="B307">
        <f si="117" t="shared"/>
        <v>84137</v>
      </c>
      <c r="N307" t="s">
        <v>22</v>
      </c>
      <c r="O307" s="105" t="n">
        <v>84070.0</v>
      </c>
    </row>
    <row r="308" spans="1:15" x14ac:dyDescent="0.2">
      <c r="A308" t="s">
        <v>148</v>
      </c>
      <c r="B308">
        <f si="117" t="shared"/>
        <v>164943</v>
      </c>
      <c r="N308" t="s">
        <v>148</v>
      </c>
      <c r="O308" s="105" t="n">
        <v>164927.0</v>
      </c>
    </row>
    <row r="309" spans="1:15" x14ac:dyDescent="0.2">
      <c r="A309" t="s">
        <v>242</v>
      </c>
      <c r="B309">
        <f si="117" t="shared"/>
        <v>240520</v>
      </c>
      <c r="N309" t="s">
        <v>242</v>
      </c>
      <c r="O309" s="105" t="n">
        <v>240875.0</v>
      </c>
    </row>
    <row r="310" spans="1:15" x14ac:dyDescent="0.2">
      <c r="A310" t="s">
        <v>23</v>
      </c>
      <c r="B310">
        <f si="117" t="shared"/>
        <v>60810</v>
      </c>
      <c r="N310" t="s">
        <v>23</v>
      </c>
      <c r="O310" s="105" t="n">
        <v>60672.0</v>
      </c>
    </row>
    <row r="311" spans="1:15" x14ac:dyDescent="0.2">
      <c r="A311" t="s">
        <v>24</v>
      </c>
      <c r="B311">
        <f si="117" t="shared"/>
        <v>56338</v>
      </c>
      <c r="N311" t="s">
        <v>24</v>
      </c>
      <c r="O311" s="105" t="n">
        <v>56438.0</v>
      </c>
    </row>
    <row r="312" spans="1:15" x14ac:dyDescent="0.2">
      <c r="A312" t="s">
        <v>25</v>
      </c>
      <c r="B312">
        <f si="117" t="shared"/>
        <v>212937</v>
      </c>
      <c r="N312" t="s">
        <v>25</v>
      </c>
      <c r="O312" s="105" t="n">
        <v>212255.0</v>
      </c>
    </row>
    <row r="313" spans="1:15" x14ac:dyDescent="0.2">
      <c r="A313" t="s">
        <v>26</v>
      </c>
      <c r="B313">
        <f si="117" t="shared"/>
        <v>0</v>
      </c>
      <c r="N313" t="s">
        <v>26</v>
      </c>
      <c r="O313" s="10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101248</v>
      </c>
      <c r="N317" t="s">
        <v>295</v>
      </c>
      <c r="O317" s="105" t="n">
        <v>101316.0</v>
      </c>
    </row>
    <row r="318" spans="1:15" x14ac:dyDescent="0.2">
      <c r="A318" t="s">
        <v>296</v>
      </c>
      <c r="B318">
        <f>O318*$B$1</f>
        <v>383041</v>
      </c>
      <c r="N318" t="s">
        <v>296</v>
      </c>
      <c r="O318" s="105" t="n">
        <v>382571.0</v>
      </c>
    </row>
    <row r="319" spans="1:15" x14ac:dyDescent="0.2">
      <c r="A319" t="s">
        <v>297</v>
      </c>
      <c r="B319">
        <f>O319*$B$1</f>
        <v>286869</v>
      </c>
      <c r="N319" t="s">
        <v>297</v>
      </c>
      <c r="O319" s="105" t="n">
        <v>286358.0</v>
      </c>
    </row>
    <row r="320" spans="1:15" x14ac:dyDescent="0.2">
      <c r="A320" t="s">
        <v>298</v>
      </c>
      <c r="B320">
        <f>O320*$B$1</f>
        <v>730913</v>
      </c>
      <c r="N320" t="s">
        <v>298</v>
      </c>
      <c r="O320" s="105" t="n">
        <v>731331.0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46567</v>
      </c>
      <c r="N324" t="s">
        <v>98</v>
      </c>
      <c r="O324" s="105" t="n">
        <v>46337.0</v>
      </c>
    </row>
    <row r="325" spans="1:16" x14ac:dyDescent="0.2">
      <c r="A325" t="s">
        <v>280</v>
      </c>
      <c r="B325">
        <f>O325*$B$1</f>
        <v>344772</v>
      </c>
      <c r="N325" t="s">
        <v>280</v>
      </c>
      <c r="O325" s="105" t="n">
        <v>345281.0</v>
      </c>
    </row>
    <row r="326" spans="1:16" x14ac:dyDescent="0.2">
      <c r="A326" t="s">
        <v>281</v>
      </c>
      <c r="B326">
        <f>O326*$B$1</f>
        <v>872165</v>
      </c>
      <c r="N326" t="s">
        <v>281</v>
      </c>
      <c r="O326" s="105" t="n">
        <v>872547.0</v>
      </c>
    </row>
    <row r="327" spans="1:16" x14ac:dyDescent="0.2">
      <c r="A327" t="s">
        <v>282</v>
      </c>
      <c r="B327">
        <f>O327*$B$1</f>
        <v>238726</v>
      </c>
      <c r="N327" t="s">
        <v>282</v>
      </c>
      <c r="O327" s="105" t="n">
        <v>237556.0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>
        <f>O331</f>
        <v>610048</v>
      </c>
      <c r="N331">
        <v>1</v>
      </c>
      <c r="O331" s="105" t="n">
        <v>609797.0</v>
      </c>
    </row>
    <row r="332" spans="1:16" x14ac:dyDescent="0.2">
      <c r="A332">
        <v>2</v>
      </c>
      <c r="B332">
        <f ref="B332:B340" si="118" t="shared">O332</f>
        <v>79684</v>
      </c>
      <c r="N332">
        <v>2</v>
      </c>
      <c r="O332" s="105" t="n">
        <v>79657.0</v>
      </c>
    </row>
    <row r="333" spans="1:16" x14ac:dyDescent="0.2">
      <c r="A333">
        <v>3</v>
      </c>
      <c r="B333">
        <f si="118" t="shared"/>
        <v>62628</v>
      </c>
      <c r="N333">
        <v>3</v>
      </c>
      <c r="O333" s="105" t="n">
        <v>62490.0</v>
      </c>
    </row>
    <row r="334" spans="1:16" x14ac:dyDescent="0.2">
      <c r="A334">
        <v>4</v>
      </c>
      <c r="B334">
        <f si="118" t="shared"/>
        <v>274057</v>
      </c>
      <c r="N334">
        <v>4</v>
      </c>
      <c r="O334" s="105" t="n">
        <v>273925.0</v>
      </c>
    </row>
    <row r="335" spans="1:16" x14ac:dyDescent="0.2">
      <c r="A335">
        <v>5</v>
      </c>
      <c r="B335">
        <f si="118" t="shared"/>
        <v>158939</v>
      </c>
      <c r="N335">
        <v>5</v>
      </c>
      <c r="O335" t="n">
        <v>158986.0</v>
      </c>
    </row>
    <row r="336" spans="1:16" x14ac:dyDescent="0.2">
      <c r="A336">
        <v>6</v>
      </c>
      <c r="B336">
        <f si="118" t="shared"/>
        <v>200422</v>
      </c>
      <c r="N336">
        <v>6</v>
      </c>
      <c r="O336" t="n">
        <v>200384.0</v>
      </c>
    </row>
    <row r="337" spans="1:15" x14ac:dyDescent="0.2">
      <c r="A337">
        <v>7</v>
      </c>
      <c r="B337">
        <f si="118" t="shared"/>
        <v>116452</v>
      </c>
      <c r="N337">
        <v>7</v>
      </c>
      <c r="O337" t="n">
        <v>116482.0</v>
      </c>
    </row>
    <row r="338" spans="1:15" x14ac:dyDescent="0.2">
      <c r="A338">
        <v>8</v>
      </c>
      <c r="B338">
        <f si="118" t="shared"/>
        <v>0</v>
      </c>
      <c r="N338">
        <v>8</v>
      </c>
      <c r="O338" t="n">
        <v>0.0</v>
      </c>
    </row>
    <row r="339" spans="1:15" x14ac:dyDescent="0.2">
      <c r="A339">
        <v>9</v>
      </c>
      <c r="B339">
        <f si="118" t="shared"/>
        <v>0</v>
      </c>
      <c r="N339">
        <v>9</v>
      </c>
      <c r="O339" t="n">
        <v>0.0</v>
      </c>
    </row>
    <row r="340" spans="1:15" x14ac:dyDescent="0.2">
      <c r="A340">
        <v>10</v>
      </c>
      <c r="B340">
        <f si="118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81918</v>
      </c>
      <c r="N344" t="s">
        <v>210</v>
      </c>
      <c r="O344" t="n">
        <v>68047.0</v>
      </c>
    </row>
    <row r="345" spans="1:15" x14ac:dyDescent="0.2">
      <c r="A345" t="s">
        <v>211</v>
      </c>
      <c r="B345">
        <f ref="B345:B350" si="119" t="shared">O345</f>
        <v>14264</v>
      </c>
      <c r="N345" t="s">
        <v>211</v>
      </c>
      <c r="O345" t="n">
        <v>15019.0</v>
      </c>
    </row>
    <row r="346" spans="1:15" x14ac:dyDescent="0.2">
      <c r="A346" t="s">
        <v>212</v>
      </c>
      <c r="B346">
        <f si="119" t="shared"/>
        <v>130322</v>
      </c>
      <c r="N346" t="s">
        <v>212</v>
      </c>
      <c r="O346" t="n">
        <v>126004.0</v>
      </c>
    </row>
    <row r="347" spans="1:15" x14ac:dyDescent="0.2">
      <c r="A347" t="s">
        <v>36</v>
      </c>
      <c r="B347">
        <f si="119" t="shared"/>
        <v>302465</v>
      </c>
      <c r="N347" t="s">
        <v>36</v>
      </c>
      <c r="O347" t="n">
        <v>300331.0</v>
      </c>
    </row>
    <row r="348" spans="1:15" x14ac:dyDescent="0.2">
      <c r="A348" t="s">
        <v>214</v>
      </c>
      <c r="B348">
        <f si="119" t="shared"/>
        <v>228232</v>
      </c>
      <c r="N348" t="s">
        <v>214</v>
      </c>
      <c r="O348" t="n">
        <v>226758.0</v>
      </c>
    </row>
    <row r="349" spans="1:15" x14ac:dyDescent="0.2">
      <c r="A349" t="s">
        <v>129</v>
      </c>
      <c r="B349">
        <f si="119" t="shared"/>
        <v>123218</v>
      </c>
      <c r="N349" t="s">
        <v>129</v>
      </c>
      <c r="O349" t="n">
        <v>119224.0</v>
      </c>
    </row>
    <row r="350" spans="1:15" x14ac:dyDescent="0.2">
      <c r="A350" t="s">
        <v>130</v>
      </c>
      <c r="B350">
        <f si="119" t="shared"/>
        <v>123162</v>
      </c>
      <c r="N350" t="s">
        <v>130</v>
      </c>
      <c r="O350" t="n">
        <v>121210.0</v>
      </c>
    </row>
    <row r="351" spans="1:15" x14ac:dyDescent="0.2">
      <c r="O351" t="n">
        <v>0.0</v>
      </c>
    </row>
  </sheetData>
  <phoneticPr fontId="5"/>
  <pageMargins bottom="1" footer="0.5" header="0.5" left="0.75" right="0.75" top="1"/>
  <pageSetup orientation="portrait" r:id="rId1"/>
  <headerFooter alignWithMargins="0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Z351"/>
  <sheetViews>
    <sheetView topLeftCell="A310" workbookViewId="0">
      <selection activeCell="O344" sqref="O344"/>
    </sheetView>
  </sheetViews>
  <sheetFormatPr defaultColWidth="11" defaultRowHeight="12.75" x14ac:dyDescent="0.2"/>
  <sheetData>
    <row r="1" spans="1:23" x14ac:dyDescent="0.2">
      <c r="A1" t="s">
        <v>289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242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242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242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225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225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230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230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231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231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207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207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232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232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233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233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208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208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226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226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229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229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206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206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242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225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225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234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234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235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235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242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242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225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225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234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234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235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235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242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242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225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225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234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234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235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235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242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242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225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225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234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234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235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235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242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242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225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225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234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234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235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235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242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225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225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234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234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235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235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242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242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225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225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234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234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235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235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242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242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242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242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242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242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242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242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242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242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242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242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242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242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388648.63557799999</v>
      </c>
      <c r="C129">
        <f si="17" t="shared"/>
        <v>87157.201287000004</v>
      </c>
      <c r="D129">
        <f si="17" t="shared"/>
        <v>475805.83686499996</v>
      </c>
      <c r="N129">
        <v>0</v>
      </c>
      <c r="O129" t="n">
        <v>388648.635578</v>
      </c>
      <c r="P129" t="n">
        <v>87157.201287</v>
      </c>
      <c r="Q129">
        <f>SUM(O129:P129)</f>
        <v>475805.83686499996</v>
      </c>
    </row>
    <row r="130" spans="1:17" x14ac:dyDescent="0.2">
      <c r="A130">
        <v>1</v>
      </c>
      <c r="B130">
        <f si="17" t="shared"/>
        <v>75958.041406000004</v>
      </c>
      <c r="C130">
        <f si="17" t="shared"/>
        <v>5675.013105</v>
      </c>
      <c r="D130">
        <f si="17" t="shared"/>
        <v>81633.054511000009</v>
      </c>
      <c r="N130">
        <v>1</v>
      </c>
      <c r="O130" t="n">
        <v>75958.041406</v>
      </c>
      <c r="P130" t="n">
        <v>5675.013105</v>
      </c>
      <c r="Q130">
        <f>SUM(O130:P130)</f>
        <v>81633.054511000009</v>
      </c>
    </row>
    <row r="131" spans="1:17" x14ac:dyDescent="0.2">
      <c r="A131">
        <v>2</v>
      </c>
      <c r="B131">
        <f si="17" t="shared"/>
        <v>7143.4769960000003</v>
      </c>
      <c r="C131">
        <f si="17" t="shared"/>
        <v>1080.1824979999999</v>
      </c>
      <c r="D131">
        <f si="17" t="shared"/>
        <v>8223.6594939999995</v>
      </c>
      <c r="N131">
        <v>2</v>
      </c>
      <c r="O131" t="n">
        <v>7143.476996</v>
      </c>
      <c r="P131" t="n">
        <v>1080.182498</v>
      </c>
      <c r="Q131">
        <f>SUM(O131:P131)</f>
        <v>8223.6594939999995</v>
      </c>
    </row>
    <row r="132" spans="1:17" x14ac:dyDescent="0.2">
      <c r="A132" t="s">
        <v>116</v>
      </c>
      <c r="B132">
        <f si="17" t="shared"/>
        <v>1202.856685</v>
      </c>
      <c r="C132">
        <f si="17" t="shared"/>
        <v>550.09405500000003</v>
      </c>
      <c r="D132">
        <f si="17" t="shared"/>
        <v>1752.95074</v>
      </c>
      <c r="N132" t="s">
        <v>116</v>
      </c>
      <c r="O132" t="n">
        <v>1202.856685</v>
      </c>
      <c r="P132" t="n">
        <v>550.094055</v>
      </c>
      <c r="Q132">
        <f>SUM(O132:P132)</f>
        <v>1752.95074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14429.099388000001</v>
      </c>
      <c r="C136">
        <f si="18" t="shared"/>
        <v>1719.1524890000001</v>
      </c>
      <c r="D136">
        <f si="18" t="shared"/>
        <v>16148.251877000001</v>
      </c>
      <c r="N136" t="s">
        <v>210</v>
      </c>
      <c r="O136" t="n">
        <v>14429.099388</v>
      </c>
      <c r="P136" t="n">
        <v>1719.152489</v>
      </c>
      <c r="Q136">
        <f>SUM(O136:P136)</f>
        <v>16148.251877000001</v>
      </c>
    </row>
    <row r="137" spans="1:17" x14ac:dyDescent="0.2">
      <c r="A137" t="s">
        <v>211</v>
      </c>
      <c r="B137">
        <f si="18" t="shared"/>
        <v>499.702789</v>
      </c>
      <c r="C137">
        <f si="18" t="shared"/>
        <v>0</v>
      </c>
      <c r="D137">
        <f si="18" t="shared"/>
        <v>499.702789</v>
      </c>
      <c r="N137" t="s">
        <v>211</v>
      </c>
      <c r="O137" t="n">
        <v>499.702789</v>
      </c>
      <c r="P137" t="n">
        <v>0.0</v>
      </c>
      <c r="Q137">
        <f ref="Q137:Q142" si="19" t="shared">SUM(O137:P137)</f>
        <v>499.702789</v>
      </c>
    </row>
    <row r="138" spans="1:17" x14ac:dyDescent="0.2">
      <c r="A138" t="s">
        <v>212</v>
      </c>
      <c r="B138">
        <f si="18" t="shared"/>
        <v>3426.6211589999998</v>
      </c>
      <c r="C138">
        <f si="18" t="shared"/>
        <v>942.12001899999996</v>
      </c>
      <c r="D138">
        <f si="18" t="shared"/>
        <v>4368.7411780000002</v>
      </c>
      <c r="N138" t="s">
        <v>212</v>
      </c>
      <c r="O138" t="n">
        <v>3426.621159</v>
      </c>
      <c r="P138" t="n">
        <v>942.120019</v>
      </c>
      <c r="Q138">
        <f si="19" t="shared"/>
        <v>4368.7411780000002</v>
      </c>
    </row>
    <row r="139" spans="1:17" x14ac:dyDescent="0.2">
      <c r="A139" t="s">
        <v>36</v>
      </c>
      <c r="B139">
        <f si="18" t="shared"/>
        <v>13909.70989</v>
      </c>
      <c r="C139">
        <f si="18" t="shared"/>
        <v>1115.742569</v>
      </c>
      <c r="D139">
        <f si="18" t="shared"/>
        <v>15025.452459</v>
      </c>
      <c r="N139" t="s">
        <v>36</v>
      </c>
      <c r="O139" t="n">
        <v>13909.70989</v>
      </c>
      <c r="P139" t="n">
        <v>1115.742569</v>
      </c>
      <c r="Q139">
        <f si="19" t="shared"/>
        <v>15025.452459</v>
      </c>
    </row>
    <row r="140" spans="1:17" x14ac:dyDescent="0.2">
      <c r="A140" t="s">
        <v>214</v>
      </c>
      <c r="B140">
        <f si="18" t="shared"/>
        <v>8361.850332</v>
      </c>
      <c r="C140">
        <f si="18" t="shared"/>
        <v>424.85137200000003</v>
      </c>
      <c r="D140">
        <f si="18" t="shared"/>
        <v>8786.7017039999992</v>
      </c>
      <c r="N140" t="s">
        <v>214</v>
      </c>
      <c r="O140" t="n">
        <v>8361.850332</v>
      </c>
      <c r="P140" t="n">
        <v>424.851372</v>
      </c>
      <c r="Q140">
        <f si="19" t="shared"/>
        <v>8786.7017039999992</v>
      </c>
    </row>
    <row r="141" spans="1:17" x14ac:dyDescent="0.2">
      <c r="A141" t="s">
        <v>129</v>
      </c>
      <c r="B141">
        <f si="18" t="shared"/>
        <v>31038.657016000001</v>
      </c>
      <c r="C141">
        <f si="18" t="shared"/>
        <v>2484.7597879999998</v>
      </c>
      <c r="D141">
        <f si="18" t="shared"/>
        <v>33523.416804</v>
      </c>
      <c r="N141" t="s">
        <v>129</v>
      </c>
      <c r="O141" t="n">
        <v>31038.657016</v>
      </c>
      <c r="P141" t="n">
        <v>2484.759788</v>
      </c>
      <c r="Q141">
        <f si="19" t="shared"/>
        <v>33523.416804</v>
      </c>
    </row>
    <row r="142" spans="1:17" x14ac:dyDescent="0.2">
      <c r="A142" t="s">
        <v>130</v>
      </c>
      <c r="B142">
        <f si="18" t="shared"/>
        <v>4641.2140099999997</v>
      </c>
      <c r="C142">
        <f si="18" t="shared"/>
        <v>294.80163399999998</v>
      </c>
      <c r="D142">
        <f si="18" t="shared"/>
        <v>4936.0156440000001</v>
      </c>
      <c r="N142" t="s">
        <v>130</v>
      </c>
      <c r="O142" t="n">
        <v>4641.21401</v>
      </c>
      <c r="P142" t="n">
        <v>294.801634</v>
      </c>
      <c r="Q142">
        <f si="19" t="shared"/>
        <v>4936.0156440000001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302562.23517599999</v>
      </c>
      <c r="C148">
        <f si="20" t="shared"/>
        <v>154191.281139</v>
      </c>
      <c r="D148">
        <f si="20" t="shared"/>
        <v>98127.561159000004</v>
      </c>
      <c r="E148">
        <f si="20" t="shared"/>
        <v>150913.90134700001</v>
      </c>
      <c r="F148">
        <f si="20" t="shared"/>
        <v>92577.652308999997</v>
      </c>
      <c r="G148">
        <f si="20" t="shared"/>
        <v>78961.985132999995</v>
      </c>
      <c r="H148">
        <f si="20" t="shared"/>
        <v>140552.96543000001</v>
      </c>
      <c r="I148">
        <f si="20" t="shared"/>
        <v>1017887.581693</v>
      </c>
      <c r="N148">
        <v>0</v>
      </c>
      <c r="O148" t="n">
        <v>302562.235176</v>
      </c>
      <c r="P148" t="n">
        <v>154191.281139</v>
      </c>
      <c r="Q148" t="n">
        <v>98127.561159</v>
      </c>
      <c r="R148" t="n">
        <v>150913.901347</v>
      </c>
      <c r="S148" t="n">
        <v>92577.652309</v>
      </c>
      <c r="T148" t="n">
        <v>78961.985133</v>
      </c>
      <c r="U148" t="n">
        <v>140552.96543</v>
      </c>
      <c r="V148">
        <f>SUM(O148:U148)</f>
        <v>1017887.581693</v>
      </c>
    </row>
    <row r="149" spans="1:22" x14ac:dyDescent="0.2">
      <c r="A149">
        <v>1</v>
      </c>
      <c r="B149">
        <f si="20" t="shared"/>
        <v>126903.233761</v>
      </c>
      <c r="C149">
        <f si="20" t="shared"/>
        <v>37833.605884999997</v>
      </c>
      <c r="D149">
        <f si="20" t="shared"/>
        <v>38997.123677000003</v>
      </c>
      <c r="E149">
        <f si="20" t="shared"/>
        <v>42837.576173000001</v>
      </c>
      <c r="F149">
        <f si="20" t="shared"/>
        <v>30561.288292000001</v>
      </c>
      <c r="G149">
        <f si="20" t="shared"/>
        <v>19815.761879000001</v>
      </c>
      <c r="H149">
        <f si="20" t="shared"/>
        <v>34483.135004999996</v>
      </c>
      <c r="I149">
        <f si="20" t="shared"/>
        <v>331431.72467199998</v>
      </c>
      <c r="N149">
        <v>1</v>
      </c>
      <c r="O149" t="n">
        <v>126903.233761</v>
      </c>
      <c r="P149" t="n">
        <v>37833.605885</v>
      </c>
      <c r="Q149" t="n">
        <v>38997.123677</v>
      </c>
      <c r="R149" t="n">
        <v>42837.576173</v>
      </c>
      <c r="S149" t="n">
        <v>30561.288292</v>
      </c>
      <c r="T149" t="n">
        <v>19815.761879</v>
      </c>
      <c r="U149" t="n">
        <v>34483.135005</v>
      </c>
      <c r="V149">
        <f ref="V149:V154" si="21" t="shared">SUM(O149:U149)</f>
        <v>331431.72467199998</v>
      </c>
    </row>
    <row r="150" spans="1:22" x14ac:dyDescent="0.2">
      <c r="A150">
        <v>2</v>
      </c>
      <c r="B150">
        <f si="20" t="shared"/>
        <v>65893.008723999999</v>
      </c>
      <c r="C150">
        <f si="20" t="shared"/>
        <v>17515.514861</v>
      </c>
      <c r="D150">
        <f si="20" t="shared"/>
        <v>24157.439022999999</v>
      </c>
      <c r="E150">
        <f si="20" t="shared"/>
        <v>17488.495868999998</v>
      </c>
      <c r="F150">
        <f si="20" t="shared"/>
        <v>14445.511646999999</v>
      </c>
      <c r="G150">
        <f si="20" t="shared"/>
        <v>8035.9892630000004</v>
      </c>
      <c r="H150">
        <f si="20" t="shared"/>
        <v>16433.883925999999</v>
      </c>
      <c r="I150">
        <f si="20" t="shared"/>
        <v>163969.84331300002</v>
      </c>
      <c r="N150">
        <v>2</v>
      </c>
      <c r="O150" t="n">
        <v>65893.008724</v>
      </c>
      <c r="P150" t="n">
        <v>17515.514861</v>
      </c>
      <c r="Q150" t="n">
        <v>24157.439023</v>
      </c>
      <c r="R150" t="n">
        <v>17488.495869</v>
      </c>
      <c r="S150" t="n">
        <v>14445.511647</v>
      </c>
      <c r="T150" t="n">
        <v>8035.989263</v>
      </c>
      <c r="U150" t="n">
        <v>16433.883926</v>
      </c>
      <c r="V150">
        <f si="21" t="shared"/>
        <v>163969.84331300002</v>
      </c>
    </row>
    <row r="151" spans="1:22" x14ac:dyDescent="0.2">
      <c r="A151">
        <v>3</v>
      </c>
      <c r="B151">
        <f si="20" t="shared"/>
        <v>38377.105776999997</v>
      </c>
      <c r="C151">
        <f si="20" t="shared"/>
        <v>7306.4098720000002</v>
      </c>
      <c r="D151">
        <f si="20" t="shared"/>
        <v>9385.9747059999991</v>
      </c>
      <c r="E151">
        <f si="20" t="shared"/>
        <v>6623.8452619999998</v>
      </c>
      <c r="F151">
        <f si="20" t="shared"/>
        <v>6349.3426630000004</v>
      </c>
      <c r="G151">
        <f si="20" t="shared"/>
        <v>3840.4057910000001</v>
      </c>
      <c r="H151">
        <f si="20" t="shared"/>
        <v>3513.5295889999998</v>
      </c>
      <c r="I151">
        <f si="20" t="shared"/>
        <v>75396.613659999988</v>
      </c>
      <c r="N151">
        <v>3</v>
      </c>
      <c r="O151" t="n">
        <v>38377.105777</v>
      </c>
      <c r="P151" t="n">
        <v>7306.409872</v>
      </c>
      <c r="Q151" t="n">
        <v>9385.974705999999</v>
      </c>
      <c r="R151" t="n">
        <v>6623.845262</v>
      </c>
      <c r="S151" t="n">
        <v>6349.342663</v>
      </c>
      <c r="T151" t="n">
        <v>3840.405791</v>
      </c>
      <c r="U151" t="n">
        <v>3513.5295889999998</v>
      </c>
      <c r="V151">
        <f si="21" t="shared"/>
        <v>75396.613659999988</v>
      </c>
    </row>
    <row r="152" spans="1:22" x14ac:dyDescent="0.2">
      <c r="A152">
        <v>4</v>
      </c>
      <c r="B152">
        <f si="20" t="shared"/>
        <v>16085.035511</v>
      </c>
      <c r="C152">
        <f si="20" t="shared"/>
        <v>3150.7707449999998</v>
      </c>
      <c r="D152">
        <f si="20" t="shared"/>
        <v>3855.7207209999997</v>
      </c>
      <c r="E152">
        <f si="20" t="shared"/>
        <v>2584.9750800000002</v>
      </c>
      <c r="F152">
        <f si="20" t="shared"/>
        <v>3265.9604679999998</v>
      </c>
      <c r="G152">
        <f si="20" t="shared"/>
        <v>1471.556151</v>
      </c>
      <c r="H152">
        <f si="20" t="shared"/>
        <v>3043.024101</v>
      </c>
      <c r="I152">
        <f si="20" t="shared"/>
        <v>33457.042777000002</v>
      </c>
      <c r="N152">
        <v>4</v>
      </c>
      <c r="O152" t="n">
        <v>16085.035511</v>
      </c>
      <c r="P152" t="n">
        <v>3150.770745</v>
      </c>
      <c r="Q152" t="n">
        <v>3855.7207209999997</v>
      </c>
      <c r="R152" t="n">
        <v>2584.97508</v>
      </c>
      <c r="S152" t="n">
        <v>3265.9604679999998</v>
      </c>
      <c r="T152" t="n">
        <v>1471.556151</v>
      </c>
      <c r="U152" t="n">
        <v>3043.024101</v>
      </c>
      <c r="V152">
        <f si="21" t="shared"/>
        <v>33457.042777000002</v>
      </c>
    </row>
    <row r="153" spans="1:22" x14ac:dyDescent="0.2">
      <c r="A153">
        <v>5</v>
      </c>
      <c r="B153">
        <f si="20" t="shared"/>
        <v>6280.511469</v>
      </c>
      <c r="C153">
        <f si="20" t="shared"/>
        <v>701.17916199999991</v>
      </c>
      <c r="D153">
        <f si="20" t="shared"/>
        <v>4659.3313840000001</v>
      </c>
      <c r="E153">
        <f si="20" t="shared"/>
        <v>1349.226234</v>
      </c>
      <c r="F153">
        <f si="20" t="shared"/>
        <v>893.80941399999995</v>
      </c>
      <c r="G153">
        <f si="20" t="shared"/>
        <v>954.91988600000002</v>
      </c>
      <c r="H153">
        <f si="20" t="shared"/>
        <v>819.95339100000001</v>
      </c>
      <c r="I153">
        <f si="20" t="shared"/>
        <v>15658.930939999998</v>
      </c>
      <c r="N153">
        <v>5</v>
      </c>
      <c r="O153" t="n">
        <v>6280.511469</v>
      </c>
      <c r="P153" t="n">
        <v>701.1791619999999</v>
      </c>
      <c r="Q153" t="n">
        <v>4659.331384</v>
      </c>
      <c r="R153" t="n">
        <v>1349.226234</v>
      </c>
      <c r="S153" t="n">
        <v>893.809414</v>
      </c>
      <c r="T153" t="n">
        <v>954.919886</v>
      </c>
      <c r="U153" t="n">
        <v>819.953391</v>
      </c>
      <c r="V153">
        <f si="21" t="shared"/>
        <v>15658.930939999998</v>
      </c>
    </row>
    <row r="154" spans="1:22" x14ac:dyDescent="0.2">
      <c r="A154" t="s">
        <v>209</v>
      </c>
      <c r="B154">
        <f si="20" t="shared"/>
        <v>11314.371192000001</v>
      </c>
      <c r="C154">
        <f si="20" t="shared"/>
        <v>738.62220200000002</v>
      </c>
      <c r="D154">
        <f si="20" t="shared"/>
        <v>2395.2011969999999</v>
      </c>
      <c r="E154">
        <f si="20" t="shared"/>
        <v>1921.7545829999999</v>
      </c>
      <c r="F154">
        <f si="20" t="shared"/>
        <v>2493.3537980000001</v>
      </c>
      <c r="G154">
        <f si="20" t="shared"/>
        <v>1606.0207560000001</v>
      </c>
      <c r="H154">
        <f si="20" t="shared"/>
        <v>1245.655935</v>
      </c>
      <c r="I154">
        <f si="20" t="shared"/>
        <v>21714.979663000002</v>
      </c>
      <c r="N154" t="s">
        <v>209</v>
      </c>
      <c r="O154" t="n">
        <v>11314.371192</v>
      </c>
      <c r="P154" t="n">
        <v>738.622202</v>
      </c>
      <c r="Q154" t="n">
        <v>2395.201197</v>
      </c>
      <c r="R154" t="n">
        <v>1921.754583</v>
      </c>
      <c r="S154" t="n">
        <v>2493.353798</v>
      </c>
      <c r="T154" t="n">
        <v>1606.0207560000001</v>
      </c>
      <c r="U154" t="n">
        <v>1245.655935</v>
      </c>
      <c r="V154">
        <f si="21" t="shared"/>
        <v>21714.979663000002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431850.82988400001</v>
      </c>
      <c r="C158">
        <f si="22" t="shared"/>
        <v>199129.75158099999</v>
      </c>
      <c r="D158">
        <f si="22" t="shared"/>
        <v>144262.82115500001</v>
      </c>
      <c r="E158">
        <f si="22" t="shared"/>
        <v>196663.88841799999</v>
      </c>
      <c r="F158">
        <f si="22" t="shared"/>
        <v>108687.947286</v>
      </c>
      <c r="G158">
        <f si="22" t="shared"/>
        <v>92276.961999000006</v>
      </c>
      <c r="H158">
        <f si="22" t="shared"/>
        <v>173133.49841599999</v>
      </c>
      <c r="I158">
        <f si="22" t="shared"/>
        <v>1346005.6987390001</v>
      </c>
      <c r="N158">
        <v>0</v>
      </c>
      <c r="O158" t="n">
        <v>431850.829884</v>
      </c>
      <c r="P158" t="n">
        <v>199129.751581</v>
      </c>
      <c r="Q158" t="n">
        <v>144262.821155</v>
      </c>
      <c r="R158" t="n">
        <v>196663.888418</v>
      </c>
      <c r="S158" t="n">
        <v>108687.947286</v>
      </c>
      <c r="T158" t="n">
        <v>92276.961999</v>
      </c>
      <c r="U158" t="n">
        <v>173133.498416</v>
      </c>
      <c r="V158">
        <f>SUM(O158:U158)</f>
        <v>1346005.6987390001</v>
      </c>
    </row>
    <row r="159" spans="1:22" x14ac:dyDescent="0.2">
      <c r="A159">
        <v>1</v>
      </c>
      <c r="B159">
        <f si="22" t="shared"/>
        <v>93300.501338000002</v>
      </c>
      <c r="C159">
        <f si="22" t="shared"/>
        <v>16308.182667999999</v>
      </c>
      <c r="D159">
        <f si="22" t="shared"/>
        <v>20076.082665999998</v>
      </c>
      <c r="E159">
        <f si="22" t="shared"/>
        <v>21372.451905000002</v>
      </c>
      <c r="F159">
        <f si="22" t="shared"/>
        <v>28299.009193999998</v>
      </c>
      <c r="G159">
        <f si="22" t="shared"/>
        <v>14768.521621</v>
      </c>
      <c r="H159">
        <f si="22" t="shared"/>
        <v>16450.886138000002</v>
      </c>
      <c r="I159">
        <f si="22" t="shared"/>
        <v>210575.63553</v>
      </c>
      <c r="N159">
        <v>1</v>
      </c>
      <c r="O159" t="n">
        <v>93300.501338</v>
      </c>
      <c r="P159" t="n">
        <v>16308.182668</v>
      </c>
      <c r="Q159" t="n">
        <v>20076.082666</v>
      </c>
      <c r="R159" t="n">
        <v>21372.451905</v>
      </c>
      <c r="S159" t="n">
        <v>28299.009194</v>
      </c>
      <c r="T159" t="n">
        <v>14768.521621</v>
      </c>
      <c r="U159" t="n">
        <v>16450.886138</v>
      </c>
      <c r="V159">
        <f ref="V159:V164" si="23" t="shared">SUM(O159:U159)</f>
        <v>210575.63553</v>
      </c>
    </row>
    <row r="160" spans="1:22" x14ac:dyDescent="0.2">
      <c r="A160">
        <v>2</v>
      </c>
      <c r="B160">
        <f si="22" t="shared"/>
        <v>26303.190043999999</v>
      </c>
      <c r="C160">
        <f si="22" t="shared"/>
        <v>3839.7721849999998</v>
      </c>
      <c r="D160">
        <f si="22" t="shared"/>
        <v>9423.8908719999999</v>
      </c>
      <c r="E160">
        <f si="22" t="shared"/>
        <v>2766.8668969999999</v>
      </c>
      <c r="F160">
        <f si="22" t="shared"/>
        <v>7735.0005789999996</v>
      </c>
      <c r="G160">
        <f si="22" t="shared"/>
        <v>6004.9197759999997</v>
      </c>
      <c r="H160">
        <f si="22" t="shared"/>
        <v>6698.6036359999998</v>
      </c>
      <c r="I160">
        <f si="22" t="shared"/>
        <v>62772.243989000002</v>
      </c>
      <c r="N160">
        <v>2</v>
      </c>
      <c r="O160" t="n">
        <v>26303.190044</v>
      </c>
      <c r="P160" t="n">
        <v>3839.772185</v>
      </c>
      <c r="Q160" t="n">
        <v>9423.890872</v>
      </c>
      <c r="R160" t="n">
        <v>2766.866897</v>
      </c>
      <c r="S160" t="n">
        <v>7735.000579</v>
      </c>
      <c r="T160" t="n">
        <v>6004.919776</v>
      </c>
      <c r="U160" t="n">
        <v>6698.603636</v>
      </c>
      <c r="V160">
        <f si="23" t="shared"/>
        <v>62772.243989000002</v>
      </c>
    </row>
    <row r="161" spans="1:22" x14ac:dyDescent="0.2">
      <c r="A161">
        <v>3</v>
      </c>
      <c r="B161">
        <f si="22" t="shared"/>
        <v>10364.914445</v>
      </c>
      <c r="C161">
        <f si="22" t="shared"/>
        <v>1918.0067020000001</v>
      </c>
      <c r="D161">
        <f si="22" t="shared"/>
        <v>2555.26595</v>
      </c>
      <c r="E161">
        <f si="22" t="shared"/>
        <v>1162.660928</v>
      </c>
      <c r="F161">
        <f si="22" t="shared"/>
        <v>2868.272676</v>
      </c>
      <c r="G161">
        <f si="22" t="shared"/>
        <v>320.105481</v>
      </c>
      <c r="H161">
        <f si="22" t="shared"/>
        <v>2515.2019639999999</v>
      </c>
      <c r="I161">
        <f si="22" t="shared"/>
        <v>21704.428145999998</v>
      </c>
      <c r="N161">
        <v>3</v>
      </c>
      <c r="O161" t="n">
        <v>10364.914445</v>
      </c>
      <c r="P161" t="n">
        <v>1918.0067020000001</v>
      </c>
      <c r="Q161" t="n">
        <v>2555.26595</v>
      </c>
      <c r="R161" t="n">
        <v>1162.660928</v>
      </c>
      <c r="S161" t="n">
        <v>2868.272676</v>
      </c>
      <c r="T161" t="n">
        <v>320.105481</v>
      </c>
      <c r="U161" t="n">
        <v>2515.201964</v>
      </c>
      <c r="V161">
        <f si="23" t="shared"/>
        <v>21704.428145999998</v>
      </c>
    </row>
    <row r="162" spans="1:22" x14ac:dyDescent="0.2">
      <c r="A162">
        <v>4</v>
      </c>
      <c r="B162">
        <f si="22" t="shared"/>
        <v>2950.6856050000001</v>
      </c>
      <c r="C162">
        <f si="22" t="shared"/>
        <v>78.865507000000008</v>
      </c>
      <c r="D162">
        <f si="22" t="shared"/>
        <v>1888.7125289999999</v>
      </c>
      <c r="E162">
        <f si="22" t="shared"/>
        <v>1058.00296</v>
      </c>
      <c r="F162">
        <f si="22" t="shared"/>
        <v>1916.699402</v>
      </c>
      <c r="G162">
        <f si="22" t="shared"/>
        <v>550.57030899999995</v>
      </c>
      <c r="H162">
        <f si="22" t="shared"/>
        <v>219.195538</v>
      </c>
      <c r="I162">
        <f si="22" t="shared"/>
        <v>8662.7318500000001</v>
      </c>
      <c r="N162">
        <v>4</v>
      </c>
      <c r="O162" t="n">
        <v>2950.685605</v>
      </c>
      <c r="P162" t="n">
        <v>78.86550700000001</v>
      </c>
      <c r="Q162" t="n">
        <v>1888.712529</v>
      </c>
      <c r="R162" t="n">
        <v>1058.00296</v>
      </c>
      <c r="S162" t="n">
        <v>1916.699402</v>
      </c>
      <c r="T162" t="n">
        <v>550.570309</v>
      </c>
      <c r="U162" t="n">
        <v>219.195538</v>
      </c>
      <c r="V162">
        <f si="23" t="shared"/>
        <v>8662.7318500000001</v>
      </c>
    </row>
    <row r="163" spans="1:22" x14ac:dyDescent="0.2">
      <c r="A163">
        <v>5</v>
      </c>
      <c r="B163">
        <f si="22" t="shared"/>
        <v>497.07647099999997</v>
      </c>
      <c r="C163">
        <f si="22" t="shared"/>
        <v>162.80522300000001</v>
      </c>
      <c r="D163">
        <f si="22" t="shared"/>
        <v>2047.1994969999998</v>
      </c>
      <c r="E163">
        <f si="22" t="shared"/>
        <v>426.44287499999996</v>
      </c>
      <c r="F163">
        <f si="22" t="shared"/>
        <v>717.97093799999993</v>
      </c>
      <c r="G163">
        <f si="22" t="shared"/>
        <v>400.25996200000003</v>
      </c>
      <c r="H163">
        <f si="22" t="shared"/>
        <v>457.22871499999997</v>
      </c>
      <c r="I163">
        <f si="22" t="shared"/>
        <v>4708.9836809999997</v>
      </c>
      <c r="N163">
        <v>5</v>
      </c>
      <c r="O163" t="n">
        <v>497.07647099999997</v>
      </c>
      <c r="P163" t="n">
        <v>162.805223</v>
      </c>
      <c r="Q163" t="n">
        <v>2047.1994969999998</v>
      </c>
      <c r="R163" t="n">
        <v>426.44287499999996</v>
      </c>
      <c r="S163" t="n">
        <v>717.9709379999999</v>
      </c>
      <c r="T163" t="n">
        <v>400.25996200000003</v>
      </c>
      <c r="U163" t="n">
        <v>457.22871499999997</v>
      </c>
      <c r="V163">
        <f si="23" t="shared"/>
        <v>4708.9836809999997</v>
      </c>
    </row>
    <row r="164" spans="1:22" x14ac:dyDescent="0.2">
      <c r="A164" t="s">
        <v>209</v>
      </c>
      <c r="B164">
        <f si="22" t="shared"/>
        <v>2148.3038229999997</v>
      </c>
      <c r="C164">
        <f si="22" t="shared"/>
        <v>0</v>
      </c>
      <c r="D164">
        <f si="22" t="shared"/>
        <v>1324.3791979999999</v>
      </c>
      <c r="E164">
        <f si="22" t="shared"/>
        <v>269.46056499999997</v>
      </c>
      <c r="F164">
        <f si="22" t="shared"/>
        <v>362.01851599999998</v>
      </c>
      <c r="G164">
        <f si="22" t="shared"/>
        <v>365.299711</v>
      </c>
      <c r="H164">
        <f si="22" t="shared"/>
        <v>617.53296999999998</v>
      </c>
      <c r="I164">
        <f si="22" t="shared"/>
        <v>5086.9947829999992</v>
      </c>
      <c r="N164" t="s">
        <v>209</v>
      </c>
      <c r="O164" t="n">
        <v>2148.3038229999997</v>
      </c>
      <c r="P164" t="n">
        <v>0.0</v>
      </c>
      <c r="Q164" t="n">
        <v>1324.3791979999999</v>
      </c>
      <c r="R164" t="n">
        <v>269.460565</v>
      </c>
      <c r="S164" t="n">
        <v>362.018516</v>
      </c>
      <c r="T164" t="n">
        <v>365.299711</v>
      </c>
      <c r="U164" t="n">
        <v>617.53297</v>
      </c>
      <c r="V164">
        <f si="23" t="shared"/>
        <v>5086.9947829999992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362468.837787</v>
      </c>
      <c r="C168">
        <f si="24" t="shared"/>
        <v>165343.102426</v>
      </c>
      <c r="D168">
        <f si="24" t="shared"/>
        <v>125196.015015</v>
      </c>
      <c r="E168">
        <f si="24" t="shared"/>
        <v>165233.585303</v>
      </c>
      <c r="F168">
        <f si="24" t="shared"/>
        <v>121309.75949500001</v>
      </c>
      <c r="G168">
        <f si="24" t="shared"/>
        <v>93193.670876000004</v>
      </c>
      <c r="H168">
        <f si="24" t="shared"/>
        <v>159609.177853</v>
      </c>
      <c r="I168">
        <f si="24" t="shared"/>
        <v>1192354.148755</v>
      </c>
      <c r="N168">
        <v>0</v>
      </c>
      <c r="O168" t="n">
        <v>362468.837787</v>
      </c>
      <c r="P168" t="n">
        <v>165343.102426</v>
      </c>
      <c r="Q168" t="n">
        <v>125196.015015</v>
      </c>
      <c r="R168" t="n">
        <v>165233.585303</v>
      </c>
      <c r="S168" t="n">
        <v>121309.759495</v>
      </c>
      <c r="T168" t="n">
        <v>93193.670876</v>
      </c>
      <c r="U168" t="n">
        <v>159609.177853</v>
      </c>
      <c r="V168">
        <f>SUM(O168:U168)</f>
        <v>1192354.148755</v>
      </c>
    </row>
    <row r="169" spans="1:22" x14ac:dyDescent="0.2">
      <c r="A169">
        <v>1</v>
      </c>
      <c r="B169">
        <f si="24" t="shared"/>
        <v>126385.33496199999</v>
      </c>
      <c r="C169">
        <f si="24" t="shared"/>
        <v>38018.293282999999</v>
      </c>
      <c r="D169">
        <f si="24" t="shared"/>
        <v>32219.246330999998</v>
      </c>
      <c r="E169">
        <f si="24" t="shared"/>
        <v>40161.596966999998</v>
      </c>
      <c r="F169">
        <f si="24" t="shared"/>
        <v>17566.786050999999</v>
      </c>
      <c r="G169">
        <f si="24" t="shared"/>
        <v>14835.281238</v>
      </c>
      <c r="H169">
        <f si="24" t="shared"/>
        <v>26260.264404000001</v>
      </c>
      <c r="I169">
        <f si="24" t="shared"/>
        <v>295446.80323600001</v>
      </c>
      <c r="N169">
        <v>1</v>
      </c>
      <c r="O169" t="n">
        <v>126385.334962</v>
      </c>
      <c r="P169" t="n">
        <v>38018.293283</v>
      </c>
      <c r="Q169" t="n">
        <v>32219.246331</v>
      </c>
      <c r="R169" t="n">
        <v>40161.596967</v>
      </c>
      <c r="S169" t="n">
        <v>17566.786051</v>
      </c>
      <c r="T169" t="n">
        <v>14835.281238</v>
      </c>
      <c r="U169" t="n">
        <v>26260.264404</v>
      </c>
      <c r="V169">
        <f ref="V169:V174" si="25" t="shared">SUM(O169:U169)</f>
        <v>295446.80323600001</v>
      </c>
    </row>
    <row r="170" spans="1:22" x14ac:dyDescent="0.2">
      <c r="A170">
        <v>2</v>
      </c>
      <c r="B170">
        <f si="24" t="shared"/>
        <v>46954.250950000001</v>
      </c>
      <c r="C170">
        <f si="24" t="shared"/>
        <v>11952.40605</v>
      </c>
      <c r="D170">
        <f si="24" t="shared"/>
        <v>14010.503849999999</v>
      </c>
      <c r="E170">
        <f si="24" t="shared"/>
        <v>11749.419572000001</v>
      </c>
      <c r="F170">
        <f si="24" t="shared"/>
        <v>8206.0784399999993</v>
      </c>
      <c r="G170">
        <f si="24" t="shared"/>
        <v>3465.0161939999998</v>
      </c>
      <c r="H170">
        <f si="24" t="shared"/>
        <v>12160.275165999999</v>
      </c>
      <c r="I170">
        <f si="24" t="shared"/>
        <v>108497.95022199998</v>
      </c>
      <c r="N170">
        <v>2</v>
      </c>
      <c r="O170" t="n">
        <v>46954.25095</v>
      </c>
      <c r="P170" t="n">
        <v>11952.40605</v>
      </c>
      <c r="Q170" t="n">
        <v>14010.50385</v>
      </c>
      <c r="R170" t="n">
        <v>11749.419572</v>
      </c>
      <c r="S170" t="n">
        <v>8206.07844</v>
      </c>
      <c r="T170" t="n">
        <v>3465.016194</v>
      </c>
      <c r="U170" t="n">
        <v>12160.275166</v>
      </c>
      <c r="V170">
        <f si="25" t="shared"/>
        <v>108497.95022199998</v>
      </c>
    </row>
    <row r="171" spans="1:22" x14ac:dyDescent="0.2">
      <c r="A171">
        <v>3</v>
      </c>
      <c r="B171">
        <f si="24" t="shared"/>
        <v>18503.883906999999</v>
      </c>
      <c r="C171">
        <f si="24" t="shared"/>
        <v>3601.4458559999998</v>
      </c>
      <c r="D171">
        <f si="24" t="shared"/>
        <v>5274.5849740000003</v>
      </c>
      <c r="E171">
        <f si="24" t="shared"/>
        <v>3525.8210060000001</v>
      </c>
      <c r="F171">
        <f si="24" t="shared"/>
        <v>2400.6551079999999</v>
      </c>
      <c r="G171">
        <f si="24" t="shared"/>
        <v>1136.1214219999999</v>
      </c>
      <c r="H171">
        <f si="24" t="shared"/>
        <v>1079.1418659999999</v>
      </c>
      <c r="I171">
        <f si="24" t="shared"/>
        <v>35521.654138999991</v>
      </c>
      <c r="N171">
        <v>3</v>
      </c>
      <c r="O171" t="n">
        <v>18503.883907</v>
      </c>
      <c r="P171" t="n">
        <v>3601.445856</v>
      </c>
      <c r="Q171" t="n">
        <v>5274.584974</v>
      </c>
      <c r="R171" t="n">
        <v>3525.821006</v>
      </c>
      <c r="S171" t="n">
        <v>2400.655108</v>
      </c>
      <c r="T171" t="n">
        <v>1136.121422</v>
      </c>
      <c r="U171" t="n">
        <v>1079.141866</v>
      </c>
      <c r="V171">
        <f si="25" t="shared"/>
        <v>35521.654138999991</v>
      </c>
    </row>
    <row r="172" spans="1:22" x14ac:dyDescent="0.2">
      <c r="A172">
        <v>4</v>
      </c>
      <c r="B172">
        <f si="24" t="shared"/>
        <v>4776.804932</v>
      </c>
      <c r="C172">
        <f si="24" t="shared"/>
        <v>1460.5992469999999</v>
      </c>
      <c r="D172">
        <f si="24" t="shared"/>
        <v>2868.7253179999998</v>
      </c>
      <c r="E172">
        <f si="24" t="shared"/>
        <v>1490.7333249999999</v>
      </c>
      <c r="F172">
        <f si="24" t="shared"/>
        <v>568.47479199999998</v>
      </c>
      <c r="G172">
        <f si="24" t="shared"/>
        <v>528.18555900000001</v>
      </c>
      <c r="H172">
        <f si="24" t="shared"/>
        <v>253.32379599999999</v>
      </c>
      <c r="I172">
        <f si="24" t="shared"/>
        <v>11946.846969</v>
      </c>
      <c r="N172">
        <v>4</v>
      </c>
      <c r="O172" t="n">
        <v>4776.804932</v>
      </c>
      <c r="P172" t="n">
        <v>1460.5992469999999</v>
      </c>
      <c r="Q172" t="n">
        <v>2868.725318</v>
      </c>
      <c r="R172" t="n">
        <v>1490.733325</v>
      </c>
      <c r="S172" t="n">
        <v>568.474792</v>
      </c>
      <c r="T172" t="n">
        <v>528.185559</v>
      </c>
      <c r="U172" t="n">
        <v>253.323796</v>
      </c>
      <c r="V172">
        <f si="25" t="shared"/>
        <v>11946.846969</v>
      </c>
    </row>
    <row r="173" spans="1:22" x14ac:dyDescent="0.2">
      <c r="A173">
        <v>5</v>
      </c>
      <c r="B173">
        <f si="24" t="shared"/>
        <v>4641.797536</v>
      </c>
      <c r="C173">
        <f si="24" t="shared"/>
        <v>485.72002499999996</v>
      </c>
      <c r="D173">
        <f si="24" t="shared"/>
        <v>1488.0818469999999</v>
      </c>
      <c r="E173">
        <f si="24" t="shared"/>
        <v>590.20616700000005</v>
      </c>
      <c r="F173">
        <f si="24" t="shared"/>
        <v>497.802819</v>
      </c>
      <c r="G173">
        <f si="24" t="shared"/>
        <v>1528.36357</v>
      </c>
      <c r="H173">
        <f si="24" t="shared"/>
        <v>426.99530699999997</v>
      </c>
      <c r="I173">
        <f si="24" t="shared"/>
        <v>9658.9672709999995</v>
      </c>
      <c r="N173">
        <v>5</v>
      </c>
      <c r="O173" t="n">
        <v>4641.797536</v>
      </c>
      <c r="P173" t="n">
        <v>485.72002499999996</v>
      </c>
      <c r="Q173" t="n">
        <v>1488.081847</v>
      </c>
      <c r="R173" t="n">
        <v>590.206167</v>
      </c>
      <c r="S173" t="n">
        <v>497.802819</v>
      </c>
      <c r="T173" t="n">
        <v>1528.36357</v>
      </c>
      <c r="U173" t="n">
        <v>426.99530699999997</v>
      </c>
      <c r="V173">
        <f si="25" t="shared"/>
        <v>9658.9672709999995</v>
      </c>
    </row>
    <row r="174" spans="1:22" x14ac:dyDescent="0.2">
      <c r="A174" t="s">
        <v>209</v>
      </c>
      <c r="B174">
        <f si="24" t="shared"/>
        <v>3684.5915359999999</v>
      </c>
      <c r="C174">
        <f si="24" t="shared"/>
        <v>575.81697899999995</v>
      </c>
      <c r="D174">
        <f si="24" t="shared"/>
        <v>521.19453199999998</v>
      </c>
      <c r="E174">
        <f si="24" t="shared"/>
        <v>968.41220800000008</v>
      </c>
      <c r="F174">
        <f si="24" t="shared"/>
        <v>37.361885999999998</v>
      </c>
      <c r="G174">
        <f si="24" t="shared"/>
        <v>0</v>
      </c>
      <c r="H174">
        <f si="24" t="shared"/>
        <v>302.96898499999998</v>
      </c>
      <c r="I174">
        <f si="24" t="shared"/>
        <v>6090.3461260000004</v>
      </c>
      <c r="N174" t="s">
        <v>209</v>
      </c>
      <c r="O174" t="n">
        <v>3684.591536</v>
      </c>
      <c r="P174" t="n">
        <v>575.816979</v>
      </c>
      <c r="Q174" t="n">
        <v>521.194532</v>
      </c>
      <c r="R174" t="n">
        <v>968.4122080000001</v>
      </c>
      <c r="S174" t="n">
        <v>37.361886</v>
      </c>
      <c r="T174" t="n">
        <v>0.0</v>
      </c>
      <c r="U174" t="n">
        <v>302.968985</v>
      </c>
      <c r="V174">
        <f si="25" t="shared"/>
        <v>6090.3461260000004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242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242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458523.91127699998</v>
      </c>
      <c r="C178">
        <f si="26" t="shared"/>
        <v>63060.84145</v>
      </c>
      <c r="D178">
        <f si="26" t="shared"/>
        <v>3053.1703520000001</v>
      </c>
      <c r="E178">
        <f si="26" t="shared"/>
        <v>12925.199651000001</v>
      </c>
      <c r="F178">
        <f si="26" t="shared"/>
        <v>11876.555882999999</v>
      </c>
      <c r="G178">
        <f si="26" t="shared"/>
        <v>1353.618406</v>
      </c>
      <c r="H178">
        <f si="26" t="shared"/>
        <v>473.95271400000001</v>
      </c>
      <c r="I178">
        <f si="26" t="shared"/>
        <v>0</v>
      </c>
      <c r="J178">
        <f si="26" t="shared"/>
        <v>551267.24973299995</v>
      </c>
      <c r="N178" t="s">
        <v>210</v>
      </c>
      <c r="O178" t="n">
        <v>458523.911277</v>
      </c>
      <c r="P178" t="n">
        <v>63060.84145</v>
      </c>
      <c r="Q178" t="n">
        <v>3053.170352</v>
      </c>
      <c r="R178" t="n">
        <v>12925.199651</v>
      </c>
      <c r="S178" t="n">
        <v>11876.555882999999</v>
      </c>
      <c r="T178" t="n">
        <v>1353.618406</v>
      </c>
      <c r="U178" t="n">
        <v>473.952714</v>
      </c>
      <c r="V178" t="n">
        <v>0.0</v>
      </c>
      <c r="W178">
        <f>SUM(O178:V178)</f>
        <v>551267.24973299995</v>
      </c>
    </row>
    <row r="179" spans="1:23" x14ac:dyDescent="0.2">
      <c r="A179" t="s">
        <v>211</v>
      </c>
      <c r="B179">
        <f si="26" t="shared"/>
        <v>5090.6621960000002</v>
      </c>
      <c r="C179">
        <f si="26" t="shared"/>
        <v>1297.3480769999999</v>
      </c>
      <c r="D179">
        <f si="26" t="shared"/>
        <v>310.38361500000002</v>
      </c>
      <c r="E179">
        <f si="26" t="shared"/>
        <v>2596.0894090000002</v>
      </c>
      <c r="F179">
        <f si="26" t="shared"/>
        <v>14712.30385</v>
      </c>
      <c r="G179">
        <f si="26" t="shared"/>
        <v>21287.730342999999</v>
      </c>
      <c r="H179">
        <f si="26" t="shared"/>
        <v>175643.16358699999</v>
      </c>
      <c r="I179">
        <f si="26" t="shared"/>
        <v>0</v>
      </c>
      <c r="J179">
        <f si="26" t="shared"/>
        <v>220937.68107699999</v>
      </c>
      <c r="N179" t="s">
        <v>211</v>
      </c>
      <c r="O179" t="n">
        <v>5090.662196</v>
      </c>
      <c r="P179" t="n">
        <v>1297.3480769999999</v>
      </c>
      <c r="Q179" t="n">
        <v>310.383615</v>
      </c>
      <c r="R179" t="n">
        <v>2596.089409</v>
      </c>
      <c r="S179" t="n">
        <v>14712.30385</v>
      </c>
      <c r="T179" t="n">
        <v>21287.730343</v>
      </c>
      <c r="U179" t="n">
        <v>175643.163587</v>
      </c>
      <c r="V179" t="n">
        <v>0.0</v>
      </c>
      <c r="W179">
        <f ref="W179:W185" si="27" t="shared">SUM(O179:V179)</f>
        <v>220937.68107699999</v>
      </c>
    </row>
    <row r="180" spans="1:23" x14ac:dyDescent="0.2">
      <c r="A180" t="s">
        <v>212</v>
      </c>
      <c r="B180">
        <f si="26" t="shared"/>
        <v>49198.455200999997</v>
      </c>
      <c r="C180">
        <f si="26" t="shared"/>
        <v>27924.494073999998</v>
      </c>
      <c r="D180">
        <f si="26" t="shared"/>
        <v>13372.418621999999</v>
      </c>
      <c r="E180">
        <f si="26" t="shared"/>
        <v>68406.62156</v>
      </c>
      <c r="F180">
        <f si="26" t="shared"/>
        <v>6381.6610149999997</v>
      </c>
      <c r="G180">
        <f si="26" t="shared"/>
        <v>1826.5144069999999</v>
      </c>
      <c r="H180">
        <f si="26" t="shared"/>
        <v>10099.445809999999</v>
      </c>
      <c r="I180">
        <f si="26" t="shared"/>
        <v>0</v>
      </c>
      <c r="J180">
        <f ref="J180:J185" si="28" t="shared">W180*$B$1</f>
        <v>177209.61068899999</v>
      </c>
      <c r="N180" t="s">
        <v>212</v>
      </c>
      <c r="O180" t="n">
        <v>49198.455201</v>
      </c>
      <c r="P180" t="n">
        <v>27924.494074</v>
      </c>
      <c r="Q180" t="n">
        <v>13372.418622</v>
      </c>
      <c r="R180" t="n">
        <v>68406.62156</v>
      </c>
      <c r="S180" t="n">
        <v>6381.661015</v>
      </c>
      <c r="T180" t="n">
        <v>1826.514407</v>
      </c>
      <c r="U180" t="n">
        <v>10099.44581</v>
      </c>
      <c r="V180" t="n">
        <v>0.0</v>
      </c>
      <c r="W180">
        <f si="27" t="shared"/>
        <v>177209.61068899999</v>
      </c>
    </row>
    <row r="181" spans="1:23" x14ac:dyDescent="0.2">
      <c r="A181" t="s">
        <v>36</v>
      </c>
      <c r="B181">
        <f si="26" t="shared"/>
        <v>53645.889870999999</v>
      </c>
      <c r="C181">
        <f si="26" t="shared"/>
        <v>21683.940521</v>
      </c>
      <c r="D181">
        <f si="26" t="shared"/>
        <v>55772.121294999997</v>
      </c>
      <c r="E181">
        <f si="26" t="shared"/>
        <v>52338.720587999996</v>
      </c>
      <c r="F181">
        <f si="26" t="shared"/>
        <v>5046.8036140000004</v>
      </c>
      <c r="G181">
        <f si="26" t="shared"/>
        <v>3001.0160559999999</v>
      </c>
      <c r="H181">
        <f si="26" t="shared"/>
        <v>17205.830144</v>
      </c>
      <c r="I181">
        <f si="26" t="shared"/>
        <v>0</v>
      </c>
      <c r="J181">
        <f si="28" t="shared"/>
        <v>208694.32208899999</v>
      </c>
      <c r="N181" t="s">
        <v>36</v>
      </c>
      <c r="O181" t="n">
        <v>53645.889871</v>
      </c>
      <c r="P181" t="n">
        <v>21683.940521</v>
      </c>
      <c r="Q181" t="n">
        <v>55772.121295</v>
      </c>
      <c r="R181" t="n">
        <v>52338.720588</v>
      </c>
      <c r="S181" t="n">
        <v>5046.803614</v>
      </c>
      <c r="T181" t="n">
        <v>3001.016056</v>
      </c>
      <c r="U181" t="n">
        <v>17205.830144</v>
      </c>
      <c r="V181" t="n">
        <v>0.0</v>
      </c>
      <c r="W181">
        <f si="27" t="shared"/>
        <v>208694.32208899999</v>
      </c>
    </row>
    <row r="182" spans="1:23" x14ac:dyDescent="0.2">
      <c r="A182" t="s">
        <v>214</v>
      </c>
      <c r="B182">
        <f si="26" t="shared"/>
        <v>34724.510727000001</v>
      </c>
      <c r="C182">
        <f si="26" t="shared"/>
        <v>16667.668165999999</v>
      </c>
      <c r="D182">
        <f si="26" t="shared"/>
        <v>32818.324996000003</v>
      </c>
      <c r="E182">
        <f si="26" t="shared"/>
        <v>43532.588752999996</v>
      </c>
      <c r="F182">
        <f si="26" t="shared"/>
        <v>5614.5972819999997</v>
      </c>
      <c r="G182">
        <f si="26" t="shared"/>
        <v>933.60432900000001</v>
      </c>
      <c r="H182">
        <f si="26" t="shared"/>
        <v>7508.9226340000005</v>
      </c>
      <c r="I182">
        <f si="26" t="shared"/>
        <v>0</v>
      </c>
      <c r="J182">
        <f si="28" t="shared"/>
        <v>141800.21688699999</v>
      </c>
      <c r="N182" t="s">
        <v>214</v>
      </c>
      <c r="O182" t="n">
        <v>34724.510727</v>
      </c>
      <c r="P182" t="n">
        <v>16667.668166</v>
      </c>
      <c r="Q182" t="n">
        <v>32818.324996</v>
      </c>
      <c r="R182" t="n">
        <v>43532.588752999996</v>
      </c>
      <c r="S182" t="n">
        <v>5614.597282</v>
      </c>
      <c r="T182" t="n">
        <v>933.604329</v>
      </c>
      <c r="U182" t="n">
        <v>7508.9226340000005</v>
      </c>
      <c r="V182" t="n">
        <v>0.0</v>
      </c>
      <c r="W182">
        <f si="27" t="shared"/>
        <v>141800.21688699999</v>
      </c>
    </row>
    <row r="183" spans="1:23" x14ac:dyDescent="0.2">
      <c r="A183" t="s">
        <v>129</v>
      </c>
      <c r="B183">
        <f si="26" t="shared"/>
        <v>32329.160050999999</v>
      </c>
      <c r="C183">
        <f si="26" t="shared"/>
        <v>7967.4672289999999</v>
      </c>
      <c r="D183">
        <f si="26" t="shared"/>
        <v>17532.570283000001</v>
      </c>
      <c r="E183">
        <f si="26" t="shared"/>
        <v>12326.660142999999</v>
      </c>
      <c r="F183">
        <f si="26" t="shared"/>
        <v>4549.9772439999997</v>
      </c>
      <c r="G183">
        <f si="26" t="shared"/>
        <v>642.99130400000001</v>
      </c>
      <c r="H183">
        <f si="26" t="shared"/>
        <v>5814.3958009999997</v>
      </c>
      <c r="I183">
        <f si="26" t="shared"/>
        <v>0</v>
      </c>
      <c r="J183">
        <f si="28" t="shared"/>
        <v>81163.222054999991</v>
      </c>
      <c r="N183" t="s">
        <v>129</v>
      </c>
      <c r="O183" t="n">
        <v>32329.160051</v>
      </c>
      <c r="P183" t="n">
        <v>7967.467229</v>
      </c>
      <c r="Q183" t="n">
        <v>17532.570283</v>
      </c>
      <c r="R183" t="n">
        <v>12326.660143</v>
      </c>
      <c r="S183" t="n">
        <v>4549.977244</v>
      </c>
      <c r="T183" t="n">
        <v>642.991304</v>
      </c>
      <c r="U183" t="n">
        <v>5814.395801</v>
      </c>
      <c r="V183" t="n">
        <v>0.0</v>
      </c>
      <c r="W183">
        <f si="27" t="shared"/>
        <v>81163.222054999991</v>
      </c>
    </row>
    <row r="184" spans="1:23" x14ac:dyDescent="0.2">
      <c r="A184" t="s">
        <v>130</v>
      </c>
      <c r="B184">
        <f si="26" t="shared"/>
        <v>53701.131234</v>
      </c>
      <c r="C184">
        <f si="26" t="shared"/>
        <v>17902.049382000001</v>
      </c>
      <c r="D184">
        <f si="26" t="shared"/>
        <v>26342.351590999999</v>
      </c>
      <c r="E184">
        <f si="26" t="shared"/>
        <v>37837.311554</v>
      </c>
      <c r="F184">
        <f si="26" t="shared"/>
        <v>5117.7900490000002</v>
      </c>
      <c r="G184">
        <f si="26" t="shared"/>
        <v>6023.8060830000004</v>
      </c>
      <c r="H184">
        <f si="26" t="shared"/>
        <v>48231.69184</v>
      </c>
      <c r="I184">
        <f si="26" t="shared"/>
        <v>0</v>
      </c>
      <c r="J184">
        <f si="28" t="shared"/>
        <v>195156.13173299999</v>
      </c>
      <c r="N184" t="s">
        <v>130</v>
      </c>
      <c r="O184" t="n">
        <v>53701.131234</v>
      </c>
      <c r="P184" t="n">
        <v>17902.049382</v>
      </c>
      <c r="Q184" t="n">
        <v>26342.351591</v>
      </c>
      <c r="R184" t="n">
        <v>37837.311554</v>
      </c>
      <c r="S184" t="n">
        <v>5117.790049</v>
      </c>
      <c r="T184" t="n">
        <v>6023.806083</v>
      </c>
      <c r="U184" t="n">
        <v>48231.69184</v>
      </c>
      <c r="V184" t="n">
        <v>0.0</v>
      </c>
      <c r="W184">
        <f si="27" t="shared"/>
        <v>195156.13173299999</v>
      </c>
    </row>
    <row r="185" spans="1:23" x14ac:dyDescent="0.2">
      <c r="A185" t="s">
        <v>246</v>
      </c>
      <c r="B185">
        <f si="26" t="shared"/>
        <v>76306.854584000001</v>
      </c>
      <c r="C185">
        <f si="26" t="shared"/>
        <v>6714.1332839999995</v>
      </c>
      <c r="D185">
        <f si="26" t="shared"/>
        <v>0</v>
      </c>
      <c r="E185">
        <f si="26" t="shared"/>
        <v>143.80684299999999</v>
      </c>
      <c r="F185">
        <f si="26" t="shared"/>
        <v>123.48774399999999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8" t="shared"/>
        <v>83288.282454999993</v>
      </c>
      <c r="N185" t="s">
        <v>246</v>
      </c>
      <c r="O185" t="n">
        <v>76306.854584</v>
      </c>
      <c r="P185" t="n">
        <v>6714.133284</v>
      </c>
      <c r="Q185" t="n">
        <v>0.0</v>
      </c>
      <c r="R185" t="n">
        <v>143.806843</v>
      </c>
      <c r="S185" t="n">
        <v>123.48774399999999</v>
      </c>
      <c r="T185" t="n">
        <v>0.0</v>
      </c>
      <c r="U185" t="n">
        <v>0.0</v>
      </c>
      <c r="V185" t="n">
        <v>0.0</v>
      </c>
      <c r="W185">
        <f si="27" t="shared"/>
        <v>83288.282454999993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295</v>
      </c>
      <c r="C188" t="s">
        <v>296</v>
      </c>
      <c r="D188" t="s">
        <v>297</v>
      </c>
      <c r="E188" t="s">
        <v>298</v>
      </c>
      <c r="F188" t="s">
        <v>27</v>
      </c>
      <c r="N188" t="s">
        <v>44</v>
      </c>
      <c r="O188" t="s">
        <v>295</v>
      </c>
      <c r="P188" t="s">
        <v>296</v>
      </c>
      <c r="Q188" t="s">
        <v>297</v>
      </c>
      <c r="R188" t="s">
        <v>298</v>
      </c>
      <c r="S188" t="s">
        <v>27</v>
      </c>
    </row>
    <row r="189" spans="1:23" x14ac:dyDescent="0.2">
      <c r="A189" t="s">
        <v>210</v>
      </c>
      <c r="B189">
        <f ref="B189:F196" si="29" t="shared">O189*$B$1</f>
        <v>7920.1091450000004</v>
      </c>
      <c r="C189">
        <f si="29" t="shared"/>
        <v>135324.39270299999</v>
      </c>
      <c r="D189">
        <f si="29" t="shared"/>
        <v>121776.435314</v>
      </c>
      <c r="E189">
        <f si="29" t="shared"/>
        <v>225281.71471500001</v>
      </c>
      <c r="F189">
        <f si="29" t="shared"/>
        <v>490302.651877</v>
      </c>
      <c r="N189" t="s">
        <v>210</v>
      </c>
      <c r="O189" t="n">
        <v>7920.109145</v>
      </c>
      <c r="P189" t="n">
        <v>135324.392703</v>
      </c>
      <c r="Q189" t="n">
        <v>121776.435314</v>
      </c>
      <c r="R189" t="n">
        <v>225281.714715</v>
      </c>
      <c r="S189">
        <f>SUM(O189:R189)</f>
        <v>490302.651877</v>
      </c>
    </row>
    <row r="190" spans="1:23" x14ac:dyDescent="0.2">
      <c r="A190" t="s">
        <v>211</v>
      </c>
      <c r="B190">
        <f si="29" t="shared"/>
        <v>11840.618328999999</v>
      </c>
      <c r="C190">
        <f si="29" t="shared"/>
        <v>49354.890993000001</v>
      </c>
      <c r="D190">
        <f si="29" t="shared"/>
        <v>45446.011848000002</v>
      </c>
      <c r="E190">
        <f si="29" t="shared"/>
        <v>90406.188445000007</v>
      </c>
      <c r="F190">
        <f si="29" t="shared"/>
        <v>197047.709615</v>
      </c>
      <c r="N190" t="s">
        <v>211</v>
      </c>
      <c r="O190" t="n">
        <v>11840.618328999999</v>
      </c>
      <c r="P190" t="n">
        <v>49354.890993</v>
      </c>
      <c r="Q190" t="n">
        <v>45446.011848</v>
      </c>
      <c r="R190" t="n">
        <v>90406.188445</v>
      </c>
      <c r="S190">
        <f ref="S190:S196" si="30" t="shared">SUM(O190:R190)</f>
        <v>197047.709615</v>
      </c>
    </row>
    <row r="191" spans="1:23" x14ac:dyDescent="0.2">
      <c r="A191" t="s">
        <v>212</v>
      </c>
      <c r="B191">
        <f si="29" t="shared"/>
        <v>3517.4044840000001</v>
      </c>
      <c r="C191">
        <f si="29" t="shared"/>
        <v>39963.887383000001</v>
      </c>
      <c r="D191">
        <f si="29" t="shared"/>
        <v>41400.493941000001</v>
      </c>
      <c r="E191">
        <f si="29" t="shared"/>
        <v>68984.822239000001</v>
      </c>
      <c r="F191">
        <f si="29" t="shared"/>
        <v>153866.60804700002</v>
      </c>
      <c r="N191" t="s">
        <v>212</v>
      </c>
      <c r="O191" t="n">
        <v>3517.404484</v>
      </c>
      <c r="P191" t="n">
        <v>39963.887383</v>
      </c>
      <c r="Q191" t="n">
        <v>41400.493941</v>
      </c>
      <c r="R191" t="n">
        <v>68984.822239</v>
      </c>
      <c r="S191">
        <f si="30" t="shared"/>
        <v>153866.60804700002</v>
      </c>
    </row>
    <row r="192" spans="1:23" x14ac:dyDescent="0.2">
      <c r="A192" t="s">
        <v>36</v>
      </c>
      <c r="B192">
        <f si="29" t="shared"/>
        <v>10127.371972000001</v>
      </c>
      <c r="C192">
        <f si="29" t="shared"/>
        <v>64513.581447999997</v>
      </c>
      <c r="D192">
        <f si="29" t="shared"/>
        <v>35600.097851999999</v>
      </c>
      <c r="E192">
        <f si="29" t="shared"/>
        <v>64330.115269000002</v>
      </c>
      <c r="F192">
        <f si="29" t="shared"/>
        <v>174571.16654100001</v>
      </c>
      <c r="N192" t="s">
        <v>36</v>
      </c>
      <c r="O192" t="n">
        <v>10127.371972</v>
      </c>
      <c r="P192" t="n">
        <v>64513.581448</v>
      </c>
      <c r="Q192" t="n">
        <v>35600.097852</v>
      </c>
      <c r="R192" t="n">
        <v>64330.115269</v>
      </c>
      <c r="S192">
        <f si="30" t="shared"/>
        <v>174571.16654100001</v>
      </c>
    </row>
    <row r="193" spans="1:19" x14ac:dyDescent="0.2">
      <c r="A193" t="s">
        <v>214</v>
      </c>
      <c r="B193">
        <f si="29" t="shared"/>
        <v>9808.965936999999</v>
      </c>
      <c r="C193">
        <f si="29" t="shared"/>
        <v>46872.573280999997</v>
      </c>
      <c r="D193">
        <f si="29" t="shared"/>
        <v>26160.461164</v>
      </c>
      <c r="E193">
        <f si="29" t="shared"/>
        <v>39081.119186000004</v>
      </c>
      <c r="F193">
        <f si="29" t="shared"/>
        <v>121923.11956799999</v>
      </c>
      <c r="N193" t="s">
        <v>214</v>
      </c>
      <c r="O193" t="n">
        <v>9808.965936999999</v>
      </c>
      <c r="P193" t="n">
        <v>46872.573281</v>
      </c>
      <c r="Q193" t="n">
        <v>26160.461164</v>
      </c>
      <c r="R193" t="n">
        <v>39081.119186</v>
      </c>
      <c r="S193">
        <f si="30" t="shared"/>
        <v>121923.11956799999</v>
      </c>
    </row>
    <row r="194" spans="1:19" x14ac:dyDescent="0.2">
      <c r="A194" t="s">
        <v>129</v>
      </c>
      <c r="B194">
        <f si="29" t="shared"/>
        <v>1307.2024859999999</v>
      </c>
      <c r="C194">
        <f si="29" t="shared"/>
        <v>19085.017066</v>
      </c>
      <c r="D194">
        <f si="29" t="shared"/>
        <v>18263.599956999999</v>
      </c>
      <c r="E194">
        <f si="29" t="shared"/>
        <v>28763.633116000001</v>
      </c>
      <c r="F194">
        <f si="29" t="shared"/>
        <v>67419.452624999991</v>
      </c>
      <c r="N194" t="s">
        <v>129</v>
      </c>
      <c r="O194" t="n">
        <v>1307.202486</v>
      </c>
      <c r="P194" t="n">
        <v>19085.017066</v>
      </c>
      <c r="Q194" t="n">
        <v>18263.599957</v>
      </c>
      <c r="R194" t="n">
        <v>28763.633116</v>
      </c>
      <c r="S194">
        <f si="30" t="shared"/>
        <v>67419.452624999991</v>
      </c>
    </row>
    <row r="195" spans="1:19" x14ac:dyDescent="0.2">
      <c r="A195" t="s">
        <v>130</v>
      </c>
      <c r="B195">
        <f si="29" t="shared"/>
        <v>5174.0103170000002</v>
      </c>
      <c r="C195">
        <f si="29" t="shared"/>
        <v>48332.630697000001</v>
      </c>
      <c r="D195">
        <f si="29" t="shared"/>
        <v>40882.639167000001</v>
      </c>
      <c r="E195">
        <f si="29" t="shared"/>
        <v>77794.030861000007</v>
      </c>
      <c r="F195">
        <f si="29" t="shared"/>
        <v>172183.31104200002</v>
      </c>
      <c r="N195" t="s">
        <v>130</v>
      </c>
      <c r="O195" t="n">
        <v>5174.010317</v>
      </c>
      <c r="P195" t="n">
        <v>48332.630697</v>
      </c>
      <c r="Q195" t="n">
        <v>40882.639167</v>
      </c>
      <c r="R195" t="n">
        <v>77794.030861</v>
      </c>
      <c r="S195">
        <f si="30" t="shared"/>
        <v>172183.31104200002</v>
      </c>
    </row>
    <row r="196" spans="1:19" x14ac:dyDescent="0.2">
      <c r="A196" t="s">
        <v>246</v>
      </c>
      <c r="B196">
        <f si="29" t="shared"/>
        <v>370.08061199999997</v>
      </c>
      <c r="C196">
        <f si="29" t="shared"/>
        <v>15613.328216</v>
      </c>
      <c r="D196">
        <f si="29" t="shared"/>
        <v>16038.959298</v>
      </c>
      <c r="E196">
        <f si="29" t="shared"/>
        <v>41660.165836</v>
      </c>
      <c r="F196">
        <f si="29" t="shared"/>
        <v>73682.533962000001</v>
      </c>
      <c r="N196" t="s">
        <v>246</v>
      </c>
      <c r="O196" t="n">
        <v>370.080612</v>
      </c>
      <c r="P196" t="n">
        <v>15613.328216</v>
      </c>
      <c r="Q196" t="n">
        <v>16038.959298</v>
      </c>
      <c r="R196" t="n">
        <v>41660.165836</v>
      </c>
      <c r="S196">
        <f si="30" t="shared"/>
        <v>73682.533962000001</v>
      </c>
    </row>
    <row r="198" spans="1:19" x14ac:dyDescent="0.2">
      <c r="A198" t="s">
        <v>18</v>
      </c>
      <c r="B198" t="s">
        <v>58</v>
      </c>
      <c r="C198" t="s">
        <v>278</v>
      </c>
      <c r="D198" t="s">
        <v>279</v>
      </c>
      <c r="E198" t="s">
        <v>62</v>
      </c>
      <c r="N198" t="s">
        <v>18</v>
      </c>
      <c r="O198" t="s">
        <v>58</v>
      </c>
      <c r="P198" t="s">
        <v>278</v>
      </c>
      <c r="Q198" t="s">
        <v>279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280</v>
      </c>
      <c r="D199" t="s">
        <v>281</v>
      </c>
      <c r="E199" t="s">
        <v>282</v>
      </c>
      <c r="F199" t="s">
        <v>27</v>
      </c>
      <c r="N199" t="s">
        <v>44</v>
      </c>
      <c r="O199" t="s">
        <v>98</v>
      </c>
      <c r="P199" t="s">
        <v>280</v>
      </c>
      <c r="Q199" t="s">
        <v>281</v>
      </c>
      <c r="R199" t="s">
        <v>282</v>
      </c>
      <c r="S199" t="s">
        <v>27</v>
      </c>
    </row>
    <row r="200" spans="1:19" x14ac:dyDescent="0.2">
      <c r="A200" t="s">
        <v>210</v>
      </c>
      <c r="B200">
        <f ref="B200:F207" si="31" t="shared">O200*$B$1</f>
        <v>6594.2559570000003</v>
      </c>
      <c r="C200">
        <f si="31" t="shared"/>
        <v>81411.412358999994</v>
      </c>
      <c r="D200">
        <f si="31" t="shared"/>
        <v>338722.83613200003</v>
      </c>
      <c r="E200">
        <f si="31" t="shared"/>
        <v>124538.745285</v>
      </c>
      <c r="F200">
        <f si="31" t="shared"/>
        <v>551267.24973299995</v>
      </c>
      <c r="N200" t="s">
        <v>210</v>
      </c>
      <c r="O200" t="n">
        <v>6594.255957</v>
      </c>
      <c r="P200" t="n">
        <v>81411.412359</v>
      </c>
      <c r="Q200" t="n">
        <v>338722.836132</v>
      </c>
      <c r="R200" t="n">
        <v>124538.745285</v>
      </c>
      <c r="S200">
        <f>SUM(O200:R200)</f>
        <v>551267.24973299995</v>
      </c>
    </row>
    <row r="201" spans="1:19" x14ac:dyDescent="0.2">
      <c r="A201" t="s">
        <v>211</v>
      </c>
      <c r="B201">
        <f si="31" t="shared"/>
        <v>6109.4640579999996</v>
      </c>
      <c r="C201">
        <f si="31" t="shared"/>
        <v>43113.349822999997</v>
      </c>
      <c r="D201">
        <f si="31" t="shared"/>
        <v>128544.175334</v>
      </c>
      <c r="E201">
        <f si="31" t="shared"/>
        <v>43170.691862</v>
      </c>
      <c r="F201">
        <f si="31" t="shared"/>
        <v>220937.68107700002</v>
      </c>
      <c r="N201" t="s">
        <v>211</v>
      </c>
      <c r="O201" t="n">
        <v>6109.464058</v>
      </c>
      <c r="P201" t="n">
        <v>43113.349823</v>
      </c>
      <c r="Q201" t="n">
        <v>128544.175334</v>
      </c>
      <c r="R201" t="n">
        <v>43170.691862</v>
      </c>
      <c r="S201">
        <f ref="S201:S207" si="32" t="shared">SUM(O201:R201)</f>
        <v>220937.68107700002</v>
      </c>
    </row>
    <row r="202" spans="1:19" x14ac:dyDescent="0.2">
      <c r="A202" t="s">
        <v>212</v>
      </c>
      <c r="B202">
        <f si="31" t="shared"/>
        <v>1551.4453679999999</v>
      </c>
      <c r="C202">
        <f si="31" t="shared"/>
        <v>33631.342665999997</v>
      </c>
      <c r="D202">
        <f si="31" t="shared"/>
        <v>101139.385836</v>
      </c>
      <c r="E202">
        <f si="31" t="shared"/>
        <v>40887.436819000002</v>
      </c>
      <c r="F202">
        <f si="31" t="shared"/>
        <v>177209.61068899999</v>
      </c>
      <c r="N202" t="s">
        <v>212</v>
      </c>
      <c r="O202" t="n">
        <v>1551.445368</v>
      </c>
      <c r="P202" t="n">
        <v>33631.342666</v>
      </c>
      <c r="Q202" t="n">
        <v>101139.385836</v>
      </c>
      <c r="R202" t="n">
        <v>40887.436819</v>
      </c>
      <c r="S202">
        <f si="32" t="shared"/>
        <v>177209.61068899999</v>
      </c>
    </row>
    <row r="203" spans="1:19" x14ac:dyDescent="0.2">
      <c r="A203" t="s">
        <v>36</v>
      </c>
      <c r="B203">
        <f si="31" t="shared"/>
        <v>10754.293965000001</v>
      </c>
      <c r="C203">
        <f si="31" t="shared"/>
        <v>37312.799746999997</v>
      </c>
      <c r="D203">
        <f si="31" t="shared"/>
        <v>117789.48593900001</v>
      </c>
      <c r="E203">
        <f si="31" t="shared"/>
        <v>42837.742438000001</v>
      </c>
      <c r="F203">
        <f si="31" t="shared"/>
        <v>208694.32208900002</v>
      </c>
      <c r="N203" t="s">
        <v>36</v>
      </c>
      <c r="O203" t="n">
        <v>10754.293965</v>
      </c>
      <c r="P203" t="n">
        <v>37312.799747</v>
      </c>
      <c r="Q203" t="n">
        <v>117789.485939</v>
      </c>
      <c r="R203" t="n">
        <v>42837.742438</v>
      </c>
      <c r="S203">
        <f si="32" t="shared"/>
        <v>208694.32208900002</v>
      </c>
    </row>
    <row r="204" spans="1:19" x14ac:dyDescent="0.2">
      <c r="A204" t="s">
        <v>214</v>
      </c>
      <c r="B204">
        <f si="31" t="shared"/>
        <v>7904.4838769999997</v>
      </c>
      <c r="C204">
        <f si="31" t="shared"/>
        <v>31675.208554000001</v>
      </c>
      <c r="D204">
        <f si="31" t="shared"/>
        <v>80239.384009000001</v>
      </c>
      <c r="E204">
        <f si="31" t="shared"/>
        <v>21981.140447000002</v>
      </c>
      <c r="F204">
        <f si="31" t="shared"/>
        <v>141800.21688700002</v>
      </c>
      <c r="N204" t="s">
        <v>214</v>
      </c>
      <c r="O204" t="n">
        <v>7904.483877</v>
      </c>
      <c r="P204" t="n">
        <v>31675.208554</v>
      </c>
      <c r="Q204" t="n">
        <v>80239.384009</v>
      </c>
      <c r="R204" t="n">
        <v>21981.140447</v>
      </c>
      <c r="S204">
        <f si="32" t="shared"/>
        <v>141800.21688700002</v>
      </c>
    </row>
    <row r="205" spans="1:19" x14ac:dyDescent="0.2">
      <c r="A205" t="s">
        <v>129</v>
      </c>
      <c r="B205">
        <f si="31" t="shared"/>
        <v>1359.5842380000001</v>
      </c>
      <c r="C205">
        <f si="31" t="shared"/>
        <v>16788.377015999999</v>
      </c>
      <c r="D205">
        <f si="31" t="shared"/>
        <v>45066.694618000001</v>
      </c>
      <c r="E205">
        <f si="31" t="shared"/>
        <v>17948.566182999999</v>
      </c>
      <c r="F205">
        <f si="31" t="shared"/>
        <v>81163.222055000006</v>
      </c>
      <c r="N205" t="s">
        <v>129</v>
      </c>
      <c r="O205" t="n">
        <v>1359.5842380000001</v>
      </c>
      <c r="P205" t="n">
        <v>16788.377016</v>
      </c>
      <c r="Q205" t="n">
        <v>45066.694618</v>
      </c>
      <c r="R205" t="n">
        <v>17948.566183</v>
      </c>
      <c r="S205">
        <f si="32" t="shared"/>
        <v>81163.222055000006</v>
      </c>
    </row>
    <row r="206" spans="1:19" x14ac:dyDescent="0.2">
      <c r="A206" t="s">
        <v>130</v>
      </c>
      <c r="B206">
        <f si="31" t="shared"/>
        <v>4973.3702839999996</v>
      </c>
      <c r="C206">
        <f si="31" t="shared"/>
        <v>25371.057274999999</v>
      </c>
      <c r="D206">
        <f si="31" t="shared"/>
        <v>119917.852506</v>
      </c>
      <c r="E206">
        <f si="31" t="shared"/>
        <v>44893.851668000003</v>
      </c>
      <c r="F206">
        <f si="31" t="shared"/>
        <v>195156.13173299999</v>
      </c>
      <c r="N206" t="s">
        <v>130</v>
      </c>
      <c r="O206" t="n">
        <v>4973.370284</v>
      </c>
      <c r="P206" t="n">
        <v>25371.057275</v>
      </c>
      <c r="Q206" t="n">
        <v>119917.852506</v>
      </c>
      <c r="R206" t="n">
        <v>44893.851668</v>
      </c>
      <c r="S206">
        <f si="32" t="shared"/>
        <v>195156.13173299999</v>
      </c>
    </row>
    <row r="207" spans="1:19" x14ac:dyDescent="0.2">
      <c r="A207" t="s">
        <v>246</v>
      </c>
      <c r="B207">
        <f si="31" t="shared"/>
        <v>691.94419099999993</v>
      </c>
      <c r="C207">
        <f si="31" t="shared"/>
        <v>8218.0230119999997</v>
      </c>
      <c r="D207">
        <f si="31" t="shared"/>
        <v>49758.589950000001</v>
      </c>
      <c r="E207">
        <f si="31" t="shared"/>
        <v>24619.725301999999</v>
      </c>
      <c r="F207">
        <f si="31" t="shared"/>
        <v>83288.282455000008</v>
      </c>
      <c r="N207" t="s">
        <v>246</v>
      </c>
      <c r="O207" t="n">
        <v>691.9441909999999</v>
      </c>
      <c r="P207" t="n">
        <v>8218.023012</v>
      </c>
      <c r="Q207" t="n">
        <v>49758.58995</v>
      </c>
      <c r="R207" t="n">
        <v>24619.725302</v>
      </c>
      <c r="S207">
        <f si="32" t="shared"/>
        <v>83288.282455000008</v>
      </c>
    </row>
    <row r="209" spans="1:25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5" x14ac:dyDescent="0.2">
      <c r="A210" t="s">
        <v>44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220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27</v>
      </c>
    </row>
    <row r="211" spans="1:25" x14ac:dyDescent="0.2">
      <c r="A211" t="s">
        <v>210</v>
      </c>
      <c r="B211">
        <f ref="B211:E218" si="33" t="shared">O211*$B$1</f>
        <v>241130.384127</v>
      </c>
      <c r="C211">
        <f si="33" t="shared"/>
        <v>26293.159509000001</v>
      </c>
      <c r="D211">
        <f si="33" t="shared"/>
        <v>23036.292729000001</v>
      </c>
      <c r="E211">
        <f si="33" t="shared"/>
        <v>98306.747581999996</v>
      </c>
      <c r="F211">
        <f ref="F211:F218" si="34" t="shared">S211*$B$1</f>
        <v>60244.903614000003</v>
      </c>
      <c r="G211">
        <f ref="G211:G218" si="35" t="shared">T211*$B$1</f>
        <v>60163.613280999998</v>
      </c>
      <c r="H211">
        <f ref="H211:H218" si="36" t="shared">U211*$B$1</f>
        <v>42092.148890999997</v>
      </c>
      <c r="I211">
        <f ref="I211:I218" si="37" t="shared">V211*$B$1</f>
        <v>0</v>
      </c>
      <c r="J211">
        <f ref="J211:J218" si="38" t="shared">W211*$B$1</f>
        <v>0</v>
      </c>
      <c r="K211">
        <f ref="K211:K218" si="39" t="shared">X211*$B$1</f>
        <v>0</v>
      </c>
      <c r="L211">
        <f ref="L211:L218" si="40" t="shared">Y211*$B$1</f>
        <v>551267.24973299995</v>
      </c>
      <c r="N211" t="s">
        <v>210</v>
      </c>
      <c r="O211" t="n">
        <v>241130.384127</v>
      </c>
      <c r="P211" t="n">
        <v>26293.159509</v>
      </c>
      <c r="Q211" t="n">
        <v>23036.292729</v>
      </c>
      <c r="R211" t="n">
        <v>98306.747582</v>
      </c>
      <c r="S211" t="n">
        <v>60244.903614</v>
      </c>
      <c r="T211" t="n">
        <v>60163.613281</v>
      </c>
      <c r="U211" t="n">
        <v>42092.148891</v>
      </c>
      <c r="V211" t="n">
        <v>0.0</v>
      </c>
      <c r="W211" t="n">
        <v>0.0</v>
      </c>
      <c r="X211" t="n">
        <v>0.0</v>
      </c>
      <c r="Y211">
        <f>SUM(O211:X211)</f>
        <v>551267.24973299995</v>
      </c>
    </row>
    <row r="212" spans="1:25" x14ac:dyDescent="0.2">
      <c r="A212" t="s">
        <v>211</v>
      </c>
      <c r="B212">
        <f si="33" t="shared"/>
        <v>84207.900141999999</v>
      </c>
      <c r="C212">
        <f si="33" t="shared"/>
        <v>11302.913423</v>
      </c>
      <c r="D212">
        <f si="33" t="shared"/>
        <v>9048.4341139999997</v>
      </c>
      <c r="E212">
        <f si="33" t="shared"/>
        <v>46528.647613000001</v>
      </c>
      <c r="F212">
        <f si="34" t="shared"/>
        <v>20987.096251999999</v>
      </c>
      <c r="G212">
        <f si="35" t="shared"/>
        <v>34762.275811</v>
      </c>
      <c r="H212">
        <f si="36" t="shared"/>
        <v>14100.413721999999</v>
      </c>
      <c r="I212">
        <f si="37" t="shared"/>
        <v>0</v>
      </c>
      <c r="J212">
        <f si="38" t="shared"/>
        <v>0</v>
      </c>
      <c r="K212">
        <f si="39" t="shared"/>
        <v>0</v>
      </c>
      <c r="L212">
        <f si="40" t="shared"/>
        <v>220937.68107699999</v>
      </c>
      <c r="N212" t="s">
        <v>211</v>
      </c>
      <c r="O212" t="n">
        <v>84207.900142</v>
      </c>
      <c r="P212" t="n">
        <v>11302.913423</v>
      </c>
      <c r="Q212" t="n">
        <v>9048.434114</v>
      </c>
      <c r="R212" t="n">
        <v>46528.647613</v>
      </c>
      <c r="S212" t="n">
        <v>20987.096252</v>
      </c>
      <c r="T212" t="n">
        <v>34762.275811</v>
      </c>
      <c r="U212" t="n">
        <v>14100.413722</v>
      </c>
      <c r="V212" t="n">
        <v>0.0</v>
      </c>
      <c r="W212" t="n">
        <v>0.0</v>
      </c>
      <c r="X212" t="n">
        <v>0.0</v>
      </c>
      <c r="Y212">
        <f ref="Y212:Y218" si="41" t="shared">SUM(O212:X212)</f>
        <v>220937.68107699999</v>
      </c>
    </row>
    <row r="213" spans="1:25" x14ac:dyDescent="0.2">
      <c r="A213" t="s">
        <v>212</v>
      </c>
      <c r="B213">
        <f si="33" t="shared"/>
        <v>69922.468512000007</v>
      </c>
      <c r="C213">
        <f si="33" t="shared"/>
        <v>11538.712068999999</v>
      </c>
      <c r="D213">
        <f si="33" t="shared"/>
        <v>7910.2128569999995</v>
      </c>
      <c r="E213">
        <f si="33" t="shared"/>
        <v>28910.281835000002</v>
      </c>
      <c r="F213">
        <f si="34" t="shared"/>
        <v>18660.838519000001</v>
      </c>
      <c r="G213">
        <f si="35" t="shared"/>
        <v>27403.281824999998</v>
      </c>
      <c r="H213">
        <f si="36" t="shared"/>
        <v>12863.815071999999</v>
      </c>
      <c r="I213">
        <f si="37" t="shared"/>
        <v>0</v>
      </c>
      <c r="J213">
        <f si="38" t="shared"/>
        <v>0</v>
      </c>
      <c r="K213">
        <f si="39" t="shared"/>
        <v>0</v>
      </c>
      <c r="L213">
        <f si="40" t="shared"/>
        <v>177209.61068900002</v>
      </c>
      <c r="N213" t="s">
        <v>212</v>
      </c>
      <c r="O213" t="n">
        <v>69922.468512</v>
      </c>
      <c r="P213" t="n">
        <v>11538.712069</v>
      </c>
      <c r="Q213" t="n">
        <v>7910.2128569999995</v>
      </c>
      <c r="R213" t="n">
        <v>28910.281835</v>
      </c>
      <c r="S213" t="n">
        <v>18660.838519</v>
      </c>
      <c r="T213" t="n">
        <v>27403.281825</v>
      </c>
      <c r="U213" t="n">
        <v>12863.815072</v>
      </c>
      <c r="V213" t="n">
        <v>0.0</v>
      </c>
      <c r="W213" t="n">
        <v>0.0</v>
      </c>
      <c r="X213" t="n">
        <v>0.0</v>
      </c>
      <c r="Y213">
        <f si="41" t="shared"/>
        <v>177209.61068900002</v>
      </c>
    </row>
    <row r="214" spans="1:25" x14ac:dyDescent="0.2">
      <c r="A214" t="s">
        <v>36</v>
      </c>
      <c r="B214">
        <f si="33" t="shared"/>
        <v>84115.137459999998</v>
      </c>
      <c r="C214">
        <f si="33" t="shared"/>
        <v>12410.739659999999</v>
      </c>
      <c r="D214">
        <f si="33" t="shared"/>
        <v>10850.907615</v>
      </c>
      <c r="E214">
        <f si="33" t="shared"/>
        <v>37139.297915000003</v>
      </c>
      <c r="F214">
        <f si="34" t="shared"/>
        <v>23984.076005999999</v>
      </c>
      <c r="G214">
        <f si="35" t="shared"/>
        <v>20856.755044000001</v>
      </c>
      <c r="H214">
        <f si="36" t="shared"/>
        <v>19337.408389</v>
      </c>
      <c r="I214">
        <f si="37" t="shared"/>
        <v>0</v>
      </c>
      <c r="J214">
        <f si="38" t="shared"/>
        <v>0</v>
      </c>
      <c r="K214">
        <f si="39" t="shared"/>
        <v>0</v>
      </c>
      <c r="L214">
        <f si="40" t="shared"/>
        <v>208694.32208899996</v>
      </c>
      <c r="N214" t="s">
        <v>36</v>
      </c>
      <c r="O214" t="n">
        <v>84115.13746</v>
      </c>
      <c r="P214" t="n">
        <v>12410.73966</v>
      </c>
      <c r="Q214" t="n">
        <v>10850.907615</v>
      </c>
      <c r="R214" t="n">
        <v>37139.297915</v>
      </c>
      <c r="S214" t="n">
        <v>23984.076006</v>
      </c>
      <c r="T214" t="n">
        <v>20856.755044</v>
      </c>
      <c r="U214" t="n">
        <v>19337.408389</v>
      </c>
      <c r="V214" t="n">
        <v>0.0</v>
      </c>
      <c r="W214" t="n">
        <v>0.0</v>
      </c>
      <c r="X214" t="n">
        <v>0.0</v>
      </c>
      <c r="Y214">
        <f si="41" t="shared"/>
        <v>208694.32208899996</v>
      </c>
    </row>
    <row r="215" spans="1:25" x14ac:dyDescent="0.2">
      <c r="A215" t="s">
        <v>214</v>
      </c>
      <c r="B215">
        <f si="33" t="shared"/>
        <v>56970.383615999999</v>
      </c>
      <c r="C215">
        <f si="33" t="shared"/>
        <v>8353.6825140000001</v>
      </c>
      <c r="D215">
        <f si="33" t="shared"/>
        <v>5127.113636</v>
      </c>
      <c r="E215">
        <f si="33" t="shared"/>
        <v>24679.960255999998</v>
      </c>
      <c r="F215">
        <f si="34" t="shared"/>
        <v>18463.930344</v>
      </c>
      <c r="G215">
        <f si="35" t="shared"/>
        <v>15066.866566000001</v>
      </c>
      <c r="H215">
        <f si="36" t="shared"/>
        <v>13138.279955</v>
      </c>
      <c r="I215">
        <f si="37" t="shared"/>
        <v>0</v>
      </c>
      <c r="J215">
        <f si="38" t="shared"/>
        <v>0</v>
      </c>
      <c r="K215">
        <f si="39" t="shared"/>
        <v>0</v>
      </c>
      <c r="L215">
        <f si="40" t="shared"/>
        <v>141800.21688699999</v>
      </c>
      <c r="N215" t="s">
        <v>214</v>
      </c>
      <c r="O215" t="n">
        <v>56970.383616</v>
      </c>
      <c r="P215" t="n">
        <v>8353.682514</v>
      </c>
      <c r="Q215" t="n">
        <v>5127.113636</v>
      </c>
      <c r="R215" t="n">
        <v>24679.960256</v>
      </c>
      <c r="S215" t="n">
        <v>18463.930344</v>
      </c>
      <c r="T215" t="n">
        <v>15066.866566</v>
      </c>
      <c r="U215" t="n">
        <v>13138.279955</v>
      </c>
      <c r="V215" t="n">
        <v>0.0</v>
      </c>
      <c r="W215" t="n">
        <v>0.0</v>
      </c>
      <c r="X215" t="n">
        <v>0.0</v>
      </c>
      <c r="Y215">
        <f si="41" t="shared"/>
        <v>141800.21688699999</v>
      </c>
    </row>
    <row r="216" spans="1:25" x14ac:dyDescent="0.2">
      <c r="A216" t="s">
        <v>129</v>
      </c>
      <c r="B216">
        <f si="33" t="shared"/>
        <v>32347.867469000001</v>
      </c>
      <c r="C216">
        <f si="33" t="shared"/>
        <v>3882.7004809999999</v>
      </c>
      <c r="D216">
        <f si="33" t="shared"/>
        <v>2530.098215</v>
      </c>
      <c r="E216">
        <f si="33" t="shared"/>
        <v>12974.089513999999</v>
      </c>
      <c r="F216">
        <f si="34" t="shared"/>
        <v>9939.0934770000003</v>
      </c>
      <c r="G216">
        <f si="35" t="shared"/>
        <v>11213.735323000001</v>
      </c>
      <c r="H216">
        <f si="36" t="shared"/>
        <v>8275.6375759999992</v>
      </c>
      <c r="I216">
        <f si="37" t="shared"/>
        <v>0</v>
      </c>
      <c r="J216">
        <f si="38" t="shared"/>
        <v>0</v>
      </c>
      <c r="K216">
        <f si="39" t="shared"/>
        <v>0</v>
      </c>
      <c r="L216">
        <f si="40" t="shared"/>
        <v>81163.222054999991</v>
      </c>
      <c r="N216" t="s">
        <v>129</v>
      </c>
      <c r="O216" t="n">
        <v>32347.867469</v>
      </c>
      <c r="P216" t="n">
        <v>3882.700481</v>
      </c>
      <c r="Q216" t="n">
        <v>2530.098215</v>
      </c>
      <c r="R216" t="n">
        <v>12974.089514</v>
      </c>
      <c r="S216" t="n">
        <v>9939.093477</v>
      </c>
      <c r="T216" t="n">
        <v>11213.735323</v>
      </c>
      <c r="U216" t="n">
        <v>8275.637576</v>
      </c>
      <c r="V216" t="n">
        <v>0.0</v>
      </c>
      <c r="W216" t="n">
        <v>0.0</v>
      </c>
      <c r="X216" t="n">
        <v>0.0</v>
      </c>
      <c r="Y216">
        <f si="41" t="shared"/>
        <v>81163.222054999991</v>
      </c>
    </row>
    <row r="217" spans="1:25" x14ac:dyDescent="0.2">
      <c r="A217" t="s">
        <v>130</v>
      </c>
      <c r="B217">
        <f si="33" t="shared"/>
        <v>75478.591650000002</v>
      </c>
      <c r="C217">
        <f si="33" t="shared"/>
        <v>9049.5176499999998</v>
      </c>
      <c r="D217">
        <f si="33" t="shared"/>
        <v>5989.1736659999997</v>
      </c>
      <c r="E217">
        <f si="33" t="shared"/>
        <v>35655.318317999998</v>
      </c>
      <c r="F217">
        <f si="34" t="shared"/>
        <v>28681.517813999999</v>
      </c>
      <c r="G217">
        <f si="35" t="shared"/>
        <v>27255.711286000002</v>
      </c>
      <c r="H217">
        <f si="36" t="shared"/>
        <v>13046.301348999999</v>
      </c>
      <c r="I217">
        <f si="37" t="shared"/>
        <v>0</v>
      </c>
      <c r="J217">
        <f si="38" t="shared"/>
        <v>0</v>
      </c>
      <c r="K217">
        <f si="39" t="shared"/>
        <v>0</v>
      </c>
      <c r="L217">
        <f si="40" t="shared"/>
        <v>195156.13173299999</v>
      </c>
      <c r="N217" t="s">
        <v>130</v>
      </c>
      <c r="O217" t="n">
        <v>75478.59165</v>
      </c>
      <c r="P217" t="n">
        <v>9049.51765</v>
      </c>
      <c r="Q217" t="n">
        <v>5989.173666</v>
      </c>
      <c r="R217" t="n">
        <v>35655.318318</v>
      </c>
      <c r="S217" t="n">
        <v>28681.517814</v>
      </c>
      <c r="T217" t="n">
        <v>27255.711286</v>
      </c>
      <c r="U217" t="n">
        <v>13046.301349</v>
      </c>
      <c r="V217" t="n">
        <v>0.0</v>
      </c>
      <c r="W217" t="n">
        <v>0.0</v>
      </c>
      <c r="X217" t="n">
        <v>0.0</v>
      </c>
      <c r="Y217">
        <f si="41" t="shared"/>
        <v>195156.13173299999</v>
      </c>
    </row>
    <row r="218" spans="1:25" x14ac:dyDescent="0.2">
      <c r="A218" t="s">
        <v>246</v>
      </c>
      <c r="B218">
        <f si="33" t="shared"/>
        <v>38102.852076000003</v>
      </c>
      <c r="C218">
        <f si="33" t="shared"/>
        <v>4669.0263409999998</v>
      </c>
      <c r="D218">
        <f si="33" t="shared"/>
        <v>3691.6935629999998</v>
      </c>
      <c r="E218">
        <f si="33" t="shared"/>
        <v>12427.145859</v>
      </c>
      <c r="F218">
        <f si="34" t="shared"/>
        <v>6431.3151010000001</v>
      </c>
      <c r="G218">
        <f si="35" t="shared"/>
        <v>11302.197762</v>
      </c>
      <c r="H218">
        <f si="36" t="shared"/>
        <v>6664.0517529999997</v>
      </c>
      <c r="I218">
        <f si="37" t="shared"/>
        <v>0</v>
      </c>
      <c r="J218">
        <f si="38" t="shared"/>
        <v>0</v>
      </c>
      <c r="K218">
        <f si="39" t="shared"/>
        <v>0</v>
      </c>
      <c r="L218">
        <f si="40" t="shared"/>
        <v>83288.282455000008</v>
      </c>
      <c r="N218" t="s">
        <v>246</v>
      </c>
      <c r="O218" t="n">
        <v>38102.852076</v>
      </c>
      <c r="P218" t="n">
        <v>4669.026341</v>
      </c>
      <c r="Q218" t="n">
        <v>3691.693563</v>
      </c>
      <c r="R218" t="n">
        <v>12427.145859</v>
      </c>
      <c r="S218" t="n">
        <v>6431.315101</v>
      </c>
      <c r="T218" t="n">
        <v>11302.197762</v>
      </c>
      <c r="U218" t="n">
        <v>6664.051753</v>
      </c>
      <c r="V218" t="n">
        <v>0.0</v>
      </c>
      <c r="W218" t="n">
        <v>0.0</v>
      </c>
      <c r="X218" t="n">
        <v>0.0</v>
      </c>
      <c r="Y218">
        <f si="41" t="shared"/>
        <v>83288.282455000008</v>
      </c>
    </row>
    <row r="220" spans="1:25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5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242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242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5" x14ac:dyDescent="0.2">
      <c r="A222" t="s">
        <v>210</v>
      </c>
      <c r="B222">
        <f ref="B222:J228" si="42" t="shared">O222*$B$1</f>
        <v>102196.00925205744</v>
      </c>
      <c r="C222">
        <f si="42" t="shared"/>
        <v>14162.685412090817</v>
      </c>
      <c r="D222">
        <f si="42" t="shared"/>
        <v>616.44726001834067</v>
      </c>
      <c r="E222">
        <f si="42" t="shared"/>
        <v>3273.6672267201161</v>
      </c>
      <c r="F222">
        <f si="42" t="shared"/>
        <v>5251.3812448341714</v>
      </c>
      <c r="G222">
        <f si="42" t="shared"/>
        <v>610.82755115415262</v>
      </c>
      <c r="H222">
        <f si="42" t="shared"/>
        <v>490.91229124073783</v>
      </c>
      <c r="I222">
        <f si="42" t="shared"/>
        <v>0</v>
      </c>
      <c r="J222">
        <f si="42" t="shared"/>
        <v>126601.93023811579</v>
      </c>
      <c r="N222" t="s">
        <v>210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5" x14ac:dyDescent="0.2">
      <c r="A223" t="s">
        <v>211</v>
      </c>
      <c r="B223">
        <f si="42" t="shared"/>
        <v>4094.4193036399674</v>
      </c>
      <c r="C223">
        <f si="42" t="shared"/>
        <v>897.89040932245041</v>
      </c>
      <c r="D223">
        <f si="42" t="shared"/>
        <v>0</v>
      </c>
      <c r="E223">
        <f si="42" t="shared"/>
        <v>743.43757240489856</v>
      </c>
      <c r="F223">
        <f si="42" t="shared"/>
        <v>68.569176156892993</v>
      </c>
      <c r="G223">
        <f si="42" t="shared"/>
        <v>2170.0158426201351</v>
      </c>
      <c r="H223">
        <f si="42" t="shared"/>
        <v>8343.8735884993475</v>
      </c>
      <c r="I223">
        <f si="42" t="shared"/>
        <v>0</v>
      </c>
      <c r="J223">
        <f si="42" t="shared"/>
        <v>16318.205892643691</v>
      </c>
      <c r="N223" t="s">
        <v>211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43" t="shared">SUM(O223:V223)</f>
        <v>16318.205892643691</v>
      </c>
    </row>
    <row r="224" spans="1:25" x14ac:dyDescent="0.2">
      <c r="A224" t="s">
        <v>212</v>
      </c>
      <c r="B224">
        <f si="42" t="shared"/>
        <v>145746.65367839887</v>
      </c>
      <c r="C224">
        <f si="42" t="shared"/>
        <v>12357.050698198895</v>
      </c>
      <c r="D224">
        <f si="42" t="shared"/>
        <v>3749.6338016209397</v>
      </c>
      <c r="E224">
        <f si="42" t="shared"/>
        <v>19492.076021808502</v>
      </c>
      <c r="F224">
        <f si="42" t="shared"/>
        <v>5259.5022263038927</v>
      </c>
      <c r="G224">
        <f si="42" t="shared"/>
        <v>3845.5758320633581</v>
      </c>
      <c r="H224">
        <f si="42" t="shared"/>
        <v>23876.744993804623</v>
      </c>
      <c r="I224">
        <f si="42" t="shared"/>
        <v>0</v>
      </c>
      <c r="J224">
        <f si="42" t="shared"/>
        <v>214327.23725219909</v>
      </c>
      <c r="N224" t="s">
        <v>212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43" t="shared"/>
        <v>214327.23725219909</v>
      </c>
    </row>
    <row r="225" spans="1:23" x14ac:dyDescent="0.2">
      <c r="A225" t="s">
        <v>36</v>
      </c>
      <c r="B225">
        <f si="42" t="shared"/>
        <v>194625.7559064411</v>
      </c>
      <c r="C225">
        <f si="42" t="shared"/>
        <v>33500.522700006448</v>
      </c>
      <c r="D225">
        <f si="42" t="shared"/>
        <v>47326.306989882571</v>
      </c>
      <c r="E225">
        <f si="42" t="shared"/>
        <v>79100.600444618598</v>
      </c>
      <c r="F225">
        <f si="42" t="shared"/>
        <v>12048.667195843691</v>
      </c>
      <c r="G225">
        <f si="42" t="shared"/>
        <v>11357.58634420122</v>
      </c>
      <c r="H225">
        <f si="42" t="shared"/>
        <v>28545.257064237332</v>
      </c>
      <c r="I225">
        <f si="42" t="shared"/>
        <v>0</v>
      </c>
      <c r="J225">
        <f si="42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43" t="shared"/>
        <v>406504.69664523099</v>
      </c>
    </row>
    <row r="226" spans="1:23" x14ac:dyDescent="0.2">
      <c r="A226" t="s">
        <v>214</v>
      </c>
      <c r="B226">
        <f si="42" t="shared"/>
        <v>123543.7392759216</v>
      </c>
      <c r="C226">
        <f si="42" t="shared"/>
        <v>24300.277525189729</v>
      </c>
      <c r="D226">
        <f si="42" t="shared"/>
        <v>38877.009496363324</v>
      </c>
      <c r="E226">
        <f si="42" t="shared"/>
        <v>69754.83310832837</v>
      </c>
      <c r="F226">
        <f si="42" t="shared"/>
        <v>12292.276588878376</v>
      </c>
      <c r="G226">
        <f si="42" t="shared"/>
        <v>2634.5091490711802</v>
      </c>
      <c r="H226">
        <f si="42" t="shared"/>
        <v>14828.814260486299</v>
      </c>
      <c r="I226">
        <f si="42" t="shared"/>
        <v>0</v>
      </c>
      <c r="J226">
        <f si="42" t="shared"/>
        <v>286231.45940423885</v>
      </c>
      <c r="N226" t="s">
        <v>214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43" t="shared"/>
        <v>286231.45940423885</v>
      </c>
    </row>
    <row r="227" spans="1:23" x14ac:dyDescent="0.2">
      <c r="A227" t="s">
        <v>129</v>
      </c>
      <c r="B227">
        <f si="42" t="shared"/>
        <v>94578.66138705425</v>
      </c>
      <c r="C227">
        <f si="42" t="shared"/>
        <v>9360.057589772312</v>
      </c>
      <c r="D227">
        <f si="42" t="shared"/>
        <v>11993.50204496177</v>
      </c>
      <c r="E227">
        <f si="42" t="shared"/>
        <v>22191.554285534519</v>
      </c>
      <c r="F227">
        <f si="42" t="shared"/>
        <v>3359.7480749564002</v>
      </c>
      <c r="G227">
        <f si="42" t="shared"/>
        <v>3732.4805868270901</v>
      </c>
      <c r="H227">
        <f si="42" t="shared"/>
        <v>9902.8354698859894</v>
      </c>
      <c r="I227">
        <f si="42" t="shared"/>
        <v>0</v>
      </c>
      <c r="J227">
        <f si="42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43" t="shared"/>
        <v>155118.83943899235</v>
      </c>
    </row>
    <row r="228" spans="1:23" x14ac:dyDescent="0.2">
      <c r="A228" t="s">
        <v>130</v>
      </c>
      <c r="B228">
        <f si="42" t="shared"/>
        <v>59669.658713086785</v>
      </c>
      <c r="C228">
        <f si="42" t="shared"/>
        <v>9194.0081182641352</v>
      </c>
      <c r="D228">
        <f si="42" t="shared"/>
        <v>11023.294728308087</v>
      </c>
      <c r="E228">
        <f si="42" t="shared"/>
        <v>23545.476678302704</v>
      </c>
      <c r="F228">
        <f si="42" t="shared"/>
        <v>5692.5086429725598</v>
      </c>
      <c r="G228">
        <f si="42" t="shared"/>
        <v>11729.061881395393</v>
      </c>
      <c r="H228">
        <f si="42" t="shared"/>
        <v>30381.182547073182</v>
      </c>
      <c r="I228">
        <f si="42" t="shared"/>
        <v>0</v>
      </c>
      <c r="J228">
        <f si="42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43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295</v>
      </c>
      <c r="C231" t="s">
        <v>296</v>
      </c>
      <c r="D231" t="s">
        <v>297</v>
      </c>
      <c r="E231" t="s">
        <v>298</v>
      </c>
      <c r="F231" t="s">
        <v>27</v>
      </c>
      <c r="N231" t="s">
        <v>44</v>
      </c>
      <c r="O231" t="s">
        <v>295</v>
      </c>
      <c r="P231" t="s">
        <v>296</v>
      </c>
      <c r="Q231" t="s">
        <v>297</v>
      </c>
      <c r="R231" t="s">
        <v>298</v>
      </c>
      <c r="S231" t="s">
        <v>27</v>
      </c>
    </row>
    <row r="232" spans="1:23" x14ac:dyDescent="0.2">
      <c r="A232" t="s">
        <v>210</v>
      </c>
      <c r="B232">
        <f ref="B232:F238" si="44" t="shared">O232*$B$1</f>
        <v>1368.2522753845419</v>
      </c>
      <c r="C232">
        <f si="44" t="shared"/>
        <v>38464.942658926564</v>
      </c>
      <c r="D232">
        <f si="44" t="shared"/>
        <v>23334.100382473123</v>
      </c>
      <c r="E232">
        <f si="44" t="shared"/>
        <v>51325.282224818257</v>
      </c>
      <c r="F232">
        <f si="44" t="shared"/>
        <v>114492.57754160248</v>
      </c>
      <c r="N232" t="s">
        <v>210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211</v>
      </c>
      <c r="B233">
        <f si="44" t="shared"/>
        <v>322.82553687138289</v>
      </c>
      <c r="C233">
        <f si="44" t="shared"/>
        <v>2965.5163829345647</v>
      </c>
      <c r="D233">
        <f si="44" t="shared"/>
        <v>4256.2325681526136</v>
      </c>
      <c r="E233">
        <f si="44" t="shared"/>
        <v>6995.5129270484231</v>
      </c>
      <c r="F233">
        <f si="44" t="shared"/>
        <v>14540.087415006985</v>
      </c>
      <c r="N233" t="s">
        <v>211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45" t="shared">SUM(O233:R233)</f>
        <v>14540.087415006985</v>
      </c>
    </row>
    <row r="234" spans="1:23" x14ac:dyDescent="0.2">
      <c r="A234" t="s">
        <v>212</v>
      </c>
      <c r="B234">
        <f si="44" t="shared"/>
        <v>7375.3688539204441</v>
      </c>
      <c r="C234">
        <f si="44" t="shared"/>
        <v>43346.673540650248</v>
      </c>
      <c r="D234">
        <f si="44" t="shared"/>
        <v>38937.525503184937</v>
      </c>
      <c r="E234">
        <f si="44" t="shared"/>
        <v>97027.22954490321</v>
      </c>
      <c r="F234">
        <f si="44" t="shared"/>
        <v>186686.79744265883</v>
      </c>
      <c r="N234" t="s">
        <v>212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45" t="shared"/>
        <v>186686.79744265883</v>
      </c>
    </row>
    <row r="235" spans="1:23" x14ac:dyDescent="0.2">
      <c r="A235" t="s">
        <v>36</v>
      </c>
      <c r="B235">
        <f si="44" t="shared"/>
        <v>7961.8322266874366</v>
      </c>
      <c r="C235">
        <f si="44" t="shared"/>
        <v>115734.31768424173</v>
      </c>
      <c r="D235">
        <f si="44" t="shared"/>
        <v>89890.865671103267</v>
      </c>
      <c r="E235">
        <f si="44" t="shared"/>
        <v>143428.74429147312</v>
      </c>
      <c r="F235">
        <f si="44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45" t="shared"/>
        <v>357015.75987350557</v>
      </c>
    </row>
    <row r="236" spans="1:23" x14ac:dyDescent="0.2">
      <c r="A236" t="s">
        <v>214</v>
      </c>
      <c r="B236">
        <f si="44" t="shared"/>
        <v>6623.2171023059345</v>
      </c>
      <c r="C236">
        <f si="44" t="shared"/>
        <v>83746.430681280079</v>
      </c>
      <c r="D236">
        <f si="44" t="shared"/>
        <v>62616.774534045107</v>
      </c>
      <c r="E236">
        <f si="44" t="shared"/>
        <v>95801.036349657326</v>
      </c>
      <c r="F236">
        <f si="44" t="shared"/>
        <v>248787.45866728848</v>
      </c>
      <c r="N236" t="s">
        <v>214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45" t="shared"/>
        <v>248787.45866728848</v>
      </c>
    </row>
    <row r="237" spans="1:23" x14ac:dyDescent="0.2">
      <c r="A237" t="s">
        <v>129</v>
      </c>
      <c r="B237">
        <f si="44" t="shared"/>
        <v>1095.3289586630815</v>
      </c>
      <c r="C237">
        <f si="44" t="shared"/>
        <v>37982.013440218907</v>
      </c>
      <c r="D237">
        <f si="44" t="shared"/>
        <v>28857.552243153594</v>
      </c>
      <c r="E237">
        <f si="44" t="shared"/>
        <v>65171.47685982148</v>
      </c>
      <c r="F237">
        <f si="44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45" t="shared"/>
        <v>133106.37150185707</v>
      </c>
    </row>
    <row r="238" spans="1:23" x14ac:dyDescent="0.2">
      <c r="A238" t="s">
        <v>130</v>
      </c>
      <c r="B238">
        <f si="44" t="shared"/>
        <v>2528.4022846724192</v>
      </c>
      <c r="C238">
        <f si="44" t="shared"/>
        <v>34899.132488168128</v>
      </c>
      <c r="D238">
        <f si="44" t="shared"/>
        <v>28815.643092842547</v>
      </c>
      <c r="E238">
        <f si="44" t="shared"/>
        <v>65719.946330849605</v>
      </c>
      <c r="F238">
        <f si="44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45" t="shared"/>
        <v>131963.12419653271</v>
      </c>
    </row>
    <row r="240" spans="1:23" x14ac:dyDescent="0.2">
      <c r="A240" t="s">
        <v>69</v>
      </c>
      <c r="B240" t="s">
        <v>58</v>
      </c>
      <c r="C240" t="s">
        <v>278</v>
      </c>
      <c r="D240" t="s">
        <v>279</v>
      </c>
      <c r="N240" t="s">
        <v>69</v>
      </c>
      <c r="O240" t="s">
        <v>58</v>
      </c>
      <c r="P240" t="s">
        <v>278</v>
      </c>
      <c r="Q240" t="s">
        <v>279</v>
      </c>
    </row>
    <row r="241" spans="1:25" x14ac:dyDescent="0.2">
      <c r="A241" t="s">
        <v>44</v>
      </c>
      <c r="B241" t="s">
        <v>98</v>
      </c>
      <c r="C241" t="s">
        <v>280</v>
      </c>
      <c r="D241" t="s">
        <v>281</v>
      </c>
      <c r="E241" t="s">
        <v>282</v>
      </c>
      <c r="F241" t="s">
        <v>27</v>
      </c>
      <c r="N241" t="s">
        <v>44</v>
      </c>
      <c r="O241" t="s">
        <v>98</v>
      </c>
      <c r="P241" t="s">
        <v>280</v>
      </c>
      <c r="Q241" t="s">
        <v>281</v>
      </c>
      <c r="R241" t="s">
        <v>282</v>
      </c>
      <c r="S241" t="s">
        <v>27</v>
      </c>
    </row>
    <row r="242" spans="1:25" x14ac:dyDescent="0.2">
      <c r="A242" t="s">
        <v>210</v>
      </c>
      <c r="B242">
        <f ref="B242:F248" si="46" t="shared">O242*$B$1</f>
        <v>387.1493199731753</v>
      </c>
      <c r="C242">
        <f si="46" t="shared"/>
        <v>24126.464641989107</v>
      </c>
      <c r="D242">
        <f si="46" t="shared"/>
        <v>71955.471466352552</v>
      </c>
      <c r="E242">
        <f si="46" t="shared"/>
        <v>30132.84480980095</v>
      </c>
      <c r="F242">
        <f si="46" t="shared"/>
        <v>126601.93023811579</v>
      </c>
      <c r="N242" t="s">
        <v>210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5" x14ac:dyDescent="0.2">
      <c r="A243" t="s">
        <v>211</v>
      </c>
      <c r="B243">
        <f si="46" t="shared"/>
        <v>408.20742389851733</v>
      </c>
      <c r="C243">
        <f si="46" t="shared"/>
        <v>5736.2758362377508</v>
      </c>
      <c r="D243">
        <f si="46" t="shared"/>
        <v>7708.4955794506941</v>
      </c>
      <c r="E243">
        <f si="46" t="shared"/>
        <v>2465.2270530567293</v>
      </c>
      <c r="F243">
        <f si="46" t="shared"/>
        <v>16318.205892643691</v>
      </c>
      <c r="N243" t="s">
        <v>211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7" t="shared">SUM(O243:R243)</f>
        <v>16318.205892643691</v>
      </c>
    </row>
    <row r="244" spans="1:25" x14ac:dyDescent="0.2">
      <c r="A244" t="s">
        <v>212</v>
      </c>
      <c r="B244">
        <f si="46" t="shared"/>
        <v>256.78564368654088</v>
      </c>
      <c r="C244">
        <f si="46" t="shared"/>
        <v>36711.854697764917</v>
      </c>
      <c r="D244">
        <f si="46" t="shared"/>
        <v>127676.26963988642</v>
      </c>
      <c r="E244">
        <f si="46" t="shared"/>
        <v>49682.327270861198</v>
      </c>
      <c r="F244">
        <f si="46" t="shared"/>
        <v>214327.23725219906</v>
      </c>
      <c r="N244" t="s">
        <v>212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7" t="shared"/>
        <v>214327.23725219906</v>
      </c>
    </row>
    <row r="245" spans="1:25" x14ac:dyDescent="0.2">
      <c r="A245" t="s">
        <v>36</v>
      </c>
      <c r="B245">
        <f si="46" t="shared"/>
        <v>6492.8278485025221</v>
      </c>
      <c r="C245">
        <f si="46" t="shared"/>
        <v>57144.742246732058</v>
      </c>
      <c r="D245">
        <f si="46" t="shared"/>
        <v>245311.69416096478</v>
      </c>
      <c r="E245">
        <f si="46" t="shared"/>
        <v>97555.432389031615</v>
      </c>
      <c r="F245">
        <f si="46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7" t="shared"/>
        <v>406504.69664523099</v>
      </c>
    </row>
    <row r="246" spans="1:25" x14ac:dyDescent="0.2">
      <c r="A246" t="s">
        <v>214</v>
      </c>
      <c r="B246">
        <f si="46" t="shared"/>
        <v>6332.2755024604758</v>
      </c>
      <c r="C246">
        <f si="46" t="shared"/>
        <v>49009.712154455614</v>
      </c>
      <c r="D246">
        <f si="46" t="shared"/>
        <v>170527.8113801697</v>
      </c>
      <c r="E246">
        <f si="46" t="shared"/>
        <v>60361.660367153083</v>
      </c>
      <c r="F246">
        <f si="46" t="shared"/>
        <v>286231.45940423885</v>
      </c>
      <c r="N246" t="s">
        <v>214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7" t="shared"/>
        <v>286231.45940423885</v>
      </c>
    </row>
    <row r="247" spans="1:25" x14ac:dyDescent="0.2">
      <c r="A247" t="s">
        <v>129</v>
      </c>
      <c r="B247">
        <f si="46" t="shared"/>
        <v>1885.283184134759</v>
      </c>
      <c r="C247">
        <f si="46" t="shared"/>
        <v>21143.533076707412</v>
      </c>
      <c r="D247">
        <f si="46" t="shared"/>
        <v>91411.566077805677</v>
      </c>
      <c r="E247">
        <f si="46" t="shared"/>
        <v>40678.457100344494</v>
      </c>
      <c r="F247">
        <f si="46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7" t="shared"/>
        <v>155118.83943899235</v>
      </c>
    </row>
    <row r="248" spans="1:25" x14ac:dyDescent="0.2">
      <c r="A248" t="s">
        <v>130</v>
      </c>
      <c r="B248">
        <f si="46" t="shared"/>
        <v>2431.3890075503459</v>
      </c>
      <c r="C248">
        <f si="46" t="shared"/>
        <v>20018.858910060429</v>
      </c>
      <c r="D248">
        <f si="46" t="shared"/>
        <v>88455.93001215627</v>
      </c>
      <c r="E248">
        <f si="46" t="shared"/>
        <v>40329.013379635791</v>
      </c>
      <c r="F248">
        <f si="46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7" t="shared"/>
        <v>151235.19130940284</v>
      </c>
    </row>
    <row r="250" spans="1:25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5" x14ac:dyDescent="0.2">
      <c r="A251" t="s">
        <v>44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220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27</v>
      </c>
    </row>
    <row r="252" spans="1:25" x14ac:dyDescent="0.2">
      <c r="A252" t="s">
        <v>210</v>
      </c>
      <c r="B252">
        <f ref="B252:G258" si="48" t="shared">O252*$B$1</f>
        <v>66355.022719351633</v>
      </c>
      <c r="C252">
        <f si="48" t="shared"/>
        <v>6156.1201873958398</v>
      </c>
      <c r="D252">
        <f si="48" t="shared"/>
        <v>9341.0906473181876</v>
      </c>
      <c r="E252">
        <f si="48" t="shared"/>
        <v>17774.563919612687</v>
      </c>
      <c r="F252">
        <f si="48" t="shared"/>
        <v>9309.4679169139017</v>
      </c>
      <c r="G252">
        <f si="48" t="shared"/>
        <v>8912.0718014394988</v>
      </c>
      <c r="H252">
        <f ref="H252:H258" si="49" t="shared">U252*$B$1</f>
        <v>8753.5930460840391</v>
      </c>
      <c r="I252">
        <f ref="I252:I258" si="50" t="shared">V252*$B$1</f>
        <v>0</v>
      </c>
      <c r="J252">
        <f ref="J252:J258" si="51" t="shared">W252*$B$1</f>
        <v>0</v>
      </c>
      <c r="K252">
        <f ref="K252:K258" si="52" t="shared">X252*$B$1</f>
        <v>0</v>
      </c>
      <c r="L252">
        <f ref="L252:L258" si="53" t="shared">Y252*$B$1</f>
        <v>126601.93023811578</v>
      </c>
      <c r="N252" t="s">
        <v>210</v>
      </c>
      <c r="O252" s="104" t="n">
        <v>66355.02271935163</v>
      </c>
      <c r="P252" s="104" t="n">
        <v>6156.12018739584</v>
      </c>
      <c r="Q252" s="104" t="n">
        <v>9341.090647318188</v>
      </c>
      <c r="R252" s="104" t="n">
        <v>17774.563919612687</v>
      </c>
      <c r="S252" s="104" t="n">
        <v>9309.467916913902</v>
      </c>
      <c r="T252" s="104" t="n">
        <v>8912.071801439499</v>
      </c>
      <c r="U252" s="104" t="n">
        <v>8753.593046084039</v>
      </c>
      <c r="V252" t="n">
        <v>0.0</v>
      </c>
      <c r="W252" t="n">
        <v>0.0</v>
      </c>
      <c r="X252" t="n">
        <v>0.0</v>
      </c>
      <c r="Y252" s="104">
        <f>SUM(O252:X252)</f>
        <v>126601.93023811578</v>
      </c>
    </row>
    <row r="253" spans="1:25" x14ac:dyDescent="0.2">
      <c r="A253" t="s">
        <v>211</v>
      </c>
      <c r="B253">
        <f si="48" t="shared"/>
        <v>9629.1185435097232</v>
      </c>
      <c r="C253">
        <f si="48" t="shared"/>
        <v>237.546690834694</v>
      </c>
      <c r="D253">
        <f si="48" t="shared"/>
        <v>322.18300298080192</v>
      </c>
      <c r="E253">
        <f si="48" t="shared"/>
        <v>2312.6323706693543</v>
      </c>
      <c r="F253">
        <f ref="F253:F258" si="54" t="shared">S253*$B$1</f>
        <v>574.19920799684382</v>
      </c>
      <c r="G253">
        <f ref="G253:G258" si="55" t="shared">T253*$B$1</f>
        <v>2453.908028270087</v>
      </c>
      <c r="H253">
        <f si="49" t="shared"/>
        <v>788.61804838218711</v>
      </c>
      <c r="I253">
        <f si="50" t="shared"/>
        <v>0</v>
      </c>
      <c r="J253">
        <f si="51" t="shared"/>
        <v>0</v>
      </c>
      <c r="K253">
        <f si="52" t="shared"/>
        <v>0</v>
      </c>
      <c r="L253">
        <f si="53" t="shared"/>
        <v>16318.205892643691</v>
      </c>
      <c r="N253" t="s">
        <v>211</v>
      </c>
      <c r="O253" s="104" t="n">
        <v>9629.118543509723</v>
      </c>
      <c r="P253" s="104" t="n">
        <v>237.546690834694</v>
      </c>
      <c r="Q253" s="104" t="n">
        <v>322.1830029808019</v>
      </c>
      <c r="R253" s="104" t="n">
        <v>2312.6323706693543</v>
      </c>
      <c r="S253" s="104" t="n">
        <v>574.1992079968438</v>
      </c>
      <c r="T253" s="104" t="n">
        <v>2453.908028270087</v>
      </c>
      <c r="U253" s="104" t="n">
        <v>788.6180483821871</v>
      </c>
      <c r="V253" t="n">
        <v>0.0</v>
      </c>
      <c r="W253" t="n">
        <v>0.0</v>
      </c>
      <c r="X253" t="n">
        <v>0.0</v>
      </c>
      <c r="Y253" s="104">
        <f ref="Y253:Y258" si="56" t="shared">SUM(O253:X253)</f>
        <v>16318.205892643691</v>
      </c>
    </row>
    <row r="254" spans="1:25" x14ac:dyDescent="0.2">
      <c r="A254" t="s">
        <v>212</v>
      </c>
      <c r="B254">
        <f si="48" t="shared"/>
        <v>95565.41129768017</v>
      </c>
      <c r="C254">
        <f si="48" t="shared"/>
        <v>9615.793544021557</v>
      </c>
      <c r="D254">
        <f si="48" t="shared"/>
        <v>8479.8047107116035</v>
      </c>
      <c r="E254">
        <f si="48" t="shared"/>
        <v>44852.074783466262</v>
      </c>
      <c r="F254">
        <f si="54" t="shared"/>
        <v>19895.773222861215</v>
      </c>
      <c r="G254">
        <f si="55" t="shared"/>
        <v>23478.658435990379</v>
      </c>
      <c r="H254">
        <f si="49" t="shared"/>
        <v>12439.721257467891</v>
      </c>
      <c r="I254">
        <f si="50" t="shared"/>
        <v>0</v>
      </c>
      <c r="J254">
        <f si="51" t="shared"/>
        <v>0</v>
      </c>
      <c r="K254">
        <f si="52" t="shared"/>
        <v>0</v>
      </c>
      <c r="L254">
        <f si="53" t="shared"/>
        <v>214327.23725219912</v>
      </c>
      <c r="N254" t="s">
        <v>212</v>
      </c>
      <c r="O254" s="104" t="n">
        <v>95565.41129768017</v>
      </c>
      <c r="P254" s="104" t="n">
        <v>9615.793544021557</v>
      </c>
      <c r="Q254" s="104" t="n">
        <v>8479.804710711604</v>
      </c>
      <c r="R254" s="104" t="n">
        <v>44852.07478346626</v>
      </c>
      <c r="S254" s="104" t="n">
        <v>19895.773222861215</v>
      </c>
      <c r="T254" s="104" t="n">
        <v>23478.65843599038</v>
      </c>
      <c r="U254" s="104" t="n">
        <v>12439.72125746789</v>
      </c>
      <c r="V254" t="n">
        <v>0.0</v>
      </c>
      <c r="W254" t="n">
        <v>0.0</v>
      </c>
      <c r="X254" t="n">
        <v>0.0</v>
      </c>
      <c r="Y254" s="104">
        <f si="56" t="shared"/>
        <v>214327.23725219912</v>
      </c>
    </row>
    <row r="255" spans="1:25" x14ac:dyDescent="0.2">
      <c r="A255" t="s">
        <v>36</v>
      </c>
      <c r="B255">
        <f si="48" t="shared"/>
        <v>155335.94763690123</v>
      </c>
      <c r="C255">
        <f si="48" t="shared"/>
        <v>26514.649867295931</v>
      </c>
      <c r="D255">
        <f si="48" t="shared"/>
        <v>13167.472955189984</v>
      </c>
      <c r="E255">
        <f si="48" t="shared"/>
        <v>77350.722623015259</v>
      </c>
      <c r="F255">
        <f si="54" t="shared"/>
        <v>46446.900360740394</v>
      </c>
      <c r="G255">
        <f si="55" t="shared"/>
        <v>53958.50543358369</v>
      </c>
      <c r="H255">
        <f si="49" t="shared"/>
        <v>33730.49776850448</v>
      </c>
      <c r="I255">
        <f si="50" t="shared"/>
        <v>0</v>
      </c>
      <c r="J255">
        <f si="51" t="shared"/>
        <v>0</v>
      </c>
      <c r="K255">
        <f si="52" t="shared"/>
        <v>0</v>
      </c>
      <c r="L255">
        <f si="53" t="shared"/>
        <v>406504.69664523099</v>
      </c>
      <c r="N255" t="s">
        <v>36</v>
      </c>
      <c r="O255" s="104" t="n">
        <v>155335.94763690123</v>
      </c>
      <c r="P255" s="104" t="n">
        <v>26514.64986729593</v>
      </c>
      <c r="Q255" s="104" t="n">
        <v>13167.472955189984</v>
      </c>
      <c r="R255" s="104" t="n">
        <v>77350.72262301526</v>
      </c>
      <c r="S255" s="104" t="n">
        <v>46446.900360740394</v>
      </c>
      <c r="T255" s="104" t="n">
        <v>53958.50543358369</v>
      </c>
      <c r="U255" s="104" t="n">
        <v>33730.49776850448</v>
      </c>
      <c r="V255" t="n">
        <v>0.0</v>
      </c>
      <c r="W255" t="n">
        <v>0.0</v>
      </c>
      <c r="X255" t="n">
        <v>0.0</v>
      </c>
      <c r="Y255" s="104">
        <f si="56" t="shared"/>
        <v>406504.69664523099</v>
      </c>
    </row>
    <row r="256" spans="1:25" x14ac:dyDescent="0.2">
      <c r="A256" t="s">
        <v>214</v>
      </c>
      <c r="B256">
        <f si="48" t="shared"/>
        <v>101580.71145267377</v>
      </c>
      <c r="C256">
        <f si="48" t="shared"/>
        <v>15755.689419732635</v>
      </c>
      <c r="D256">
        <f si="48" t="shared"/>
        <v>14161.61595049656</v>
      </c>
      <c r="E256">
        <f si="48" t="shared"/>
        <v>53965.58349438716</v>
      </c>
      <c r="F256">
        <f si="54" t="shared"/>
        <v>32091.072520203194</v>
      </c>
      <c r="G256">
        <f si="55" t="shared"/>
        <v>46544.014186470238</v>
      </c>
      <c r="H256">
        <f si="49" t="shared"/>
        <v>22132.772380275328</v>
      </c>
      <c r="I256">
        <f si="50" t="shared"/>
        <v>0</v>
      </c>
      <c r="J256">
        <f si="51" t="shared"/>
        <v>0</v>
      </c>
      <c r="K256">
        <f si="52" t="shared"/>
        <v>0</v>
      </c>
      <c r="L256">
        <f si="53" t="shared"/>
        <v>286231.45940423885</v>
      </c>
      <c r="N256" t="s">
        <v>214</v>
      </c>
      <c r="O256" s="104" t="n">
        <v>101580.71145267377</v>
      </c>
      <c r="P256" s="104" t="n">
        <v>15755.689419732635</v>
      </c>
      <c r="Q256" s="104" t="n">
        <v>14161.61595049656</v>
      </c>
      <c r="R256" s="104" t="n">
        <v>53965.58349438716</v>
      </c>
      <c r="S256" s="104" t="n">
        <v>32091.072520203194</v>
      </c>
      <c r="T256" s="104" t="n">
        <v>46544.01418647024</v>
      </c>
      <c r="U256" s="104" t="n">
        <v>22132.772380275328</v>
      </c>
      <c r="V256" t="n">
        <v>0.0</v>
      </c>
      <c r="W256" t="n">
        <v>0.0</v>
      </c>
      <c r="X256" t="n">
        <v>0.0</v>
      </c>
      <c r="Y256" s="104">
        <f si="56" t="shared"/>
        <v>286231.45940423885</v>
      </c>
    </row>
    <row r="257" spans="1:25" x14ac:dyDescent="0.2">
      <c r="A257" t="s">
        <v>129</v>
      </c>
      <c r="B257">
        <f si="48" t="shared"/>
        <v>62261.379144835984</v>
      </c>
      <c r="C257">
        <f si="48" t="shared"/>
        <v>7721.683002552003</v>
      </c>
      <c r="D257">
        <f si="48" t="shared"/>
        <v>8336.4519412121426</v>
      </c>
      <c r="E257">
        <f si="48" t="shared"/>
        <v>24850.195342868075</v>
      </c>
      <c r="F257">
        <f si="54" t="shared"/>
        <v>17159.137997837366</v>
      </c>
      <c r="G257">
        <f si="55" t="shared"/>
        <v>19349.957620867834</v>
      </c>
      <c r="H257">
        <f si="49" t="shared"/>
        <v>15440.034388818929</v>
      </c>
      <c r="I257">
        <f si="50" t="shared"/>
        <v>0</v>
      </c>
      <c r="J257">
        <f si="51" t="shared"/>
        <v>0</v>
      </c>
      <c r="K257">
        <f si="52" t="shared"/>
        <v>0</v>
      </c>
      <c r="L257">
        <f si="53" t="shared"/>
        <v>155118.83943899235</v>
      </c>
      <c r="N257" t="s">
        <v>129</v>
      </c>
      <c r="O257" s="104" t="n">
        <v>62261.379144835984</v>
      </c>
      <c r="P257" s="104" t="n">
        <v>7721.683002552003</v>
      </c>
      <c r="Q257" s="104" t="n">
        <v>8336.451941212143</v>
      </c>
      <c r="R257" s="104" t="n">
        <v>24850.195342868075</v>
      </c>
      <c r="S257" s="104" t="n">
        <v>17159.137997837366</v>
      </c>
      <c r="T257" s="104" t="n">
        <v>19349.957620867834</v>
      </c>
      <c r="U257" s="104" t="n">
        <v>15440.034388818929</v>
      </c>
      <c r="V257" t="n">
        <v>0.0</v>
      </c>
      <c r="W257" t="n">
        <v>0.0</v>
      </c>
      <c r="X257" t="n">
        <v>0.0</v>
      </c>
      <c r="Y257" s="104">
        <f si="56" t="shared"/>
        <v>155118.83943899235</v>
      </c>
    </row>
    <row r="258" spans="1:25" x14ac:dyDescent="0.2">
      <c r="A258" t="s">
        <v>130</v>
      </c>
      <c r="B258">
        <f si="48" t="shared"/>
        <v>65908.760890721314</v>
      </c>
      <c r="C258">
        <f si="48" t="shared"/>
        <v>7654.9702671472296</v>
      </c>
      <c r="D258">
        <f si="48" t="shared"/>
        <v>8888.7107903509695</v>
      </c>
      <c r="E258">
        <f si="48" t="shared"/>
        <v>24763.580547659323</v>
      </c>
      <c r="F258">
        <f si="54" t="shared"/>
        <v>14644.793680848679</v>
      </c>
      <c r="G258">
        <f si="55" t="shared"/>
        <v>19967.066604959346</v>
      </c>
      <c r="H258">
        <f si="49" t="shared"/>
        <v>9407.3085277159771</v>
      </c>
      <c r="I258">
        <f si="50" t="shared"/>
        <v>0</v>
      </c>
      <c r="J258">
        <f si="51" t="shared"/>
        <v>0</v>
      </c>
      <c r="K258">
        <f si="52" t="shared"/>
        <v>0</v>
      </c>
      <c r="L258">
        <f si="53" t="shared"/>
        <v>151235.19130940284</v>
      </c>
      <c r="N258" t="s">
        <v>130</v>
      </c>
      <c r="O258" s="104" t="n">
        <v>65908.76089072131</v>
      </c>
      <c r="P258" s="104" t="n">
        <v>7654.97026714723</v>
      </c>
      <c r="Q258" s="104" t="n">
        <v>8888.71079035097</v>
      </c>
      <c r="R258" s="104" t="n">
        <v>24763.580547659323</v>
      </c>
      <c r="S258" s="104" t="n">
        <v>14644.79368084868</v>
      </c>
      <c r="T258" s="104" t="n">
        <v>19967.066604959346</v>
      </c>
      <c r="U258" s="104" t="n">
        <v>9407.308527715977</v>
      </c>
      <c r="V258" t="n">
        <v>0.0</v>
      </c>
      <c r="W258" t="n">
        <v>0.0</v>
      </c>
      <c r="X258" t="n">
        <v>0.0</v>
      </c>
      <c r="Y258" s="104">
        <f si="56" t="shared"/>
        <v>151235.19130940284</v>
      </c>
    </row>
    <row r="260" spans="1:25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5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242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242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5" x14ac:dyDescent="0.2">
      <c r="A262" t="s">
        <v>210</v>
      </c>
      <c r="B262">
        <f ref="B262:J269" si="57" t="shared">O262*$B$1</f>
        <v>628289.70095700002</v>
      </c>
      <c r="C262">
        <f si="57" t="shared"/>
        <v>88148.422424999997</v>
      </c>
      <c r="D262">
        <f si="57" t="shared"/>
        <v>3790.6631579999998</v>
      </c>
      <c r="E262">
        <f si="57" t="shared"/>
        <v>15887.099299</v>
      </c>
      <c r="F262">
        <f si="57" t="shared"/>
        <v>15529.638381999999</v>
      </c>
      <c r="G262">
        <f si="57" t="shared"/>
        <v>1844.642272</v>
      </c>
      <c r="H262">
        <f si="57" t="shared"/>
        <v>1016.516526</v>
      </c>
      <c r="I262">
        <f si="57" t="shared"/>
        <v>0</v>
      </c>
      <c r="J262">
        <f si="57" t="shared"/>
        <v>754506.68301899999</v>
      </c>
      <c r="N262" t="s">
        <v>210</v>
      </c>
      <c r="O262" t="n">
        <v>628289.700957</v>
      </c>
      <c r="P262" t="n">
        <v>88148.422425</v>
      </c>
      <c r="Q262" t="n">
        <v>3790.663158</v>
      </c>
      <c r="R262" t="n">
        <v>15887.099299</v>
      </c>
      <c r="S262" t="n">
        <v>15529.638382</v>
      </c>
      <c r="T262" t="n">
        <v>1844.642272</v>
      </c>
      <c r="U262" t="n">
        <v>1016.516526</v>
      </c>
      <c r="V262" t="n">
        <v>0.0</v>
      </c>
      <c r="W262">
        <f>SUM(O262:V262)</f>
        <v>754506.68301899999</v>
      </c>
    </row>
    <row r="263" spans="1:25" x14ac:dyDescent="0.2">
      <c r="A263" t="s">
        <v>211</v>
      </c>
      <c r="B263">
        <f si="57" t="shared"/>
        <v>8923.4659279999996</v>
      </c>
      <c r="C263">
        <f si="57" t="shared"/>
        <v>2499.2473519999999</v>
      </c>
      <c r="D263">
        <f si="57" t="shared"/>
        <v>310.38361500000002</v>
      </c>
      <c r="E263">
        <f si="57" t="shared"/>
        <v>3274.0558460000002</v>
      </c>
      <c r="F263">
        <f si="57" t="shared"/>
        <v>14766.340829000001</v>
      </c>
      <c r="G263">
        <f si="57" t="shared"/>
        <v>22352.449462</v>
      </c>
      <c r="H263">
        <f si="57" t="shared"/>
        <v>184703.299895</v>
      </c>
      <c r="I263">
        <f si="57" t="shared"/>
        <v>0</v>
      </c>
      <c r="J263">
        <f si="57" t="shared"/>
        <v>236829.24292700001</v>
      </c>
      <c r="N263" t="s">
        <v>211</v>
      </c>
      <c r="O263" t="n">
        <v>8923.465928</v>
      </c>
      <c r="P263" t="n">
        <v>2499.247352</v>
      </c>
      <c r="Q263" t="n">
        <v>310.383615</v>
      </c>
      <c r="R263" t="n">
        <v>3274.055846</v>
      </c>
      <c r="S263" t="n">
        <v>14766.340829</v>
      </c>
      <c r="T263" t="n">
        <v>22352.449462</v>
      </c>
      <c r="U263" t="n">
        <v>184703.299895</v>
      </c>
      <c r="V263" t="n">
        <v>0.0</v>
      </c>
      <c r="W263">
        <f ref="W263:W269" si="58" t="shared">SUM(O263:V263)</f>
        <v>236829.24292700001</v>
      </c>
    </row>
    <row r="264" spans="1:25" x14ac:dyDescent="0.2">
      <c r="A264" t="s">
        <v>212</v>
      </c>
      <c r="B264">
        <f si="57" t="shared"/>
        <v>185565.99115700001</v>
      </c>
      <c r="C264">
        <f si="57" t="shared"/>
        <v>45738.942720999999</v>
      </c>
      <c r="D264">
        <f si="57" t="shared"/>
        <v>17917.130301000001</v>
      </c>
      <c r="E264">
        <f si="57" t="shared"/>
        <v>85712.404739000005</v>
      </c>
      <c r="F264">
        <f si="57" t="shared"/>
        <v>10477.270543000001</v>
      </c>
      <c r="G264">
        <f si="57" t="shared"/>
        <v>4062.6044069999998</v>
      </c>
      <c r="H264">
        <f si="57" t="shared"/>
        <v>35617.496273999997</v>
      </c>
      <c r="I264">
        <f si="57" t="shared"/>
        <v>0</v>
      </c>
      <c r="J264">
        <f ref="J264:J269" si="59" t="shared">W264*$B$1</f>
        <v>385091.840142</v>
      </c>
      <c r="N264" t="s">
        <v>212</v>
      </c>
      <c r="O264" t="n">
        <v>185565.991157</v>
      </c>
      <c r="P264" t="n">
        <v>45738.942721</v>
      </c>
      <c r="Q264" t="n">
        <v>17917.130301</v>
      </c>
      <c r="R264" t="n">
        <v>85712.404739</v>
      </c>
      <c r="S264" t="n">
        <v>10477.270543</v>
      </c>
      <c r="T264" t="n">
        <v>4062.604407</v>
      </c>
      <c r="U264" t="n">
        <v>35617.496274</v>
      </c>
      <c r="V264" t="n">
        <v>0.0</v>
      </c>
      <c r="W264">
        <f si="58" t="shared"/>
        <v>385091.840142</v>
      </c>
    </row>
    <row r="265" spans="1:25" x14ac:dyDescent="0.2">
      <c r="A265" t="s">
        <v>36</v>
      </c>
      <c r="B265">
        <f si="57" t="shared"/>
        <v>234548.349712</v>
      </c>
      <c r="C265">
        <f si="57" t="shared"/>
        <v>68773.491255999994</v>
      </c>
      <c r="D265">
        <f si="57" t="shared"/>
        <v>113418.227359</v>
      </c>
      <c r="E265">
        <f si="57" t="shared"/>
        <v>123122.576741</v>
      </c>
      <c r="F265">
        <f si="57" t="shared"/>
        <v>14611.743919999999</v>
      </c>
      <c r="G265">
        <f si="57" t="shared"/>
        <v>9589.8166230000006</v>
      </c>
      <c r="H265">
        <f si="57" t="shared"/>
        <v>47190.645532000002</v>
      </c>
      <c r="I265">
        <f si="57" t="shared"/>
        <v>0</v>
      </c>
      <c r="J265">
        <f si="59" t="shared"/>
        <v>611254.85114300007</v>
      </c>
      <c r="N265" t="s">
        <v>36</v>
      </c>
      <c r="O265" t="n">
        <v>234548.349712</v>
      </c>
      <c r="P265" t="n">
        <v>68773.491256</v>
      </c>
      <c r="Q265" t="n">
        <v>113418.227359</v>
      </c>
      <c r="R265" t="n">
        <v>123122.576741</v>
      </c>
      <c r="S265" t="n">
        <v>14611.743919999999</v>
      </c>
      <c r="T265" t="n">
        <v>9589.816623</v>
      </c>
      <c r="U265" t="n">
        <v>47190.645532</v>
      </c>
      <c r="V265" t="n">
        <v>0.0</v>
      </c>
      <c r="W265">
        <f si="58" t="shared"/>
        <v>611254.85114300007</v>
      </c>
    </row>
    <row r="266" spans="1:25" x14ac:dyDescent="0.2">
      <c r="A266" t="s">
        <v>214</v>
      </c>
      <c r="B266">
        <f si="57" t="shared"/>
        <v>150143.306836</v>
      </c>
      <c r="C266">
        <f si="57" t="shared"/>
        <v>50883.126184000001</v>
      </c>
      <c r="D266">
        <f si="57" t="shared"/>
        <v>80646.760469999994</v>
      </c>
      <c r="E266">
        <f si="57" t="shared"/>
        <v>106339.59402600001</v>
      </c>
      <c r="F266">
        <f si="57" t="shared"/>
        <v>16268.390987999999</v>
      </c>
      <c r="G266">
        <f si="57" t="shared"/>
        <v>2721.091238</v>
      </c>
      <c r="H266">
        <f si="57" t="shared"/>
        <v>23126.416508999999</v>
      </c>
      <c r="I266">
        <f si="57" t="shared"/>
        <v>0</v>
      </c>
      <c r="J266">
        <f si="59" t="shared"/>
        <v>430128.68625099998</v>
      </c>
      <c r="N266" t="s">
        <v>214</v>
      </c>
      <c r="O266" t="n">
        <v>150143.306836</v>
      </c>
      <c r="P266" t="n">
        <v>50883.126184</v>
      </c>
      <c r="Q266" t="n">
        <v>80646.76047</v>
      </c>
      <c r="R266" t="n">
        <v>106339.594026</v>
      </c>
      <c r="S266" t="n">
        <v>16268.390988</v>
      </c>
      <c r="T266" t="n">
        <v>2721.091238</v>
      </c>
      <c r="U266" t="n">
        <v>23126.416509</v>
      </c>
      <c r="V266" t="n">
        <v>0.0</v>
      </c>
      <c r="W266">
        <f si="58" t="shared"/>
        <v>430128.68625099998</v>
      </c>
    </row>
    <row r="267" spans="1:25" x14ac:dyDescent="0.2">
      <c r="A267" t="s">
        <v>129</v>
      </c>
      <c r="B267">
        <f si="57" t="shared"/>
        <v>120560.05056</v>
      </c>
      <c r="C267">
        <f si="57" t="shared"/>
        <v>20588.24451</v>
      </c>
      <c r="D267">
        <f si="57" t="shared"/>
        <v>32344.460417999999</v>
      </c>
      <c r="E267">
        <f si="57" t="shared"/>
        <v>31959.216421000001</v>
      </c>
      <c r="F267">
        <f si="57" t="shared"/>
        <v>7167.0151189999997</v>
      </c>
      <c r="G267">
        <f si="57" t="shared"/>
        <v>2821.1160030000001</v>
      </c>
      <c r="H267">
        <f si="57" t="shared"/>
        <v>16404.06623</v>
      </c>
      <c r="I267">
        <f si="57" t="shared"/>
        <v>0</v>
      </c>
      <c r="J267">
        <f si="59" t="shared"/>
        <v>231844.16926099997</v>
      </c>
      <c r="N267" t="s">
        <v>129</v>
      </c>
      <c r="O267" t="n">
        <v>120560.05056</v>
      </c>
      <c r="P267" t="n">
        <v>20588.24451</v>
      </c>
      <c r="Q267" t="n">
        <v>32344.460418</v>
      </c>
      <c r="R267" t="n">
        <v>31959.216421</v>
      </c>
      <c r="S267" t="n">
        <v>7167.015119</v>
      </c>
      <c r="T267" t="n">
        <v>2821.116003</v>
      </c>
      <c r="U267" t="n">
        <v>16404.06623</v>
      </c>
      <c r="V267" t="n">
        <v>0.0</v>
      </c>
      <c r="W267">
        <f si="58" t="shared"/>
        <v>231844.16926099997</v>
      </c>
    </row>
    <row r="268" spans="1:25" x14ac:dyDescent="0.2">
      <c r="A268" t="s">
        <v>130</v>
      </c>
      <c r="B268">
        <f si="57" t="shared"/>
        <v>113465.97513799999</v>
      </c>
      <c r="C268">
        <f si="57" t="shared"/>
        <v>31144.158959</v>
      </c>
      <c r="D268">
        <f si="57" t="shared"/>
        <v>41315.915380999999</v>
      </c>
      <c r="E268">
        <f si="57" t="shared"/>
        <v>58890.145790000002</v>
      </c>
      <c r="F268">
        <f si="57" t="shared"/>
        <v>9592.4718190000003</v>
      </c>
      <c r="G268">
        <f si="57" t="shared"/>
        <v>13474.665344999999</v>
      </c>
      <c r="H268">
        <f si="57" t="shared"/>
        <v>81246.342353</v>
      </c>
      <c r="I268">
        <f si="57" t="shared"/>
        <v>0</v>
      </c>
      <c r="J268">
        <f si="59" t="shared"/>
        <v>349129.67478500004</v>
      </c>
      <c r="N268" t="s">
        <v>130</v>
      </c>
      <c r="O268" t="n">
        <v>113465.975138</v>
      </c>
      <c r="P268" t="n">
        <v>31144.158959</v>
      </c>
      <c r="Q268" t="n">
        <v>41315.915381</v>
      </c>
      <c r="R268" t="n">
        <v>58890.14579</v>
      </c>
      <c r="S268" t="n">
        <v>9592.471819</v>
      </c>
      <c r="T268" t="n">
        <v>13474.665345</v>
      </c>
      <c r="U268" t="n">
        <v>81246.342353</v>
      </c>
      <c r="V268" t="n">
        <v>0.0</v>
      </c>
      <c r="W268">
        <f si="58" t="shared"/>
        <v>349129.67478500004</v>
      </c>
    </row>
    <row r="269" spans="1:25" x14ac:dyDescent="0.2">
      <c r="A269" t="s">
        <v>145</v>
      </c>
      <c r="B269">
        <f si="57" t="shared"/>
        <v>682884.42697499995</v>
      </c>
      <c r="C269">
        <f si="57" t="shared"/>
        <v>155900.40654900001</v>
      </c>
      <c r="D269">
        <f si="57" t="shared"/>
        <v>147671.47469999999</v>
      </c>
      <c r="E269">
        <f si="57" t="shared"/>
        <v>229676.93666400001</v>
      </c>
      <c r="F269">
        <f si="57" t="shared"/>
        <v>53299.688936999999</v>
      </c>
      <c r="G269">
        <f si="57" t="shared"/>
        <v>34587.312634000002</v>
      </c>
      <c r="H269">
        <f si="57" t="shared"/>
        <v>264841.33765499998</v>
      </c>
      <c r="I269">
        <f si="57" t="shared"/>
        <v>0</v>
      </c>
      <c r="J269">
        <f si="59" t="shared"/>
        <v>1568861.584114</v>
      </c>
      <c r="N269" t="s">
        <v>145</v>
      </c>
      <c r="O269" t="n">
        <v>682884.426975</v>
      </c>
      <c r="P269" t="n">
        <v>155900.406549</v>
      </c>
      <c r="Q269" t="n">
        <v>147671.4747</v>
      </c>
      <c r="R269" t="n">
        <v>229676.936664</v>
      </c>
      <c r="S269" t="n">
        <v>53299.688937</v>
      </c>
      <c r="T269" t="n">
        <v>34587.312634</v>
      </c>
      <c r="U269" t="n">
        <v>264841.337655</v>
      </c>
      <c r="V269" t="n">
        <v>0.0</v>
      </c>
      <c r="W269">
        <f si="58" t="shared"/>
        <v>1568861.584114</v>
      </c>
    </row>
    <row r="271" spans="1:25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5" x14ac:dyDescent="0.2">
      <c r="A272" t="s">
        <v>44</v>
      </c>
      <c r="B272" t="s">
        <v>295</v>
      </c>
      <c r="C272" t="s">
        <v>296</v>
      </c>
      <c r="D272" t="s">
        <v>297</v>
      </c>
      <c r="E272" t="s">
        <v>298</v>
      </c>
      <c r="F272" t="s">
        <v>27</v>
      </c>
      <c r="N272" t="s">
        <v>44</v>
      </c>
      <c r="O272" t="s">
        <v>295</v>
      </c>
      <c r="P272" t="s">
        <v>296</v>
      </c>
      <c r="Q272" t="s">
        <v>297</v>
      </c>
      <c r="R272" t="s">
        <v>298</v>
      </c>
      <c r="S272" t="s">
        <v>27</v>
      </c>
    </row>
    <row r="273" spans="1:19" x14ac:dyDescent="0.2">
      <c r="A273" t="s">
        <v>210</v>
      </c>
      <c r="B273">
        <f ref="B273:F280" si="60" t="shared">O273*$B$1</f>
        <v>9864.9434299999994</v>
      </c>
      <c r="C273">
        <f si="60" t="shared"/>
        <v>188961.87927499998</v>
      </c>
      <c r="D273">
        <f si="60" t="shared"/>
        <v>159634.676947</v>
      </c>
      <c r="E273">
        <f si="60" t="shared"/>
        <v>314146.93879099999</v>
      </c>
      <c r="F273">
        <f si="60" t="shared"/>
        <v>672608.43844299996</v>
      </c>
      <c r="N273" t="s">
        <v>210</v>
      </c>
      <c r="O273" t="n">
        <v>9864.94343</v>
      </c>
      <c r="P273" t="n">
        <v>188961.87927499998</v>
      </c>
      <c r="Q273" t="n">
        <v>159634.676947</v>
      </c>
      <c r="R273" t="n">
        <v>314146.938791</v>
      </c>
      <c r="S273">
        <f>SUM(O273:R273)</f>
        <v>672608.43844299996</v>
      </c>
    </row>
    <row r="274" spans="1:19" x14ac:dyDescent="0.2">
      <c r="A274" t="s">
        <v>211</v>
      </c>
      <c r="B274">
        <f si="60" t="shared"/>
        <v>12184.131305999999</v>
      </c>
      <c r="C274">
        <f si="60" t="shared"/>
        <v>52281.113830000002</v>
      </c>
      <c r="D274">
        <f si="60" t="shared"/>
        <v>49905.457087000003</v>
      </c>
      <c r="E274">
        <f si="60" t="shared"/>
        <v>97298.300243000005</v>
      </c>
      <c r="F274">
        <f si="60" t="shared"/>
        <v>211669.00246600001</v>
      </c>
      <c r="N274" t="s">
        <v>211</v>
      </c>
      <c r="O274" t="n">
        <v>12184.131306</v>
      </c>
      <c r="P274" t="n">
        <v>52281.11383</v>
      </c>
      <c r="Q274" t="n">
        <v>49905.457087</v>
      </c>
      <c r="R274" t="n">
        <v>97298.300243</v>
      </c>
      <c r="S274">
        <f ref="S274:S280" si="61" t="shared">SUM(O274:R274)</f>
        <v>211669.00246600001</v>
      </c>
    </row>
    <row r="275" spans="1:19" x14ac:dyDescent="0.2">
      <c r="A275" t="s">
        <v>212</v>
      </c>
      <c r="B275">
        <f si="60" t="shared"/>
        <v>10951.639324</v>
      </c>
      <c r="C275">
        <f si="60" t="shared"/>
        <v>81560.539206999994</v>
      </c>
      <c r="D275">
        <f si="60" t="shared"/>
        <v>78675.626281000004</v>
      </c>
      <c r="E275">
        <f si="60" t="shared"/>
        <v>163748.65195599999</v>
      </c>
      <c r="F275">
        <f si="60" t="shared"/>
        <v>334936.45676800003</v>
      </c>
      <c r="N275" t="s">
        <v>212</v>
      </c>
      <c r="O275" t="n">
        <v>10951.639324</v>
      </c>
      <c r="P275" t="n">
        <v>81560.539207</v>
      </c>
      <c r="Q275" t="n">
        <v>78675.626281</v>
      </c>
      <c r="R275" t="n">
        <v>163748.651956</v>
      </c>
      <c r="S275">
        <f si="61" t="shared"/>
        <v>334936.45676800003</v>
      </c>
    </row>
    <row r="276" spans="1:19" x14ac:dyDescent="0.2">
      <c r="A276" t="s">
        <v>36</v>
      </c>
      <c r="B276">
        <f si="60" t="shared"/>
        <v>18047.118697999998</v>
      </c>
      <c r="C276">
        <f si="60" t="shared"/>
        <v>180658.92860700001</v>
      </c>
      <c r="D276">
        <f si="60" t="shared"/>
        <v>123269.18978</v>
      </c>
      <c r="E276">
        <f si="60" t="shared"/>
        <v>205513.011646</v>
      </c>
      <c r="F276">
        <f si="60" t="shared"/>
        <v>527488.248731</v>
      </c>
      <c r="N276" t="s">
        <v>36</v>
      </c>
      <c r="O276" t="n">
        <v>18047.118698</v>
      </c>
      <c r="P276" t="n">
        <v>180658.928607</v>
      </c>
      <c r="Q276" t="n">
        <v>123269.18978</v>
      </c>
      <c r="R276" t="n">
        <v>205513.011646</v>
      </c>
      <c r="S276">
        <f si="61" t="shared"/>
        <v>527488.248731</v>
      </c>
    </row>
    <row r="277" spans="1:19" x14ac:dyDescent="0.2">
      <c r="A277" t="s">
        <v>214</v>
      </c>
      <c r="B277">
        <f si="60" t="shared"/>
        <v>16693.450829999998</v>
      </c>
      <c r="C277">
        <f si="60" t="shared"/>
        <v>131062.209227</v>
      </c>
      <c r="D277">
        <f si="60" t="shared"/>
        <v>90293.905983999997</v>
      </c>
      <c r="E277">
        <f si="60" t="shared"/>
        <v>134010.81360299999</v>
      </c>
      <c r="F277">
        <f si="60" t="shared"/>
        <v>372060.37964399997</v>
      </c>
      <c r="N277" t="s">
        <v>214</v>
      </c>
      <c r="O277" t="n">
        <v>16693.450829999998</v>
      </c>
      <c r="P277" t="n">
        <v>131062.209227</v>
      </c>
      <c r="Q277" t="n">
        <v>90293.905984</v>
      </c>
      <c r="R277" t="n">
        <v>134010.813603</v>
      </c>
      <c r="S277">
        <f si="61" t="shared"/>
        <v>372060.37964399997</v>
      </c>
    </row>
    <row r="278" spans="1:19" x14ac:dyDescent="0.2">
      <c r="A278" t="s">
        <v>129</v>
      </c>
      <c r="B278">
        <f si="60" t="shared"/>
        <v>2407.6168130000001</v>
      </c>
      <c r="C278">
        <f si="60" t="shared"/>
        <v>56789.567336</v>
      </c>
      <c r="D278">
        <f si="60" t="shared"/>
        <v>45824.045058999996</v>
      </c>
      <c r="E278">
        <f si="60" t="shared"/>
        <v>91124.478636999993</v>
      </c>
      <c r="F278">
        <f si="60" t="shared"/>
        <v>196145.707845</v>
      </c>
      <c r="N278" t="s">
        <v>129</v>
      </c>
      <c r="O278" t="n">
        <v>2407.616813</v>
      </c>
      <c r="P278" t="n">
        <v>56789.567336</v>
      </c>
      <c r="Q278" t="n">
        <v>45824.045059</v>
      </c>
      <c r="R278" t="n">
        <v>91124.478637</v>
      </c>
      <c r="S278">
        <f si="61" t="shared"/>
        <v>196145.707845</v>
      </c>
    </row>
    <row r="279" spans="1:19" x14ac:dyDescent="0.2">
      <c r="A279" t="s">
        <v>130</v>
      </c>
      <c r="B279">
        <f si="60" t="shared"/>
        <v>7823.6813240000001</v>
      </c>
      <c r="C279">
        <f si="60" t="shared"/>
        <v>84882.538134999995</v>
      </c>
      <c r="D279">
        <f si="60" t="shared"/>
        <v>69325.012715000004</v>
      </c>
      <c r="E279">
        <f si="60" t="shared"/>
        <v>145271.224674</v>
      </c>
      <c r="F279">
        <f si="60" t="shared"/>
        <v>307302.456848</v>
      </c>
      <c r="N279" t="s">
        <v>130</v>
      </c>
      <c r="O279" t="n">
        <v>7823.681324</v>
      </c>
      <c r="P279" t="n">
        <v>84882.538135</v>
      </c>
      <c r="Q279" t="n">
        <v>69325.012715</v>
      </c>
      <c r="R279" t="n">
        <v>145271.224674</v>
      </c>
      <c r="S279">
        <f si="61" t="shared"/>
        <v>307302.456848</v>
      </c>
    </row>
    <row r="280" spans="1:19" x14ac:dyDescent="0.2">
      <c r="A280" t="s">
        <v>145</v>
      </c>
      <c r="B280">
        <f si="60" t="shared"/>
        <v>49631.362111000002</v>
      </c>
      <c r="C280">
        <f si="60" t="shared"/>
        <v>400692.76343300001</v>
      </c>
      <c r="D280">
        <f si="60" t="shared"/>
        <v>327772.19487000001</v>
      </c>
      <c r="E280">
        <f si="60" t="shared"/>
        <v>592143.22108499997</v>
      </c>
      <c r="F280">
        <f si="60" t="shared"/>
        <v>1370239.541499</v>
      </c>
      <c r="N280" t="s">
        <v>145</v>
      </c>
      <c r="O280" t="n">
        <v>49631.362111</v>
      </c>
      <c r="P280" t="n">
        <v>400692.763433</v>
      </c>
      <c r="Q280" t="n">
        <v>327772.19487</v>
      </c>
      <c r="R280" t="n">
        <v>592143.221085</v>
      </c>
      <c r="S280">
        <f si="61" t="shared"/>
        <v>1370239.541499</v>
      </c>
    </row>
    <row r="282" spans="1:19" x14ac:dyDescent="0.2">
      <c r="A282" t="s">
        <v>71</v>
      </c>
      <c r="B282" t="s">
        <v>58</v>
      </c>
      <c r="C282" t="s">
        <v>278</v>
      </c>
      <c r="D282" t="s">
        <v>279</v>
      </c>
      <c r="N282" t="s">
        <v>71</v>
      </c>
      <c r="O282" t="s">
        <v>58</v>
      </c>
      <c r="P282" t="s">
        <v>278</v>
      </c>
      <c r="Q282" t="s">
        <v>279</v>
      </c>
    </row>
    <row r="283" spans="1:19" x14ac:dyDescent="0.2">
      <c r="A283" t="s">
        <v>44</v>
      </c>
      <c r="B283" t="s">
        <v>98</v>
      </c>
      <c r="C283" t="s">
        <v>280</v>
      </c>
      <c r="D283" t="s">
        <v>281</v>
      </c>
      <c r="E283" t="s">
        <v>282</v>
      </c>
      <c r="F283" t="s">
        <v>27</v>
      </c>
      <c r="N283" t="s">
        <v>44</v>
      </c>
      <c r="O283" t="s">
        <v>98</v>
      </c>
      <c r="P283" t="s">
        <v>280</v>
      </c>
      <c r="Q283" t="s">
        <v>281</v>
      </c>
      <c r="R283" t="s">
        <v>282</v>
      </c>
      <c r="S283" t="s">
        <v>27</v>
      </c>
    </row>
    <row r="284" spans="1:19" x14ac:dyDescent="0.2">
      <c r="A284" t="s">
        <v>210</v>
      </c>
      <c r="B284">
        <f ref="B284:F291" si="62" t="shared">O284*$B$1</f>
        <v>7650.7393759999995</v>
      </c>
      <c r="C284">
        <f si="62" t="shared"/>
        <v>112643.94459</v>
      </c>
      <c r="D284">
        <f si="62" t="shared"/>
        <v>456460.67183499999</v>
      </c>
      <c r="E284">
        <f si="62" t="shared"/>
        <v>177751.32721799999</v>
      </c>
      <c r="F284">
        <f si="62" t="shared"/>
        <v>754506.68301899999</v>
      </c>
      <c r="N284" t="s">
        <v>210</v>
      </c>
      <c r="O284" t="n">
        <v>7650.7393759999995</v>
      </c>
      <c r="P284" t="n">
        <v>112643.94459</v>
      </c>
      <c r="Q284" t="n">
        <v>456460.671835</v>
      </c>
      <c r="R284" t="n">
        <v>177751.327218</v>
      </c>
      <c r="S284">
        <f>SUM(O284:R284)</f>
        <v>754506.68301899999</v>
      </c>
    </row>
    <row r="285" spans="1:19" x14ac:dyDescent="0.2">
      <c r="A285" t="s">
        <v>211</v>
      </c>
      <c r="B285">
        <f si="62" t="shared"/>
        <v>6458.2379679999995</v>
      </c>
      <c r="C285">
        <f si="62" t="shared"/>
        <v>48309.623449999999</v>
      </c>
      <c r="D285">
        <f si="62" t="shared"/>
        <v>136515.08105099999</v>
      </c>
      <c r="E285">
        <f si="62" t="shared"/>
        <v>45546.300457999998</v>
      </c>
      <c r="F285">
        <f si="62" t="shared"/>
        <v>236829.24292699998</v>
      </c>
      <c r="N285" t="s">
        <v>211</v>
      </c>
      <c r="O285" t="n">
        <v>6458.2379679999995</v>
      </c>
      <c r="P285" t="n">
        <v>48309.62345</v>
      </c>
      <c r="Q285" t="n">
        <v>136515.081051</v>
      </c>
      <c r="R285" t="n">
        <v>45546.300458</v>
      </c>
      <c r="S285">
        <f ref="S285:S291" si="63" t="shared">SUM(O285:R285)</f>
        <v>236829.24292699998</v>
      </c>
    </row>
    <row r="286" spans="1:19" x14ac:dyDescent="0.2">
      <c r="A286" t="s">
        <v>212</v>
      </c>
      <c r="B286">
        <f si="62" t="shared"/>
        <v>1774.578857</v>
      </c>
      <c r="C286">
        <f si="62" t="shared"/>
        <v>68751.419915000006</v>
      </c>
      <c r="D286">
        <f si="62" t="shared"/>
        <v>224678.81371399999</v>
      </c>
      <c r="E286">
        <f si="62" t="shared"/>
        <v>89887.027656000006</v>
      </c>
      <c r="F286">
        <f si="62" t="shared"/>
        <v>385091.840142</v>
      </c>
      <c r="N286" t="s">
        <v>212</v>
      </c>
      <c r="O286" t="n">
        <v>1774.578857</v>
      </c>
      <c r="P286" t="n">
        <v>68751.419915</v>
      </c>
      <c r="Q286" t="n">
        <v>224678.813714</v>
      </c>
      <c r="R286" t="n">
        <v>89887.027656</v>
      </c>
      <c r="S286">
        <f si="63" t="shared"/>
        <v>385091.840142</v>
      </c>
    </row>
    <row r="287" spans="1:19" x14ac:dyDescent="0.2">
      <c r="A287" t="s">
        <v>36</v>
      </c>
      <c r="B287">
        <f si="62" t="shared"/>
        <v>17720.213324</v>
      </c>
      <c r="C287">
        <f si="62" t="shared"/>
        <v>92745.370620000002</v>
      </c>
      <c r="D287">
        <f si="62" t="shared"/>
        <v>361449.123356</v>
      </c>
      <c r="E287">
        <f si="62" t="shared"/>
        <v>139340.143843</v>
      </c>
      <c r="F287">
        <f si="62" t="shared"/>
        <v>611254.85114299995</v>
      </c>
      <c r="N287" t="s">
        <v>36</v>
      </c>
      <c r="O287" t="n">
        <v>17720.213324</v>
      </c>
      <c r="P287" t="n">
        <v>92745.37062</v>
      </c>
      <c r="Q287" t="n">
        <v>361449.123356</v>
      </c>
      <c r="R287" t="n">
        <v>139340.143843</v>
      </c>
      <c r="S287">
        <f si="63" t="shared"/>
        <v>611254.85114299995</v>
      </c>
    </row>
    <row r="288" spans="1:19" x14ac:dyDescent="0.2">
      <c r="A288" t="s">
        <v>214</v>
      </c>
      <c r="B288">
        <f si="62" t="shared"/>
        <v>14124.208322</v>
      </c>
      <c r="C288">
        <f si="62" t="shared"/>
        <v>81408.047716999994</v>
      </c>
      <c r="D288">
        <f si="62" t="shared"/>
        <v>252620.947587</v>
      </c>
      <c r="E288">
        <f si="62" t="shared"/>
        <v>81975.482625000004</v>
      </c>
      <c r="F288">
        <f si="62" t="shared"/>
        <v>430128.68625099998</v>
      </c>
      <c r="N288" t="s">
        <v>214</v>
      </c>
      <c r="O288" t="n">
        <v>14124.208322</v>
      </c>
      <c r="P288" t="n">
        <v>81408.047717</v>
      </c>
      <c r="Q288" t="n">
        <v>252620.947587</v>
      </c>
      <c r="R288" t="n">
        <v>81975.482625</v>
      </c>
      <c r="S288">
        <f si="63" t="shared"/>
        <v>430128.68625099998</v>
      </c>
    </row>
    <row r="289" spans="1:25" x14ac:dyDescent="0.2">
      <c r="A289" t="s">
        <v>129</v>
      </c>
      <c r="B289">
        <f si="62" t="shared"/>
        <v>3367.964262</v>
      </c>
      <c r="C289">
        <f si="62" t="shared"/>
        <v>37598.714247999997</v>
      </c>
      <c r="D289">
        <f si="62" t="shared"/>
        <v>132904.36211099999</v>
      </c>
      <c r="E289">
        <f si="62" t="shared"/>
        <v>57973.128640000003</v>
      </c>
      <c r="F289">
        <f si="62" t="shared"/>
        <v>231844.169261</v>
      </c>
      <c r="N289" t="s">
        <v>129</v>
      </c>
      <c r="O289" t="n">
        <v>3367.964262</v>
      </c>
      <c r="P289" t="n">
        <v>37598.714248</v>
      </c>
      <c r="Q289" t="n">
        <v>132904.362111</v>
      </c>
      <c r="R289" t="n">
        <v>57973.12864</v>
      </c>
      <c r="S289">
        <f si="63" t="shared"/>
        <v>231844.169261</v>
      </c>
    </row>
    <row r="290" spans="1:25" x14ac:dyDescent="0.2">
      <c r="A290" t="s">
        <v>130</v>
      </c>
      <c r="B290">
        <f si="62" t="shared"/>
        <v>7851.6125620000003</v>
      </c>
      <c r="C290">
        <f si="62" t="shared"/>
        <v>46110.877368000001</v>
      </c>
      <c r="D290">
        <f si="62" t="shared"/>
        <v>208105.21577499999</v>
      </c>
      <c r="E290">
        <f si="62" t="shared"/>
        <v>87061.969079999995</v>
      </c>
      <c r="F290">
        <f si="62" t="shared"/>
        <v>349129.67478499998</v>
      </c>
      <c r="N290" t="s">
        <v>130</v>
      </c>
      <c r="O290" t="n">
        <v>7851.612562</v>
      </c>
      <c r="P290" t="n">
        <v>46110.877368</v>
      </c>
      <c r="Q290" t="n">
        <v>208105.215775</v>
      </c>
      <c r="R290" t="n">
        <v>87061.96908</v>
      </c>
      <c r="S290">
        <f si="63" t="shared"/>
        <v>349129.67478499998</v>
      </c>
    </row>
    <row r="291" spans="1:25" x14ac:dyDescent="0.2">
      <c r="A291" t="s">
        <v>145</v>
      </c>
      <c r="B291">
        <f si="62" t="shared"/>
        <v>38749.642702999998</v>
      </c>
      <c r="C291">
        <f si="62" t="shared"/>
        <v>267987.01716500003</v>
      </c>
      <c r="D291">
        <f si="62" t="shared"/>
        <v>927977.32186799997</v>
      </c>
      <c r="E291">
        <f si="62" t="shared"/>
        <v>334147.60237799998</v>
      </c>
      <c r="F291">
        <f si="62" t="shared"/>
        <v>1568861.584114</v>
      </c>
      <c r="N291" t="s">
        <v>145</v>
      </c>
      <c r="O291" t="n">
        <v>38749.642703</v>
      </c>
      <c r="P291" t="n">
        <v>267987.017165</v>
      </c>
      <c r="Q291" t="n">
        <v>927977.321868</v>
      </c>
      <c r="R291" t="n">
        <v>334147.602378</v>
      </c>
      <c r="S291">
        <f si="63" t="shared"/>
        <v>1568861.584114</v>
      </c>
    </row>
    <row r="293" spans="1:25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5" x14ac:dyDescent="0.2">
      <c r="A294" t="s">
        <v>44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220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27</v>
      </c>
    </row>
    <row r="295" spans="1:25" x14ac:dyDescent="0.2">
      <c r="A295" t="s">
        <v>210</v>
      </c>
      <c r="B295">
        <f ref="B295:F302" si="64" t="shared">O295*$B$1</f>
        <v>362223.02008500003</v>
      </c>
      <c r="C295">
        <f si="64" t="shared"/>
        <v>30866.747369000001</v>
      </c>
      <c r="D295">
        <f si="64" t="shared"/>
        <v>29329.588594000001</v>
      </c>
      <c r="E295">
        <f si="64" t="shared"/>
        <v>121504.608291</v>
      </c>
      <c r="F295">
        <f si="64" t="shared"/>
        <v>66141.565451000002</v>
      </c>
      <c r="G295">
        <f ref="G295:G302" si="65" t="shared">T295*$B$1</f>
        <v>84953.074322999993</v>
      </c>
      <c r="H295">
        <f ref="H295:H302" si="66" t="shared">U295*$B$1</f>
        <v>46534.304622000003</v>
      </c>
      <c r="I295">
        <f ref="I295:I302" si="67" t="shared">V295*$B$1</f>
        <v>0</v>
      </c>
      <c r="J295">
        <f ref="J295:J302" si="68" t="shared">W295*$B$1</f>
        <v>0</v>
      </c>
      <c r="K295">
        <f ref="K295:K302" si="69" t="shared">X295*$B$1</f>
        <v>0</v>
      </c>
      <c r="L295">
        <f ref="L295:L302" si="70" t="shared">Y295*$B$1</f>
        <v>741552.90873500006</v>
      </c>
      <c r="N295" t="s">
        <v>210</v>
      </c>
      <c r="O295" t="n">
        <v>362223.020085</v>
      </c>
      <c r="P295" t="n">
        <v>30866.747369</v>
      </c>
      <c r="Q295" t="n">
        <v>29329.588594</v>
      </c>
      <c r="R295" t="n">
        <v>121504.608291</v>
      </c>
      <c r="S295" t="n">
        <v>66141.565451</v>
      </c>
      <c r="T295" t="n">
        <v>84953.074323</v>
      </c>
      <c r="U295" t="n">
        <v>46534.304622</v>
      </c>
      <c r="V295" t="n">
        <v>0.0</v>
      </c>
      <c r="W295" t="n">
        <v>0.0</v>
      </c>
      <c r="X295" t="n">
        <v>0.0</v>
      </c>
      <c r="Y295">
        <f>SUM(O295:X295)</f>
        <v>741552.90873500006</v>
      </c>
    </row>
    <row r="296" spans="1:25" x14ac:dyDescent="0.2">
      <c r="A296" t="s">
        <v>211</v>
      </c>
      <c r="B296">
        <f si="64" t="shared"/>
        <v>92707.451356000005</v>
      </c>
      <c r="C296">
        <f si="64" t="shared"/>
        <v>11527.694677</v>
      </c>
      <c r="D296">
        <f si="64" t="shared"/>
        <v>9121.5710920000001</v>
      </c>
      <c r="E296">
        <f si="64" t="shared"/>
        <v>47437.302640000002</v>
      </c>
      <c r="F296">
        <f si="64" t="shared"/>
        <v>21531.844647999998</v>
      </c>
      <c r="G296">
        <f si="65" t="shared"/>
        <v>38145.341646000001</v>
      </c>
      <c r="H296">
        <f si="66" t="shared"/>
        <v>14555.456324000001</v>
      </c>
      <c r="I296">
        <f si="67" t="shared"/>
        <v>0</v>
      </c>
      <c r="J296">
        <f si="68" t="shared"/>
        <v>0</v>
      </c>
      <c r="K296">
        <f si="69" t="shared"/>
        <v>0</v>
      </c>
      <c r="L296">
        <f si="70" t="shared"/>
        <v>235026.66238299999</v>
      </c>
      <c r="N296" t="s">
        <v>211</v>
      </c>
      <c r="O296" t="n">
        <v>92707.451356</v>
      </c>
      <c r="P296" t="n">
        <v>11527.694677</v>
      </c>
      <c r="Q296" t="n">
        <v>9121.571092</v>
      </c>
      <c r="R296" t="n">
        <v>47437.30264</v>
      </c>
      <c r="S296" t="n">
        <v>21531.844648</v>
      </c>
      <c r="T296" t="n">
        <v>38145.341646</v>
      </c>
      <c r="U296" t="n">
        <v>14555.456324</v>
      </c>
      <c r="V296" t="n">
        <v>0.0</v>
      </c>
      <c r="W296" t="n">
        <v>0.0</v>
      </c>
      <c r="X296" t="n">
        <v>0.0</v>
      </c>
      <c r="Y296">
        <f ref="Y296:Y302" si="71" t="shared">SUM(O296:X296)</f>
        <v>235026.66238299999</v>
      </c>
    </row>
    <row r="297" spans="1:25" x14ac:dyDescent="0.2">
      <c r="A297" t="s">
        <v>212</v>
      </c>
      <c r="B297">
        <f si="64" t="shared"/>
        <v>168833.39603999999</v>
      </c>
      <c r="C297">
        <f si="64" t="shared"/>
        <v>18213.677115999999</v>
      </c>
      <c r="D297">
        <f si="64" t="shared"/>
        <v>12788.912130000001</v>
      </c>
      <c r="E297">
        <f si="64" t="shared"/>
        <v>70621.785321999996</v>
      </c>
      <c r="F297">
        <f si="64" t="shared"/>
        <v>36512.208509000004</v>
      </c>
      <c r="G297">
        <f si="65" t="shared"/>
        <v>52446.046419999999</v>
      </c>
      <c r="H297">
        <f si="66" t="shared"/>
        <v>21756.020904000001</v>
      </c>
      <c r="I297">
        <f si="67" t="shared"/>
        <v>0</v>
      </c>
      <c r="J297">
        <f si="68" t="shared"/>
        <v>0</v>
      </c>
      <c r="K297">
        <f si="69" t="shared"/>
        <v>0</v>
      </c>
      <c r="L297">
        <f si="70" t="shared"/>
        <v>381172.04644100001</v>
      </c>
      <c r="N297" t="s">
        <v>212</v>
      </c>
      <c r="O297" t="n">
        <v>168833.39604</v>
      </c>
      <c r="P297" t="n">
        <v>18213.677116</v>
      </c>
      <c r="Q297" t="n">
        <v>12788.91213</v>
      </c>
      <c r="R297" t="n">
        <v>70621.785322</v>
      </c>
      <c r="S297" t="n">
        <v>36512.208509000004</v>
      </c>
      <c r="T297" t="n">
        <v>52446.04642</v>
      </c>
      <c r="U297" t="n">
        <v>21756.020904</v>
      </c>
      <c r="V297" t="n">
        <v>0.0</v>
      </c>
      <c r="W297" t="n">
        <v>0.0</v>
      </c>
      <c r="X297" t="n">
        <v>0.0</v>
      </c>
      <c r="Y297">
        <f si="71" t="shared"/>
        <v>381172.04644100001</v>
      </c>
    </row>
    <row r="298" spans="1:25" x14ac:dyDescent="0.2">
      <c r="A298" t="s">
        <v>36</v>
      </c>
      <c r="B298">
        <f si="64" t="shared"/>
        <v>248787.749037</v>
      </c>
      <c r="C298">
        <f si="64" t="shared"/>
        <v>30665.373542000001</v>
      </c>
      <c r="D298">
        <f si="64" t="shared"/>
        <v>21496.692535999999</v>
      </c>
      <c r="E298">
        <f si="64" t="shared"/>
        <v>109326.41708699999</v>
      </c>
      <c r="F298">
        <f si="64" t="shared"/>
        <v>67262.242433000007</v>
      </c>
      <c r="G298">
        <f si="65" t="shared"/>
        <v>78660.798599000002</v>
      </c>
      <c r="H298">
        <f si="66" t="shared"/>
        <v>46449.854822000001</v>
      </c>
      <c r="I298">
        <f si="67" t="shared"/>
        <v>0</v>
      </c>
      <c r="J298">
        <f si="68" t="shared"/>
        <v>0</v>
      </c>
      <c r="K298">
        <f si="69" t="shared"/>
        <v>0</v>
      </c>
      <c r="L298">
        <f si="70" t="shared"/>
        <v>602649.12805599999</v>
      </c>
      <c r="N298" t="s">
        <v>36</v>
      </c>
      <c r="O298" t="n">
        <v>248787.749037</v>
      </c>
      <c r="P298" t="n">
        <v>30665.373542</v>
      </c>
      <c r="Q298" t="n">
        <v>21496.692536</v>
      </c>
      <c r="R298" t="n">
        <v>109326.417087</v>
      </c>
      <c r="S298" t="n">
        <v>67262.242433</v>
      </c>
      <c r="T298" t="n">
        <v>78660.798599</v>
      </c>
      <c r="U298" t="n">
        <v>46449.854822</v>
      </c>
      <c r="V298" t="n">
        <v>0.0</v>
      </c>
      <c r="W298" t="n">
        <v>0.0</v>
      </c>
      <c r="X298" t="n">
        <v>0.0</v>
      </c>
      <c r="Y298">
        <f si="71" t="shared"/>
        <v>602649.12805599999</v>
      </c>
    </row>
    <row r="299" spans="1:25" x14ac:dyDescent="0.2">
      <c r="A299" t="s">
        <v>214</v>
      </c>
      <c r="B299">
        <f si="64" t="shared"/>
        <v>178578.421707</v>
      </c>
      <c r="C299">
        <f si="64" t="shared"/>
        <v>20033.036784</v>
      </c>
      <c r="D299">
        <f si="64" t="shared"/>
        <v>14331.162624000001</v>
      </c>
      <c r="E299">
        <f si="64" t="shared"/>
        <v>74237.256227000005</v>
      </c>
      <c r="F299">
        <f si="64" t="shared"/>
        <v>44720.095308999997</v>
      </c>
      <c r="G299">
        <f si="65" t="shared"/>
        <v>61806.126255999996</v>
      </c>
      <c r="H299">
        <f si="66" t="shared"/>
        <v>29945.612476999999</v>
      </c>
      <c r="I299">
        <f si="67" t="shared"/>
        <v>0</v>
      </c>
      <c r="J299">
        <f si="68" t="shared"/>
        <v>0</v>
      </c>
      <c r="K299">
        <f si="69" t="shared"/>
        <v>0</v>
      </c>
      <c r="L299">
        <f si="70" t="shared"/>
        <v>423651.71138400002</v>
      </c>
      <c r="N299" t="s">
        <v>214</v>
      </c>
      <c r="O299" t="n">
        <v>178578.421707</v>
      </c>
      <c r="P299" t="n">
        <v>20033.036784</v>
      </c>
      <c r="Q299" t="n">
        <v>14331.162624</v>
      </c>
      <c r="R299" t="n">
        <v>74237.256227</v>
      </c>
      <c r="S299" t="n">
        <v>44720.095309</v>
      </c>
      <c r="T299" t="n">
        <v>61806.126255999996</v>
      </c>
      <c r="U299" t="n">
        <v>29945.612477</v>
      </c>
      <c r="V299" t="n">
        <v>0.0</v>
      </c>
      <c r="W299" t="n">
        <v>0.0</v>
      </c>
      <c r="X299" t="n">
        <v>0.0</v>
      </c>
      <c r="Y299">
        <f si="71" t="shared"/>
        <v>423651.71138400002</v>
      </c>
    </row>
    <row r="300" spans="1:25" x14ac:dyDescent="0.2">
      <c r="A300" t="s">
        <v>129</v>
      </c>
      <c r="B300">
        <f si="64" t="shared"/>
        <v>108908.454795</v>
      </c>
      <c r="C300">
        <f si="64" t="shared"/>
        <v>6766.6271909999996</v>
      </c>
      <c r="D300">
        <f si="64" t="shared"/>
        <v>6367.3829900000001</v>
      </c>
      <c r="E300">
        <f si="64" t="shared"/>
        <v>32586.195974999999</v>
      </c>
      <c r="F300">
        <f si="64" t="shared"/>
        <v>21788.588424000001</v>
      </c>
      <c r="G300">
        <f si="65" t="shared"/>
        <v>33464.457975999998</v>
      </c>
      <c r="H300">
        <f si="66" t="shared"/>
        <v>16261.348900999999</v>
      </c>
      <c r="I300">
        <f si="67" t="shared"/>
        <v>0</v>
      </c>
      <c r="J300">
        <f si="68" t="shared"/>
        <v>0</v>
      </c>
      <c r="K300">
        <f si="69" t="shared"/>
        <v>0</v>
      </c>
      <c r="L300">
        <f si="70" t="shared"/>
        <v>226143.05625200001</v>
      </c>
      <c r="N300" t="s">
        <v>129</v>
      </c>
      <c r="O300" t="n">
        <v>108908.454795</v>
      </c>
      <c r="P300" t="n">
        <v>6766.627191</v>
      </c>
      <c r="Q300" t="n">
        <v>6367.38299</v>
      </c>
      <c r="R300" t="n">
        <v>32586.195975</v>
      </c>
      <c r="S300" t="n">
        <v>21788.588424</v>
      </c>
      <c r="T300" t="n">
        <v>33464.457976</v>
      </c>
      <c r="U300" t="n">
        <v>16261.348901</v>
      </c>
      <c r="V300" t="n">
        <v>0.0</v>
      </c>
      <c r="W300" t="n">
        <v>0.0</v>
      </c>
      <c r="X300" t="n">
        <v>0.0</v>
      </c>
      <c r="Y300">
        <f si="71" t="shared"/>
        <v>226143.05625200001</v>
      </c>
    </row>
    <row r="301" spans="1:25" x14ac:dyDescent="0.2">
      <c r="A301" t="s">
        <v>130</v>
      </c>
      <c r="B301">
        <f si="64" t="shared"/>
        <v>153443.597977</v>
      </c>
      <c r="C301">
        <f si="64" t="shared"/>
        <v>13350.307844999999</v>
      </c>
      <c r="D301">
        <f si="64" t="shared"/>
        <v>12254.552008000001</v>
      </c>
      <c r="E301">
        <f si="64" t="shared"/>
        <v>58140.319019000002</v>
      </c>
      <c r="F301">
        <f si="64" t="shared"/>
        <v>41865.676441000003</v>
      </c>
      <c r="G301">
        <f si="65" t="shared"/>
        <v>47111.059312999998</v>
      </c>
      <c r="H301">
        <f si="66" t="shared"/>
        <v>19590.003130000001</v>
      </c>
      <c r="I301">
        <f si="67" t="shared"/>
        <v>0</v>
      </c>
      <c r="J301">
        <f si="68" t="shared"/>
        <v>0</v>
      </c>
      <c r="K301">
        <f si="69" t="shared"/>
        <v>0</v>
      </c>
      <c r="L301">
        <f si="70" t="shared"/>
        <v>345755.51573300007</v>
      </c>
      <c r="N301" t="s">
        <v>130</v>
      </c>
      <c r="O301" t="n">
        <v>153443.597977</v>
      </c>
      <c r="P301" t="n">
        <v>13350.307845</v>
      </c>
      <c r="Q301" t="n">
        <v>12254.552008</v>
      </c>
      <c r="R301" t="n">
        <v>58140.319019</v>
      </c>
      <c r="S301" t="n">
        <v>41865.676441</v>
      </c>
      <c r="T301" t="n">
        <v>47111.059313</v>
      </c>
      <c r="U301" t="n">
        <v>19590.00313</v>
      </c>
      <c r="V301" t="n">
        <v>0.0</v>
      </c>
      <c r="W301" t="n">
        <v>0.0</v>
      </c>
      <c r="X301" t="n">
        <v>0.0</v>
      </c>
      <c r="Y301">
        <f si="71" t="shared"/>
        <v>345755.51573300007</v>
      </c>
    </row>
    <row r="302" spans="1:25" x14ac:dyDescent="0.2">
      <c r="A302" t="s">
        <v>145</v>
      </c>
      <c r="B302">
        <f si="64" t="shared"/>
        <v>716145.20801499998</v>
      </c>
      <c r="C302">
        <f si="64" t="shared"/>
        <v>70495.894277999992</v>
      </c>
      <c r="D302">
        <f si="64" t="shared"/>
        <v>54275.669998999998</v>
      </c>
      <c r="E302">
        <f si="64" t="shared"/>
        <v>254412.137487</v>
      </c>
      <c r="F302">
        <f si="64" t="shared"/>
        <v>154961.106738</v>
      </c>
      <c r="G302">
        <f si="65" t="shared"/>
        <v>197883.07560099999</v>
      </c>
      <c r="H302">
        <f si="66" t="shared"/>
        <v>92148.317607000005</v>
      </c>
      <c r="I302">
        <f si="67" t="shared"/>
        <v>0</v>
      </c>
      <c r="J302">
        <f si="68" t="shared"/>
        <v>0</v>
      </c>
      <c r="K302">
        <f si="69" t="shared"/>
        <v>0</v>
      </c>
      <c r="L302">
        <f si="70" t="shared"/>
        <v>1540321.4097250002</v>
      </c>
      <c r="N302" t="s">
        <v>145</v>
      </c>
      <c r="O302" t="n">
        <v>716145.208015</v>
      </c>
      <c r="P302" t="n">
        <v>70495.89427799999</v>
      </c>
      <c r="Q302" t="n">
        <v>54275.669999</v>
      </c>
      <c r="R302" t="n">
        <v>254412.137487</v>
      </c>
      <c r="S302" t="n">
        <v>154961.106738</v>
      </c>
      <c r="T302" t="n">
        <v>197883.075601</v>
      </c>
      <c r="U302" t="n">
        <v>92148.317607</v>
      </c>
      <c r="V302" t="n">
        <v>0.0</v>
      </c>
      <c r="W302" t="n">
        <v>0.0</v>
      </c>
      <c r="X302" t="n">
        <v>0.0</v>
      </c>
      <c r="Y302">
        <f si="71" t="shared"/>
        <v>1540321.4097250002</v>
      </c>
    </row>
    <row r="304" spans="1:25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72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72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72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242</v>
      </c>
      <c r="B309">
        <f si="72" t="shared"/>
        <v>228649</v>
      </c>
      <c r="N309" t="s">
        <v>242</v>
      </c>
      <c r="O309" t="n">
        <v>228649.0</v>
      </c>
    </row>
    <row r="310" spans="1:15" x14ac:dyDescent="0.2">
      <c r="A310" t="s">
        <v>23</v>
      </c>
      <c r="B310">
        <f si="72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72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72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72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295</v>
      </c>
      <c r="B317">
        <f>O317*$B$1</f>
        <v>49041.435142330767</v>
      </c>
      <c r="N317" t="s">
        <v>295</v>
      </c>
      <c r="O317" s="104" t="n">
        <v>49041.43514233077</v>
      </c>
    </row>
    <row r="318" spans="1:15" x14ac:dyDescent="0.2">
      <c r="A318" t="s">
        <v>296</v>
      </c>
      <c r="B318">
        <f>O318*$B$1</f>
        <v>365909.20980221673</v>
      </c>
      <c r="N318" t="s">
        <v>296</v>
      </c>
      <c r="O318" s="104" t="n">
        <v>365909.20980221673</v>
      </c>
    </row>
    <row r="319" spans="1:15" x14ac:dyDescent="0.2">
      <c r="A319" t="s">
        <v>297</v>
      </c>
      <c r="B319">
        <f>O319*$B$1</f>
        <v>273993.49562594912</v>
      </c>
      <c r="N319" t="s">
        <v>297</v>
      </c>
      <c r="O319" s="104" t="n">
        <v>273993.4956259491</v>
      </c>
    </row>
    <row r="320" spans="1:15" x14ac:dyDescent="0.2">
      <c r="A320" t="s">
        <v>298</v>
      </c>
      <c r="B320">
        <f>O320*$B$1</f>
        <v>489041.91761867161</v>
      </c>
      <c r="N320" t="s">
        <v>298</v>
      </c>
      <c r="O320" s="104" t="n">
        <v>489041.9176186716</v>
      </c>
    </row>
    <row r="322" spans="1:16" x14ac:dyDescent="0.2">
      <c r="A322" t="s">
        <v>72</v>
      </c>
      <c r="B322" t="s">
        <v>283</v>
      </c>
      <c r="C322" t="s">
        <v>284</v>
      </c>
      <c r="N322" t="s">
        <v>72</v>
      </c>
      <c r="O322" t="s">
        <v>283</v>
      </c>
      <c r="P322" t="s">
        <v>284</v>
      </c>
    </row>
    <row r="323" spans="1:16" x14ac:dyDescent="0.2">
      <c r="A323" t="s">
        <v>285</v>
      </c>
      <c r="B323" t="s">
        <v>27</v>
      </c>
      <c r="N323" t="s">
        <v>285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280</v>
      </c>
      <c r="B325">
        <f>O325*$B$1</f>
        <v>262784.03188098286</v>
      </c>
      <c r="N325" t="s">
        <v>280</v>
      </c>
      <c r="O325" s="104" t="n">
        <v>262784.03188098286</v>
      </c>
    </row>
    <row r="326" spans="1:16" x14ac:dyDescent="0.2">
      <c r="A326" t="s">
        <v>281</v>
      </c>
      <c r="B326">
        <f>O326*$B$1</f>
        <v>779951.03810927563</v>
      </c>
      <c r="N326" t="s">
        <v>281</v>
      </c>
      <c r="O326" s="104" t="n">
        <v>779951.0381092756</v>
      </c>
    </row>
    <row r="327" spans="1:16" x14ac:dyDescent="0.2">
      <c r="A327" t="s">
        <v>282</v>
      </c>
      <c r="B327">
        <f>O327*$B$1</f>
        <v>276760.66849241551</v>
      </c>
      <c r="N327" t="s">
        <v>282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299</v>
      </c>
      <c r="B330" t="s">
        <v>27</v>
      </c>
      <c r="N330" t="s">
        <v>299</v>
      </c>
      <c r="O330" t="s">
        <v>27</v>
      </c>
    </row>
    <row r="331" spans="1:16" x14ac:dyDescent="0.2">
      <c r="A331">
        <v>1</v>
      </c>
      <c r="B331" s="104">
        <f>O331</f>
        <v>571262.1889448663</v>
      </c>
      <c r="N331">
        <v>1</v>
      </c>
      <c r="O331" s="104" t="n">
        <v>571262.1889448663</v>
      </c>
    </row>
    <row r="332" spans="1:16" x14ac:dyDescent="0.2">
      <c r="A332">
        <v>2</v>
      </c>
      <c r="B332" s="104">
        <f ref="B332:B340" si="73" t="shared">O332</f>
        <v>74462</v>
      </c>
      <c r="N332">
        <v>2</v>
      </c>
      <c r="O332" s="104" t="n">
        <v>74462.0</v>
      </c>
    </row>
    <row r="333" spans="1:16" x14ac:dyDescent="0.2">
      <c r="A333">
        <v>3</v>
      </c>
      <c r="B333" s="104">
        <f si="73" t="shared"/>
        <v>61201.999999999993</v>
      </c>
      <c r="N333">
        <v>3</v>
      </c>
      <c r="O333" s="104" t="n">
        <v>61201.99999999999</v>
      </c>
    </row>
    <row r="334" spans="1:16" x14ac:dyDescent="0.2">
      <c r="A334">
        <v>4</v>
      </c>
      <c r="B334" s="104">
        <f si="73" t="shared"/>
        <v>239449.81105513356</v>
      </c>
      <c r="N334">
        <v>4</v>
      </c>
      <c r="O334" s="104" t="n">
        <v>239449.81105513356</v>
      </c>
    </row>
    <row r="335" spans="1:16" x14ac:dyDescent="0.2">
      <c r="A335">
        <v>5</v>
      </c>
      <c r="B335" s="104">
        <f si="73" t="shared"/>
        <v>148325</v>
      </c>
      <c r="N335">
        <v>5</v>
      </c>
      <c r="O335" s="104" t="n">
        <v>148325.0</v>
      </c>
    </row>
    <row r="336" spans="1:16" x14ac:dyDescent="0.2">
      <c r="A336">
        <v>6</v>
      </c>
      <c r="B336" s="104">
        <f si="73" t="shared"/>
        <v>168740.99999999997</v>
      </c>
      <c r="N336">
        <v>6</v>
      </c>
      <c r="O336" s="104" t="n">
        <v>168740.99999999997</v>
      </c>
    </row>
    <row r="337" spans="1:15" x14ac:dyDescent="0.2">
      <c r="A337">
        <v>7</v>
      </c>
      <c r="B337" s="104">
        <f si="73" t="shared"/>
        <v>105763</v>
      </c>
      <c r="N337">
        <v>7</v>
      </c>
      <c r="O337" t="n">
        <v>105763.0</v>
      </c>
    </row>
    <row r="338" spans="1:15" x14ac:dyDescent="0.2">
      <c r="A338">
        <v>8</v>
      </c>
      <c r="B338" s="104">
        <f>O338</f>
        <v>0</v>
      </c>
      <c r="N338">
        <v>8</v>
      </c>
      <c r="O338" t="n">
        <v>0.0</v>
      </c>
    </row>
    <row r="339" spans="1:15" x14ac:dyDescent="0.2">
      <c r="A339">
        <v>9</v>
      </c>
      <c r="B339" s="104">
        <f si="73" t="shared"/>
        <v>0</v>
      </c>
      <c r="N339">
        <v>9</v>
      </c>
      <c r="O339" t="n">
        <v>0.0</v>
      </c>
    </row>
    <row r="340" spans="1:15" x14ac:dyDescent="0.2">
      <c r="A340">
        <v>10</v>
      </c>
      <c r="B340" s="104">
        <f si="73" t="shared"/>
        <v>0</v>
      </c>
      <c r="N340">
        <v>10</v>
      </c>
      <c r="O340" t="n">
        <v>0.0</v>
      </c>
    </row>
    <row r="342" spans="1:15" x14ac:dyDescent="0.2">
      <c r="A342" t="s">
        <v>13589</v>
      </c>
      <c r="N342" t="s">
        <v>13589</v>
      </c>
    </row>
    <row r="343" spans="1:15" x14ac:dyDescent="0.2">
      <c r="A343" t="s">
        <v>13590</v>
      </c>
      <c r="B343" t="s">
        <v>27</v>
      </c>
      <c r="N343" t="s">
        <v>13590</v>
      </c>
      <c r="O343" t="s">
        <v>27</v>
      </c>
    </row>
    <row r="344" spans="1:15" x14ac:dyDescent="0.2">
      <c r="A344" t="s">
        <v>210</v>
      </c>
      <c r="B344">
        <f>O344</f>
        <v>67857.632183838985</v>
      </c>
      <c r="N344" t="s">
        <v>210</v>
      </c>
      <c r="O344" t="n">
        <v>67857.63218383898</v>
      </c>
    </row>
    <row r="345" spans="1:15" x14ac:dyDescent="0.2">
      <c r="A345" t="s">
        <v>211</v>
      </c>
      <c r="B345">
        <f ref="B345:B350" si="74" t="shared">O345</f>
        <v>13854.260302550525</v>
      </c>
      <c r="N345" t="s">
        <v>211</v>
      </c>
      <c r="O345" t="n">
        <v>13854.260302550525</v>
      </c>
    </row>
    <row r="346" spans="1:15" x14ac:dyDescent="0.2">
      <c r="A346" t="s">
        <v>212</v>
      </c>
      <c r="B346">
        <f si="74" t="shared"/>
        <v>135968.08467440694</v>
      </c>
      <c r="N346" t="s">
        <v>212</v>
      </c>
      <c r="O346" t="n">
        <v>135968.08467440694</v>
      </c>
    </row>
    <row r="347" spans="1:15" x14ac:dyDescent="0.2">
      <c r="A347" t="s">
        <v>36</v>
      </c>
      <c r="B347">
        <f si="74" t="shared"/>
        <v>248262.91810566306</v>
      </c>
      <c r="N347" t="s">
        <v>36</v>
      </c>
      <c r="O347" t="n">
        <v>248262.91810566306</v>
      </c>
    </row>
    <row r="348" spans="1:15" x14ac:dyDescent="0.2">
      <c r="A348" t="s">
        <v>214</v>
      </c>
      <c r="B348">
        <f si="74" t="shared"/>
        <v>204285.49512663938</v>
      </c>
      <c r="N348" t="s">
        <v>214</v>
      </c>
      <c r="O348" t="n">
        <v>204285.49512663938</v>
      </c>
    </row>
    <row r="349" spans="1:15" x14ac:dyDescent="0.2">
      <c r="A349" t="s">
        <v>129</v>
      </c>
      <c r="B349">
        <f si="74" t="shared"/>
        <v>141765.97077407304</v>
      </c>
      <c r="N349" t="s">
        <v>129</v>
      </c>
      <c r="O349" t="n">
        <v>141765.97077407304</v>
      </c>
    </row>
    <row r="350" spans="1:15" x14ac:dyDescent="0.2">
      <c r="A350" t="s">
        <v>130</v>
      </c>
      <c r="B350">
        <f si="74" t="shared"/>
        <v>63284.129753694593</v>
      </c>
      <c r="N350" t="s">
        <v>130</v>
      </c>
      <c r="O350" t="n">
        <v>63284.12975369459</v>
      </c>
    </row>
    <row r="351" spans="1:15" x14ac:dyDescent="0.2">
      <c r="O351" t="n">
        <v>0.0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2.75" x14ac:dyDescent="0.2"/>
  <sheetData>
    <row r="1" spans="1:2" x14ac:dyDescent="0.2">
      <c r="A1" t="s">
        <v>1217</v>
      </c>
      <c r="B1" t="s">
        <v>1218</v>
      </c>
    </row>
    <row r="2" spans="1:2" x14ac:dyDescent="0.2">
      <c r="A2">
        <v>1</v>
      </c>
      <c r="B2" t="s">
        <v>1219</v>
      </c>
    </row>
    <row r="3" spans="1:2" x14ac:dyDescent="0.2">
      <c r="A3">
        <v>2</v>
      </c>
      <c r="B3" t="s">
        <v>1220</v>
      </c>
    </row>
    <row r="4" spans="1:2" x14ac:dyDescent="0.2">
      <c r="A4">
        <v>3</v>
      </c>
      <c r="B4" t="s">
        <v>1221</v>
      </c>
    </row>
    <row r="5" spans="1:2" x14ac:dyDescent="0.2">
      <c r="A5">
        <v>4</v>
      </c>
      <c r="B5" t="s">
        <v>1222</v>
      </c>
    </row>
    <row r="6" spans="1:2" x14ac:dyDescent="0.2">
      <c r="A6">
        <v>5</v>
      </c>
      <c r="B6" t="s">
        <v>1223</v>
      </c>
    </row>
    <row r="7" spans="1:2" x14ac:dyDescent="0.2">
      <c r="A7">
        <v>6</v>
      </c>
      <c r="B7" t="s">
        <v>1224</v>
      </c>
    </row>
    <row r="8" spans="1:2" x14ac:dyDescent="0.2">
      <c r="A8">
        <v>7</v>
      </c>
      <c r="B8" t="s">
        <v>1225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18</vt:i4>
      </vt:variant>
      <vt:variant>
        <vt:lpstr>Named Ranges</vt:lpstr>
      </vt:variant>
      <vt:variant>
        <vt:i4>243</vt:i4>
      </vt:variant>
    </vt:vector>
  </HeadingPairs>
  <TitlesOfParts>
    <vt:vector baseType="lpstr" size="261">
      <vt:lpstr>Summary</vt:lpstr>
      <vt:lpstr>calibration</vt:lpstr>
      <vt:lpstr>DayPatternCoefficients</vt:lpstr>
      <vt:lpstr>WorkbasedSubtourGenerationCoeff</vt:lpstr>
      <vt:lpstr>CoeffDef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County Codes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2020-06-03T00:15:48Z</dcterms:modified>
</cp:coreProperties>
</file>